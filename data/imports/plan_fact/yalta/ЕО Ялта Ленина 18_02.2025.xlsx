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mc:Ignorable="unk1 xr xr6 xr10 xr2">
  <s:fileVersion appName="xl" lastEdited="7" lowestEdited="7" rupBuild="10209"/>
  <s:workbookPr/>
  <s:bookViews>
    <s:workbookView xr2:uid="{00000000-000D-0000-FFFF-FFFF00000000}" xWindow="0" yWindow="660" windowWidth="25600" windowHeight="15980" activeTab="8"/>
  </s:bookViews>
  <s:sheets>
    <s:sheet name="Ялта, Ленина, 18" sheetId="1" state="visible" r:id="rId1"/>
    <s:sheet name="Св. по пок." sheetId="2" state="visible" r:id="rId2"/>
    <s:sheet name="План на день" sheetId="3" state="visible" r:id="rId3"/>
    <s:sheet name="Рогалевич И. Е." sheetId="4" state="visible" r:id="rId4"/>
    <s:sheet name="ПК1" sheetId="5" state="visible" r:id="rId5"/>
    <s:sheet name="ПК 2" sheetId="6" state="visible" r:id="rId6"/>
    <s:sheet name="Доп сотрудник" sheetId="9" state="visible" r:id="rId7"/>
    <s:sheet name="Вед-ть ПК1" sheetId="7" state="visible" r:id="rId8"/>
    <s:sheet name="Вед-ть Рогалевич" sheetId="8" state="visible" r:id="rId9"/>
    <s:sheet name="График" sheetId="10" state="visible" r:id="rId10"/>
  </s:sheets>
  <s:definedNames>
    <s:definedName name="маг">NA()</s:definedName>
  </s:definedNames>
  <s:calcPr calcId="191029" refMode="R1C1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<s:sst xmlns:s="http://schemas.openxmlformats.org/spreadsheetml/2006/main" count="523" uniqueCount="122">
  <s:si>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</s:si>
  <s:si>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</s:si>
  <s:si>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</s:si>
  <s:si>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</s:si>
  <s:si>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</s:si>
  <s:si>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</s:si>
  <s:si>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</s:si>
  <s:si>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</s:si>
  <s:si>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</s:si>
  <s:si>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</s:si>
  <s:si>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</s:si>
  <s:si>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</s:si>
  <s:si>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</s:si>
  <s:si>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</s:si>
  <s:si>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</s:si>
  <s:si>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</s:si>
  <s:si>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</s:si>
  <s:si>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</s:si>
  <s:si>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</s:si>
  <s:si>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</s:si>
  <s:si>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</s:si>
  <s:si>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</s:si>
  <s:si>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</s:si>
  <s:si>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</s:si>
  <s:si>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</s:si>
  <s:si>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</s:si>
  <s:si>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</s:si>
  <s:si>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</s:si>
  <s:si>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</s:si>
  <s:si>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</s:si>
  <s:si>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</s:si>
  <s:si>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</s:si>
  <s:si>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</s:si>
  <s:si>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</s:si>
  <s:si>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</s:si>
  <s:si>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</s:si>
  <s:si>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Запасной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</s:si>
  <s:si>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</s:si>
  <s:si>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</s:si>
  <s:si>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</s:si>
  <s:si>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</s:si>
  <s:si>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</s:si>
  <s:si>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</s:si>
  <s:si>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</s:si>
  <s:si>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</s:si>
  <s:si>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</s:si>
  <s:si>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Стекольщикова</s:t>
  </s:si>
  <s:si>
    <s:t>сб</s:t>
  </s:si>
  <s:si>
    <s:t>вс</s:t>
  </s:si>
  <s:si>
    <s:t>Рогалевич</s:t>
  </s:si>
  <s:si>
    <s:t>пн</s:t>
  </s:si>
  <s:si>
    <s:t>вт</s:t>
  </s:si>
  <s:si>
    <s:t>ср</s:t>
  </s:si>
  <s:si>
    <s:t>чт</s:t>
  </s:si>
  <s:si>
    <s:t>пт</s:t>
  </s:si>
  <s:si>
    <s:t>итого</s:t>
  </s:si>
  <s:si>
    <s:t>Сводная по показателям</s:t>
  </s:si>
  <s:si>
    <s:t xml:space="preserve">Факт </s:t>
  </s:si>
  <s:si>
    <s:t>Прогноз</s:t>
  </s:si>
  <s:si>
    <s:t>Кол-во смен план/отработано</s:t>
  </s:si>
  <s:si>
    <s:t>Конверсия</s:t>
  </s:si>
  <s:si>
    <s:t xml:space="preserve">                          ЕЖЕДНЕВНЫЙ ОТЧЕТ О ПРОДАЖАХ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</s:si>
  <s:si>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</s:si>
  <s:si>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</s:si>
  <s:si>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</s:si>
  <s:si>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</s:si>
  <s:si>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</s:si>
  <s:si>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</s:si>
  <s:si>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</s:si>
  <s:si>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</s:si>
  <s:si>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Итого: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</s:si>
  <s:si>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</s:si>
  <s:si>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</s:si>
  <s:si>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</s:si>
  <s:si>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</s:si>
  <s:si>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</s:si>
  <s:si>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</s:si>
  <s:si>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 январь 2025</s:t>
  </s:si>
  <s:si>
    <s:t>Оплата 4 часа 31.12.2024</s:t>
  </s:si>
  <s:si>
    <s:t>Форма зима 2024</s:t>
  </s:si>
  <s:si>
    <s:t>Административный %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</s:si>
  <s:si>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</s:si>
  <s:si>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</s:si>
  <s:si>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</s:si>
  <s:si>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</s:si>
  <s:si>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</s:si>
  <s:si>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</s:si>
  <s:si>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</s:si>
  <s:si>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</s:si>
  <s:si>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</s:si>
  <s:si>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</s:si>
  <s:si>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</s:si>
  <s:si>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</s:si>
  <s:si>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</s:si>
  <s:si>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</s:si>
  <s:si>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</s:si>
  <s:si>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</s:si>
  <s:si>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</s:si>
  <s:si>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</s:si>
  <s:si>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Февраль, 2025</s:t>
  </s:si>
  <s:si>
    <s:t>г. Ялта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</s:si>
  <s:si>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</s:si>
  <s:si>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</s:si>
  <s:si>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</s:si>
  <s:si>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</s:si>
  <s:si>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</s:si>
  <s:si>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</s:si>
  <s:si>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</s:si>
  <s:si>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</s:si>
  <s:si>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</s:si>
  <s:si>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</s:si>
  <s:si>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</s:si>
  <s:si>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</s:si>
  <s:si>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</s:si>
  <s:si>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Стекольщикова Алла</s:t>
  </s:si>
  <s:si>
    <s:t>ДМ</s:t>
  </s:si>
  <s:si>
    <s:t>Рогалевич Ирина</s:t>
  </s:si>
  <s:si>
    <s:t>Итого магазин</s:t>
  </s:si>
  <s:si>
    <s:t xml:space="preserve">    </s:t>
  </s:si>
  <s:si>
    <s:t>НДФЛ февраль 2025</s:t>
  </s:si>
  <s:si>
    <s:t>Орешникова</s:t>
  </s:si>
  <s:si>
    <s:t>Орешникова Елена</s:t>
  </s:si>
</s:sst>
</file>

<file path=xl/styles.xml><?xml version="1.0" encoding="utf-8"?>
<s:styleSheet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mc:Ignorable="x14ac x16r2 xr">
  <s:numFmts count="9">
    <s:numFmt numFmtId="164" formatCode="dddd&quot;, &quot;mmmm\ dd&quot;, &quot;yyyy"/>
    <s:numFmt numFmtId="165" formatCode="0.0%"/>
    <s:numFmt numFmtId="166" formatCode="#,##0.0"/>
    <s:numFmt numFmtId="167" formatCode="_-* #,##0.00_р_._-;\-* #,##0.00_р_._-;_-* \-??_р_._-;_-@_-"/>
    <s:numFmt numFmtId="168" formatCode="#,##0.00\ &quot;₽&quot;"/>
    <s:numFmt numFmtId="169" formatCode="#,##0\ &quot;₽&quot;"/>
    <s:numFmt numFmtId="170" formatCode="#,##0.00\ _₽"/>
    <s:numFmt numFmtId="171" formatCode="0.0"/>
    <s:numFmt numFmtId="172" formatCode="mmmm\ yyyy;@"/>
  </s:numFmts>
  <s:fonts count="54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b val="1"/>
      <s:sz val="10"/>
    </s:font>
    <s:font>
      <s:name val="Clinica Pro Regular"/>
      <s:color indexed="63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b val="1"/>
      <s:sz val="11"/>
    </s:font>
    <s:font>
      <s:name val="Clinica Pro Regular"/>
      <s:color theme="1"/>
      <s:sz val="12"/>
    </s:font>
    <s:font>
      <s:name val="Calibri"/>
      <s:family val="2"/>
      <s:color indexed="63"/>
      <s:sz val="11"/>
    </s:font>
  </s:fonts>
  <s:fills count="35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5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0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theme="2"/>
      </s:patternFill>
    </s:fill>
    <s:fill>
      <s:patternFill patternType="solid">
        <s:fgColor theme="2"/>
        <s:bgColor theme="2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rgb="FFCCFF00"/>
        <s:bgColor indexed="5"/>
      </s:patternFill>
    </s:fill>
    <s:fill>
      <s:patternFill patternType="solid">
        <s:fgColor theme="2"/>
        <s:bgColor rgb="FF4ACCD3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9" tint="0.4"/>
        <s:bgColor theme="7" tint="0.6"/>
      </s:patternFill>
    </s:fill>
  </s:fills>
  <s:borders count="117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/>
      <s:right/>
      <s:top/>
      <s:bottom style="thin">
        <s:color rgb="FFB3AC86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/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/>
      <s:top style="thin">
        <s:color indexed="16"/>
      </s:top>
      <s:bottom/>
      <s:diagonal/>
    </s:border>
    <s:border>
      <s:left/>
      <s:right/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9" fontId="53" fillId="0" borderId="0" applyFont="0" applyFill="0" applyBorder="0" applyProtection="0"/>
  </s:cellStyleXfs>
  <s:cellXfs count="684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0" fontId="14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65" fontId="21" fillId="4" borderId="19" xfId="0" applyNumberFormat="1" applyFont="1" applyFill="1" applyBorder="1" applyAlignment="1">
      <s:alignment horizontal="center" vertical="center" mc:Ignorable="vyd"/>
    </s:xf>
    <s:xf numFmtId="166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65" fontId="16" fillId="4" borderId="24" xfId="0" applyNumberFormat="1" applyFont="1" applyFill="1" applyBorder="1" applyAlignment="1">
      <s:alignment horizontal="center" vertical="center" mc:Ignorable="vyd"/>
    </s:xf>
    <s:xf numFmtId="166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65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0" fontId="3" fillId="5" borderId="0" xfId="0" applyFont="1" applyFill="1"/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3" fontId="16" fillId="3" borderId="16" xfId="0" applyNumberFormat="1" applyFont="1" applyFill="1" applyBorder="1" applyAlignment="1">
      <s:alignment horizontal="center" vertical="center" mc:Ignorable="vyd"/>
    </s:xf>
    <s:xf numFmtId="3" fontId="16" fillId="6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6" fillId="4" borderId="28" xfId="0" applyNumberFormat="1" applyFont="1" applyFill="1" applyBorder="1" applyAlignment="1">
      <s:alignment horizontal="center" vertical="center" mc:Ignorable="vyd"/>
    </s:xf>
    <s:xf numFmtId="166" fontId="22" fillId="0" borderId="28" xfId="0" applyNumberFormat="1" applyFont="1" applyBorder="1" applyAlignment="1">
      <s:alignment horizontal="center" vertical="center" mc:Ignorable="vyd"/>
    </s:xf>
    <s:xf numFmtId="165" fontId="23" fillId="0" borderId="29" xfId="0" applyNumberFormat="1" applyFont="1" applyBorder="1" applyAlignment="1">
      <s:alignment horizontal="center" vertical="center" mc:Ignorable="vyd"/>
    </s:xf>
    <s:xf numFmtId="3" fontId="16" fillId="3" borderId="30" xfId="0" applyNumberFormat="1" applyFont="1" applyFill="1" applyBorder="1" applyAlignment="1">
      <s:alignment horizontal="center" vertical="center" mc:Ignorable="vyd"/>
    </s:xf>
    <s:xf numFmtId="166" fontId="24" fillId="0" borderId="28" xfId="0" applyNumberFormat="1" applyFont="1" applyBorder="1" applyAlignment="1">
      <s:alignment horizontal="center" vertical="center" mc:Ignorable="vyd"/>
    </s:xf>
    <s:xf numFmtId="165" fontId="18" fillId="0" borderId="29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7" xfId="0" applyNumberFormat="1" applyFont="1" applyFill="1" applyBorder="1" applyAlignment="1">
      <s:alignment horizontal="center" vertical="center" mc:Ignorable="vyd"/>
    </s:xf>
    <s:xf numFmtId="3" fontId="24" fillId="0" borderId="28" xfId="0" applyNumberFormat="1" applyFont="1" applyBorder="1" applyAlignment="1">
      <s:alignment horizontal="center" vertical="center" mc:Ignorable="vyd"/>
    </s:xf>
    <s:xf numFmtId="3" fontId="20" fillId="4" borderId="27" xfId="0" applyNumberFormat="1" applyFont="1" applyFill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3" fontId="16" fillId="8" borderId="24" xfId="1" applyNumberFormat="1" applyFont="1" applyFill="1" applyBorder="1" applyAlignment="1" applyProtection="1">
      <s:alignment horizontal="center" vertical="center" mc:Ignorable="vyd"/>
    </s:xf>
    <s:xf numFmtId="10" fontId="16" fillId="7" borderId="24" xfId="1" applyNumberFormat="1" applyFont="1" applyFill="1" applyBorder="1" applyAlignment="1" applyProtection="1">
      <s:alignment horizontal="center" vertical="center" mc:Ignorable="vyd"/>
    </s:xf>
    <s:xf numFmtId="10" fontId="19" fillId="3" borderId="32" xfId="0" applyNumberFormat="1" applyFont="1" applyFill="1" applyBorder="1" applyAlignment="1">
      <s:alignment horizontal="center" vertical="center" mc:Ignorable="vyd"/>
    </s:xf>
    <s:xf numFmtId="10" fontId="19" fillId="7" borderId="33" xfId="1" applyNumberFormat="1" applyFont="1" applyFill="1" applyBorder="1" applyAlignment="1" applyProtection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0" borderId="33" xfId="0" applyNumberFormat="1" applyFont="1" applyBorder="1" applyAlignment="1">
      <s:alignment horizontal="center" vertical="center" mc:Ignorable="vyd"/>
    </s:xf>
    <s:xf numFmtId="165" fontId="20" fillId="3" borderId="35" xfId="0" applyNumberFormat="1" applyFont="1" applyFill="1" applyBorder="1" applyAlignment="1">
      <s:alignment horizontal="center" vertical="center" mc:Ignorable="vyd"/>
    </s:xf>
    <s:xf numFmtId="3" fontId="20" fillId="0" borderId="33" xfId="0" applyNumberFormat="1" applyFont="1" applyBorder="1" applyAlignment="1">
      <s:alignment horizontal="center" vertical="center" mc:Ignorable="vyd"/>
    </s:xf>
    <s:xf numFmtId="165" fontId="20" fillId="0" borderId="36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9" borderId="24" xfId="0" applyFont="1" applyFill="1" applyBorder="1" applyAlignment="1">
      <s:alignment horizontal="center" vertical="center" wrapText="1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0" fontId="26" fillId="9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9" borderId="24" xfId="0" applyFont="1" applyFill="1" applyBorder="1" applyAlignment="1">
      <s:alignment horizontal="center" vertical="top" wrapText="1" mc:Ignorable="vyd"/>
    </s:xf>
    <s:xf numFmtId="0" fontId="17" fillId="9" borderId="24" xfId="0" applyFont="1" applyFill="1" applyBorder="1" applyAlignment="1">
      <s:alignment horizontal="center" vertical="top" wrapText="1" mc:Ignorable="vyd"/>
    </s:xf>
    <s:xf numFmtId="0" fontId="0" fillId="11" borderId="0" xfId="0" applyFill="1"/>
    <s:xf numFmtId="0" fontId="27" fillId="11" borderId="24" xfId="0" applyFont="1" applyFill="1" applyBorder="1" applyAlignment="1">
      <s:alignment horizontal="center" vertical="center" mc:Ignorable="vyd"/>
    </s:xf>
    <s:xf numFmtId="16" fontId="16" fillId="11" borderId="24" xfId="0" applyNumberFormat="1" applyFont="1" applyFill="1" applyBorder="1" applyAlignment="1">
      <s:alignment horizontal="center" vertical="top" mc:Ignorable="vyd"/>
    </s:xf>
    <s:xf numFmtId="0" fontId="16" fillId="11" borderId="24" xfId="0" applyFont="1" applyFill="1" applyBorder="1" applyAlignment="1">
      <s:alignment horizontal="center" vertical="top" mc:Ignorable="vyd"/>
    </s:xf>
    <s:xf numFmtId="4" fontId="16" fillId="11" borderId="24" xfId="0" applyNumberFormat="1" applyFont="1" applyFill="1" applyBorder="1" applyAlignment="1">
      <s:alignment horizontal="center" vertical="top" mc:Ignorable="vyd"/>
    </s:xf>
    <s:xf numFmtId="3" fontId="16" fillId="11" borderId="24" xfId="0" applyNumberFormat="1" applyFont="1" applyFill="1" applyBorder="1" applyAlignment="1">
      <s:alignment horizontal="center" vertical="top" mc:Ignorable="vyd"/>
    </s:xf>
    <s:xf numFmtId="10" fontId="16" fillId="11" borderId="24" xfId="0" applyNumberFormat="1" applyFont="1" applyFill="1" applyBorder="1" applyAlignment="1">
      <s:alignment horizontal="center" vertical="top" mc:Ignorable="vyd"/>
    </s:xf>
    <s:xf numFmtId="9" fontId="3" fillId="11" borderId="24" xfId="0" applyNumberFormat="1" applyFont="1" applyFill="1" applyBorder="1" applyAlignment="1">
      <s:alignment horizontal="center" vertical="center" mc:Ignorable="vyd"/>
    </s:xf>
    <s:xf numFmtId="3" fontId="28" fillId="11" borderId="24" xfId="0" applyNumberFormat="1" applyFont="1" applyFill="1" applyBorder="1" applyAlignment="1">
      <s:alignment horizontal="center" mc:Ignorable="vyd"/>
    </s:xf>
    <s:xf numFmtId="3" fontId="16" fillId="11" borderId="24" xfId="0" applyNumberFormat="1" applyFont="1" applyFill="1" applyBorder="1" applyAlignment="1">
      <s:alignment horizontal="center" mc:Ignorable="vyd"/>
    </s:xf>
    <s:xf numFmtId="167" fontId="16" fillId="11" borderId="24" xfId="0" applyNumberFormat="1" applyFont="1" applyFill="1" applyBorder="1" applyAlignment="1">
      <s:alignment horizontal="right" mc:Ignorable="vyd"/>
    </s:xf>
    <s:xf numFmtId="165" fontId="2" fillId="11" borderId="0" xfId="0" applyNumberFormat="1" applyFont="1" applyFill="1"/>
    <s:xf numFmtId="0" fontId="27" fillId="12" borderId="24" xfId="0" applyFont="1" applyFill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mc:Ignorable="vyd"/>
    </s:xf>
    <s:xf numFmtId="0" fontId="16" fillId="12" borderId="24" xfId="0" applyFont="1" applyFill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16" fillId="0" borderId="0" xfId="0" applyNumberFormat="1" applyFont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167" fontId="16" fillId="0" borderId="24" xfId="0" applyNumberFormat="1" applyFont="1" applyBorder="1" applyAlignment="1">
      <s:alignment horizontal="right" mc:Ignorable="vyd"/>
    </s:xf>
    <s:xf numFmtId="165" fontId="2" fillId="0" borderId="0" xfId="0" applyNumberFormat="1" applyFon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0" fillId="13" borderId="0" xfId="0" applyFill="1"/>
    <s:xf numFmtId="4" fontId="16" fillId="13" borderId="24" xfId="0" applyNumberFormat="1" applyFont="1" applyFill="1" applyBorder="1" applyAlignment="1">
      <s:alignment horizontal="center" vertical="top" mc:Ignorable="vyd"/>
    </s:xf>
    <s:xf numFmtId="3" fontId="16" fillId="13" borderId="24" xfId="0" applyNumberFormat="1" applyFont="1" applyFill="1" applyBorder="1" applyAlignment="1">
      <s:alignment horizontal="center" vertical="top" mc:Ignorable="vyd"/>
    </s:xf>
    <s:xf numFmtId="10" fontId="16" fillId="13" borderId="24" xfId="0" applyNumberFormat="1" applyFont="1" applyFill="1" applyBorder="1" applyAlignment="1">
      <s:alignment horizontal="center" vertical="top" mc:Ignorable="vyd"/>
    </s:xf>
    <s:xf numFmtId="9" fontId="3" fillId="13" borderId="24" xfId="0" applyNumberFormat="1" applyFont="1" applyFill="1" applyBorder="1" applyAlignment="1">
      <s:alignment horizontal="center" vertical="center" mc:Ignorable="vyd"/>
    </s:xf>
    <s:xf numFmtId="3" fontId="28" fillId="13" borderId="24" xfId="0" applyNumberFormat="1" applyFont="1" applyFill="1" applyBorder="1" applyAlignment="1">
      <s:alignment horizontal="center" mc:Ignorable="vyd"/>
    </s:xf>
    <s:xf numFmtId="3" fontId="16" fillId="13" borderId="24" xfId="0" applyNumberFormat="1" applyFont="1" applyFill="1" applyBorder="1" applyAlignment="1">
      <s:alignment horizontal="center" mc:Ignorable="vyd"/>
    </s:xf>
    <s:xf numFmtId="167" fontId="16" fillId="13" borderId="24" xfId="0" applyNumberFormat="1" applyFont="1" applyFill="1" applyBorder="1" applyAlignment="1">
      <s:alignment horizontal="right" mc:Ignorable="vyd"/>
    </s:xf>
    <s:xf numFmtId="165" fontId="2" fillId="13" borderId="0" xfId="0" applyNumberFormat="1" applyFont="1" applyFill="1"/>
    <s:xf numFmtId="0" fontId="2" fillId="13" borderId="0" xfId="0" applyFont="1" applyFill="1"/>
    <s:xf numFmtId="0" fontId="16" fillId="13" borderId="24" xfId="0" applyFont="1" applyFill="1" applyBorder="1" applyAlignment="1">
      <s:alignment horizontal="center" vertical="top" mc:Ignorable="vyd"/>
    </s:xf>
    <s:xf numFmtId="167" fontId="2" fillId="0" borderId="0" xfId="0" applyNumberFormat="1" applyFont="1"/>
    <s:xf numFmtId="167" fontId="2" fillId="13" borderId="0" xfId="0" applyNumberFormat="1" applyFont="1" applyFill="1"/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25" xfId="0" applyFont="1" applyBorder="1" applyAlignment="1">
      <s:alignment horizontal="center" vertical="top" mc:Ignorable="vyd"/>
    </s:xf>
    <s:xf numFmtId="0" fontId="16" fillId="0" borderId="29" xfId="0" applyFont="1" applyBorder="1" applyAlignment="1">
      <s:alignment horizontal="center" vertical="top" mc:Ignorable="vyd"/>
    </s:xf>
    <s:xf numFmtId="4" fontId="16" fillId="14" borderId="24" xfId="0" applyNumberFormat="1" applyFont="1" applyFill="1" applyBorder="1" applyAlignment="1">
      <s:alignment horizontal="center" vertical="top" mc:Ignorable="vyd"/>
    </s:xf>
    <s:xf numFmtId="3" fontId="16" fillId="14" borderId="24" xfId="0" applyNumberFormat="1" applyFont="1" applyFill="1" applyBorder="1" applyAlignment="1">
      <s:alignment horizontal="center" vertical="top" mc:Ignorable="vyd"/>
    </s:xf>
    <s:xf numFmtId="165" fontId="16" fillId="14" borderId="24" xfId="0" applyNumberFormat="1" applyFont="1" applyFill="1" applyBorder="1" applyAlignment="1">
      <s:alignment horizontal="center" vertical="top" mc:Ignorable="vyd"/>
    </s:xf>
    <s:xf numFmtId="9" fontId="3" fillId="14" borderId="24" xfId="0" applyNumberFormat="1" applyFont="1" applyFill="1" applyBorder="1" applyAlignment="1">
      <s:alignment horizontal="center" vertical="center" mc:Ignorable="vyd"/>
    </s:xf>
    <s:xf numFmtId="3" fontId="16" fillId="14" borderId="24" xfId="0" applyNumberFormat="1" applyFont="1" applyFill="1" applyBorder="1" applyAlignment="1">
      <s:alignment horizontal="center" mc:Ignorable="vyd"/>
    </s:xf>
    <s:xf numFmtId="3" fontId="16" fillId="14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/>
    <s:xf numFmtId="3" fontId="30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0" fillId="0" borderId="0" xfId="0" applyNumberFormat="1" applyFont="1"/>
    <s:xf numFmtId="4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3" fontId="17" fillId="5" borderId="34" xfId="0" applyNumberFormat="1" applyFont="1" applyFill="1" applyBorder="1" applyAlignment="1">
      <s:alignment horizontal="center" vertical="center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0" fontId="17" fillId="5" borderId="43" xfId="0" applyFont="1" applyFill="1" applyBorder="1" applyAlignment="1">
      <s:alignment horizontal="center" vertical="center" wrapText="1" mc:Ignorable="vyd"/>
    </s:xf>
    <s:xf numFmtId="10" fontId="31" fillId="0" borderId="18" xfId="0" applyNumberFormat="1" applyFont="1" applyBorder="1" applyAlignment="1">
      <s:alignment horizontal="center" vertical="center" mc:Ignorable="vyd"/>
    </s:xf>
    <s:xf numFmtId="168" fontId="31" fillId="0" borderId="38" xfId="0" applyNumberFormat="1" applyFont="1" applyBorder="1" applyAlignment="1">
      <s:alignment horizontal="center" vertical="center" mc:Ignorable="vyd"/>
    </s:xf>
    <s:xf numFmtId="10" fontId="31" fillId="0" borderId="39" xfId="0" applyNumberFormat="1" applyFont="1" applyBorder="1" applyAlignment="1">
      <s:alignment horizontal="center" vertical="center" mc:Ignorable="vyd"/>
    </s:xf>
    <s:xf numFmtId="10" fontId="32" fillId="0" borderId="18" xfId="1" applyNumberFormat="1" applyFont="1" applyBorder="1" applyAlignment="1" applyProtection="1">
      <s:alignment horizontal="center" vertical="center" mc:Ignorable="vyd"/>
    </s:xf>
    <s:xf numFmtId="168" fontId="32" fillId="0" borderId="44" xfId="1" applyNumberFormat="1" applyFont="1" applyBorder="1" applyAlignment="1" applyProtection="1">
      <s:alignment horizontal="center" vertical="center" mc:Ignorable="vyd"/>
    </s:xf>
    <s:xf numFmtId="10" fontId="31" fillId="0" borderId="45" xfId="0" applyNumberFormat="1" applyFont="1" applyBorder="1" applyAlignment="1">
      <s:alignment horizontal="center" vertical="center" mc:Ignorable="vyd"/>
    </s:xf>
    <s:xf numFmtId="10" fontId="16" fillId="0" borderId="39" xfId="0" applyNumberFormat="1" applyFont="1" applyBorder="1" applyAlignment="1">
      <s:alignment horizontal="center" vertical="center" mc:Ignorable="vyd"/>
    </s:xf>
    <s:xf numFmtId="10" fontId="31" fillId="0" borderId="46" xfId="0" applyNumberFormat="1" applyFont="1" applyBorder="1" applyAlignment="1">
      <s:alignment horizontal="center" vertical="center" mc:Ignorable="vyd"/>
    </s:xf>
    <s:xf numFmtId="1" fontId="31" fillId="0" borderId="16" xfId="0" applyNumberFormat="1" applyFont="1" applyBorder="1" applyAlignment="1">
      <s:alignment horizontal="center" vertical="center" mc:Ignorable="vyd"/>
    </s:xf>
    <s:xf numFmtId="3" fontId="32" fillId="0" borderId="24" xfId="1" applyNumberFormat="1" applyFont="1" applyBorder="1" applyAlignment="1" applyProtection="1">
      <s:alignment horizontal="center" vertical="center" mc:Ignorable="vyd"/>
    </s:xf>
    <s:xf numFmtId="168" fontId="31" fillId="0" borderId="16" xfId="0" applyNumberFormat="1" applyFont="1" applyBorder="1" applyAlignment="1">
      <s:alignment horizontal="center" vertical="center" mc:Ignorable="vyd"/>
    </s:xf>
    <s:xf numFmtId="168" fontId="32" fillId="0" borderId="24" xfId="1" applyNumberFormat="1" applyFont="1" applyBorder="1" applyAlignment="1" applyProtection="1">
      <s:alignment horizontal="center" vertical="center" mc:Ignorable="vyd"/>
    </s:xf>
    <s:xf numFmtId="2" fontId="31" fillId="0" borderId="16" xfId="0" applyNumberFormat="1" applyFont="1" applyBorder="1" applyAlignment="1">
      <s:alignment horizontal="center" vertical="center" mc:Ignorable="vyd"/>
    </s:xf>
    <s:xf numFmtId="4" fontId="32" fillId="0" borderId="24" xfId="1" applyNumberFormat="1" applyFont="1" applyBorder="1" applyAlignment="1" applyProtection="1">
      <s:alignment horizontal="center" vertical="center" mc:Ignorable="vyd"/>
    </s:xf>
    <s:xf numFmtId="1" fontId="33" fillId="0" borderId="24" xfId="1" applyNumberFormat="1" applyFont="1" applyBorder="1" applyAlignment="1" applyProtection="1">
      <s:alignment horizontal="center" vertical="center" mc:Ignorable="vyd"/>
    </s:xf>
    <s:xf numFmtId="168" fontId="33" fillId="0" borderId="24" xfId="1" applyNumberFormat="1" applyFont="1" applyBorder="1" applyAlignment="1" applyProtection="1">
      <s:alignment horizontal="center" vertical="center" mc:Ignorable="vyd"/>
    </s:xf>
    <s:xf numFmtId="3" fontId="19" fillId="3" borderId="18" xfId="0" applyNumberFormat="1" applyFont="1" applyFill="1" applyBorder="1" applyAlignment="1">
      <s:alignment horizontal="center" vertical="center" mc:Ignorable="vyd"/>
    </s:xf>
    <s:xf numFmtId="3" fontId="20" fillId="7" borderId="23" xfId="0" applyNumberFormat="1" applyFont="1" applyFill="1" applyBorder="1" applyAlignment="1">
      <s:alignment horizontal="center" vertical="center" wrapText="1" mc:Ignorable="vyd"/>
    </s:xf>
    <s:xf numFmtId="10" fontId="20" fillId="7" borderId="23" xfId="0" applyNumberFormat="1" applyFont="1" applyFill="1" applyBorder="1" applyAlignment="1">
      <s:alignment horizontal="center" vertic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48" xfId="0" applyNumberFormat="1" applyFont="1" applyFill="1" applyBorder="1"/>
    <s:xf numFmtId="0" fontId="37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10" fontId="38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16" fillId="4" borderId="28" xfId="0" applyNumberFormat="1" applyFont="1" applyFill="1" applyBorder="1" applyAlignment="1">
      <s:alignment horizontal="center" vertical="center" mc:Ignorable="vyd"/>
    </s:xf>
    <s:xf numFmtId="10" fontId="23" fillId="0" borderId="29" xfId="0" applyNumberFormat="1" applyFont="1" applyBorder="1" applyAlignment="1">
      <s:alignment horizontal="center" vertical="center" mc:Ignorable="vyd"/>
    </s:xf>
    <s:xf numFmtId="10" fontId="18" fillId="0" borderId="29" xfId="0" applyNumberFormat="1" applyFont="1" applyBorder="1" applyAlignment="1">
      <s:alignment horizontal="center" vertical="center" mc:Ignorable="vyd"/>
    </s:xf>
    <s:xf numFmtId="165" fontId="19" fillId="3" borderId="32" xfId="0" applyNumberFormat="1" applyFont="1" applyFill="1" applyBorder="1" applyAlignment="1">
      <s:alignment horizontal="center" vertical="center" mc:Ignorable="vyd"/>
    </s:xf>
    <s:xf numFmtId="165" fontId="19" fillId="4" borderId="33" xfId="0" applyNumberFormat="1" applyFont="1" applyFill="1" applyBorder="1" applyAlignment="1">
      <s:alignment horizontal="center" vertical="center" mc:Ignorable="vyd"/>
    </s:xf>
    <s:xf numFmtId="10" fontId="19" fillId="4" borderId="33" xfId="0" applyNumberFormat="1" applyFont="1" applyFill="1" applyBorder="1" applyAlignment="1">
      <s:alignment horizontal="center" vertical="center" mc:Ignorable="vyd"/>
    </s:xf>
    <s:xf numFmtId="165" fontId="24" fillId="0" borderId="33" xfId="0" applyNumberFormat="1" applyFont="1" applyBorder="1" applyAlignment="1">
      <s:alignment horizontal="center" vertical="center" mc:Ignorable="vyd"/>
    </s:xf>
    <s:xf numFmtId="0" fontId="17" fillId="15" borderId="24" xfId="0" applyFont="1" applyFill="1" applyBorder="1" applyAlignment="1">
      <s:alignment horizontal="center" vertical="center" wrapText="1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0" fontId="26" fillId="15" borderId="24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16" fillId="15" borderId="24" xfId="0" applyFont="1" applyFill="1" applyBorder="1" applyAlignment="1">
      <s:alignment horizontal="center" vertical="top" wrapText="1" mc:Ignorable="vyd"/>
    </s:xf>
    <s:xf numFmtId="0" fontId="16" fillId="15" borderId="28" xfId="0" applyFont="1" applyFill="1" applyBorder="1" applyAlignment="1">
      <s:alignment horizontal="center" vertical="top" wrapText="1" mc:Ignorable="vyd"/>
    </s:xf>
    <s:xf numFmtId="0" fontId="17" fillId="15" borderId="24" xfId="0" applyFont="1" applyFill="1" applyBorder="1" applyAlignment="1">
      <s:alignment horizontal="center" vertical="top" wrapText="1" mc:Ignorable="vyd"/>
    </s:xf>
    <s:xf numFmtId="0" fontId="16" fillId="12" borderId="0" xfId="0" applyFont="1" applyFill="1" applyAlignment="1">
      <s:alignment horizontal="center" vertical="top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3" fontId="28" fillId="0" borderId="0" xfId="0" applyNumberFormat="1" applyFont="1" applyAlignment="1">
      <s:alignment horizontal="center" mc:Ignorable="vyd"/>
    </s:xf>
    <s:xf numFmtId="3" fontId="16" fillId="0" borderId="0" xfId="0" applyNumberFormat="1" applyFont="1" applyAlignment="1">
      <s:alignment horizontal="center" mc:Ignorable="vyd"/>
    </s:xf>
    <s:xf numFmtId="167" fontId="16" fillId="0" borderId="0" xfId="0" applyNumberFormat="1" applyFont="1" applyAlignment="1">
      <s:alignment horizontal="right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165" fontId="16" fillId="0" borderId="24" xfId="0" applyNumberFormat="1" applyFont="1" applyBorder="1" applyAlignment="1">
      <s:alignment horizontal="center" vertical="top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5" fontId="38" fillId="4" borderId="19" xfId="0" applyNumberFormat="1" applyFont="1" applyFill="1" applyBorder="1" applyAlignment="1">
      <s:alignment horizontal="center" vertical="center" mc:Ignorable="vyd"/>
    </s:xf>
    <s:xf numFmtId="0" fontId="0" fillId="12" borderId="0" xfId="0" applyFill="1"/>
    <s:xf numFmtId="4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3" fontId="16" fillId="12" borderId="0" xfId="0" applyNumberFormat="1" applyFont="1" applyFill="1" applyAlignment="1">
      <s:alignment horizontal="center" vertical="top" mc:Ignorable="vyd"/>
    </s:xf>
    <s:xf numFmtId="10" fontId="16" fillId="12" borderId="24" xfId="0" applyNumberFormat="1" applyFont="1" applyFill="1" applyBorder="1" applyAlignment="1">
      <s:alignment horizontal="center" vertical="top" mc:Ignorable="vyd"/>
    </s:xf>
    <s:xf numFmtId="9" fontId="3" fillId="12" borderId="0" xfId="0" applyNumberFormat="1" applyFont="1" applyFill="1" applyAlignment="1">
      <s:alignment horizontal="center" vertical="center" mc:Ignorable="vyd"/>
    </s:xf>
    <s:xf numFmtId="3" fontId="28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167" fontId="16" fillId="12" borderId="24" xfId="0" applyNumberFormat="1" applyFont="1" applyFill="1" applyBorder="1" applyAlignment="1">
      <s:alignment horizontal="right" mc:Ignorable="vyd"/>
    </s:xf>
    <s:xf numFmtId="165" fontId="2" fillId="12" borderId="0" xfId="0" applyNumberFormat="1" applyFont="1" applyFill="1"/>
    <s:xf numFmtId="167" fontId="2" fillId="12" borderId="0" xfId="0" applyNumberFormat="1" applyFont="1" applyFill="1"/>
    <s:xf numFmtId="0" fontId="2" fillId="12" borderId="0" xfId="0" applyFont="1" applyFill="1"/>
    <s:xf numFmtId="4" fontId="16" fillId="12" borderId="0" xfId="0" applyNumberFormat="1" applyFont="1" applyFill="1" applyAlignment="1">
      <s:alignment horizontal="center" vertical="top" mc:Ignorable="vyd"/>
    </s:xf>
    <s:xf numFmtId="10" fontId="16" fillId="12" borderId="0" xfId="0" applyNumberFormat="1" applyFont="1" applyFill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0" fontId="16" fillId="12" borderId="25" xfId="0" applyFont="1" applyFill="1" applyBorder="1" applyAlignment="1">
      <s:alignment horizontal="center" vertical="top" mc:Ignorable="vyd"/>
    </s:xf>
    <s:xf numFmtId="4" fontId="16" fillId="12" borderId="23" xfId="0" applyNumberFormat="1" applyFont="1" applyFill="1" applyBorder="1" applyAlignment="1">
      <s:alignment horizontal="center" vertical="top" mc:Ignorable="vyd"/>
    </s:xf>
    <s:xf numFmtId="3" fontId="16" fillId="12" borderId="28" xfId="0" applyNumberFormat="1" applyFont="1" applyFill="1" applyBorder="1" applyAlignment="1">
      <s:alignment horizontal="center" vertical="top" mc:Ignorable="vyd"/>
    </s:xf>
    <s:xf numFmtId="4" fontId="16" fillId="12" borderId="28" xfId="0" applyNumberFormat="1" applyFont="1" applyFill="1" applyBorder="1" applyAlignment="1">
      <s:alignment horizontal="center" vertical="top" mc:Ignorable="vyd"/>
    </s:xf>
    <s:xf numFmtId="165" fontId="16" fillId="12" borderId="28" xfId="0" applyNumberFormat="1" applyFont="1" applyFill="1" applyBorder="1" applyAlignment="1">
      <s:alignment horizontal="center" vertical="top" mc:Ignorable="vyd"/>
    </s:xf>
    <s:xf numFmtId="9" fontId="3" fillId="12" borderId="28" xfId="0" applyNumberFormat="1" applyFont="1" applyFill="1" applyBorder="1" applyAlignment="1">
      <s:alignment horizontal="center" vertical="center" mc:Ignorable="vyd"/>
    </s:xf>
    <s:xf numFmtId="3" fontId="28" fillId="12" borderId="28" xfId="0" applyNumberFormat="1" applyFont="1" applyFill="1" applyBorder="1" applyAlignment="1">
      <s:alignment horizontal="center" mc:Ignorable="vyd"/>
    </s:xf>
    <s:xf numFmtId="3" fontId="16" fillId="12" borderId="28" xfId="0" applyNumberFormat="1" applyFont="1" applyFill="1" applyBorder="1" applyAlignment="1">
      <s:alignment horizontal="center" mc:Ignorable="vyd"/>
    </s:xf>
    <s:xf numFmtId="4" fontId="16" fillId="12" borderId="50" xfId="0" applyNumberFormat="1" applyFont="1" applyFill="1" applyBorder="1" applyAlignment="1">
      <s:alignment horizontal="center" vertical="top" mc:Ignorable="vyd"/>
    </s:xf>
    <s:xf numFmtId="3" fontId="16" fillId="12" borderId="51" xfId="0" applyNumberFormat="1" applyFont="1" applyFill="1" applyBorder="1" applyAlignment="1">
      <s:alignment horizontal="center" vertical="top" mc:Ignorable="vyd"/>
    </s:xf>
    <s:xf numFmtId="4" fontId="16" fillId="12" borderId="51" xfId="0" applyNumberFormat="1" applyFont="1" applyFill="1" applyBorder="1" applyAlignment="1">
      <s:alignment horizontal="center" vertical="top" mc:Ignorable="vyd"/>
    </s:xf>
    <s:xf numFmtId="10" fontId="16" fillId="12" borderId="51" xfId="0" applyNumberFormat="1" applyFont="1" applyFill="1" applyBorder="1" applyAlignment="1">
      <s:alignment horizontal="center" vertical="top" mc:Ignorable="vyd"/>
    </s:xf>
    <s:xf numFmtId="9" fontId="3" fillId="12" borderId="51" xfId="0" applyNumberFormat="1" applyFont="1" applyFill="1" applyBorder="1" applyAlignment="1">
      <s:alignment horizontal="center" vertical="center" mc:Ignorable="vyd"/>
    </s:xf>
    <s:xf numFmtId="3" fontId="28" fillId="12" borderId="51" xfId="0" applyNumberFormat="1" applyFont="1" applyFill="1" applyBorder="1" applyAlignment="1">
      <s:alignment horizontal="center" mc:Ignorable="vyd"/>
    </s:xf>
    <s:xf numFmtId="3" fontId="16" fillId="12" borderId="51" xfId="0" applyNumberFormat="1" applyFont="1" applyFill="1" applyBorder="1" applyAlignment="1">
      <s:alignment horizontal="center" mc:Ignorable="vyd"/>
    </s:xf>
    <s:xf numFmtId="0" fontId="16" fillId="12" borderId="52" xfId="0" applyFont="1" applyFill="1" applyBorder="1" applyAlignment="1">
      <s:alignment horizontal="center" vertical="top" mc:Ignorable="vyd"/>
    </s:xf>
    <s:xf numFmtId="167" fontId="16" fillId="12" borderId="23" xfId="0" applyNumberFormat="1" applyFont="1" applyFill="1" applyBorder="1" applyAlignment="1">
      <s:alignment horizontal="right" mc:Ignorable="vyd"/>
    </s:xf>
    <s:xf numFmtId="0" fontId="16" fillId="12" borderId="29" xfId="0" applyFont="1" applyFill="1" applyBorder="1" applyAlignment="1">
      <s:alignment horizontal="center" vertical="top" mc:Ignorable="vyd"/>
    </s:xf>
    <s:xf numFmtId="167" fontId="16" fillId="12" borderId="51" xfId="0" applyNumberFormat="1" applyFont="1" applyFill="1" applyBorder="1" applyAlignment="1">
      <s:alignment horizontal="right" mc:Ignorable="vyd"/>
    </s:xf>
    <s:xf numFmtId="165" fontId="19" fillId="0" borderId="24" xfId="0" applyNumberFormat="1" applyFont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wrapText="1" mc:Ignorable="vyd"/>
    </s:xf>
    <s:xf numFmtId="0" fontId="16" fillId="12" borderId="24" xfId="0" applyFont="1" applyFill="1" applyBorder="1" applyAlignment="1">
      <s:alignment horizontal="center" vertical="top" wrapText="1" mc:Ignorable="vyd"/>
    </s:xf>
    <s:xf numFmtId="4" fontId="16" fillId="12" borderId="24" xfId="0" applyNumberFormat="1" applyFont="1" applyFill="1" applyBorder="1" applyAlignment="1">
      <s:alignment horizontal="center" vertical="top" wrapText="1" mc:Ignorable="vyd"/>
    </s:xf>
    <s:xf numFmtId="3" fontId="16" fillId="12" borderId="53" xfId="0" applyNumberFormat="1" applyFont="1" applyFill="1" applyBorder="1" applyAlignment="1">
      <s:alignment horizontal="center" vertical="top" wrapText="1" mc:Ignorable="vyd"/>
    </s:xf>
    <s:xf numFmtId="3" fontId="16" fillId="12" borderId="24" xfId="0" applyNumberFormat="1" applyFont="1" applyFill="1" applyBorder="1" applyAlignment="1">
      <s:alignment horizontal="center" vertical="top" wrapText="1" mc:Ignorable="vyd"/>
    </s:xf>
    <s:xf numFmtId="3" fontId="16" fillId="12" borderId="52" xfId="0" applyNumberFormat="1" applyFont="1" applyFill="1" applyBorder="1" applyAlignment="1">
      <s:alignment horizontal="center" vertical="top" wrapText="1" mc:Ignorable="vyd"/>
    </s:xf>
    <s:xf numFmtId="4" fontId="16" fillId="12" borderId="0" xfId="0" applyNumberFormat="1" applyFont="1" applyFill="1" applyAlignment="1">
      <s:alignment horizontal="center" vertical="top" wrapText="1" mc:Ignorable="vyd"/>
    </s:xf>
    <s:xf numFmtId="0" fontId="29" fillId="12" borderId="0" xfId="0" applyFont="1" applyFill="1"/>
    <s:xf numFmtId="3" fontId="16" fillId="12" borderId="0" xfId="0" applyNumberFormat="1" applyFont="1" applyFill="1" applyAlignment="1">
      <s:alignment horizontal="center" mc:Ignorable="vyd"/>
    </s:xf>
    <s:xf numFmtId="3" fontId="28" fillId="12" borderId="0" xfId="0" applyNumberFormat="1" applyFont="1" applyFill="1" applyAlignment="1">
      <s:alignment horizontal="center" mc:Ignorable="vyd"/>
    </s:xf>
    <s:xf numFmtId="165" fontId="16" fillId="12" borderId="24" xfId="0" applyNumberFormat="1" applyFont="1" applyFill="1" applyBorder="1" applyAlignment="1">
      <s:alignment horizontal="center" vertical="top" mc:Ignorable="vyd"/>
    </s:xf>
    <s:xf numFmtId="0" fontId="0" fillId="14" borderId="0" xfId="0" applyFill="1"/>
    <s:xf numFmtId="0" fontId="39" fillId="14" borderId="0" xfId="0" applyFont="1" applyFill="1"/>
    <s:xf numFmtId="16" fontId="16" fillId="14" borderId="24" xfId="0" applyNumberFormat="1" applyFont="1" applyFill="1" applyBorder="1" applyAlignment="1">
      <s:alignment horizontal="center" vertical="top" mc:Ignorable="vyd"/>
    </s:xf>
    <s:xf numFmtId="0" fontId="16" fillId="14" borderId="25" xfId="0" applyFont="1" applyFill="1" applyBorder="1" applyAlignment="1">
      <s:alignment horizontal="center" vertical="top" mc:Ignorable="vyd"/>
    </s:xf>
    <s:xf numFmtId="3" fontId="28" fillId="14" borderId="24" xfId="0" applyNumberFormat="1" applyFont="1" applyFill="1" applyBorder="1" applyAlignment="1">
      <s:alignment horizontal="center" mc:Ignorable="vyd"/>
    </s:xf>
    <s:xf numFmtId="167" fontId="16" fillId="14" borderId="24" xfId="0" applyNumberFormat="1" applyFont="1" applyFill="1" applyBorder="1" applyAlignment="1">
      <s:alignment horizontal="right" mc:Ignorable="vyd"/>
    </s:xf>
    <s:xf numFmtId="165" fontId="3" fillId="14" borderId="0" xfId="0" applyNumberFormat="1" applyFont="1" applyFill="1"/>
    <s:xf numFmtId="167" fontId="3" fillId="14" borderId="0" xfId="0" applyNumberFormat="1" applyFont="1" applyFill="1"/>
    <s:xf numFmtId="0" fontId="39" fillId="12" borderId="0" xfId="0" applyFont="1" applyFill="1"/>
    <s:xf numFmtId="165" fontId="3" fillId="12" borderId="0" xfId="0" applyNumberFormat="1" applyFont="1" applyFill="1"/>
    <s:xf numFmtId="167" fontId="3" fillId="12" borderId="0" xfId="0" applyNumberFormat="1" applyFont="1" applyFill="1"/>
    <s:xf numFmtId="0" fontId="27" fillId="12" borderId="0" xfId="0" applyFont="1" applyFill="1"/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38" fillId="14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56" xfId="0" applyFont="1" applyBorder="1" applyAlignment="1">
      <s:alignment horizontal="center" vertical="center" mc:Ignorable="vyd"/>
    </s:xf>
    <s:xf numFmtId="0" fontId="21" fillId="17" borderId="58" xfId="0" applyFont="1" applyFill="1" applyBorder="1" applyAlignment="1">
      <s:alignment horizontal="center" vertical="center" wrapText="1" mc:Ignorable="vyd"/>
    </s:xf>
    <s:xf numFmtId="0" fontId="21" fillId="17" borderId="59" xfId="0" applyFont="1" applyFill="1" applyBorder="1" applyAlignment="1">
      <s:alignment horizontal="center" vertical="center" wrapText="1" mc:Ignorable="vyd"/>
    </s:xf>
    <s:xf numFmtId="0" fontId="21" fillId="17" borderId="18" xfId="0" applyFont="1" applyFill="1" applyBorder="1" applyAlignment="1">
      <s:alignment horizontal="center" vertical="center" wrapText="1" mc:Ignorable="vyd"/>
    </s:xf>
    <s:xf numFmtId="0" fontId="21" fillId="17" borderId="44" xfId="0" applyFont="1" applyFill="1" applyBorder="1" applyAlignment="1">
      <s:alignment horizontal="center" vertical="center" wrapText="1" mc:Ignorable="vyd"/>
    </s:xf>
    <s:xf numFmtId="0" fontId="21" fillId="17" borderId="45" xfId="0" applyFont="1" applyFill="1" applyBorder="1" applyAlignment="1">
      <s:alignment horizontal="center" vertical="center" wrapText="1" mc:Ignorable="vyd"/>
    </s:xf>
    <s:xf numFmtId="0" fontId="21" fillId="17" borderId="39" xfId="0" applyFont="1" applyFill="1" applyBorder="1" applyAlignment="1">
      <s:alignment horizontal="center" vertical="center" wrapText="1" mc:Ignorable="vyd"/>
    </s:xf>
    <s:xf numFmtId="0" fontId="21" fillId="17" borderId="60" xfId="0" applyFont="1" applyFill="1" applyBorder="1" applyAlignment="1">
      <s:alignment horizontal="center" vertical="center" wrapText="1" mc:Ignorable="vyd"/>
    </s:xf>
    <s:xf numFmtId="0" fontId="21" fillId="17" borderId="61" xfId="0" applyFont="1" applyFill="1" applyBorder="1" applyAlignment="1">
      <s:alignment horizontal="center" vertical="center" wrapText="1" mc:Ignorable="vyd"/>
    </s:xf>
    <s:xf numFmtId="0" fontId="21" fillId="17" borderId="11" xfId="0" applyFont="1" applyFill="1" applyBorder="1" applyAlignment="1">
      <s:alignment horizontal="center" vertical="center" wrapText="1" mc:Ignorable="vyd"/>
    </s:xf>
    <s:xf numFmtId="0" fontId="21" fillId="17" borderId="62" xfId="0" applyFont="1" applyFill="1" applyBorder="1" applyAlignment="1">
      <s:alignment horizontal="center" vertical="center" wrapText="1" mc:Ignorable="vyd"/>
    </s:xf>
    <s:xf numFmtId="170" fontId="21" fillId="18" borderId="64" xfId="0" applyNumberFormat="1" applyFont="1" applyFill="1" applyBorder="1" applyAlignment="1">
      <s:alignment horizontal="right" vertical="top" wrapText="1" indent="1" mc:Ignorable="vyd"/>
    </s:xf>
    <s:xf numFmtId="170" fontId="21" fillId="18" borderId="61" xfId="0" applyNumberFormat="1" applyFont="1" applyFill="1" applyBorder="1" applyAlignment="1">
      <s:alignment horizontal="right" vertical="top" wrapText="1" mc:Ignorable="vyd"/>
    </s:xf>
    <s:xf numFmtId="170" fontId="21" fillId="18" borderId="65" xfId="0" applyNumberFormat="1" applyFont="1" applyFill="1" applyBorder="1" applyAlignment="1">
      <s:alignment horizontal="right" vertical="top" wrapText="1" indent="1" mc:Ignorable="vyd"/>
    </s:xf>
    <s:xf numFmtId="170" fontId="21" fillId="18" borderId="47" xfId="0" applyNumberFormat="1" applyFont="1" applyFill="1" applyBorder="1" applyAlignment="1">
      <s:alignment horizontal="right" vertical="top" wrapText="1" indent="1" mc:Ignorable="vyd"/>
    </s:xf>
    <s:xf numFmtId="170" fontId="21" fillId="18" borderId="33" xfId="0" applyNumberFormat="1" applyFont="1" applyFill="1" applyBorder="1" applyAlignment="1">
      <s:alignment horizontal="right" vertical="top" wrapText="1" indent="1" mc:Ignorable="vyd"/>
    </s:xf>
    <s:xf numFmtId="170" fontId="21" fillId="18" borderId="34" xfId="0" applyNumberFormat="1" applyFont="1" applyFill="1" applyBorder="1" applyAlignment="1">
      <s:alignment horizontal="right" vertical="top" wrapText="1" indent="1" mc:Ignorable="vyd"/>
    </s:xf>
    <s:xf numFmtId="170" fontId="21" fillId="0" borderId="36" xfId="0" applyNumberFormat="1" applyFont="1" applyBorder="1" applyAlignment="1">
      <s:alignment horizontal="right" vertical="top" wrapText="1" indent="1" mc:Ignorable="vyd"/>
    </s:xf>
    <s:xf numFmtId="170" fontId="38" fillId="0" borderId="60" xfId="0" applyNumberFormat="1" applyFont="1" applyBorder="1" applyAlignment="1">
      <s:alignment horizontal="right" vertical="top" wrapText="1" indent="1" mc:Ignorable="vyd"/>
    </s:xf>
    <s:xf numFmtId="170" fontId="38" fillId="18" borderId="61" xfId="0" applyNumberFormat="1" applyFont="1" applyFill="1" applyBorder="1" applyAlignment="1">
      <s:alignment horizontal="right" vertical="top" wrapText="1" indent="1" mc:Ignorable="vyd"/>
    </s:xf>
    <s:xf numFmtId="170" fontId="38" fillId="18" borderId="66" xfId="0" applyNumberFormat="1" applyFont="1" applyFill="1" applyBorder="1" applyAlignment="1">
      <s:alignment horizontal="right" vertical="top" wrapText="1" indent="1" mc:Ignorable="vyd"/>
    </s:xf>
    <s:xf numFmtId="170" fontId="38" fillId="18" borderId="62" xfId="0" applyNumberFormat="1" applyFont="1" applyFill="1" applyBorder="1" applyAlignment="1">
      <s:alignment horizontal="right" vertical="top" wrapText="1" mc:Ignorable="vyd"/>
    </s:xf>
    <s:xf numFmtId="0" fontId="40" fillId="4" borderId="67" xfId="0" applyFont="1" applyFill="1" applyBorder="1" applyAlignment="1">
      <s:alignment horizontal="left" vertical="top" mc:Ignorable="vyd"/>
    </s:xf>
    <s:xf numFmtId="0" fontId="41" fillId="4" borderId="0" xfId="0" applyFont="1" applyFill="1" applyAlignment="1">
      <s:alignment horizontal="left" vertical="top" mc:Ignorable="vyd"/>
    </s:xf>
    <s:xf numFmtId="0" fontId="40" fillId="4" borderId="0" xfId="0" applyFont="1" applyFill="1" applyAlignment="1">
      <s:alignment horizontal="left" vertical="top" mc:Ignorable="vyd"/>
    </s:xf>
    <s:xf numFmtId="2" fontId="40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56" xfId="0" applyFont="1" applyFill="1" applyBorder="1" applyAlignment="1">
      <s:alignment horizontal="left" mc:Ignorable="vyd"/>
    </s:xf>
    <s:xf numFmtId="0" fontId="40" fillId="4" borderId="67" xfId="0" applyFont="1" applyFill="1" applyBorder="1" applyAlignment="1">
      <s:alignment horizontal="center" vertical="center" mc:Ignorable="vyd"/>
    </s:xf>
    <s:xf numFmtId="0" fontId="40" fillId="4" borderId="68" xfId="0" applyFont="1" applyFill="1" applyBorder="1" applyAlignment="1">
      <s:alignment horizontal="center" vertical="center" mc:Ignorable="vyd"/>
    </s:xf>
    <s:xf numFmtId="0" fontId="40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56" xfId="0" applyFont="1" applyFill="1" applyBorder="1" applyAlignment="1">
      <s:alignment horizontal="center" vertical="center" mc:Ignorable="vyd"/>
    </s:xf>
    <s:xf numFmtId="14" fontId="40" fillId="4" borderId="68" xfId="0" applyNumberFormat="1" applyFont="1" applyFill="1" applyBorder="1" applyAlignment="1">
      <s:alignment horizontal="center" vertical="top" mc:Ignorable="vyd"/>
    </s:xf>
    <s:xf numFmtId="4" fontId="40" fillId="4" borderId="68" xfId="0" applyNumberFormat="1" applyFont="1" applyFill="1" applyBorder="1" applyAlignment="1">
      <s:alignment horizontal="right" vertical="top" mc:Ignorable="vyd"/>
    </s:xf>
    <s:xf numFmtId="0" fontId="40" fillId="4" borderId="68" xfId="0" applyFont="1" applyFill="1" applyBorder="1" applyAlignment="1">
      <s:alignment horizontal="left" vertical="top" wrapText="1" mc:Ignorable="vyd"/>
    </s:xf>
    <s:xf numFmtId="14" fontId="40" fillId="4" borderId="0" xfId="0" applyNumberFormat="1" applyFont="1" applyFill="1" applyAlignment="1">
      <s:alignment horizontal="center" vertical="top" mc:Ignorable="vyd"/>
    </s:xf>
    <s:xf numFmtId="4" fontId="40" fillId="4" borderId="0" xfId="0" applyNumberFormat="1" applyFont="1" applyFill="1" applyAlignment="1">
      <s:alignment horizontal="center" vertical="top" mc:Ignorable="vyd"/>
    </s:xf>
    <s:xf numFmtId="0" fontId="40" fillId="4" borderId="0" xfId="0" applyFont="1" applyFill="1" applyAlignment="1">
      <s:alignment horizontal="left" vertical="top" wrapText="1" mc:Ignorable="vyd"/>
    </s:xf>
    <s:xf numFmtId="0" fontId="40" fillId="19" borderId="67" xfId="0" applyFont="1" applyFill="1" applyBorder="1" applyAlignment="1">
      <s:alignment horizontal="left" vertical="top" mc:Ignorable="vyd"/>
    </s:xf>
    <s:xf numFmtId="0" fontId="40" fillId="19" borderId="0" xfId="0" applyFont="1" applyFill="1" applyAlignment="1">
      <s:alignment horizontal="left" vertical="top" mc:Ignorable="vyd"/>
    </s:xf>
    <s:xf numFmtId="4" fontId="41" fillId="19" borderId="0" xfId="0" applyNumberFormat="1" applyFont="1" applyFill="1" applyAlignment="1">
      <s:alignment horizontal="right" vertical="top" mc:Ignorable="vyd"/>
    </s:xf>
    <s:xf numFmtId="0" fontId="40" fillId="19" borderId="0" xfId="0" applyFont="1" applyFill="1" applyAlignment="1">
      <s:alignment horizontal="right" vertical="top" mc:Ignorable="vyd"/>
    </s:xf>
    <s:xf numFmtId="0" fontId="16" fillId="19" borderId="0" xfId="0" applyFont="1" applyFill="1" applyAlignment="1">
      <s:alignment horizontal="left" mc:Ignorable="vyd"/>
    </s:xf>
    <s:xf numFmtId="2" fontId="41" fillId="19" borderId="0" xfId="0" applyNumberFormat="1" applyFont="1" applyFill="1" applyAlignment="1">
      <s:alignment horizontal="left" vertical="top" mc:Ignorable="vyd"/>
    </s:xf>
    <s:xf numFmtId="2" fontId="40" fillId="19" borderId="0" xfId="0" applyNumberFormat="1" applyFont="1" applyFill="1" applyAlignment="1">
      <s:alignment horizontal="left" vertical="top" mc:Ignorable="vyd"/>
    </s:xf>
    <s:xf numFmtId="0" fontId="16" fillId="19" borderId="56" xfId="0" applyFont="1" applyFill="1" applyBorder="1" applyAlignment="1">
      <s:alignment horizontal="left" mc:Ignorable="vyd"/>
    </s:xf>
    <s:xf numFmtId="0" fontId="40" fillId="4" borderId="0" xfId="0" applyFont="1" applyFill="1" applyAlignment="1">
      <s:alignment horizontal="center" vertical="center" wrapText="1" mc:Ignorable="vyd"/>
    </s:xf>
    <s:xf numFmtId="0" fontId="40" fillId="4" borderId="67" xfId="0" applyFont="1" applyFill="1" applyBorder="1" applyAlignment="1">
      <s:alignment horizontal="center" vertical="center" wrapText="1" mc:Ignorable="vyd"/>
    </s:xf>
    <s:xf numFmtId="0" fontId="41" fillId="4" borderId="0" xfId="0" applyFont="1" applyFill="1" applyAlignment="1">
      <s:alignment horizontal="left" vertical="top" wrapText="1" mc:Ignorable="vyd"/>
    </s:xf>
    <s:xf numFmtId="0" fontId="16" fillId="4" borderId="71" xfId="0" applyFont="1" applyFill="1" applyBorder="1" applyAlignment="1">
      <s:alignment horizontal="center" vertical="center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56" xfId="0" applyFont="1" applyFill="1" applyBorder="1" applyAlignment="1">
      <s:alignment horizontal="center" vertical="center" wrapText="1" mc:Ignorable="vyd"/>
    </s:xf>
    <s:xf numFmtId="0" fontId="40" fillId="4" borderId="68" xfId="0" applyFont="1" applyFill="1" applyBorder="1" applyAlignment="1">
      <s:alignment horizontal="center" vertical="center" wrapText="1" mc:Ignorable="vyd"/>
    </s:xf>
    <s:xf numFmtId="0" fontId="40" fillId="4" borderId="69" xfId="0" applyFont="1" applyFill="1" applyBorder="1" applyAlignment="1">
      <s:alignment horizontal="center" vertical="center" wrapText="1" mc:Ignorable="vyd"/>
    </s:xf>
    <s:xf numFmtId="1" fontId="40" fillId="4" borderId="68" xfId="0" applyNumberFormat="1" applyFont="1" applyFill="1" applyBorder="1" applyAlignment="1">
      <s:alignment horizontal="center" vertical="top" mc:Ignorable="vyd"/>
    </s:xf>
    <s:xf numFmtId="0" fontId="40" fillId="4" borderId="68" xfId="0" applyFont="1" applyFill="1" applyBorder="1" applyAlignment="1">
      <s:alignment horizontal="left" vertical="top" mc:Ignorable="vyd"/>
    </s:xf>
    <s:xf numFmtId="0" fontId="40" fillId="4" borderId="69" xfId="0" applyFont="1" applyFill="1" applyBorder="1" applyAlignment="1">
      <s:alignment horizontal="left" vertical="top" mc:Ignorable="vyd"/>
    </s:xf>
    <s:xf numFmtId="171" fontId="40" fillId="4" borderId="69" xfId="0" applyNumberFormat="1" applyFont="1" applyFill="1" applyBorder="1" applyAlignment="1">
      <s:alignment horizontal="center" vertical="top" mc:Ignorable="vyd"/>
    </s:xf>
    <s:xf numFmtId="2" fontId="40" fillId="4" borderId="69" xfId="0" applyNumberFormat="1" applyFont="1" applyFill="1" applyBorder="1" applyAlignment="1">
      <s:alignment horizontal="center" vertical="top" mc:Ignorable="vyd"/>
    </s:xf>
    <s:xf numFmtId="2" fontId="41" fillId="4" borderId="68" xfId="0" applyNumberFormat="1" applyFont="1" applyFill="1" applyBorder="1" applyAlignment="1">
      <s:alignment horizontal="right" vertical="center" wrapText="1" indent="1" mc:Ignorable="vyd"/>
    </s:xf>
    <s:xf numFmtId="4" fontId="40" fillId="4" borderId="0" xfId="0" applyNumberFormat="1" applyFont="1" applyFill="1" applyAlignment="1">
      <s:alignment horizontal="left" vertical="top" mc:Ignorable="vyd"/>
    </s:xf>
    <s:xf numFmtId="10" fontId="40" fillId="4" borderId="68" xfId="0" applyNumberFormat="1" applyFont="1" applyFill="1" applyBorder="1" applyAlignment="1">
      <s:alignment horizontal="center" vertical="top" mc:Ignorable="vyd"/>
    </s:xf>
    <s:xf numFmtId="2" fontId="40" fillId="4" borderId="68" xfId="0" applyNumberFormat="1" applyFont="1" applyFill="1" applyBorder="1" applyAlignment="1">
      <s:alignment horizontal="center" vertical="top" mc:Ignorable="vyd"/>
    </s:xf>
    <s:xf numFmtId="0" fontId="40" fillId="4" borderId="68" xfId="0" applyFont="1" applyFill="1" applyBorder="1" applyAlignment="1">
      <s:alignment horizontal="left" vertical="center" mc:Ignorable="vyd"/>
    </s:xf>
    <s:xf numFmtId="171" fontId="40" fillId="4" borderId="69" xfId="0" applyNumberFormat="1" applyFont="1" applyFill="1" applyBorder="1" applyAlignment="1">
      <s:alignment horizontal="center" vertical="center" wrapText="1" mc:Ignorable="vyd"/>
    </s:xf>
    <s:xf numFmtId="10" fontId="40" fillId="4" borderId="68" xfId="0" applyNumberFormat="1" applyFont="1" applyFill="1" applyBorder="1" applyAlignment="1">
      <s:alignment horizontal="center" vertical="center" wrapText="1" mc:Ignorable="vyd"/>
    </s:xf>
    <s:xf numFmtId="2" fontId="40" fillId="4" borderId="68" xfId="0" applyNumberFormat="1" applyFont="1" applyFill="1" applyBorder="1" applyAlignment="1">
      <s:alignment horizontal="center" vertical="center" wrapText="1" mc:Ignorable="vyd"/>
    </s:xf>
    <s:xf numFmtId="0" fontId="40" fillId="4" borderId="0" xfId="0" applyFont="1" applyFill="1" applyAlignment="1">
      <s:alignment horizontal="left" vertical="center" mc:Ignorable="vyd"/>
    </s:xf>
    <s:xf numFmtId="171" fontId="40" fillId="4" borderId="0" xfId="0" applyNumberFormat="1" applyFont="1" applyFill="1" applyAlignment="1">
      <s:alignment horizontal="center" vertical="center" wrapText="1" mc:Ignorable="vyd"/>
    </s:xf>
    <s:xf numFmtId="2" fontId="41" fillId="4" borderId="0" xfId="0" applyNumberFormat="1" applyFont="1" applyFill="1" applyAlignment="1">
      <s:alignment horizontal="right" vertical="center" wrapText="1" mc:Ignorable="vyd"/>
    </s:xf>
    <s:xf numFmtId="4" fontId="17" fillId="19" borderId="0" xfId="0" applyNumberFormat="1" applyFont="1" applyFill="1" applyAlignment="1">
      <s:alignment horizontal="right" mc:Ignorable="vyd"/>
    </s:xf>
    <s:xf numFmtId="0" fontId="16" fillId="19" borderId="0" xfId="0" applyFont="1" applyFill="1" applyAlignment="1">
      <s:alignment horizontal="right" mc:Ignorable="vyd"/>
    </s:xf>
    <s:xf numFmtId="2" fontId="16" fillId="19" borderId="0" xfId="0" applyNumberFormat="1" applyFont="1" applyFill="1" applyAlignment="1">
      <s:alignment horizontal="left" mc:Ignorable="vyd"/>
    </s:xf>
    <s:xf numFmtId="0" fontId="16" fillId="4" borderId="67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56" xfId="0" applyFont="1" applyBorder="1"/>
    <s:xf numFmtId="0" fontId="41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72" xfId="0" applyFont="1" applyFill="1" applyBorder="1" applyAlignment="1">
      <s:alignment horizontal="left" mc:Ignorable="vyd"/>
    </s:xf>
    <s:xf numFmtId="0" fontId="16" fillId="4" borderId="67" xfId="0" applyFont="1" applyFill="1" applyBorder="1" applyAlignment="1">
      <s:alignment horizontal="center" vertical="center" wrapText="1" mc:Ignorable="vyd"/>
    </s:xf>
    <s:xf numFmtId="0" fontId="40" fillId="4" borderId="24" xfId="0" applyFont="1" applyFill="1" applyBorder="1" applyAlignment="1">
      <s:alignment horizontal="center" vertical="center" wrapText="1" mc:Ignorable="vyd"/>
    </s:xf>
    <s:xf numFmtId="0" fontId="40" fillId="4" borderId="26" xfId="0" applyFont="1" applyFill="1" applyBorder="1" applyAlignment="1">
      <s:alignment horizontal="center" vertical="center" wrapText="1" mc:Ignorable="vyd"/>
    </s:xf>
    <s:xf numFmtId="4" fontId="40" fillId="4" borderId="0" xfId="0" applyNumberFormat="1" applyFont="1" applyFill="1" applyAlignment="1">
      <s:alignment horizontal="right" vertical="top" mc:Ignorable="vyd"/>
    </s:xf>
    <s:xf numFmtId="2" fontId="41" fillId="4" borderId="68" xfId="0" applyNumberFormat="1" applyFont="1" applyFill="1" applyBorder="1" applyAlignment="1">
      <s:alignment horizontal="right" vertical="top" indent="1" mc:Ignorable="vyd"/>
    </s:xf>
    <s:xf numFmtId="3" fontId="40" fillId="4" borderId="24" xfId="0" applyNumberFormat="1" applyFont="1" applyFill="1" applyBorder="1" applyAlignment="1">
      <s:alignment horizontal="left" vertical="top" mc:Ignorable="vyd"/>
    </s:xf>
    <s:xf numFmtId="171" fontId="40" fillId="4" borderId="24" xfId="0" applyNumberFormat="1" applyFont="1" applyFill="1" applyBorder="1" applyAlignment="1">
      <s:alignment vertical="top" mc:Ignorable="vyd"/>
    </s:xf>
    <s:xf numFmtId="0" fontId="16" fillId="4" borderId="24" xfId="0" applyFont="1" applyFill="1" applyBorder="1" applyAlignment="1">
      <s:alignment vertical="top" mc:Ignorable="vyd"/>
    </s:xf>
    <s:xf numFmtId="10" fontId="40" fillId="4" borderId="24" xfId="0" applyNumberFormat="1" applyFont="1" applyFill="1" applyBorder="1" applyAlignment="1">
      <s:alignment horizontal="center" vertical="top" mc:Ignorable="vyd"/>
    </s:xf>
    <s:xf numFmtId="2" fontId="41" fillId="4" borderId="26" xfId="0" applyNumberFormat="1" applyFont="1" applyFill="1" applyBorder="1" applyAlignment="1">
      <s:alignment horizontal="right" vertical="top" indent="1" mc:Ignorable="vyd"/>
    </s:xf>
    <s:xf numFmtId="4" fontId="40" fillId="4" borderId="68" xfId="0" applyNumberFormat="1" applyFont="1" applyFill="1" applyBorder="1" applyAlignment="1">
      <s:alignment horizontal="right" vertical="center" wrapText="1" mc:Ignorable="vyd"/>
    </s:xf>
    <s:xf numFmtId="3" fontId="40" fillId="4" borderId="24" xfId="0" applyNumberFormat="1" applyFont="1" applyFill="1" applyBorder="1" applyAlignment="1">
      <s:alignment horizontal="left" vertical="top" wrapText="1" mc:Ignorable="vyd"/>
    </s:xf>
    <s:xf numFmtId="0" fontId="40" fillId="4" borderId="24" xfId="0" applyFont="1" applyFill="1" applyBorder="1" applyAlignment="1">
      <s:alignment vertical="center" mc:Ignorable="vyd"/>
    </s:xf>
    <s:xf numFmtId="171" fontId="40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40" fillId="4" borderId="24" xfId="0" applyNumberFormat="1" applyFont="1" applyFill="1" applyBorder="1" applyAlignment="1">
      <s:alignment horizontal="center" vertical="top" wrapText="1" mc:Ignorable="vyd"/>
    </s:xf>
    <s:xf numFmtId="2" fontId="41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21" fillId="17" borderId="73" xfId="0" applyFont="1" applyFill="1" applyBorder="1" applyAlignment="1">
      <s:alignment horizontal="center" vertical="center" wrapText="1" mc:Ignorable="vyd"/>
    </s:xf>
    <s:xf numFmtId="170" fontId="38" fillId="18" borderId="64" xfId="0" applyNumberFormat="1" applyFont="1" applyFill="1" applyBorder="1" applyAlignment="1">
      <s:alignment horizontal="right" vertical="top" wrapText="1" indent="1" mc:Ignorable="vyd"/>
    </s:xf>
    <s:xf numFmtId="170" fontId="38" fillId="18" borderId="61" xfId="0" applyNumberFormat="1" applyFont="1" applyFill="1" applyBorder="1" applyAlignment="1">
      <s:alignment horizontal="right" vertical="top" wrapText="1" mc:Ignorable="vyd"/>
    </s:xf>
    <s:xf numFmtId="170" fontId="38" fillId="18" borderId="65" xfId="0" applyNumberFormat="1" applyFont="1" applyFill="1" applyBorder="1" applyAlignment="1">
      <s:alignment horizontal="right" vertical="top" wrapText="1" indent="1" mc:Ignorable="vyd"/>
    </s:xf>
    <s:xf numFmtId="170" fontId="38" fillId="18" borderId="47" xfId="0" applyNumberFormat="1" applyFont="1" applyFill="1" applyBorder="1" applyAlignment="1">
      <s:alignment horizontal="right" vertical="top" wrapText="1" indent="1" mc:Ignorable="vyd"/>
    </s:xf>
    <s:xf numFmtId="170" fontId="38" fillId="18" borderId="33" xfId="0" applyNumberFormat="1" applyFont="1" applyFill="1" applyBorder="1" applyAlignment="1">
      <s:alignment horizontal="right" vertical="top" wrapText="1" indent="1" mc:Ignorable="vyd"/>
    </s:xf>
    <s:xf numFmtId="170" fontId="38" fillId="18" borderId="34" xfId="0" applyNumberFormat="1" applyFont="1" applyFill="1" applyBorder="1" applyAlignment="1">
      <s:alignment horizontal="right" vertical="top" wrapText="1" indent="1" mc:Ignorable="vyd"/>
    </s:xf>
    <s:xf numFmtId="170" fontId="38" fillId="0" borderId="36" xfId="0" applyNumberFormat="1" applyFont="1" applyBorder="1" applyAlignment="1">
      <s:alignment horizontal="right" vertical="top" wrapText="1" indent="1" mc:Ignorable="vyd"/>
    </s:xf>
    <s:xf numFmtId="4" fontId="0" fillId="0" borderId="0" xfId="0" applyNumberFormat="1"/>
    <s:xf numFmtId="3" fontId="16" fillId="4" borderId="24" xfId="0" applyNumberFormat="1" applyFont="1" applyFill="1" applyBorder="1" applyAlignment="1">
      <s:alignment vertical="top" mc:Ignorable="vyd"/>
    </s:xf>
    <s:xf numFmtId="0" fontId="11" fillId="5" borderId="0" xfId="0" applyFont="1" applyFill="1"/>
    <s:xf numFmtId="0" fontId="16" fillId="5" borderId="0" xfId="0" applyFont="1" applyFill="1"/>
    <s:xf numFmtId="0" fontId="10" fillId="5" borderId="0" xfId="0" applyFont="1" applyFill="1"/>
    <s:xf numFmtId="164" fontId="17" fillId="5" borderId="0" xfId="0" applyNumberFormat="1" applyFont="1" applyFill="1" applyAlignment="1">
      <s:alignment horizontal="center" vertical="center" mc:Ignorable="vyd"/>
    </s:xf>
    <s:xf numFmtId="9" fontId="11" fillId="5" borderId="74" xfId="1" applyFont="1" applyFill="1" applyBorder="1" applyProtection="1"/>
    <s:xf numFmtId="0" fontId="37" fillId="5" borderId="0" xfId="0" applyFont="1" applyFill="1"/>
    <s:xf numFmtId="0" fontId="26" fillId="16" borderId="24" xfId="0" applyFont="1" applyFill="1" applyBorder="1" applyAlignment="1">
      <s:alignment horizontal="center" vertical="center" wrapText="1" mc:Ignorable="vyd"/>
    </s:xf>
    <s:xf numFmtId="0" fontId="3" fillId="0" borderId="75" xfId="0" applyFont="1" applyBorder="1"/>
    <s:xf numFmtId="0" fontId="16" fillId="16" borderId="23" xfId="0" applyFont="1" applyFill="1" applyBorder="1" applyAlignment="1">
      <s:alignment horizontal="center" vertical="top" wrapText="1" mc:Ignorable="vyd"/>
    </s:xf>
    <s:xf numFmtId="0" fontId="16" fillId="16" borderId="24" xfId="0" applyFont="1" applyFill="1" applyBorder="1" applyAlignment="1">
      <s:alignment horizontal="center" vertical="top" wrapText="1" mc:Ignorable="vyd"/>
    </s:xf>
    <s:xf numFmtId="0" fontId="17" fillId="16" borderId="24" xfId="0" applyFont="1" applyFill="1" applyBorder="1" applyAlignment="1">
      <s:alignment horizontal="center" vertical="top" wrapText="1" mc:Ignorable="vyd"/>
    </s:xf>
    <s:xf numFmtId="16" fontId="16" fillId="0" borderId="25" xfId="0" applyNumberFormat="1" applyFont="1" applyBorder="1" applyAlignment="1">
      <s:alignment horizontal="center" vertical="top" mc:Ignorable="vyd"/>
    </s:xf>
    <s:xf numFmtId="0" fontId="16" fillId="0" borderId="51" xfId="0" applyFont="1" applyBorder="1" applyAlignment="1">
      <s:alignment horizontal="center" vertical="top" mc:Ignorable="vyd"/>
    </s:xf>
    <s:xf numFmtId="0" fontId="16" fillId="12" borderId="51" xfId="0" applyFont="1" applyFill="1" applyBorder="1" applyAlignment="1">
      <s:alignment horizontal="center" vertical="top" mc:Ignorable="vyd"/>
    </s:xf>
    <s:xf numFmtId="16" fontId="16" fillId="12" borderId="25" xfId="0" applyNumberFormat="1" applyFont="1" applyFill="1" applyBorder="1" applyAlignment="1">
      <s:alignment horizontal="center" vertical="top" mc:Ignorable="vyd"/>
    </s:xf>
    <s:xf numFmtId="0" fontId="16" fillId="12" borderId="19" xfId="0" applyFont="1" applyFill="1" applyBorder="1" applyAlignment="1">
      <s:alignment horizontal="center" vertical="top" mc:Ignorable="vyd"/>
    </s:xf>
    <s:xf numFmtId="0" fontId="0" fillId="12" borderId="24" xfId="0" applyFill="1" applyBorder="1"/>
    <s:xf numFmtId="16" fontId="16" fillId="12" borderId="24" xfId="0" applyNumberFormat="1" applyFont="1" applyFill="1" applyBorder="1" applyAlignment="1" applyProtection="1">
      <s:alignment horizontal="center" vertical="top" mc:Ignorable="vyd"/>
      <s:protection locked="0"/>
    </s:xf>
    <s:xf numFmtId="4" fontId="16" fillId="12" borderId="24" xfId="0" applyNumberFormat="1" applyFont="1" applyFill="1" applyBorder="1" applyAlignment="1" applyProtection="1">
      <s:alignment horizontal="center" vertical="top" mc:Ignorable="vyd"/>
      <s:protection locked="0"/>
    </s:xf>
    <s:xf numFmtId="3" fontId="16" fillId="12" borderId="24" xfId="0" applyNumberFormat="1" applyFont="1" applyFill="1" applyBorder="1" applyAlignment="1" applyProtection="1">
      <s:alignment horizontal="center" vertical="top" mc:Ignorable="vyd"/>
      <s:protection locked="0"/>
    </s:xf>
    <s:xf numFmtId="9" fontId="3" fillId="12" borderId="24" xfId="1" applyFont="1" applyFill="1" applyBorder="1" applyAlignment="1" applyProtection="1">
      <s:alignment horizontal="center" vertical="center" mc:Ignorable="vyd"/>
    </s:xf>
    <s:xf numFmtId="165" fontId="3" fillId="12" borderId="0" xfId="1" applyNumberFormat="1" applyFont="1" applyFill="1" applyProtection="1"/>
    <s:xf numFmtId="0" fontId="17" fillId="12" borderId="24" xfId="0" applyFont="1" applyFill="1" applyBorder="1" applyAlignment="1">
      <s:alignment horizontal="center" vertical="top" mc:Ignorable="vyd"/>
    </s:xf>
    <s:xf numFmtId="0" fontId="3" fillId="0" borderId="24" xfId="0" applyFont="1" applyBorder="1"/>
    <s:xf numFmtId="4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3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9" fontId="3" fillId="0" borderId="24" xfId="1" applyFont="1" applyBorder="1" applyAlignment="1" applyProtection="1">
      <s:alignment horizontal="center" vertical="center" mc:Ignorable="vyd"/>
    </s:xf>
    <s:xf numFmtId="165" fontId="3" fillId="0" borderId="0" xfId="1" applyNumberFormat="1" applyFont="1" applyProtection="1"/>
    <s:xf numFmtId="165" fontId="3" fillId="0" borderId="0" xfId="1" applyNumberFormat="1" applyFont="1" applyAlignment="1" applyProtection="1">
      <s:alignment vertical="center" mc:Ignorable="vyd"/>
    </s:xf>
    <s:xf numFmtId="0" fontId="16" fillId="0" borderId="52" xfId="0" applyFont="1" applyBorder="1" applyAlignment="1">
      <s:alignment horizontal="center" vertical="top" mc:Ignorable="vyd"/>
    </s:xf>
    <s:xf numFmtId="3" fontId="16" fillId="21" borderId="24" xfId="0" applyNumberFormat="1" applyFont="1" applyFill="1" applyBorder="1" applyAlignment="1">
      <s:alignment horizontal="center" vertical="top" mc:Ignorable="vyd"/>
    </s:xf>
    <s:xf numFmtId="4" fontId="16" fillId="21" borderId="24" xfId="0" applyNumberFormat="1" applyFont="1" applyFill="1" applyBorder="1" applyAlignment="1">
      <s:alignment horizontal="center" vertical="top" mc:Ignorable="vyd"/>
    </s:xf>
    <s:xf numFmtId="165" fontId="16" fillId="21" borderId="24" xfId="0" applyNumberFormat="1" applyFont="1" applyFill="1" applyBorder="1" applyAlignment="1">
      <s:alignment horizontal="center" vertical="top" mc:Ignorable="vyd"/>
    </s:xf>
    <s:xf numFmtId="9" fontId="3" fillId="21" borderId="24" xfId="1" applyFont="1" applyFill="1" applyBorder="1" applyAlignment="1" applyProtection="1">
      <s:alignment horizontal="center" vertical="center" mc:Ignorable="vyd"/>
    </s:xf>
    <s:xf numFmtId="3" fontId="16" fillId="21" borderId="24" xfId="0" applyNumberFormat="1" applyFont="1" applyFill="1" applyBorder="1" applyAlignment="1">
      <s:alignment horizontal="center" mc:Ignorable="vyd"/>
    </s:xf>
    <s:xf numFmtId="3" fontId="16" fillId="21" borderId="24" xfId="0" applyNumberFormat="1" applyFont="1" applyFill="1" applyBorder="1" applyAlignment="1">
      <s:alignment horizontal="right" mc:Ignorable="vyd"/>
    </s:xf>
    <s:xf numFmtId="165" fontId="16" fillId="0" borderId="0" xfId="1" applyNumberFormat="1" applyFont="1" applyProtection="1"/>
    <s:xf numFmtId="9" fontId="30" fillId="0" borderId="0" xfId="1" applyFont="1" applyProtection="1"/>
    <s:xf numFmtId="0" fontId="38" fillId="22" borderId="76" xfId="0" applyFont="1" applyFill="1" applyBorder="1"/>
    <s:xf numFmtId="172" fontId="42" fillId="23" borderId="77" xfId="0" applyNumberFormat="1" applyFont="1" applyFill="1" applyBorder="1" applyAlignment="1" applyProtection="1">
      <s:alignment horizontal="left" mc:Ignorable="vyd"/>
      <s:protection locked="0"/>
    </s:xf>
    <s:xf numFmtId="0" fontId="21" fillId="22" borderId="78" xfId="0" applyFont="1" applyFill="1" applyBorder="1"/>
    <s:xf numFmtId="0" fontId="43" fillId="23" borderId="79" xfId="0" applyFont="1" applyFill="1" applyBorder="1" applyProtection="1">
      <s:protection locked="0"/>
    </s:xf>
    <s:xf numFmtId="0" fontId="44" fillId="22" borderId="0" xfId="0" applyFont="1" applyFill="1" applyAlignment="1">
      <s:alignment vertical="center" mc:Ignorable="vyd"/>
    </s:xf>
    <s:xf numFmtId="0" fontId="21" fillId="22" borderId="0" xfId="0" applyFont="1" applyFill="1"/>
    <s:xf numFmtId="0" fontId="43" fillId="24" borderId="80" xfId="0" applyFont="1" applyFill="1" applyBorder="1"/>
    <s:xf numFmtId="0" fontId="44" fillId="25" borderId="0" xfId="0" applyFont="1" applyFill="1" applyAlignment="1">
      <s:alignment vertical="center" mc:Ignorable="vyd"/>
    </s:xf>
    <s:xf numFmtId="0" fontId="21" fillId="25" borderId="0" xfId="0" applyFont="1" applyFill="1"/>
    <s:xf numFmtId="0" fontId="45" fillId="24" borderId="80" xfId="0" applyFont="1" applyFill="1" applyBorder="1"/>
    <s:xf numFmtId="0" fontId="43" fillId="24" borderId="81" xfId="0" applyFont="1" applyFill="1" applyBorder="1"/>
    <s:xf numFmtId="0" fontId="48" fillId="22" borderId="82" xfId="0" applyFont="1" applyFill="1" applyBorder="1" applyAlignment="1">
      <s:alignment horizontal="center" wrapText="1" mc:Ignorable="vyd"/>
    </s:xf>
    <s:xf numFmtId="0" fontId="38" fillId="22" borderId="85" xfId="0" applyFont="1" applyFill="1" applyBorder="1" applyAlignment="1">
      <s:alignment horizontal="center" mc:Ignorable="vyd"/>
    </s:xf>
    <s:xf numFmtId="0" fontId="21" fillId="26" borderId="0" xfId="0" applyFont="1" applyFill="1"/>
    <s:xf numFmtId="0" fontId="38" fillId="22" borderId="86" xfId="0" applyFont="1" applyFill="1" applyBorder="1"/>
    <s:xf numFmtId="2" fontId="48" fillId="22" borderId="87" xfId="0" applyNumberFormat="1" applyFont="1" applyFill="1" applyBorder="1" applyAlignment="1">
      <s:alignment horizontal="center" mc:Ignorable="vyd"/>
    </s:xf>
    <s:xf numFmtId="3" fontId="49" fillId="22" borderId="82" xfId="0" applyNumberFormat="1" applyFont="1" applyFill="1" applyBorder="1" applyAlignment="1">
      <s:alignment horizontal="center" mc:Ignorable="vyd"/>
    </s:xf>
    <s:xf numFmtId="10" fontId="21" fillId="26" borderId="0" xfId="0" applyNumberFormat="1" applyFont="1" applyFill="1"/>
    <s:xf numFmtId="0" fontId="38" fillId="22" borderId="88" xfId="0" applyFont="1" applyFill="1" applyBorder="1"/>
    <s:xf numFmtId="0" fontId="21" fillId="22" borderId="84" xfId="0" applyFont="1" applyFill="1" applyBorder="1"/>
    <s:xf numFmtId="0" fontId="21" fillId="22" borderId="89" xfId="0" applyFont="1" applyFill="1" applyBorder="1"/>
    <s:xf numFmtId="0" fontId="38" fillId="27" borderId="90" xfId="0" applyFont="1" applyFill="1" applyBorder="1" applyAlignment="1" applyProtection="1">
      <s:alignment wrapText="1" mc:Ignorable="vyd"/>
      <s:protection locked="0"/>
    </s:xf>
    <s:xf numFmtId="0" fontId="21" fillId="28" borderId="91" xfId="0" applyFont="1" applyFill="1" applyBorder="1"/>
    <s:xf numFmtId="0" fontId="38" fillId="29" borderId="91" xfId="0" applyFont="1" applyFill="1" applyBorder="1" applyAlignment="1">
      <s:alignment horizontal="center" vertical="center" wrapText="1" mc:Ignorable="vyd"/>
    </s:xf>
    <s:xf numFmtId="0" fontId="21" fillId="22" borderId="92" xfId="0" applyFont="1" applyFill="1" applyBorder="1"/>
    <s:xf numFmtId="0" fontId="21" fillId="22" borderId="93" xfId="0" applyFont="1" applyFill="1" applyBorder="1"/>
    <s:xf numFmtId="0" fontId="21" fillId="28" borderId="93" xfId="0" applyFont="1" applyFill="1" applyBorder="1"/>
    <s:xf numFmtId="0" fontId="38" fillId="29" borderId="94" xfId="0" applyFont="1" applyFill="1" applyBorder="1" applyAlignment="1">
      <s:alignment horizontal="center" vertical="center" wrapText="1" mc:Ignorable="vyd"/>
    </s:xf>
    <s:xf numFmtId="0" fontId="38" fillId="22" borderId="95" xfId="0" applyFont="1" applyFill="1" applyBorder="1" applyAlignment="1">
      <s:alignment vertical="center" wrapText="1" mc:Ignorable="vyd"/>
    </s:xf>
    <s:xf numFmtId="0" fontId="38" fillId="22" borderId="96" xfId="0" applyFont="1" applyFill="1" applyBorder="1" applyAlignment="1">
      <s:alignment horizontal="center" vertical="center" mc:Ignorable="vyd"/>
    </s:xf>
    <s:xf numFmtId="0" fontId="49" fillId="22" borderId="97" xfId="0" applyFont="1" applyFill="1" applyBorder="1" applyAlignment="1">
      <s:alignment horizontal="center" vertical="center" mc:Ignorable="vyd"/>
    </s:xf>
    <s:xf numFmtId="0" fontId="49" fillId="22" borderId="90" xfId="0" applyFont="1" applyFill="1" applyBorder="1" applyAlignment="1">
      <s:alignment horizontal="center" vertical="center" mc:Ignorable="vyd"/>
    </s:xf>
    <s:xf numFmtId="0" fontId="49" fillId="28" borderId="98" xfId="0" applyFont="1" applyFill="1" applyBorder="1" applyAlignment="1">
      <s:alignment horizontal="center" vertical="center" mc:Ignorable="vyd"/>
    </s:xf>
    <s:xf numFmtId="0" fontId="38" fillId="29" borderId="90" xfId="0" applyFont="1" applyFill="1" applyBorder="1" applyAlignment="1">
      <s:alignment horizontal="center" vertical="center" wrapText="1" mc:Ignorable="vyd"/>
    </s:xf>
    <s:xf numFmtId="0" fontId="38" fillId="29" borderId="99" xfId="0" applyFont="1" applyFill="1" applyBorder="1" applyAlignment="1">
      <s:alignment horizontal="center" vertical="center" wrapText="1" mc:Ignorable="vyd"/>
    </s:xf>
    <s:xf numFmtId="0" fontId="38" fillId="22" borderId="102" xfId="0" applyFont="1" applyFill="1" applyBorder="1"/>
    <s:xf numFmtId="0" fontId="50" fillId="0" borderId="102" xfId="0" applyFont="1" applyBorder="1"/>
    <s:xf numFmtId="0" fontId="21" fillId="0" borderId="102" xfId="0" applyFont="1" applyBorder="1"/>
    <s:xf numFmtId="0" fontId="3" fillId="0" borderId="102" xfId="0" applyFont="1" applyBorder="1"/>
    <s:xf numFmtId="0" fontId="21" fillId="0" borderId="103" xfId="0" applyFont="1" applyBorder="1"/>
    <s:xf numFmtId="3" fontId="21" fillId="28" borderId="24" xfId="0" applyNumberFormat="1" applyFont="1" applyFill="1" applyBorder="1" applyAlignment="1">
      <s:alignment horizontal="center" mc:Ignorable="vyd"/>
    </s:xf>
    <s:xf numFmtId="3" fontId="21" fillId="29" borderId="104" xfId="0" applyNumberFormat="1" applyFont="1" applyFill="1" applyBorder="1" applyAlignment="1">
      <s:alignment horizontal="center" mc:Ignorable="vyd"/>
    </s:xf>
    <s:xf numFmtId="3" fontId="21" fillId="29" borderId="102" xfId="0" applyNumberFormat="1" applyFont="1" applyFill="1" applyBorder="1" applyAlignment="1">
      <s:alignment horizontal="center" mc:Ignorable="vyd"/>
    </s:xf>
    <s:xf numFmtId="3" fontId="21" fillId="0" borderId="102" xfId="0" applyNumberFormat="1" applyFont="1" applyBorder="1" applyAlignment="1">
      <s:alignment horizontal="center" mc:Ignorable="vyd"/>
    </s:xf>
    <s:xf numFmtId="0" fontId="38" fillId="22" borderId="105" xfId="0" applyFont="1" applyFill="1" applyBorder="1"/>
    <s:xf numFmtId="0" fontId="50" fillId="0" borderId="105" xfId="0" applyFont="1" applyBorder="1"/>
    <s:xf numFmtId="0" fontId="21" fillId="0" borderId="105" xfId="0" applyFont="1" applyBorder="1"/>
    <s:xf numFmtId="0" fontId="3" fillId="0" borderId="105" xfId="0" applyFont="1" applyBorder="1"/>
    <s:xf numFmtId="0" fontId="21" fillId="0" borderId="106" xfId="0" applyFont="1" applyBorder="1"/>
    <s:xf numFmtId="3" fontId="21" fillId="29" borderId="107" xfId="0" applyNumberFormat="1" applyFont="1" applyFill="1" applyBorder="1" applyAlignment="1">
      <s:alignment horizontal="center" mc:Ignorable="vyd"/>
    </s:xf>
    <s:xf numFmtId="3" fontId="21" fillId="29" borderId="105" xfId="0" applyNumberFormat="1" applyFont="1" applyFill="1" applyBorder="1" applyAlignment="1">
      <s:alignment horizontal="center" mc:Ignorable="vyd"/>
    </s:xf>
    <s:xf numFmtId="3" fontId="21" fillId="0" borderId="105" xfId="0" applyNumberFormat="1" applyFont="1" applyBorder="1" applyAlignment="1">
      <s:alignment horizontal="center" mc:Ignorable="vyd"/>
    </s:xf>
    <s:xf numFmtId="0" fontId="50" fillId="0" borderId="105" xfId="0" applyFont="1" applyBorder="1" applyProtection="1">
      <s:protection locked="0"/>
    </s:xf>
    <s:xf numFmtId="0" fontId="3" fillId="0" borderId="105" xfId="0" applyFont="1" applyBorder="1" applyProtection="1">
      <s:protection locked="0"/>
    </s:xf>
    <s:xf numFmtId="0" fontId="50" fillId="0" borderId="24" xfId="0" applyFont="1" applyBorder="1"/>
    <s:xf numFmtId="0" fontId="50" fillId="0" borderId="0" xfId="0" applyFont="1" applyProtection="1">
      <s:protection locked="0"/>
    </s:xf>
    <s:xf numFmtId="0" fontId="50" fillId="0" borderId="106" xfId="0" applyFont="1" applyBorder="1" applyProtection="1">
      <s:protection locked="0"/>
    </s:xf>
    <s:xf numFmtId="0" fontId="38" fillId="30" borderId="108" xfId="0" applyFont="1" applyFill="1" applyBorder="1" applyProtection="1">
      <s:protection locked="0"/>
    </s:xf>
    <s:xf numFmtId="0" fontId="50" fillId="12" borderId="24" xfId="0" applyFont="1" applyFill="1" applyBorder="1"/>
    <s:xf numFmtId="0" fontId="50" fillId="12" borderId="105" xfId="0" applyFont="1" applyFill="1" applyBorder="1" applyProtection="1">
      <s:protection locked="0"/>
    </s:xf>
    <s:xf numFmtId="0" fontId="50" fillId="12" borderId="109" xfId="0" applyFont="1" applyFill="1" applyBorder="1" applyProtection="1">
      <s:protection locked="0"/>
    </s:xf>
    <s:xf numFmtId="3" fontId="21" fillId="31" borderId="24" xfId="0" applyNumberFormat="1" applyFont="1" applyFill="1" applyBorder="1" applyAlignment="1" applyProtection="1">
      <s:alignment horizontal="center" mc:Ignorable="vyd"/>
      <s:protection hidden="1"/>
    </s:xf>
    <s:xf numFmtId="3" fontId="21" fillId="32" borderId="107" xfId="0" applyNumberFormat="1" applyFont="1" applyFill="1" applyBorder="1" applyAlignment="1" applyProtection="1">
      <s:alignment horizontal="center" mc:Ignorable="vyd"/>
      <s:protection hidden="1"/>
    </s:xf>
    <s:xf numFmtId="3" fontId="21" fillId="32" borderId="105" xfId="0" applyNumberFormat="1" applyFont="1" applyFill="1" applyBorder="1" applyAlignment="1" applyProtection="1">
      <s:alignment horizontal="center" mc:Ignorable="vyd"/>
      <s:protection hidden="1"/>
    </s:xf>
    <s:xf numFmtId="3" fontId="21" fillId="0" borderId="105" xfId="0" applyNumberFormat="1" applyFont="1" applyBorder="1" applyAlignment="1" applyProtection="1">
      <s:alignment horizontal="center" mc:Ignorable="vyd"/>
      <s:protection hidden="1"/>
    </s:xf>
    <s:xf numFmtId="0" fontId="21" fillId="0" borderId="105" xfId="0" applyFont="1" applyBorder="1" applyAlignment="1" applyProtection="1">
      <s:alignment horizontal="center" mc:Ignorable="vyd"/>
      <s:protection locked="0"/>
    </s:xf>
    <s:xf numFmtId="0" fontId="51" fillId="22" borderId="105" xfId="0" applyFont="1" applyFill="1" applyBorder="1"/>
    <s:xf numFmtId="0" fontId="44" fillId="0" borderId="105" xfId="0" applyFont="1" applyBorder="1" applyProtection="1">
      <s:protection locked="0"/>
    </s:xf>
    <s:xf numFmtId="0" fontId="44" fillId="0" borderId="24" xfId="0" applyFont="1" applyBorder="1"/>
    <s:xf numFmtId="0" fontId="21" fillId="12" borderId="109" xfId="0" applyFont="1" applyFill="1" applyBorder="1" applyProtection="1">
      <s:protection locked="0"/>
    </s:xf>
    <s:xf numFmtId="0" fontId="44" fillId="12" borderId="28" xfId="0" applyFont="1" applyFill="1" applyBorder="1" applyProtection="1">
      <s:protection locked="0"/>
    </s:xf>
    <s:xf numFmtId="0" fontId="50" fillId="12" borderId="28" xfId="0" applyFont="1" applyFill="1" applyBorder="1"/>
    <s:xf numFmtId="0" fontId="21" fillId="12" borderId="110" xfId="0" applyFont="1" applyFill="1" applyBorder="1" applyProtection="1">
      <s:protection locked="0"/>
    </s:xf>
    <s:xf numFmtId="0" fontId="21" fillId="12" borderId="111" xfId="0" applyFont="1" applyFill="1" applyBorder="1" applyProtection="1">
      <s:protection locked="0"/>
    </s:xf>
    <s:xf numFmtId="0" fontId="50" fillId="12" borderId="107" xfId="0" applyFont="1" applyFill="1" applyBorder="1" applyProtection="1">
      <s:protection locked="0"/>
    </s:xf>
    <s:xf numFmtId="0" fontId="21" fillId="12" borderId="105" xfId="0" applyFont="1" applyFill="1" applyBorder="1" applyProtection="1">
      <s:protection locked="0"/>
    </s:xf>
    <s:xf numFmtId="3" fontId="50" fillId="28" borderId="24" xfId="0" applyNumberFormat="1" applyFont="1" applyFill="1" applyBorder="1" applyAlignment="1">
      <s:alignment horizontal="center" mc:Ignorable="vyd"/>
    </s:xf>
    <s:xf numFmtId="3" fontId="50" fillId="29" borderId="107" xfId="0" applyNumberFormat="1" applyFont="1" applyFill="1" applyBorder="1" applyAlignment="1">
      <s:alignment horizontal="center" mc:Ignorable="vyd"/>
    </s:xf>
    <s:xf numFmtId="3" fontId="50" fillId="29" borderId="105" xfId="0" applyNumberFormat="1" applyFont="1" applyFill="1" applyBorder="1" applyAlignment="1">
      <s:alignment horizontal="center" mc:Ignorable="vyd"/>
    </s:xf>
    <s:xf numFmtId="3" fontId="50" fillId="0" borderId="105" xfId="0" applyNumberFormat="1" applyFont="1" applyBorder="1" applyAlignment="1">
      <s:alignment horizontal="center" mc:Ignorable="vyd"/>
    </s:xf>
    <s:xf numFmtId="0" fontId="38" fillId="30" borderId="112" xfId="0" applyFont="1" applyFill="1" applyBorder="1" applyProtection="1">
      <s:protection locked="0"/>
    </s:xf>
    <s:xf numFmtId="0" fontId="44" fillId="33" borderId="24" xfId="0" applyFont="1" applyFill="1" applyBorder="1"/>
    <s:xf numFmtId="0" fontId="44" fillId="12" borderId="24" xfId="0" applyFont="1" applyFill="1" applyBorder="1"/>
    <s:xf numFmtId="0" fontId="44" fillId="12" borderId="25" xfId="0" applyFont="1" applyFill="1" applyBorder="1"/>
    <s:xf numFmtId="3" fontId="21" fillId="31" borderId="2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09" xfId="0" applyNumberFormat="1" applyFont="1" applyBorder="1" applyAlignment="1" applyProtection="1">
      <s:alignment horizontal="center" mc:Ignorable="vyd"/>
      <s:protection hidden="1"/>
    </s:xf>
    <s:xf numFmtId="0" fontId="44" fillId="0" borderId="106" xfId="0" applyFont="1" applyBorder="1" applyProtection="1">
      <s:protection locked="0"/>
    </s:xf>
    <s:xf numFmtId="0" fontId="44" fillId="0" borderId="24" xfId="0" applyFont="1" applyBorder="1" applyProtection="1">
      <s:protection locked="0"/>
    </s:xf>
    <s:xf numFmtId="0" fontId="44" fillId="12" borderId="111" xfId="0" applyFont="1" applyFill="1" applyBorder="1" applyProtection="1">
      <s:protection locked="0"/>
    </s:xf>
    <s:xf numFmtId="0" fontId="44" fillId="12" borderId="23" xfId="0" applyFont="1" applyFill="1" applyBorder="1"/>
    <s:xf numFmtId="0" fontId="44" fillId="0" borderId="103" xfId="0" applyFont="1" applyBorder="1" applyProtection="1">
      <s:protection locked="0"/>
    </s:xf>
    <s:xf numFmtId="0" fontId="51" fillId="22" borderId="109" xfId="0" applyFont="1" applyFill="1" applyBorder="1"/>
    <s:xf numFmtId="0" fontId="44" fillId="0" borderId="42" xfId="0" applyFont="1" applyBorder="1" applyProtection="1">
      <s:protection locked="0"/>
    </s:xf>
    <s:xf numFmtId="0" fontId="44" fillId="0" borderId="28" xfId="0" applyFont="1" applyBorder="1" applyProtection="1">
      <s:protection locked="0"/>
    </s:xf>
    <s:xf numFmtId="0" fontId="52" fillId="0" borderId="24" xfId="0" applyFont="1" applyBorder="1"/>
    <s:xf numFmtId="0" fontId="44" fillId="0" borderId="0" xfId="0" applyFont="1"/>
    <s:xf numFmtId="0" fontId="44" fillId="0" borderId="23" xfId="0" applyFont="1" applyBorder="1"/>
    <s:xf numFmtId="3" fontId="50" fillId="28" borderId="27" xfId="0" applyNumberFormat="1" applyFont="1" applyFill="1" applyBorder="1" applyAlignment="1">
      <s:alignment horizontal="center" mc:Ignorable="vyd"/>
    </s:xf>
    <s:xf numFmtId="3" fontId="50" fillId="29" borderId="109" xfId="0" applyNumberFormat="1" applyFont="1" applyFill="1" applyBorder="1" applyAlignment="1">
      <s:alignment horizontal="center" mc:Ignorable="vyd"/>
    </s:xf>
    <s:xf numFmtId="3" fontId="50" fillId="0" borderId="109" xfId="0" applyNumberFormat="1" applyFont="1" applyBorder="1" applyAlignment="1">
      <s:alignment horizontal="center" mc:Ignorable="vyd"/>
    </s:xf>
    <s:xf numFmtId="3" fontId="38" fillId="22" borderId="113" xfId="0" applyNumberFormat="1" applyFont="1" applyFill="1" applyBorder="1" applyAlignment="1">
      <s:alignment horizontal="center" mc:Ignorable="vyd"/>
    </s:xf>
    <s:xf numFmtId="3" fontId="38" fillId="28" borderId="90" xfId="0" applyNumberFormat="1" applyFont="1" applyFill="1" applyBorder="1" applyAlignment="1">
      <s:alignment horizontal="center" mc:Ignorable="vyd"/>
    </s:xf>
    <s:xf numFmtId="3" fontId="38" fillId="28" borderId="114" xfId="0" applyNumberFormat="1" applyFont="1" applyFill="1" applyBorder="1" applyAlignment="1">
      <s:alignment horizontal="center" mc:Ignorable="vyd"/>
    </s:xf>
    <s:xf numFmtId="3" fontId="38" fillId="28" borderId="113" xfId="0" applyNumberFormat="1" applyFont="1" applyFill="1" applyBorder="1" applyAlignment="1">
      <s:alignment horizontal="center" mc:Ignorable="vyd"/>
    </s:xf>
    <s:xf numFmtId="3" fontId="38" fillId="28" borderId="99" xfId="0" applyNumberFormat="1" applyFont="1" applyFill="1" applyBorder="1" applyAlignment="1">
      <s:alignment horizontal="center" mc:Ignorable="vyd"/>
    </s:xf>
    <s:xf numFmtId="3" fontId="38" fillId="28" borderId="12" xfId="0" applyNumberFormat="1" applyFont="1" applyFill="1" applyBorder="1" applyAlignment="1">
      <s:alignment horizontal="center" mc:Ignorable="vyd"/>
    </s:xf>
    <s:xf numFmtId="3" fontId="38" fillId="28" borderId="13" xfId="0" applyNumberFormat="1" applyFont="1" applyFill="1" applyBorder="1" applyAlignment="1">
      <s:alignment horizontal="center" mc:Ignorable="vyd"/>
    </s:xf>
    <s:xf numFmtId="0" fontId="44" fillId="34" borderId="24" xfId="0" applyFont="1" applyFill="1" applyBorder="1"/>
    <s:xf numFmtId="10" fontId="33" fillId="0" borderId="25" xfId="0" applyNumberFormat="1" applyFont="1" applyBorder="1" applyAlignment="1">
      <s:alignment horizontal="center" vertical="center" mc:Ignorable="vyd"/>
    </s:xf>
    <s:xf numFmtId="10" fontId="33" fillId="0" borderId="55" xfId="1" applyNumberFormat="1" applyFont="1" applyBorder="1" applyAlignment="1" applyProtection="1">
      <s:alignment horizontal="center" vertical="center" mc:Ignorable="vyd"/>
    </s:xf>
    <s:xf numFmtId="10" fontId="33" fillId="0" borderId="23" xfId="1" applyNumberFormat="1" applyFont="1" applyBorder="1" applyAlignment="1" applyProtection="1">
      <s:alignment horizontal="center" vertical="center" mc:Ignorable="vyd"/>
    </s:xf>
    <s:xf numFmtId="3" fontId="17" fillId="5" borderId="29" xfId="0" applyNumberFormat="1" applyFont="1" applyFill="1" applyBorder="1" applyAlignment="1">
      <s:alignment horizontal="center" vertical="center" mc:Ignorable="vyd"/>
    </s:xf>
    <s:xf numFmtId="10" fontId="32" fillId="0" borderId="46" xfId="1" applyNumberFormat="1" applyFont="1" applyBorder="1" applyAlignment="1" applyProtection="1">
      <s:alignment horizontal="center" vertical="center" mc:Ignorable="vyd"/>
    </s:xf>
    <s:xf numFmtId="10" fontId="31" fillId="0" borderId="26" xfId="0" applyNumberFormat="1" applyFont="1" applyBorder="1" applyAlignment="1">
      <s:alignment horizontal="center" vertical="center" mc:Ignorable="vyd"/>
    </s:xf>
    <s:xf numFmtId="10" fontId="32" fillId="0" borderId="115" xfId="1" applyNumberFormat="1" applyFont="1" applyBorder="1" applyAlignment="1" applyProtection="1">
      <s:alignment horizontal="center" vertical="center" mc:Ignorable="vyd"/>
    </s:xf>
    <s:xf numFmtId="10" fontId="31" fillId="0" borderId="43" xfId="0" applyNumberFormat="1" applyFont="1" applyBorder="1" applyAlignment="1">
      <s:alignment horizontal="center" vertical="center" mc:Ignorable="vyd"/>
    </s:xf>
    <s:xf numFmtId="10" fontId="31" fillId="0" borderId="115" xfId="0" applyNumberFormat="1" applyFont="1" applyBorder="1" applyAlignment="1">
      <s:alignment horizontal="center" vertical="center" mc:Ignorable="vyd"/>
    </s:xf>
    <s:xf numFmtId="168" fontId="31" fillId="0" borderId="30" xfId="0" applyNumberFormat="1" applyFont="1" applyBorder="1" applyAlignment="1">
      <s:alignment horizontal="center" vertical="center" mc:Ignorable="vyd"/>
    </s:xf>
    <s:xf numFmtId="10" fontId="33" fillId="0" borderId="29" xfId="0" applyNumberFormat="1" applyFont="1" applyBorder="1" applyAlignment="1">
      <s:alignment horizontal="center" vertical="center" mc:Ignorable="vyd"/>
    </s:xf>
    <s:xf numFmtId="169" fontId="33" fillId="0" borderId="28" xfId="1" applyNumberFormat="1" applyFont="1" applyBorder="1" applyAlignment="1" applyProtection="1">
      <s:alignment horizontal="center" vertical="center" mc:Ignorable="vyd"/>
    </s:xf>
    <s:xf numFmtId="169" fontId="33" fillId="0" borderId="24" xfId="1" applyNumberFormat="1" applyFont="1" applyBorder="1" applyAlignment="1" applyProtection="1">
      <s:alignment horizontal="center" vertical="center" mc:Ignorable="vyd"/>
    </s:xf>
    <s:xf numFmtId="2" fontId="33" fillId="0" borderId="24" xfId="1" applyNumberFormat="1" applyFont="1" applyBorder="1" applyAlignment="1" applyProtection="1">
      <s:alignment horizontal="center" vertical="center" mc:Ignorable="vyd"/>
    </s:xf>
    <s:xf numFmtId="0" fontId="17" fillId="14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9" fillId="0" borderId="31" xfId="0" applyFont="1" applyBorder="1" applyAlignment="1">
      <s:alignment horizontal="left" vertical="center" mc:Ignorable="vyd"/>
    </s:xf>
    <s:xf numFmtId="0" fontId="15" fillId="9" borderId="24" xfId="0" applyFont="1" applyFill="1" applyBorder="1" applyAlignment="1">
      <s:alignment horizontal="center" vertical="center" mc:Ignorable="vyd"/>
    </s:xf>
    <s:xf numFmtId="0" fontId="17" fillId="9" borderId="24" xfId="0" applyFont="1" applyFill="1" applyBorder="1" applyAlignment="1">
      <s:alignment horizontal="center" vertical="center" wrapText="1" mc:Ignorable="vyd"/>
    </s:xf>
    <s:xf numFmtId="0" fontId="25" fillId="9" borderId="24" xfId="0" applyFont="1" applyFill="1" applyBorder="1" applyAlignment="1">
      <s:alignment horizontal="center" vertical="center" mc:Ignorable="vyd"/>
    </s:xf>
    <s:xf numFmtId="165" fontId="16" fillId="7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6" fillId="2" borderId="0" xfId="0" applyFont="1" applyFill="1" applyAlignment="1">
      <s:alignment horizontal="center" vertical="top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169" fontId="33" fillId="0" borderId="116" xfId="1" applyNumberFormat="1" applyFont="1" applyBorder="1" applyAlignment="1" applyProtection="1">
      <s:alignment horizontal="center" vertical="center" mc:Ignorable="vyd"/>
    </s:xf>
    <s:xf numFmtId="169" fontId="33" fillId="0" borderId="13" xfId="1" applyNumberFormat="1" applyFont="1" applyBorder="1" applyAlignment="1" applyProtection="1">
      <s:alignment horizontal="center" vertical="center" mc:Ignorable="vyd"/>
    </s:xf>
    <s:xf numFmtId="169" fontId="33" fillId="0" borderId="14" xfId="1" applyNumberFormat="1" applyFont="1" applyBorder="1" applyAlignment="1" applyProtection="1">
      <s:alignment horizontal="center" vertical="center" mc:Ignorable="vyd"/>
    </s:xf>
    <s:xf numFmtId="169" fontId="33" fillId="0" borderId="32" xfId="1" applyNumberFormat="1" applyFont="1" applyBorder="1" applyAlignment="1" applyProtection="1">
      <s:alignment horizontal="center" vertical="center" mc:Ignorable="vyd"/>
    </s:xf>
    <s:xf numFmtId="169" fontId="33" fillId="0" borderId="33" xfId="1" applyNumberFormat="1" applyFont="1" applyBorder="1" applyAlignment="1" applyProtection="1">
      <s:alignment horizontal="center" vertical="center" mc:Ignorable="vyd"/>
    </s:xf>
    <s:xf numFmtId="169" fontId="33" fillId="0" borderId="36" xfId="1" applyNumberFormat="1" applyFont="1" applyBorder="1" applyAlignment="1" applyProtection="1">
      <s:alignment horizontal="center" vertical="center" mc:Ignorable="vyd"/>
    </s:xf>
    <s:xf numFmtId="0" fontId="16" fillId="0" borderId="31" xfId="0" applyFont="1" applyBorder="1" applyAlignment="1">
      <s:alignment horizontal="left" vertical="center" mc:Ignorable="vyd"/>
    </s:xf>
    <s:xf numFmtId="169" fontId="31" fillId="0" borderId="9" xfId="0" applyNumberFormat="1" applyFont="1" applyBorder="1" applyAlignment="1">
      <s:alignment horizontal="center" vertical="center" mc:Ignorable="vyd"/>
    </s:xf>
    <s:xf numFmtId="169" fontId="31" fillId="0" borderId="10" xfId="0" applyNumberFormat="1" applyFont="1" applyBorder="1" applyAlignment="1">
      <s:alignment horizontal="center" vertical="center" mc:Ignorable="vyd"/>
    </s:xf>
    <s:xf numFmtId="169" fontId="31" fillId="0" borderId="4" xfId="0" applyNumberFormat="1" applyFont="1" applyBorder="1" applyAlignment="1">
      <s:alignment horizontal="center" vertical="center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7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40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37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7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39" xfId="0" applyNumberFormat="1" applyFont="1" applyFill="1" applyBorder="1" applyAlignment="1">
      <s:alignment horizontal="center" vertical="center" wrapText="1" mc:Ignorable="vyd"/>
    </s:xf>
    <s:xf numFmtId="3" fontId="17" fillId="5" borderId="41" xfId="0" applyNumberFormat="1" applyFont="1" applyFill="1" applyBorder="1" applyAlignment="1">
      <s:alignment horizontal="center" vertical="center" mc:Ignorable="vyd"/>
    </s:xf>
    <s:xf numFmtId="3" fontId="17" fillId="5" borderId="32" xfId="0" applyNumberFormat="1" applyFont="1" applyFill="1" applyBorder="1" applyAlignment="1">
      <s:alignment horizontal="center" vertical="center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27" xfId="0" applyNumberFormat="1" applyFont="1" applyFill="1" applyBorder="1" applyAlignment="1">
      <s:alignment horizontal="center" vertical="center" wrapText="1" mc:Ignorable="vyd"/>
    </s:xf>
    <s:xf numFmtId="0" fontId="15" fillId="15" borderId="24" xfId="0" applyFont="1" applyFill="1" applyBorder="1" applyAlignment="1">
      <s:alignment horizontal="center" vertical="center" mc:Ignorable="vyd"/>
    </s:xf>
    <s:xf numFmtId="0" fontId="17" fillId="15" borderId="24" xfId="0" applyFont="1" applyFill="1" applyBorder="1" applyAlignment="1">
      <s:alignment horizontal="center" vertical="center" wrapText="1" mc:Ignorable="vyd"/>
    </s:xf>
    <s:xf numFmtId="0" fontId="16" fillId="2" borderId="0" xfId="0" applyFont="1" applyFill="1" applyAlignment="1">
      <s:alignment horizontal="center" vertical="top" mc:Ignorable="vyd"/>
    </s:xf>
    <s:xf numFmtId="164" fontId="34" fillId="2" borderId="0" xfId="0" applyNumberFormat="1" applyFont="1" applyFill="1" applyAlignment="1">
      <s:alignment horizontal="center" vertical="center" mc:Ignorable="vyd"/>
    </s:xf>
    <s:xf numFmtId="0" fontId="35" fillId="2" borderId="0" xfId="0" applyFont="1" applyFill="1" applyAlignment="1">
      <s:alignment horizontal="center" mc:Ignorable="vyd"/>
    </s:xf>
    <s:xf numFmtId="0" fontId="36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0" xfId="0" applyFont="1" applyFill="1" applyBorder="1" applyAlignment="1">
      <s:alignment horizontal="center" vertical="center" wrapText="1" mc:Ignorable="vyd"/>
    </s:xf>
    <s:xf numFmtId="0" fontId="12" fillId="3" borderId="27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49" xfId="0" applyFont="1" applyFill="1" applyBorder="1" applyAlignment="1">
      <s:alignment horizontal="center" vertical="center" wrapText="1" mc:Ignorable="vyd"/>
    </s:xf>
    <s:xf numFmtId="3" fontId="11" fillId="2" borderId="48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7" fillId="21" borderId="24" xfId="0" applyFont="1" applyFill="1" applyBorder="1" applyAlignment="1">
      <s:alignment horizontal="center" vertical="top" mc:Ignorable="vyd"/>
    </s:xf>
    <s:xf numFmtId="0" fontId="15" fillId="16" borderId="24" xfId="0" applyFont="1" applyFill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0" fontId="16" fillId="5" borderId="0" xfId="0" applyFont="1" applyFill="1" applyAlignment="1">
      <s:alignment horizontal="center" vertical="top" mc:Ignorable="vyd"/>
    </s:xf>
    <s:xf numFmtId="164" fontId="34" fillId="5" borderId="0" xfId="0" applyNumberFormat="1" applyFont="1" applyFill="1" applyAlignment="1">
      <s:alignment horizontal="center" vertical="center" mc:Ignorable="vyd"/>
    </s:xf>
    <s:xf numFmtId="0" fontId="35" fillId="5" borderId="0" xfId="0" applyFont="1" applyFill="1" applyAlignment="1">
      <s:alignment horizontal="center" mc:Ignorable="vyd"/>
    </s:xf>
    <s:xf numFmtId="0" fontId="36" fillId="5" borderId="0" xfId="0" applyFont="1" applyFill="1" applyAlignment="1">
      <s:alignment horizontal="center" vertical="top" mc:Ignorable="vyd"/>
    </s:xf>
    <s:xf numFmtId="0" fontId="10" fillId="5" borderId="0" xfId="0" applyFont="1" applyFill="1" applyAlignment="1">
      <s:alignment horizontal="left" vertical="top" mc:Ignorable="vyd"/>
    </s:xf>
    <s:xf numFmtId="0" fontId="12" fillId="20" borderId="24" xfId="0" applyFont="1" applyFill="1" applyBorder="1" applyAlignment="1" applyProtection="1">
      <s:alignment horizontal="center" vertical="center" wrapText="1" mc:Ignorable="vyd"/>
      <s:protection locked="0"/>
    </s:xf>
    <s:xf numFmtId="3" fontId="11" fillId="5" borderId="74" xfId="0" applyNumberFormat="1" applyFont="1" applyFill="1" applyBorder="1" applyAlignment="1" applyProtection="1">
      <s:alignment horizontal="center" mc:Ignorable="vyd"/>
      <s:protection locked="0"/>
    </s:xf>
    <s:xf numFmtId="0" fontId="40" fillId="4" borderId="69" xfId="0" applyFont="1" applyFill="1" applyBorder="1" applyAlignment="1">
      <s:alignment horizontal="center" vertical="center" wrapText="1" mc:Ignorable="vyd"/>
    </s:xf>
    <s:xf numFmtId="0" fontId="40" fillId="4" borderId="70" xfId="0" applyFont="1" applyFill="1" applyBorder="1" applyAlignment="1">
      <s:alignment horizontal="center" vertical="center" wrapText="1" mc:Ignorable="vyd"/>
    </s:xf>
    <s:xf numFmtId="0" fontId="40" fillId="4" borderId="69" xfId="0" applyFont="1" applyFill="1" applyBorder="1" applyAlignment="1">
      <s:alignment horizontal="left" vertical="top" mc:Ignorable="vyd"/>
    </s:xf>
    <s:xf numFmtId="0" fontId="40" fillId="4" borderId="70" xfId="0" applyFont="1" applyFill="1" applyBorder="1" applyAlignment="1">
      <s:alignment horizontal="left" vertical="top" mc:Ignorable="vyd"/>
    </s:xf>
    <s:xf numFmtId="0" fontId="40" fillId="4" borderId="69" xfId="0" applyFont="1" applyFill="1" applyBorder="1" applyAlignment="1">
      <s:alignment horizontal="left" vertical="center" mc:Ignorable="vyd"/>
    </s:xf>
    <s:xf numFmtId="0" fontId="40" fillId="4" borderId="70" xfId="0" applyFont="1" applyFill="1" applyBorder="1" applyAlignment="1">
      <s:alignment horizontal="left" vertical="center" mc:Ignorable="vyd"/>
    </s:xf>
    <s:xf numFmtId="0" fontId="40" fillId="4" borderId="68" xfId="0" applyFont="1" applyFill="1" applyBorder="1" applyAlignment="1">
      <s:alignment horizontal="left" vertical="top" wrapText="1" mc:Ignorable="vyd"/>
    </s:xf>
    <s:xf numFmtId="4" fontId="40" fillId="4" borderId="69" xfId="0" applyNumberFormat="1" applyFont="1" applyFill="1" applyBorder="1" applyAlignment="1">
      <s:alignment horizontal="right" vertical="top" mc:Ignorable="vyd"/>
    </s:xf>
    <s:xf numFmtId="4" fontId="40" fillId="4" borderId="70" xfId="0" applyNumberFormat="1" applyFont="1" applyFill="1" applyBorder="1" applyAlignment="1">
      <s:alignment horizontal="right" vertical="top" mc:Ignorable="vyd"/>
    </s:xf>
    <s:xf numFmtId="0" fontId="17" fillId="4" borderId="71" xfId="0" applyFont="1" applyFill="1" applyBorder="1" applyAlignment="1">
      <s:alignment horizontal="left" vertical="top" wrapText="1" mc:Ignorable="vyd"/>
    </s:xf>
    <s:xf numFmtId="0" fontId="40" fillId="4" borderId="69" xfId="0" applyFont="1" applyFill="1" applyBorder="1" applyAlignment="1">
      <s:alignment horizontal="center" vertical="center" mc:Ignorable="vyd"/>
    </s:xf>
    <s:xf numFmtId="0" fontId="40" fillId="4" borderId="70" xfId="0" applyFont="1" applyFill="1" applyBorder="1" applyAlignment="1">
      <s:alignment horizontal="center" vertical="center" mc:Ignorable="vyd"/>
    </s:xf>
    <s:xf numFmtId="0" fontId="40" fillId="4" borderId="68" xfId="0" applyFont="1" applyFill="1" applyBorder="1" applyAlignment="1">
      <s:alignment horizontal="center" vertical="center" mc:Ignorable="vyd"/>
    </s:xf>
    <s:xf numFmtId="17" fontId="38" fillId="4" borderId="54" xfId="0" applyNumberFormat="1" applyFont="1" applyFill="1" applyBorder="1" applyAlignment="1">
      <s:alignment horizontal="left" vertical="center" wrapText="1" mc:Ignorable="vyd"/>
    </s:xf>
    <s:xf numFmtId="17" fontId="38" fillId="4" borderId="38" xfId="0" applyNumberFormat="1" applyFont="1" applyFill="1" applyBorder="1" applyAlignment="1">
      <s:alignment horizontal="left" vertical="center" wrapText="1" mc:Ignorable="vyd"/>
    </s:xf>
    <s:xf numFmtId="17" fontId="38" fillId="4" borderId="55" xfId="0" applyNumberFormat="1" applyFont="1" applyFill="1" applyBorder="1" applyAlignment="1">
      <s:alignment horizontal="left" vertical="center" wrapText="1" mc:Ignorable="vyd"/>
    </s:xf>
    <s:xf numFmtId="0" fontId="38" fillId="4" borderId="46" xfId="0" applyFont="1" applyFill="1" applyBorder="1" applyAlignment="1">
      <s:alignment horizontal="left" vertical="center" wrapText="1" mc:Ignorable="vyd"/>
    </s:xf>
    <s:xf numFmtId="0" fontId="38" fillId="4" borderId="24" xfId="0" applyFont="1" applyFill="1" applyBorder="1" applyAlignment="1">
      <s:alignment horizontal="left" vertical="center" wrapText="1" mc:Ignorable="vyd"/>
    </s:xf>
    <s:xf numFmtId="0" fontId="21" fillId="17" borderId="57" xfId="0" applyFont="1" applyFill="1" applyBorder="1" applyAlignment="1">
      <s:alignment horizontal="center" vertical="center" wrapText="1" mc:Ignorable="vyd"/>
    </s:xf>
    <s:xf numFmtId="0" fontId="21" fillId="17" borderId="58" xfId="0" applyFont="1" applyFill="1" applyBorder="1" applyAlignment="1">
      <s:alignment horizontal="center" vertical="center" wrapText="1" mc:Ignorable="vyd"/>
    </s:xf>
    <s:xf numFmtId="3" fontId="38" fillId="18" borderId="63" xfId="0" applyNumberFormat="1" applyFont="1" applyFill="1" applyBorder="1" applyAlignment="1">
      <s:alignment horizontal="left" vertical="top" wrapText="1" mc:Ignorable="vyd"/>
    </s:xf>
    <s:xf numFmtId="0" fontId="38" fillId="18" borderId="64" xfId="0" applyFont="1" applyFill="1" applyBorder="1" applyAlignment="1">
      <s:alignment horizontal="left" vertical="top" wrapText="1" mc:Ignorable="vyd"/>
    </s:xf>
    <s:xf numFmtId="2" fontId="40" fillId="4" borderId="69" xfId="0" applyNumberFormat="1" applyFont="1" applyFill="1" applyBorder="1" applyAlignment="1">
      <s:alignment horizontal="center" vertical="top" mc:Ignorable="vyd"/>
    </s:xf>
    <s:xf numFmtId="2" fontId="40" fillId="4" borderId="70" xfId="0" applyNumberFormat="1" applyFont="1" applyFill="1" applyBorder="1" applyAlignment="1">
      <s:alignment horizontal="center" vertical="top" mc:Ignorable="vyd"/>
    </s:xf>
    <s:xf numFmtId="2" fontId="40" fillId="4" borderId="69" xfId="0" applyNumberFormat="1" applyFont="1" applyFill="1" applyBorder="1" applyAlignment="1">
      <s:alignment horizontal="center" vertical="center" wrapText="1" mc:Ignorable="vyd"/>
    </s:xf>
    <s:xf numFmtId="2" fontId="40" fillId="4" borderId="70" xfId="0" applyNumberFormat="1" applyFont="1" applyFill="1" applyBorder="1" applyAlignment="1">
      <s:alignment horizontal="center" vertical="center" wrapText="1" mc:Ignorable="vyd"/>
    </s:xf>
    <s:xf numFmtId="4" fontId="40" fillId="4" borderId="69" xfId="0" applyNumberFormat="1" applyFont="1" applyFill="1" applyBorder="1" applyAlignment="1">
      <s:alignment horizontal="center" vertical="top" mc:Ignorable="vyd"/>
    </s:xf>
    <s:xf numFmtId="4" fontId="40" fillId="4" borderId="70" xfId="0" applyNumberFormat="1" applyFont="1" applyFill="1" applyBorder="1" applyAlignment="1">
      <s:alignment horizontal="center" vertical="top" mc:Ignorable="vyd"/>
    </s:xf>
    <s:xf numFmtId="0" fontId="46" fillId="22" borderId="82" xfId="0" applyFont="1" applyFill="1" applyBorder="1" applyAlignment="1">
      <s:alignment horizontal="center" mc:Ignorable="vyd"/>
    </s:xf>
    <s:xf numFmtId="0" fontId="46" fillId="22" borderId="83" xfId="0" applyFont="1" applyFill="1" applyBorder="1" applyAlignment="1">
      <s:alignment horizontal="center" mc:Ignorable="vyd"/>
    </s:xf>
    <s:xf numFmtId="3" fontId="47" fillId="22" borderId="82" xfId="0" applyNumberFormat="1" applyFont="1" applyFill="1" applyBorder="1" applyAlignment="1">
      <s:alignment horizontal="center" mc:Ignorable="vyd"/>
    </s:xf>
    <s:xf numFmtId="3" fontId="47" fillId="22" borderId="84" xfId="0" applyNumberFormat="1" applyFont="1" applyFill="1" applyBorder="1" applyAlignment="1">
      <s:alignment horizontal="center" mc:Ignorable="vyd"/>
    </s:xf>
    <s:xf numFmtId="3" fontId="47" fillId="22" borderId="83" xfId="0" applyNumberFormat="1" applyFont="1" applyFill="1" applyBorder="1" applyAlignment="1">
      <s:alignment horizontal="center" mc:Ignorable="vyd"/>
    </s:xf>
    <s:xf numFmtId="0" fontId="21" fillId="22" borderId="82" xfId="0" applyFont="1" applyFill="1" applyBorder="1" applyAlignment="1">
      <s:alignment horizontal="left" wrapText="1" mc:Ignorable="vyd"/>
    </s:xf>
    <s:xf numFmtId="0" fontId="21" fillId="22" borderId="84" xfId="0" applyFont="1" applyFill="1" applyBorder="1" applyAlignment="1">
      <s:alignment horizontal="left" wrapText="1" mc:Ignorable="vyd"/>
    </s:xf>
    <s:xf numFmtId="0" fontId="21" fillId="22" borderId="83" xfId="0" applyFont="1" applyFill="1" applyBorder="1" applyAlignment="1">
      <s:alignment horizontal="left" wrapText="1" mc:Ignorable="vyd"/>
    </s:xf>
    <s:xf numFmtId="0" fontId="38" fillId="29" borderId="91" xfId="0" applyFont="1" applyFill="1" applyBorder="1" applyAlignment="1">
      <s:alignment horizontal="center" vertical="center" wrapText="1" mc:Ignorable="vyd"/>
    </s:xf>
    <s:xf numFmtId="0" fontId="38" fillId="29" borderId="93" xfId="0" applyFont="1" applyFill="1" applyBorder="1" applyAlignment="1">
      <s:alignment horizontal="center" vertical="center" wrapText="1" mc:Ignorable="vyd"/>
    </s:xf>
    <s:xf numFmtId="0" fontId="38" fillId="29" borderId="100" xfId="0" applyFont="1" applyFill="1" applyBorder="1" applyAlignment="1">
      <s:alignment horizontal="center" vertical="center" wrapText="1" mc:Ignorable="vyd"/>
    </s:xf>
    <s:xf numFmtId="0" fontId="38" fillId="29" borderId="101" xfId="0" applyFont="1" applyFill="1" applyBorder="1" applyAlignment="1">
      <s:alignment horizontal="center" vertical="center" wrapText="1" mc:Ignorable="vyd"/>
    </s:xf>
    <s:xf numFmtId="0" fontId="49" fillId="26" borderId="91" xfId="0" applyFont="1" applyFill="1" applyBorder="1" applyAlignment="1">
      <s:alignment horizontal="center" vertical="center" wrapText="1" mc:Ignorable="vyd"/>
    </s:xf>
    <s:xf numFmtId="0" fontId="49" fillId="26" borderId="93" xfId="0" applyFont="1" applyFill="1" applyBorder="1" applyAlignment="1">
      <s:alignment horizontal="center" vertical="center" wrapText="1" mc:Ignorable="vyd"/>
    </s:xf>
    <s:xf numFmtId="0" fontId="49" fillId="26" borderId="101" xfId="0" applyFont="1" applyFill="1" applyBorder="1" applyAlignment="1">
      <s:alignment horizontal="center" vertical="center" wrapText="1" mc:Ignorable="vyd"/>
    </s:xf>
  </s:cellXfs>
  <s:cellStyles count="2">
    <s:cellStyle name="Обычный" xfId="0" builtinId="0"/>
    <s:cellStyle name="Процентный" xfId="1" builtinId="5"/>
  </s:cellStyles>
  <s:dxfs count="186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3" Type="http://schemas.openxmlformats.org/officeDocument/2006/relationships/sharedStrings" Target="sharedStrings.xml"/><Relationship Id="rId11" Type="http://schemas.openxmlformats.org/officeDocument/2006/relationships/styles" Target="styles.xml"/><Relationship Target="theme/theme1.xml" Type="http://schemas.openxmlformats.org/officeDocument/2006/relationships/theme" Id="rId1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sheetPr>
    <s:pageSetUpPr fitToPage="1"/>
  </s:sheetPr>
  <s:dimension ref="A1:IU68"/>
  <s:sheetViews>
    <s:sheetView showZeros="0" tabSelected="0" topLeftCell="A36" zoomScale="91" workbookViewId="0">
      <s:pane xSplit="3" topLeftCell="D1" activePane="topRight" state="frozen"/>
      <s:selection activeCell="V25" sqref="V25:W26"/>
      <s:selection pane="topRight" activeCell="H56" sqref="H56"/>
    </s:sheetView>
  </s:sheetViews>
  <s:sheetFormatPr baseColWidth="10" defaultColWidth="9.164" defaultRowHeight="15"/>
  <s:cols>
    <s:col min="1" max="1" width="18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0.164" style="2" customWidth="1"/>
    <s:col min="13" max="13" width="10.832" style="2" customWidth="1"/>
    <s:col min="14" max="14" width="11.664" style="2" customWidth="1"/>
    <s:col min="15" max="15" width="12.832" style="2" customWidth="1"/>
    <s:col min="16" max="16" width="10.332" style="2" customWidth="1"/>
    <s:col min="17" max="18" width="11.332" style="2" customWidth="1"/>
    <s:col min="19" max="19" width="11" style="3" customWidth="1"/>
    <s:col min="20" max="20" width="9.5" style="2" customWidth="1"/>
    <s:col min="21" max="21" width="9.164" style="2" bestFit="1" customWidth="1"/>
    <s:col min="22" max="23" width="10.5" style="2" customWidth="1"/>
    <s:col min="24" max="255" width="9.164" style="2" bestFit="1" customWidth="1"/>
  </s:cols>
  <s:sheetData>
    <s:row r="1" spans="1:23" ht="15.75" customHeight="1">
      <s:c r="A1" s="4"/>
      <s:c r="B1" s="576">
        <s:f ca="1">TODAY()-1</s:f>
        <s:v>46080</s:v>
      </s:c>
      <s:c r="C1" s="576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577"/>
      <s:c r="R1" s="577"/>
      <s:c r="S1" s="577"/>
      <s:c r="T1" s="577"/>
      <s:c r="U1" s="8"/>
      <s:c r="V1" s="6"/>
      <s:c r="W1" s="6"/>
    </s:row>
    <s:row r="2" spans="1:23" ht="21.75" customHeight="1">
      <s:c r="A2" s="4"/>
      <s:c r="B2" s="578" t="s">
        <s:v>0</s:v>
      </s:c>
      <s:c r="C2" s="578"/>
      <s:c r="D2" s="5"/>
      <s:c r="E2" s="5"/>
      <s:c r="F2" s="6"/>
      <s:c r="G2" s="6"/>
      <s:c r="H2" s="6"/>
      <s:c r="I2" s="6"/>
      <s:c r="J2" s="579"/>
      <s:c r="K2" s="579"/>
      <s:c r="L2" s="579"/>
      <s:c r="M2" s="579"/>
      <s:c r="N2" s="579"/>
      <s:c r="O2" s="579"/>
      <s:c r="P2" s="579"/>
      <s:c r="Q2" s="577"/>
      <s:c r="R2" s="577"/>
      <s:c r="S2" s="577"/>
      <s:c r="T2" s="577"/>
      <s:c r="U2" s="8"/>
      <s:c r="V2" s="6"/>
      <s:c r="W2" s="6"/>
    </s:row>
    <s:row r="3" spans="1:23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80" t="str">
        <s:f>График!B3</s:f>
        <s:v>ул. Набережная Ленина, 18</s:v>
      </s:c>
      <s:c r="J3" s="581"/>
      <s:c r="K3" s="581"/>
      <s:c r="L3" s="581"/>
      <s:c r="M3" s="582"/>
      <s:c r="N3" s="7"/>
      <s:c r="O3" s="7"/>
      <s:c r="P3" s="13"/>
      <s:c r="Q3" s="577"/>
      <s:c r="R3" s="577"/>
      <s:c r="S3" s="577"/>
      <s:c r="T3" s="577"/>
      <s:c r="U3" s="8"/>
      <s:c r="V3" s="6"/>
      <s:c r="W3" s="6"/>
    </s:row>
    <s:row r="4" spans="1:23" ht="15" customHeight="1">
      <s:c r="A4" s="4"/>
      <s:c r="B4" s="5"/>
      <s:c r="C4" s="586">
        <s:f>I8-D56</s:f>
        <s:v>287680.59999999986</s:v>
      </s:c>
      <s:c r="D4" s="587"/>
      <s:c r="E4" s="14">
        <s:f>IF(I8&lt;&gt;0, C4/I8, 0)</s:f>
        <s:v>0.26224551262837853</s:v>
      </s:c>
      <s:c r="F4" s="12"/>
      <s:c r="G4" s="12"/>
      <s:c r="H4" s="12"/>
      <s:c r="I4" s="583"/>
      <s:c r="J4" s="584"/>
      <s:c r="K4" s="584"/>
      <s:c r="L4" s="584"/>
      <s:c r="M4" s="585"/>
      <s:c r="N4" s="7"/>
      <s:c r="O4" s="6"/>
      <s:c r="P4" s="6"/>
      <s:c r="Q4" s="577"/>
      <s:c r="R4" s="577"/>
      <s:c r="S4" s="577"/>
      <s:c r="T4" s="577"/>
      <s:c r="U4" s="8"/>
      <s:c r="V4" s="6"/>
      <s:c r="W4" s="6"/>
    </s:row>
    <s:row r="5">
      <s:c r="A5" s="4"/>
      <s:c r="B5" s="6"/>
      <s:c r="C5" s="6"/>
      <s:c r="D5" s="6"/>
      <s:c r="E5" s="6"/>
      <s:c r="F5" s="6"/>
      <s:c r="G5" s="6"/>
      <s:c r="H5" s="6"/>
      <s:c r="I5" s="6"/>
      <s:c r="J5" s="570"/>
      <s:c r="K5" s="570"/>
      <s:c r="L5" s="570"/>
      <s:c r="M5" s="570"/>
      <s:c r="N5" s="570"/>
      <s:c r="O5" s="6"/>
      <s:c r="P5" s="6"/>
      <s:c r="Q5" s="6"/>
      <s:c r="R5" s="6"/>
      <s:c r="S5" s="12"/>
      <s:c r="T5" s="6"/>
      <s:c r="U5" s="8"/>
      <s:c r="V5" s="6"/>
      <s:c r="W5" s="6"/>
    </s:row>
    <s:row r="6" spans="1:23" ht="15.75" customHeight="1">
      <s:c r="A6" s="4"/>
      <s:c r="B6" s="15"/>
      <s:c r="C6" s="6"/>
      <s:c r="D6" s="6"/>
      <s:c r="E6" s="6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19"/>
      <s:c r="S6" s="20"/>
      <s:c r="T6" s="6"/>
      <s:c r="U6" s="8"/>
      <s:c r="V6" s="6"/>
      <s:c r="W6" s="6"/>
    </s:row>
    <s:row r="7" spans="1:23" ht="50.75" customHeight="1">
      <s:c r="A7" s="4"/>
      <s:c r="B7" s="15"/>
      <s:c r="C7" s="15"/>
      <s:c r="D7" s="15"/>
      <s:c r="E7" s="6"/>
      <s:c r="F7" s="571" t="s">
        <s:v>3</s:v>
      </s:c>
      <s:c r="G7" s="572"/>
      <s:c r="H7" s="573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74" t="s">
        <s:v>11</s:v>
      </s:c>
      <s:c r="Q7" s="575"/>
      <s:c r="R7" s="19"/>
      <s:c r="S7" s="20"/>
      <s:c r="T7" s="6"/>
      <s:c r="U7" s="8"/>
      <s:c r="V7" s="6"/>
      <s:c r="W7" s="6"/>
    </s:row>
    <s:row r="8" spans="1:23" ht="15.75" customHeight="1">
      <s:c r="A8" s="4"/>
      <s:c r="B8" s="15"/>
      <s:c r="C8" s="15"/>
      <s:c r="D8" s="26"/>
      <s:c r="E8" s="6"/>
      <s:c r="F8" s="567" t="s">
        <s:v>12</s:v>
      </s:c>
      <s:c r="G8" s="568"/>
      <s:c r="H8" s="569"/>
      <s:c r="I8" s="27">
        <s:f>I10*I13</s:f>
        <s:v>1096989.5999999999</s:v>
      </s:c>
      <s:c r="J8" s="28">
        <s:f>D56</s:f>
        <s:v>809309</s:v>
      </s:c>
      <s:c r="K8" s="29">
        <s:f>IF(AND(I8&lt;&gt;"", I8&lt;&gt;0, J8&lt;&gt;""), J8/I8, "")</s:f>
        <s:v>0.73775448737162153</s:v>
      </s:c>
      <s:c r="L8" s="30">
        <s:f>IF(SUMIF($D$25:$D$55,"&gt;=0",$P$25:$P$55)&lt;&gt;0,I8*D56/SUMIF($D$25:$D$55,"&gt;=0",$P$25:$P$55),0)</s:f>
        <s:v>888582.94460056222</s:v>
      </s:c>
      <s:c r="M8" s="31">
        <s:f>IF(AND(I8&lt;&gt;"", I8&lt;&gt;0, L8&lt;&gt;"", L8&lt;&gt;0), L8/I8, "")</s:f>
        <s:v>0.81001947931007034</s:v>
      </s:c>
      <s:c r="N8" s="32">
        <s:f>IF(AND(J8&lt;&gt;0, J8&lt;&gt;"", I8&lt;&gt;0, I8&lt;&gt;""), L8-I8, "")</s:f>
        <s:v>-208406.65539943764</s:v>
      </s:c>
      <s:c r="O8" s="33"/>
      <s:c r="P8" s="32" t="str">
        <s:f>IF(AND(O8&lt;&gt;"", O8&lt;&gt;0, L8&lt;&gt;"", L8&lt;&gt;0), -O8+L8, "")</s:f>
        <s:v/>
      </s:c>
      <s:c r="Q8" s="34" t="str">
        <s:f>IF(AND(P8&lt;&gt;"", P8&lt;&gt;0, O8&lt;&gt;0, O8&lt;&gt;""), P8/O8, "")</s:f>
        <s:v/>
      </s:c>
      <s:c r="R8" s="19"/>
      <s:c r="S8" s="35"/>
      <s:c r="T8" s="6"/>
      <s:c r="U8" s="8"/>
      <s:c r="V8" s="6"/>
      <s:c r="W8" s="6"/>
    </s:row>
    <s:row r="9" spans="1:23" ht="15.75" customHeight="1">
      <s:c r="A9" s="4"/>
      <s:c r="B9" s="15"/>
      <s:c r="C9" s="15"/>
      <s:c r="D9" s="15"/>
      <s:c r="E9" s="6"/>
      <s:c r="F9" s="559" t="s">
        <s:v>13</s:v>
      </s:c>
      <s:c r="G9" s="560"/>
      <s:c r="H9" s="561"/>
      <s:c r="I9" s="36">
        <s:f>I8/I11</s:f>
        <s:v>285.59999999999997</s:v>
      </s:c>
      <s:c r="J9" s="37">
        <s:f>E56</s:f>
        <s:v>192</s:v>
      </s:c>
      <s:c r="K9" s="38">
        <s:f>IF(AND(I9&lt;&gt;"", I9&lt;&gt;0, J9&lt;&gt;""), J9/I9, "")</s:f>
        <s:v>0.67226890756302526</s:v>
      </s:c>
      <s:c r="L9" s="39">
        <s:f>IF(SUMIF($E$25:$E$55, "&gt;=0", $Q$25:$Q$55)&lt;&gt;0, I9*E56/SUMIF($E$25:$E$55, "&gt;=0", $Q$25:$Q$55), 0)</s:f>
        <s:v>191.99999999999997</s:v>
      </s:c>
      <s:c r="M9" s="40">
        <s:f>IF(AND(I9&lt;&gt;"", I9&lt;&gt;0, L9&lt;&gt;"", L9&lt;&gt;0), L9/I9, "")</s:f>
        <s:v>0.67226890756302515</s:v>
      </s:c>
      <s:c r="N9" s="41">
        <s:f>IF(AND(J9&lt;&gt;0, J9&lt;&gt;"", I9&lt;&gt;0, I9&lt;&gt;""), L9-I9, "")</s:f>
        <s:v>-93.6</s:v>
      </s:c>
      <s:c r="O9" s="42" t="e">
        <s:f>O8/O11</s:f>
        <s:v>#DIV/0!</s:v>
      </s:c>
      <s:c r="P9" s="41" t="e">
        <s:f>IF(AND(O9&lt;&gt;"", O9&lt;&gt;0, L9&lt;&gt;"", L9&lt;&gt;0), -O9+L9, "")</s:f>
        <s:v>#DIV/0!</s:v>
      </s:c>
      <s:c r="Q9" s="43" t="e">
        <s:f>IF(AND(P9&lt;&gt;"", P9&lt;&gt;0, O9&lt;&gt;0, O9&lt;&gt;""), P9/O9, "")</s:f>
        <s:v>#DIV/0!</s:v>
      </s:c>
      <s:c r="R9" s="19"/>
      <s:c r="S9" s="35"/>
      <s:c r="T9" s="6"/>
      <s:c r="U9" s="8"/>
      <s:c r="V9" s="6"/>
      <s:c r="W9" s="6"/>
    </s:row>
    <s:row r="10" spans="1:23" ht="15.75" customHeight="1">
      <s:c r="A10" s="4"/>
      <s:c r="B10" s="15"/>
      <s:c r="C10" s="15"/>
      <s:c r="D10" s="15"/>
      <s:c r="E10" s="6"/>
      <s:c r="F10" s="567" t="s">
        <s:v>14</s:v>
      </s:c>
      <s:c r="G10" s="568"/>
      <s:c r="H10" s="569"/>
      <s:c r="I10" s="36">
        <s:f>I11*I12</s:f>
        <s:v>7682</s:v>
      </s:c>
      <s:c r="J10" s="44">
        <s:f>H56</s:f>
        <s:v>7781.8173076923076</s:v>
      </s:c>
      <s:c r="K10" s="45">
        <s:f>IF(AND(I10&lt;&gt;"", I10&lt;&gt;0, J10&lt;&gt;""), J10/I10, "")</s:f>
        <s:v>1.0129936615064186</s:v>
      </s:c>
      <s:c r="L10" s="39">
        <s:f>J10</s:f>
        <s:v>7781.8173076923076</s:v>
      </s:c>
      <s:c r="M10" s="46">
        <s:f>IF(AND(I10&lt;&gt;"", I10&lt;&gt;0, L10&lt;&gt;"", L10&lt;&gt;0), L10/I10, "")</s:f>
        <s:v>1.0129936615064186</s:v>
      </s:c>
      <s:c r="N10" s="47">
        <s:f>IF(AND(J10&lt;&gt;0, J10&lt;&gt;"", I10&lt;&gt;0, I10&lt;&gt;""), L10-I10, "")</s:f>
        <s:v>99.817307692307622</s:v>
      </s:c>
      <s:c r="O10" s="48">
        <s:f>O11*O12</s:f>
        <s:v>0</s:v>
      </s:c>
      <s:c r="P10" s="47" t="str">
        <s:f>IF(AND(O10&lt;&gt;"", O10&lt;&gt;0, L10&lt;&gt;"", L10&lt;&gt;0), -O10+L10, "")</s:f>
        <s:v/>
      </s:c>
      <s:c r="Q10" s="49" t="str">
        <s:f>IF(AND(P10&lt;&gt;"", P10&lt;&gt;0, O10&lt;&gt;0, O10&lt;&gt;""), P10/O10, "")</s:f>
        <s:v/>
      </s:c>
      <s:c r="R10" s="19"/>
      <s:c r="S10" s="35"/>
      <s:c r="T10" s="6"/>
      <s:c r="U10" s="8"/>
      <s:c r="V10" s="6"/>
      <s:c r="W10" s="6"/>
    </s:row>
    <s:row r="11" spans="1:23" ht="15.75" customHeight="1">
      <s:c r="A11" s="4"/>
      <s:c r="B11" s="15"/>
      <s:c r="C11" s="15"/>
      <s:c r="D11" s="15"/>
      <s:c r="E11" s="6"/>
      <s:c r="F11" s="559" t="s">
        <s:v>15</s:v>
      </s:c>
      <s:c r="G11" s="560"/>
      <s:c r="H11" s="561"/>
      <s:c r="I11" s="50">
        <s:v>3841</s:v>
      </s:c>
      <s:c r="J11" s="37">
        <s:f>F56</s:f>
        <s:v>4215.151041666667</s:v>
      </s:c>
      <s:c r="K11" s="38">
        <s:f>IF(AND(I11&lt;&gt;"", I11&lt;&gt;0, J11&lt;&gt;""), J11/I11, "")</s:f>
        <s:v>1.097409799965287</s:v>
      </s:c>
      <s:c r="L11" s="39">
        <s:f>IF(L9&gt;0, L8/L9, "")</s:f>
        <s:v>4628.0361697945955</s:v>
      </s:c>
      <s:c r="M11" s="40">
        <s:f>IF(AND(I11&lt;&gt;"", I11&lt;&gt;0, L11&lt;&gt;"", L11&lt;&gt;0), L11/I11, "")</s:f>
        <s:v>1.2049039754737296</s:v>
      </s:c>
      <s:c r="N11" s="41">
        <s:f>IF(AND(J11&lt;&gt;0, J11&lt;&gt;"", I11&lt;&gt;0, I11&lt;&gt;""), L11-I11, "")</s:f>
        <s:v>787.03616979459548</s:v>
      </s:c>
      <s:c r="O11" s="51"/>
      <s:c r="P11" s="41" t="str">
        <s:f>IF(AND(O11&lt;&gt;"", O11&lt;&gt;0, L11&lt;&gt;"", L11&lt;&gt;0), -O11+L11, "")</s:f>
        <s:v/>
      </s:c>
      <s:c r="Q11" s="43" t="str">
        <s:f>IF(AND(P11&lt;&gt;"", P11&lt;&gt;0, O11&lt;&gt;0, O11&lt;&gt;""), P11/O11, "")</s:f>
        <s:v/>
      </s:c>
      <s:c r="R11" s="19"/>
      <s:c r="S11" s="52"/>
      <s:c r="T11" s="6"/>
      <s:c r="U11" s="8"/>
      <s:c r="V11" s="6"/>
      <s:c r="W11" s="6"/>
    </s:row>
    <s:row r="12" spans="1:23" ht="15.75" customHeight="1">
      <s:c r="A12" s="4"/>
      <s:c r="B12" s="15"/>
      <s:c r="C12" s="6"/>
      <s:c r="D12" s="6"/>
      <s:c r="E12" s="6"/>
      <s:c r="F12" s="559" t="s">
        <s:v>16</s:v>
      </s:c>
      <s:c r="G12" s="560"/>
      <s:c r="H12" s="561"/>
      <s:c r="I12" s="53">
        <s:v>2</s:v>
      </s:c>
      <s:c r="J12" s="54">
        <s:f>J56</s:f>
        <s:v>1.8461538461538463</s:v>
      </s:c>
      <s:c r="K12" s="38">
        <s:f>IF(AND(I12&lt;&gt;"", I12&lt;&gt;0, J12&lt;&gt;""), J12/I12, "")</s:f>
        <s:v>0.92307692307692313</s:v>
      </s:c>
      <s:c r="L12" s="39">
        <s:f>J12</s:f>
        <s:v>1.8461538461538463</s:v>
      </s:c>
      <s:c r="M12" s="40">
        <s:f>IF(AND(I12&lt;&gt;"", I12&lt;&gt;0, L12&lt;&gt;"", L12&lt;&gt;0), L12/I12, "")</s:f>
        <s:v>0.92307692307692313</s:v>
      </s:c>
      <s:c r="N12" s="55">
        <s:f>IF(AND(J12&lt;&gt;0, J12&lt;&gt;"", I12&lt;&gt;0, I12&lt;&gt;""), L12-I12, "")</s:f>
        <s:v>-0.15384615384615374</s:v>
      </s:c>
      <s:c r="O12" s="56"/>
      <s:c r="P12" s="41" t="str">
        <s:f>IF(AND(O12&lt;&gt;"", O12&lt;&gt;0, L12&lt;&gt;"", L12&lt;&gt;0), -O12+L12, "")</s:f>
        <s:v/>
      </s:c>
      <s:c r="Q12" s="43" t="str">
        <s:f>IF(AND(P12&lt;&gt;"", P12&lt;&gt;0, O12&lt;&gt;0, O12&lt;&gt;""), P12/O12, "")</s:f>
        <s:v/>
      </s:c>
      <s:c r="R12" s="19"/>
      <s:c r="S12" s="52"/>
      <s:c r="T12" s="6"/>
      <s:c r="U12" s="8"/>
      <s:c r="V12" s="6"/>
      <s:c r="W12" s="6"/>
    </s:row>
    <s:row r="13" spans="1:23" ht="15.75" customHeight="1">
      <s:c r="A13" s="4"/>
      <s:c r="B13" s="15"/>
      <s:c r="C13" s="6"/>
      <s:c r="D13" s="6"/>
      <s:c r="E13" s="6"/>
      <s:c r="F13" s="559" t="s">
        <s:v>17</s:v>
      </s:c>
      <s:c r="G13" s="560"/>
      <s:c r="H13" s="561"/>
      <s:c r="I13" s="36">
        <s:f>I17*I20</s:f>
        <s:v>142.79999999999998</s:v>
      </s:c>
      <s:c r="J13" s="37">
        <s:f>G56</s:f>
        <s:v>104</s:v>
      </s:c>
      <s:c r="K13" s="38">
        <s:f>IF(AND(I13&lt;&gt;"", I13&lt;&gt;0, J13&lt;&gt;""), J13/I13, "")</s:f>
        <s:v>0.72829131652661072</s:v>
      </s:c>
      <s:c r="L13" s="39">
        <s:f>IF(SUMIF($G$25:$G$55, "&gt;=0", $R$25:$R$55)&lt;&gt;0, I13*G56/SUMIF($G$25:$G$55, "&gt;=0", $R$25:$R$55), "")</s:f>
        <s:v>103.99999999999999</s:v>
      </s:c>
      <s:c r="M13" s="40">
        <s:f>IF(AND(I13&lt;&gt;"", I13&lt;&gt;0, L13&lt;&gt;"", L13&lt;&gt;0), L13/I13, "")</s:f>
        <s:v>0.72829131652661061</s:v>
      </s:c>
      <s:c r="N13" s="55">
        <s:f>IF(AND(J13&lt;&gt;0, J13&lt;&gt;"", I13&lt;&gt;0, I13&lt;&gt;""), L13-I13, "")</s:f>
        <s:v>-38.799999999999997</s:v>
      </s:c>
      <s:c r="O13" s="57"/>
      <s:c r="P13" s="41" t="str">
        <s:f>IF(AND(O13&lt;&gt;"", O13&lt;&gt;0, L13&lt;&gt;"", L13&lt;&gt;0), -O13+L13, "")</s:f>
        <s:v/>
      </s:c>
      <s:c r="Q13" s="43" t="str">
        <s:f>IF(AND(P13&lt;&gt;"", P13&lt;&gt;0, O13&lt;&gt;0, O13&lt;&gt;""), P13/O13, "")</s:f>
        <s:v/>
      </s:c>
      <s:c r="R13" s="19"/>
      <s:c r="S13" s="52"/>
      <s:c r="T13" s="6"/>
      <s:c r="U13" s="8"/>
      <s:c r="V13" s="6"/>
      <s:c r="W13" s="6"/>
    </s:row>
    <s:row r="14" spans="1:23" ht="15.75" customHeight="1">
      <s:c r="A14" s="4"/>
      <s:c r="B14" s="15"/>
      <s:c r="C14" s="6"/>
      <s:c r="D14" s="6"/>
      <s:c r="E14" s="6"/>
      <s:c r="F14" s="559" t="s">
        <s:v>18</s:v>
      </s:c>
      <s:c r="G14" s="560"/>
      <s:c r="H14" s="561"/>
      <s:c r="I14" s="50">
        <s:v>28</s:v>
      </s:c>
      <s:c r="J14" s="58">
        <s:v>28</s:v>
      </s:c>
      <s:c r="K14" s="38">
        <s:f>IF(AND(I14&lt;&gt;"", I14&lt;&gt;0, J14&lt;&gt;""), J14/I14, "")</s:f>
        <s:v>1</s:v>
      </s:c>
      <s:c r="L14" s="39">
        <s:f>IF(SUMIF($D$25:$D$55,"&gt;=0",$P$25:$P$55),I56*I8/SUMIF($D$25:$D$55,"&gt;=0",$P$25:$P$55),"")</s:f>
        <s:v>374.40184664793264</s:v>
      </s:c>
      <s:c r="M14" s="40">
        <s:f>IF(AND(I14&lt;&gt;"", I14&lt;&gt;0, L14&lt;&gt;"", L14&lt;&gt;0), L14/I14, "")</s:f>
        <s:v>13.371494523140452</s:v>
      </s:c>
      <s:c r="N14" s="41">
        <s:f>IF(AND(J14&lt;&gt;0, J14&lt;&gt;"", I14&lt;&gt;0, I14&lt;&gt;""), L14-I14, "")</s:f>
        <s:v>346.40184664793264</s:v>
      </s:c>
      <s:c r="O14" s="57"/>
      <s:c r="P14" s="41" t="str">
        <s:f>IF(AND(O14&lt;&gt;"", O14&lt;&gt;0, L14&lt;&gt;"", L14&lt;&gt;0), -O14+L14, "")</s:f>
        <s:v/>
      </s:c>
      <s:c r="Q14" s="43" t="str">
        <s:f>IF(AND(P14&lt;&gt;"", P14&lt;&gt;0, O14&lt;&gt;0, O14&lt;&gt;""), P14/O14, "")</s:f>
        <s:v/>
      </s:c>
      <s:c r="R14" s="19"/>
      <s:c r="S14" s="59"/>
      <s:c r="T14" s="6"/>
      <s:c r="U14" s="8"/>
      <s:c r="V14" s="6"/>
      <s:c r="W14" s="6"/>
    </s:row>
    <s:row r="15" spans="1:23" ht="15.75" customHeight="1">
      <s:c r="A15" s="4"/>
      <s:c r="B15" s="15"/>
      <s:c r="C15" s="6"/>
      <s:c r="D15" s="6"/>
      <s:c r="E15" s="6"/>
      <s:c r="F15" s="559" t="s">
        <s:v>19</s:v>
      </s:c>
      <s:c r="G15" s="560"/>
      <s:c r="H15" s="561"/>
      <s:c r="I15" s="60">
        <s:f>I8/I14</s:f>
        <s:v>39178.199999999997</s:v>
      </s:c>
      <s:c r="J15" s="61">
        <s:f>J8/J14</s:f>
        <s:v>28903.892857142859</s:v>
      </s:c>
      <s:c r="K15" s="62">
        <s:f>IF(AND(I15&lt;&gt;"", I15&lt;&gt;0, J15&lt;&gt;""), J15/I15, "")</s:f>
        <s:v>0.73775448737162153</s:v>
      </s:c>
      <s:c r="L15" s="63">
        <s:f>J15</s:f>
        <s:v>28903.892857142859</s:v>
      </s:c>
      <s:c r="M15" s="64">
        <s:f>IF(AND(I15&lt;&gt;"", I15&lt;&gt;0, L15&lt;&gt;"", L15&lt;&gt;0), L15/I15, "")</s:f>
        <s:v>0.73775448737162153</s:v>
      </s:c>
      <s:c r="N15" s="41">
        <s:f>IF(AND(J15&lt;&gt;0, J15&lt;&gt;"", I15&lt;&gt;0, I15&lt;&gt;""), L15-I15, "")</s:f>
        <s:v>-10274.307142857138</s:v>
      </s:c>
      <s:c r="O15" s="65"/>
      <s:c r="P15" s="41" t="str">
        <s:f>IF(AND(O15&lt;&gt;"", O15&lt;&gt;0, L15&lt;&gt;"", L15&lt;&gt;0), -O15+L15, "")</s:f>
        <s:v/>
      </s:c>
      <s:c r="Q15" s="43" t="str">
        <s:f>IF(AND(P15&lt;&gt;"", P15&lt;&gt;0, O15&lt;&gt;0, O15&lt;&gt;""), P15/O15, "")</s:f>
        <s:v/>
      </s:c>
      <s:c r="R15" s="19"/>
      <s:c r="S15" s="35"/>
      <s:c r="T15" s="6"/>
      <s:c r="U15" s="8"/>
      <s:c r="V15" s="6"/>
      <s:c r="W15" s="6"/>
    </s:row>
    <s:row r="16" spans="1:23" ht="15.75" customHeight="1">
      <s:c r="A16" s="4"/>
      <s:c r="B16" s="15"/>
      <s:c r="C16" s="6"/>
      <s:c r="D16" s="6"/>
      <s:c r="E16" s="6"/>
      <s:c r="F16" s="559" t="s">
        <s:v>20</s:v>
      </s:c>
      <s:c r="G16" s="560"/>
      <s:c r="H16" s="561"/>
      <s:c r="I16" s="60"/>
      <s:c r="J16" s="61">
        <s:f>J8-I15*J14</s:f>
        <s:v>-287680.59999999986</s:v>
      </s:c>
      <s:c r="K16" s="62" t="str">
        <s:f>IF(AND(I16&lt;&gt;"", I16&lt;&gt;0, J16&lt;&gt;""), J16/I16, "")</s:f>
        <s:v/>
      </s:c>
      <s:c r="L16" s="66">
        <s:f>J16</s:f>
        <s:v>-287680.59999999986</s:v>
      </s:c>
      <s:c r="M16" s="67" t="str">
        <s:f>IF(AND(I16&lt;&gt;"", I16&lt;&gt;0, L16&lt;&gt;"", L16&lt;&gt;0), L16/I16, "")</s:f>
        <s:v/>
      </s:c>
      <s:c r="N16" s="41" t="str">
        <s:f>IF(AND(J16&lt;&gt;0, J16&lt;&gt;"", I16&lt;&gt;0, I16&lt;&gt;""), L16-I16, "")</s:f>
        <s:v/>
      </s:c>
      <s:c r="O16" s="65"/>
      <s:c r="P16" s="41" t="str">
        <s:f>IF(AND(O16&lt;&gt;"", O16&lt;&gt;0, L16&lt;&gt;"", L16&lt;&gt;0), -O16+L16, "")</s:f>
        <s:v/>
      </s:c>
      <s:c r="Q16" s="43" t="str">
        <s:f>IF(AND(P16&lt;&gt;"", P16&lt;&gt;0, O16&lt;&gt;0, O16&lt;&gt;""), P16/O16, "")</s:f>
        <s:v/>
      </s:c>
      <s:c r="R16" s="19"/>
      <s:c r="S16" s="566" t="s">
        <s:v>21</s:v>
      </s:c>
      <s:c r="T16" s="6"/>
      <s:c r="U16" s="8"/>
      <s:c r="V16" s="6"/>
      <s:c r="W16" s="6"/>
    </s:row>
    <s:row r="17" spans="1:255" ht="15.75" customHeight="1">
      <s:c r="A17" s="4"/>
      <s:c r="B17" s="15"/>
      <s:c r="C17" s="6"/>
      <s:c r="D17" s="68"/>
      <s:c r="E17" s="6"/>
      <s:c r="F17" s="559" t="s">
        <s:v>22</s:v>
      </s:c>
      <s:c r="G17" s="560"/>
      <s:c r="H17" s="561"/>
      <s:c r="I17" s="69">
        <s:f>17*28</s:f>
        <s:v>476</s:v>
      </s:c>
      <s:c r="J17" s="61">
        <s:f>I56</s:f>
        <s:v>341</s:v>
      </s:c>
      <s:c r="K17" s="62">
        <s:f>IF(AND(I17&lt;&gt;"", I17&lt;&gt;0, J17&lt;&gt;""), J17/I17, "")</s:f>
        <s:v>0.71638655462184875</s:v>
      </s:c>
      <s:c r="L17" s="70">
        <s:f>J17/J14*I14</s:f>
        <s:v>341</s:v>
      </s:c>
      <s:c r="M17" s="67">
        <s:f>IF(AND(I17&lt;&gt;"", I17&lt;&gt;0, L17&lt;&gt;"", L17&lt;&gt;0), L17/I17, "")</s:f>
        <s:v>0.71638655462184875</s:v>
      </s:c>
      <s:c r="N17" s="41">
        <s:f>IF(AND(J17&lt;&gt;0, J17&lt;&gt;"", I17&lt;&gt;0, I17&lt;&gt;""), L17-I17, "")</s:f>
        <s:v>-135</s:v>
      </s:c>
      <s:c r="O17" s="65"/>
      <s:c r="P17" s="41" t="str">
        <s:f>IF(AND(O17&lt;&gt;"", O17&lt;&gt;0, L17&lt;&gt;"", L17&lt;&gt;0), -O17+L17, "")</s:f>
        <s:v/>
      </s:c>
      <s:c r="Q17" s="43" t="str">
        <s:f>IF(AND(P17&lt;&gt;"", P17&lt;&gt;0, O17&lt;&gt;0, O17&lt;&gt;""), P17/O17, "")</s:f>
        <s:v/>
      </s:c>
      <s:c r="R17" s="19"/>
      <s:c r="S17" s="566"/>
      <s:c r="T17" s="6"/>
      <s:c r="U17" s="8"/>
      <s:c r="V17" s="6"/>
      <s:c r="W17" s="6"/>
    </s:row>
    <s:row r="18" spans="1:255" ht="15.75" customHeight="1">
      <s:c r="A18" s="4"/>
      <s:c r="B18" s="15"/>
      <s:c r="C18" s="6"/>
      <s:c r="D18" s="6"/>
      <s:c r="E18" s="6"/>
      <s:c r="F18" s="559"/>
      <s:c r="G18" s="560"/>
      <s:c r="H18" s="561"/>
      <s:c r="I18" s="71"/>
      <s:c r="J18" s="61"/>
      <s:c r="K18" s="62" t="str">
        <s:f>IF(AND(I18&lt;&gt;"", I18&lt;&gt;0, J18&lt;&gt;""), J18/I18, "")</s:f>
        <s:v/>
      </s:c>
      <s:c r="L18" s="66">
        <s:f>J18</s:f>
        <s:v>0</s:v>
      </s:c>
      <s:c r="M18" s="67" t="str">
        <s:f>IF(AND(I18&lt;&gt;"", I18&lt;&gt;0, L18&lt;&gt;"", L18&lt;&gt;0), L18/I18, "")</s:f>
        <s:v/>
      </s:c>
      <s:c r="N18" s="41" t="str">
        <s:f>IF(AND(J18&lt;&gt;0, J18&lt;&gt;"", I18&lt;&gt;0, I18&lt;&gt;""), L18-I18, "")</s:f>
        <s:v/>
      </s:c>
      <s:c r="O18" s="72">
        <s:v>0</s:v>
      </s:c>
      <s:c r="P18" s="41" t="str">
        <s:f>IF(AND(O18&lt;&gt;"", O18&lt;&gt;0, L18&lt;&gt;"", L18&lt;&gt;0), -O18+L18, "")</s:f>
        <s:v/>
      </s:c>
      <s:c r="Q18" s="43" t="str">
        <s:f>IF(AND(P18&lt;&gt;"", P18&lt;&gt;0, O18&lt;&gt;0, O18&lt;&gt;""), P18/O18, "")</s:f>
        <s:v/>
      </s:c>
      <s:c r="R18" s="19"/>
      <s:c r="S18" s="73"/>
      <s:c r="T18" s="6"/>
      <s:c r="U18" s="8"/>
      <s:c r="V18" s="6"/>
      <s:c r="W18" s="6"/>
    </s:row>
    <s:row r="19" spans="1:255" ht="15.75" customHeight="1">
      <s:c r="A19" s="4"/>
      <s:c r="B19" s="15"/>
      <s:c r="C19" s="6"/>
      <s:c r="D19" s="6"/>
      <s:c r="E19" s="6"/>
      <s:c r="F19" s="559"/>
      <s:c r="G19" s="560"/>
      <s:c r="H19" s="561"/>
      <s:c r="I19" s="71"/>
      <s:c r="J19" s="61">
        <s:f>M56</s:f>
        <s:v>0</s:v>
      </s:c>
      <s:c r="K19" s="62" t="str">
        <s:f>IF(AND(I19&lt;&gt;"", I19&lt;&gt;0, J19&lt;&gt;""), J19/I19, "")</s:f>
        <s:v/>
      </s:c>
      <s:c r="L19" s="66">
        <s:f>J19</s:f>
        <s:v>0</s:v>
      </s:c>
      <s:c r="M19" s="67" t="str">
        <s:f>IF(AND(I19&lt;&gt;"", I19&lt;&gt;0, L19&lt;&gt;"", L19&lt;&gt;0), L19/I19, "")</s:f>
        <s:v/>
      </s:c>
      <s:c r="N19" s="41" t="str">
        <s:f>IF(AND(J19&lt;&gt;0, J19&lt;&gt;"", I19&lt;&gt;0, I19&lt;&gt;""), L19-I19, "")</s:f>
        <s:v/>
      </s:c>
      <s:c r="O19" s="65">
        <s:v>0</s:v>
      </s:c>
      <s:c r="P19" s="41" t="str">
        <s:f>IF(AND(O19&lt;&gt;"", O19&lt;&gt;0, L19&lt;&gt;"", L19&lt;&gt;0), -O19+L19, "")</s:f>
        <s:v/>
      </s:c>
      <s:c r="Q19" s="43" t="str">
        <s:f>IF(AND(P19&lt;&gt;"", P19&lt;&gt;0, O19&lt;&gt;0, O19&lt;&gt;""), P19/O19, "")</s:f>
        <s:v/>
      </s:c>
      <s:c r="R19" s="19"/>
      <s:c r="S19" s="74" t="e">
        <s:f>S18/I16</s:f>
        <s:v>#DIV/0!</s:v>
      </s:c>
      <s:c r="T19" s="6"/>
      <s:c r="U19" s="8"/>
      <s:c r="V19" s="6"/>
      <s:c r="W19" s="6"/>
    </s:row>
    <s:row r="20" spans="1:255" ht="15.75" customHeight="1">
      <s:c r="A20" s="4"/>
      <s:c r="B20" s="15"/>
      <s:c r="C20" s="6"/>
      <s:c r="D20" s="6"/>
      <s:c r="E20" s="6"/>
      <s:c r="F20" s="562" t="s">
        <s:v>23</s:v>
      </s:c>
      <s:c r="G20" s="562"/>
      <s:c r="H20" s="562"/>
      <s:c r="I20" s="75">
        <s:v>0.3</s:v>
      </s:c>
      <s:c r="J20" s="76">
        <s:f>N56</s:f>
        <s:v>0.30498533724340177</s:v>
      </s:c>
      <s:c r="K20" s="76">
        <s:f>J20/I20</s:f>
        <s:v>1.0166177908113392</s:v>
      </s:c>
      <s:c r="L20" s="201">
        <s:f>IF(AND(K8&lt;&gt;0, I14&lt;&gt;0, I56&lt;&gt;0), (I56*N56+(I56/K8-I56)*I20)/(I56/K8), 0)</s:f>
        <s:v>0.30367795492238053</s:v>
      </s:c>
      <s:c r="M20" s="77">
        <s:f>IF(AND(I20&lt;&gt;"", I20&lt;&gt;0, L20&lt;&gt;"", L20&lt;&gt;0), L20/I20, "")</s:f>
        <s:v>1.0122598497412685</s:v>
      </s:c>
      <s:c r="N20" s="78">
        <s:f>IF(AND(J20&lt;&gt;0, J20&lt;&gt;"", I20&lt;&gt;0, I20&lt;&gt;""), L20-I20, "")</s:f>
        <s:v>3.6779549223805441E-3</s:v>
      </s:c>
      <s:c r="O20" s="79"/>
      <s:c r="P20" s="80" t="str">
        <s:f>IF(AND(O20&lt;&gt;"", O20&lt;&gt;0, L20&lt;&gt;"", L20&lt;&gt;0), -O20+L20, "")</s:f>
        <s:v/>
      </s:c>
      <s:c r="Q20" s="81" t="str">
        <s:f>IF(AND(P20&lt;&gt;"", P20&lt;&gt;0, O20&lt;&gt;0, O20&lt;&gt;""), P20/O20, "")</s:f>
        <s:v/>
      </s:c>
      <s:c r="R20" s="19"/>
      <s:c r="S20" s="20"/>
      <s:c r="T20" s="6"/>
      <s:c r="U20" s="8"/>
      <s:c r="V20" s="6"/>
      <s:c r="W20" s="6"/>
    </s:row>
    <s:row r="21" spans="1:255" ht="15.75" customHeight="1">
      <s:c r="A21" s="4"/>
      <s:c r="B21" s="15"/>
      <s:c r="C21" s="6"/>
      <s:c r="D21" s="82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19"/>
      <s:c r="S21" s="20"/>
      <s:c r="T21" s="6"/>
      <s:c r="U21" s="8"/>
      <s:c r="V21" s="6"/>
      <s:c r="W21" s="6"/>
    </s:row>
    <s:row r="22" spans="1:255" ht="21" customHeight="1">
      <s:c r="A22" s="563" t="s">
        <s:v>24</s:v>
      </s:c>
      <s:c r="B22" s="563"/>
      <s:c r="C22" s="563"/>
      <s:c r="D22" s="563"/>
      <s:c r="E22" s="563"/>
      <s:c r="F22" s="563"/>
      <s:c r="G22" s="563"/>
      <s:c r="H22" s="563"/>
      <s:c r="I22" s="563"/>
      <s:c r="J22" s="563"/>
      <s:c r="K22" s="563"/>
      <s:c r="L22" s="563"/>
      <s:c r="M22" s="563"/>
      <s:c r="N22" s="563"/>
      <s:c r="O22" s="564" t="s">
        <s:v>25</s:v>
      </s:c>
      <s:c r="P22" s="563" t="s">
        <s:v>26</s:v>
      </s:c>
      <s:c r="Q22" s="563"/>
      <s:c r="R22" s="563"/>
      <s:c r="S22" s="563"/>
      <s:c r="T22" s="563"/>
      <s:c r="U22" s="563"/>
      <s:c r="V22" s="563"/>
      <s:c r="W22" s="563"/>
    </s:row>
    <s:row r="23" ht="36">
      <s:c r="A23" s="565" t="s">
        <s:v>27</s:v>
      </s:c>
      <s:c r="B23" s="83" t="s">
        <s:v>28</s:v>
      </s:c>
      <s:c r="C23" s="83" t="s">
        <s:v>29</s:v>
      </s:c>
      <s:c r="D23" s="83" t="s">
        <s:v>30</s:v>
      </s:c>
      <s:c r="E23" s="83" t="s">
        <s:v>31</s:v>
      </s:c>
      <s:c r="F23" s="83" t="s">
        <s:v>32</s:v>
      </s:c>
      <s:c r="G23" s="83" t="s">
        <s:v>33</s:v>
      </s:c>
      <s:c r="H23" s="83" t="s">
        <s:v>34</s:v>
      </s:c>
      <s:c r="I23" s="83" t="s">
        <s:v>22</s:v>
      </s:c>
      <s:c r="J23" s="83" t="s">
        <s:v>35</s:v>
      </s:c>
      <s:c r="K23" s="84" t="s">
        <s:v>36</s:v>
      </s:c>
      <s:c r="L23" s="84" t="s">
        <s:v>36</s:v>
      </s:c>
      <s:c r="M23" s="84" t="s">
        <s:v>36</s:v>
      </s:c>
      <s:c r="N23" s="83" t="s">
        <s:v>37</s:v>
      </s:c>
      <s:c r="O23" s="564"/>
      <s:c r="P23" s="83" t="s">
        <s:v>38</s:v>
      </s:c>
      <s:c r="Q23" s="83" t="s">
        <s:v>39</s:v>
      </s:c>
      <s:c r="R23" s="83" t="s">
        <s:v>40</s:v>
      </s:c>
      <s:c r="S23" s="83" t="s">
        <s:v>41</s:v>
      </s:c>
      <s:c r="T23" s="83" t="s">
        <s:v>42</s:v>
      </s:c>
      <s:c r="U23" s="83" t="s">
        <s:v>43</s:v>
      </s:c>
      <s:c r="V23" s="85" t="s">
        <s:v>44</s:v>
      </s:c>
      <s:c r="W23" s="85" t="s">
        <s:v>45</s:v>
      </s:c>
      <s:c r="X23" s="86"/>
    </s:row>
    <s:row r="24">
      <s:c r="A24" s="565"/>
      <s:c r="B24" s="87">
        <s:v>1</s:v>
      </s:c>
      <s:c r="C24" s="87">
        <s:v>2</s:v>
      </s:c>
      <s:c r="D24" s="87">
        <s:v>3</s:v>
      </s:c>
      <s:c r="E24" s="87">
        <s:v>4</s:v>
      </s:c>
      <s:c r="F24" s="87">
        <s:v>5</s:v>
      </s:c>
      <s:c r="G24" s="87">
        <s:v>6</s:v>
      </s:c>
      <s:c r="H24" s="87">
        <s:v>7</s:v>
      </s:c>
      <s:c r="I24" s="87">
        <s:v>8</s:v>
      </s:c>
      <s:c r="J24" s="87">
        <s:v>9</s:v>
      </s:c>
      <s:c r="K24" s="87">
        <s:v>10</s:v>
      </s:c>
      <s:c r="L24" s="87">
        <s:v>11</s:v>
      </s:c>
      <s:c r="M24" s="87">
        <s:v>12</s:v>
      </s:c>
      <s:c r="N24" s="87">
        <s:v>13</s:v>
      </s:c>
      <s:c r="O24" s="564"/>
      <s:c r="P24" s="88">
        <s:v>1</s:v>
      </s:c>
      <s:c r="Q24" s="88">
        <s:v>2</s:v>
      </s:c>
      <s:c r="R24" s="88">
        <s:v>3</s:v>
      </s:c>
      <s:c r="S24" s="88">
        <s:v>4</s:v>
      </s:c>
      <s:c r="T24" s="88">
        <s:v>5</s:v>
      </s:c>
      <s:c r="U24" s="88">
        <s:v>6</s:v>
      </s:c>
      <s:c r="V24" s="88">
        <s:v>10</s:v>
      </s:c>
      <s:c r="W24" s="88">
        <s:v>11</s:v>
      </s:c>
    </s:row>
    <s:row r="25" spans="1:255" s="89" customFormat="1">
      <s:c r="A25" s="90" t="s">
        <s:v>46</s:v>
      </s:c>
      <s:c r="B25" s="91">
        <s:v>45689</s:v>
      </s:c>
      <s:c r="C25" s="92" t="s">
        <s:v>47</s:v>
      </s:c>
      <s:c r="D25" s="93">
        <s:v>18650</s:v>
      </s:c>
      <s:c r="E25" s="94">
        <s:v>6</s:v>
      </s:c>
      <s:c r="F25" s="94">
        <s:f>IF(AND(E25&lt;&gt;"",E25&lt;&gt;0),D25/E25,"")</s:f>
        <s:v>3108.3333333333335</s:v>
      </s:c>
      <s:c r="G25" s="94">
        <s:v>4</s:v>
      </s:c>
      <s:c r="H25" s="94">
        <s:f>IF(AND(G25&lt;&gt;"",G25&lt;&gt;0),D25/G25,"")</s:f>
        <s:v>4662.5</s:v>
      </s:c>
      <s:c r="I25" s="94">
        <s:v>20</s:v>
      </s:c>
      <s:c r="J25" s="93">
        <s:f>IF(AND(G25&lt;&gt;"",G25&lt;&gt;0),E25/G25,"")</s:f>
        <s:v>1.5</s:v>
      </s:c>
      <s:c r="K25" s="94"/>
      <s:c r="L25" s="94"/>
      <s:c r="M25" s="94"/>
      <s:c r="N25" s="95">
        <s:f>IF(AND(I25&lt;&gt;"",I25&lt;&gt;0),G25/I25,"")</s:f>
        <s:v>0.2</s:v>
      </s:c>
      <s:c r="O25" s="96">
        <s:f>D25/P25</s:f>
        <s:v>0.46497933982236483</s:v>
      </s:c>
      <s:c r="P25" s="97">
        <s:f>$I$8*V25*W25/SUMPRODUCT($W$25:$W$55,$V$25:$V$55)</s:f>
        <s:v>40109.30895795246</s:v>
      </s:c>
      <s:c r="Q25" s="98">
        <s:f>$I$9*V25*W25/SUMPRODUCT($W$25:$W$55,$V$25:$V$55)</s:f>
        <s:v>10.442413162705666</s:v>
      </s:c>
      <s:c r="R25" s="98">
        <s:f>IF($I$12="","",Q25/$I$12)</s:f>
        <s:v>5.221206581352833</s:v>
      </s:c>
      <s:c r="S25" s="97">
        <s:f>IF(D25&lt;&gt;"",D25,P25)</s:f>
        <s:v>18650</s:v>
      </s:c>
      <s:c r="T25" s="98">
        <s:f>IF(E25&lt;&gt;"",E25,Q25)</s:f>
        <s:v>6</s:v>
      </s:c>
      <s:c r="U25" s="98">
        <s:f>IF(G25&lt;&gt;"",G25,R25)</s:f>
        <s:v>4</s:v>
      </s:c>
      <s:c r="V25" s="99">
        <s:v>1</s:v>
      </s:c>
      <s:c r="W25" s="99">
        <s:v>1</s:v>
      </s:c>
      <s:c r="Y25" s="100"/>
    </s:row>
    <s:row r="26" spans="1:255" s="89" customFormat="1">
      <s:c r="A26" s="90" t="s">
        <s:v>46</s:v>
      </s:c>
      <s:c r="B26" s="91">
        <s:v>45690</s:v>
      </s:c>
      <s:c r="C26" s="92" t="s">
        <s:v>48</s:v>
      </s:c>
      <s:c r="D26" s="93">
        <s:v>52680</s:v>
      </s:c>
      <s:c r="E26" s="94">
        <s:v>15</s:v>
      </s:c>
      <s:c r="F26" s="94">
        <s:f>IF(AND(E26&lt;&gt;"",E26&lt;&gt;0),D26/E26,"")</s:f>
        <s:v>3512</s:v>
      </s:c>
      <s:c r="G26" s="94">
        <s:v>6</s:v>
      </s:c>
      <s:c r="H26" s="94">
        <s:f>IF(AND(G26&lt;&gt;"",G26&lt;&gt;0),D26/G26,"")</s:f>
        <s:v>8780</s:v>
      </s:c>
      <s:c r="I26" s="94">
        <s:v>20</s:v>
      </s:c>
      <s:c r="J26" s="93">
        <s:f>IF(AND(G26&lt;&gt;"",G26&lt;&gt;0),E26/G26,"")</s:f>
        <s:v>2.5</s:v>
      </s:c>
      <s:c r="K26" s="94"/>
      <s:c r="L26" s="94"/>
      <s:c r="M26" s="94"/>
      <s:c r="N26" s="95">
        <s:f>IF(AND(I26&lt;&gt;"",I26&lt;&gt;0),G26/I26,"")</s:f>
        <s:v>0.3</s:v>
      </s:c>
      <s:c r="O26" s="96">
        <s:f>D26/P26</s:f>
        <s:v>1.085463480018708</s:v>
      </s:c>
      <s:c r="P26" s="97">
        <s:f>$I$8*V26*W26/SUMPRODUCT($W$25:$W$55,$V$25:$V$55)</s:f>
        <s:v>48532.26383912249</s:v>
      </s:c>
      <s:c r="Q26" s="98">
        <s:f>$I$9*V26*W26/SUMPRODUCT($W$25:$W$55,$V$25:$V$55)</s:f>
        <s:v>12.635319926873855</s:v>
      </s:c>
      <s:c r="R26" s="98">
        <s:f>IF($I$12="","",Q26/$I$12)</s:f>
        <s:v>6.3176599634369275</s:v>
      </s:c>
      <s:c r="S26" s="97">
        <s:f>IF(W26&lt;&gt;"",IF(D26&lt;&gt;"",D26,($I$8-SUM($S$25:S25))*V26*W26/SUMPRODUCT($W26:$W$55,$V26:$V$55)),"")</s:f>
        <s:v>52680</s:v>
      </s:c>
      <s:c r="T26" s="98">
        <s:f>IF(W26&lt;&gt;"",IF(E26&lt;&gt;"",E26,($I$9-SUM($T$25:T25))*V26*W26/SUMPRODUCT($W26:$W$55,$V26:$V$55)),"")</s:f>
        <s:v>15</s:v>
      </s:c>
      <s:c r="U26" s="98">
        <s:f>IF(W26&lt;&gt;"",IF($I$12&lt;&gt;"",IF(G26&lt;&gt;"",G26,($I$9/$I$12-SUM($U$25:U25))*V26*W26/SUMPRODUCT($W26:$W$55,$V26:$V$55)),""),"")</s:f>
        <s:v>6</s:v>
      </s:c>
      <s:c r="V26" s="99">
        <s:v>1.1000000000000001</s:v>
      </s:c>
      <s:c r="W26" s="99">
        <s:v>1.1000000000000001</s:v>
      </s:c>
      <s:c r="X26" s="100"/>
      <s:c r="Y26" s="100"/>
    </s:row>
    <s:row r="27">
      <s:c r="A27" s="101" t="s">
        <s:v>49</s:v>
      </s:c>
      <s:c r="B27" s="102">
        <s:v>45691</s:v>
      </s:c>
      <s:c r="C27" s="103" t="s">
        <s:v>50</s:v>
      </s:c>
      <s:c r="D27" s="104">
        <s:v>13237</s:v>
      </s:c>
      <s:c r="E27" s="105">
        <s:v>4</s:v>
      </s:c>
      <s:c r="F27" s="106">
        <s:f>IF(AND(E27&lt;&gt;"",E27&lt;&gt;0),D27/E27,"")</s:f>
        <s:v>3309.25</s:v>
      </s:c>
      <s:c r="G27" s="105">
        <s:v>3</s:v>
      </s:c>
      <s:c r="H27" s="106">
        <s:f>IF(AND(G27&lt;&gt;"",G27&lt;&gt;0),D27/G27,"")</s:f>
        <s:v>4412.333333333333</s:v>
      </s:c>
      <s:c r="I27" s="105">
        <s:v>8</s:v>
      </s:c>
      <s:c r="J27" s="104">
        <s:f>IF(AND(G27&lt;&gt;"",G27&lt;&gt;0),E27/G27,"")</s:f>
        <s:v>1.3333333333333333</s:v>
      </s:c>
      <s:c r="K27" s="106"/>
      <s:c r="L27" s="106"/>
      <s:c r="M27" s="106"/>
      <s:c r="N27" s="107">
        <s:f>IF(AND(I27&lt;&gt;"",I27&lt;&gt;0),G27/I27,"")</s:f>
        <s:v>0.375</s:v>
      </s:c>
      <s:c r="O27" s="108">
        <s:f>D27/P27</s:f>
        <s:v>0.51566115291794923</s:v>
      </s:c>
      <s:c r="P27" s="109">
        <s:f>$I$8*V27*W27/SUMPRODUCT($W$25:$W$55,$V$25:$V$55)</s:f>
        <s:v>25669.957733089581</s:v>
      </s:c>
      <s:c r="Q27" s="110">
        <s:f>$I$9*V27*W27/SUMPRODUCT($W$25:$W$55,$V$25:$V$55)</s:f>
        <s:v>6.6831444241316262</s:v>
      </s:c>
      <s:c r="R27" s="110">
        <s:f>IF($I$12="","",Q27/$I$12)</s:f>
        <s:v>3.3415722120658131</s:v>
      </s:c>
      <s:c r="S27" s="109">
        <s:f>IF(W27&lt;&gt;"",IF(D27&lt;&gt;"",D27,($I$8-SUM($S$25:S26))*V27*W27/SUMPRODUCT($W27:$W$55,$V27:$V$55)),"")</s:f>
        <s:v>13237</s:v>
      </s:c>
      <s:c r="T27" s="110">
        <s:f>IF(W27&lt;&gt;"",IF(E27&lt;&gt;"",E27,($I$9-SUM($T$25:T26))*V27*W27/SUMPRODUCT($W27:$W$55,$V27:$V$55)),"")</s:f>
        <s:v>4</s:v>
      </s:c>
      <s:c r="U27" s="110">
        <s:f>IF(W27&lt;&gt;"",IF($I$12&lt;&gt;"",IF(G27&lt;&gt;"",G27,($I$9/$I$12-SUM($U$25:U26))*V27*W27/SUMPRODUCT($W27:$W$55,$V27:$V$55)),""),"")</s:f>
        <s:v>3</s:v>
      </s:c>
      <s:c r="V27" s="111">
        <s:v>0.8</s:v>
      </s:c>
      <s:c r="W27" s="111">
        <s:v>0.8</s:v>
      </s:c>
      <s:c r="X27" s="112"/>
      <s:c r="Y27" s="112"/>
    </s:row>
    <s:row r="28">
      <s:c r="A28" s="101" t="s">
        <s:v>49</s:v>
      </s:c>
      <s:c r="B28" s="102">
        <s:v>45692</s:v>
      </s:c>
      <s:c r="C28" s="103" t="s">
        <s:v>51</s:v>
      </s:c>
      <s:c r="D28" s="104">
        <s:f>7683+41907</s:f>
        <s:v>49590</s:v>
      </s:c>
      <s:c r="E28" s="106">
        <s:v>11</s:v>
      </s:c>
      <s:c r="F28" s="106">
        <s:f>IF(AND(E28&lt;&gt;"",E28&lt;&gt;0),D28/E28,"")</s:f>
        <s:v>4508.181818181818</s:v>
      </s:c>
      <s:c r="G28" s="106">
        <s:v>5</s:v>
      </s:c>
      <s:c r="H28" s="106">
        <s:f>IF(AND(G28&lt;&gt;"",G28&lt;&gt;0),D28/G28,"")</s:f>
        <s:v>9918</s:v>
      </s:c>
      <s:c r="I28" s="106">
        <s:v>16</s:v>
      </s:c>
      <s:c r="J28" s="104">
        <s:f>IF(AND(G28&lt;&gt;"",G28&lt;&gt;0),E28/G28,"")</s:f>
        <s:v>2.2000000000000002</s:v>
      </s:c>
      <s:c r="K28" s="106"/>
      <s:c r="L28" s="106"/>
      <s:c r="M28" s="106"/>
      <s:c r="N28" s="107">
        <s:f>IF(AND(I28&lt;&gt;"",I28&lt;&gt;0),G28/I28,"")</s:f>
        <s:v>0.3125</s:v>
      </s:c>
      <s:c r="O28" s="108">
        <s:f>D28/P28</s:f>
        <s:v>1.9318302163028709</s:v>
      </s:c>
      <s:c r="P28" s="109">
        <s:f>$I$8*V28*W28/SUMPRODUCT($W$25:$W$55,$V$25:$V$55)</s:f>
        <s:v>25669.957733089581</s:v>
      </s:c>
      <s:c r="Q28" s="110">
        <s:f>$I$9*V28*W28/SUMPRODUCT($W$25:$W$55,$V$25:$V$55)</s:f>
        <s:v>6.6831444241316262</s:v>
      </s:c>
      <s:c r="R28" s="110">
        <s:f>IF($I$12="","",Q28/$I$12)</s:f>
        <s:v>3.3415722120658131</s:v>
      </s:c>
      <s:c r="S28" s="109">
        <s:f>IF(W28&lt;&gt;"",IF(D28&lt;&gt;"",D28,($I$8-SUM($S$25:S27))*V28*W28/SUMPRODUCT($W28:$W$55,$V28:$V$55)),"")</s:f>
        <s:v>49590</s:v>
      </s:c>
      <s:c r="T28" s="110">
        <s:f>IF(W28&lt;&gt;"",IF(E28&lt;&gt;"",E28,($I$9-SUM($T$25:T27))*V28*W28/SUMPRODUCT($W28:$W$55,$V28:$V$55)),"")</s:f>
        <s:v>11</s:v>
      </s:c>
      <s:c r="U28" s="110">
        <s:f>IF(W28&lt;&gt;"",IF($I$12&lt;&gt;"",IF(G28&lt;&gt;"",G28,($I$9/$I$12-SUM($U$25:U27))*V28*W28/SUMPRODUCT($W28:$W$55,$V28:$V$55)),""),"")</s:f>
        <s:v>5</s:v>
      </s:c>
      <s:c r="V28" s="111">
        <s:v>0.8</s:v>
      </s:c>
      <s:c r="W28" s="111">
        <s:v>0.8</s:v>
      </s:c>
      <s:c r="X28" s="112"/>
      <s:c r="Y28" s="113"/>
    </s:row>
    <s:row r="29" spans="1:255" s="114" customFormat="1">
      <s:c r="A29" s="101" t="s">
        <s:v>49</s:v>
      </s:c>
      <s:c r="B29" s="102">
        <s:v>45693</s:v>
      </s:c>
      <s:c r="C29" s="103" t="s">
        <s:v>52</s:v>
      </s:c>
      <s:c r="D29" s="104">
        <s:v>15563</s:v>
      </s:c>
      <s:c r="E29" s="106">
        <s:v>3</s:v>
      </s:c>
      <s:c r="F29" s="106">
        <s:f>IF(AND(E29&lt;&gt;"",E29&lt;&gt;0),D29/E29,"")</s:f>
        <s:v>5187.666666666667</s:v>
      </s:c>
      <s:c r="G29" s="106">
        <s:v>2</s:v>
      </s:c>
      <s:c r="H29" s="106">
        <s:f>IF(AND(G29&lt;&gt;"",G29&lt;&gt;0),D29/G29,"")</s:f>
        <s:v>7781.5</s:v>
      </s:c>
      <s:c r="I29" s="106">
        <s:v>9</s:v>
      </s:c>
      <s:c r="J29" s="104">
        <s:f>IF(AND(G29&lt;&gt;"",G29&lt;&gt;0),E29/G29,"")</s:f>
        <s:v>1.5</s:v>
      </s:c>
      <s:c r="K29" s="106"/>
      <s:c r="L29" s="106"/>
      <s:c r="M29" s="106"/>
      <s:c r="N29" s="107">
        <s:f>IF(AND(I29&lt;&gt;"",I29&lt;&gt;0),G29/I29,"")</s:f>
        <s:v>0.22222222222222221</s:v>
      </s:c>
      <s:c r="O29" s="108">
        <s:f>D29/P29</s:f>
        <s:v>0.47903044819484752</s:v>
      </s:c>
      <s:c r="P29" s="109">
        <s:f>$I$8*V29*W29/SUMPRODUCT($W$25:$W$55,$V$25:$V$55)</s:f>
        <s:v>32488.540255941494</s:v>
      </s:c>
      <s:c r="Q29" s="110">
        <s:f>$I$9*V29*W29/SUMPRODUCT($W$25:$W$55,$V$25:$V$55)</s:f>
        <s:v>8.4583546617915903</s:v>
      </s:c>
      <s:c r="R29" s="110">
        <s:f>IF($I$12="","",Q29/$I$12)</s:f>
        <s:v>4.2291773308957952</s:v>
      </s:c>
      <s:c r="S29" s="109">
        <s:f>IF(W29&lt;&gt;"",IF(D29&lt;&gt;"",D29,($I$8-SUM($S$25:S28))*V29*W29/SUMPRODUCT($W29:$W$55,$V29:$V$55)),"")</s:f>
        <s:v>15563</s:v>
      </s:c>
      <s:c r="T29" s="110">
        <s:f>IF(W29&lt;&gt;"",IF(E29&lt;&gt;"",E29,($I$9-SUM($T$25:T28))*V29*W29/SUMPRODUCT($W29:$W$55,$V29:$V$55)),"")</s:f>
        <s:v>3</s:v>
      </s:c>
      <s:c r="U29" s="110">
        <s:f>IF(W29&lt;&gt;"",IF($I$12&lt;&gt;"",IF(G29&lt;&gt;"",G29,($I$9/$I$12-SUM($U$25:U28))*V29*W29/SUMPRODUCT($W29:$W$55,$V29:$V$55)),""),"")</s:f>
        <s:v>2</s:v>
      </s:c>
      <s:c r="V29" s="111">
        <s:v>0.9</s:v>
      </s:c>
      <s:c r="W29" s="111">
        <s:v>0.9</s:v>
      </s:c>
      <s:c r="X29" s="112"/>
      <s:c r="Y29" s="112"/>
      <s:c r="Z29" s="2"/>
      <s:c r="AA29" s="2"/>
      <s:c r="AB29" s="2"/>
      <s:c r="AC29" s="2"/>
      <s:c r="AD29" s="2"/>
      <s:c r="AE29" s="2"/>
      <s:c r="AF29" s="2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2"/>
      <s:c r="AR29" s="2"/>
      <s:c r="AS29" s="2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</s:row>
    <s:row r="30" spans="1:255" s="115" customFormat="1">
      <s:c r="A30" s="90" t="s">
        <s:v>49</s:v>
      </s:c>
      <s:c r="B30" s="91">
        <s:v>45694</s:v>
      </s:c>
      <s:c r="C30" s="92" t="s">
        <s:v>53</s:v>
      </s:c>
      <s:c r="D30" s="116"/>
      <s:c r="E30" s="117">
        <s:v>0</s:v>
      </s:c>
      <s:c r="F30" s="117" t="str">
        <s:f>IF(AND(E30&lt;&gt;"",E30&lt;&gt;0),D30/E30,"")</s:f>
        <s:v/>
      </s:c>
      <s:c r="G30" s="117">
        <s:v>0</s:v>
      </s:c>
      <s:c r="H30" s="117" t="str">
        <s:f>IF(AND(G30&lt;&gt;"",G30&lt;&gt;0),D30/G30,"")</s:f>
        <s:v/>
      </s:c>
      <s:c r="I30" s="117">
        <s:v>4</s:v>
      </s:c>
      <s:c r="J30" s="116" t="str">
        <s:f>IF(AND(G30&lt;&gt;"",G30&lt;&gt;0),E30/G30,"")</s:f>
        <s:v/>
      </s:c>
      <s:c r="K30" s="117"/>
      <s:c r="L30" s="117"/>
      <s:c r="M30" s="117"/>
      <s:c r="N30" s="118">
        <s:f>IF(AND(I30&lt;&gt;"",I30&lt;&gt;0),G30/I30,"")</s:f>
        <s:v>0</s:v>
      </s:c>
      <s:c r="O30" s="119">
        <s:f>D30/P30</s:f>
        <s:v>0</s:v>
      </s:c>
      <s:c r="P30" s="120">
        <s:f>$I$8*V30*W30/SUMPRODUCT($W$25:$W$55,$V$25:$V$55)</s:f>
        <s:v>57757.40489945154</s:v>
      </s:c>
      <s:c r="Q30" s="121">
        <s:f>$I$9*V30*W30/SUMPRODUCT($W$25:$W$55,$V$25:$V$55)</s:f>
        <s:v>15.037074954296159</s:v>
      </s:c>
      <s:c r="R30" s="121">
        <s:f>IF($I$12="","",Q30/$I$12)</s:f>
        <s:v>7.5185374771480795</s:v>
      </s:c>
      <s:c r="S30" s="120">
        <s:f>IF(W30&lt;&gt;"",IF(D30&lt;&gt;"",D30,($I$8-SUM($S$25:S29))*V30*W30/SUMPRODUCT($W30:$W$55,$V30:$V$55)),"")</s:f>
        <s:v>59178.664815618198</s:v>
      </s:c>
      <s:c r="T30" s="121">
        <s:f>IF(W30&lt;&gt;"",IF(E30&lt;&gt;"",E30,($I$9-SUM($T$25:T29))*V30*W30/SUMPRODUCT($W30:$W$55,$V30:$V$55)),"")</s:f>
        <s:v>0</s:v>
      </s:c>
      <s:c r="U30" s="121">
        <s:f>IF(W30&lt;&gt;"",IF($I$12&lt;&gt;"",IF(G30&lt;&gt;"",G30,($I$9/$I$12-SUM($U$25:U29))*V30*W30/SUMPRODUCT($W30:$W$55,$V30:$V$55)),""),"")</s:f>
        <s:v>0</s:v>
      </s:c>
      <s:c r="V30" s="122">
        <s:v>1.2</s:v>
      </s:c>
      <s:c r="W30" s="122">
        <s:v>1.2</s:v>
      </s:c>
      <s:c r="X30" s="123"/>
      <s:c r="Y30" s="123"/>
      <s:c r="Z30" s="124"/>
      <s:c r="AA30" s="124"/>
      <s:c r="AB30" s="124"/>
      <s:c r="AC30" s="124"/>
      <s:c r="AD30" s="124"/>
      <s:c r="AE30" s="124"/>
      <s:c r="AF30" s="124"/>
      <s:c r="AG30" s="124"/>
      <s:c r="AH30" s="124"/>
      <s:c r="AI30" s="124"/>
      <s:c r="AJ30" s="124"/>
      <s:c r="AK30" s="124"/>
      <s:c r="AL30" s="124"/>
      <s:c r="AM30" s="124"/>
      <s:c r="AN30" s="124"/>
      <s:c r="AO30" s="124"/>
      <s:c r="AP30" s="124"/>
      <s:c r="AQ30" s="124"/>
      <s:c r="AR30" s="124"/>
      <s:c r="AS30" s="124"/>
      <s:c r="AT30" s="124"/>
      <s:c r="AU30" s="124"/>
      <s:c r="AV30" s="124"/>
      <s:c r="AW30" s="124"/>
      <s:c r="AX30" s="124"/>
      <s:c r="AY30" s="124"/>
      <s:c r="AZ30" s="124"/>
      <s:c r="BA30" s="124"/>
      <s:c r="BB30" s="124"/>
      <s:c r="BC30" s="124"/>
      <s:c r="BD30" s="124"/>
      <s:c r="BE30" s="124"/>
      <s:c r="BF30" s="124"/>
      <s:c r="BG30" s="124"/>
      <s:c r="BH30" s="124"/>
      <s:c r="BI30" s="124"/>
      <s:c r="BJ30" s="124"/>
      <s:c r="BK30" s="124"/>
      <s:c r="BL30" s="124"/>
      <s:c r="BM30" s="124"/>
      <s:c r="BN30" s="124"/>
      <s:c r="BO30" s="124"/>
      <s:c r="BP30" s="124"/>
      <s:c r="BQ30" s="124"/>
      <s:c r="BR30" s="124"/>
      <s:c r="BS30" s="124"/>
      <s:c r="BT30" s="124"/>
      <s:c r="BU30" s="124"/>
      <s:c r="BV30" s="124"/>
      <s:c r="BW30" s="124"/>
      <s:c r="BX30" s="124"/>
      <s:c r="BY30" s="124"/>
      <s:c r="BZ30" s="124"/>
      <s:c r="CA30" s="124"/>
      <s:c r="CB30" s="124"/>
      <s:c r="CC30" s="124"/>
      <s:c r="CD30" s="124"/>
      <s:c r="CE30" s="124"/>
      <s:c r="CF30" s="124"/>
      <s:c r="CG30" s="124"/>
      <s:c r="CH30" s="124"/>
      <s:c r="CI30" s="124"/>
      <s:c r="CJ30" s="124"/>
      <s:c r="CK30" s="124"/>
      <s:c r="CL30" s="124"/>
      <s:c r="CM30" s="124"/>
      <s:c r="CN30" s="124"/>
      <s:c r="CO30" s="124"/>
      <s:c r="CP30" s="124"/>
      <s:c r="CQ30" s="124"/>
      <s:c r="CR30" s="124"/>
      <s:c r="CS30" s="124"/>
      <s:c r="CT30" s="124"/>
      <s:c r="CU30" s="124"/>
      <s:c r="CV30" s="124"/>
      <s:c r="CW30" s="124"/>
      <s:c r="CX30" s="124"/>
      <s:c r="CY30" s="124"/>
      <s:c r="CZ30" s="124"/>
      <s:c r="DA30" s="124"/>
      <s:c r="DB30" s="124"/>
      <s:c r="DC30" s="124"/>
      <s:c r="DD30" s="124"/>
      <s:c r="DE30" s="124"/>
      <s:c r="DF30" s="124"/>
      <s:c r="DG30" s="124"/>
      <s:c r="DH30" s="124"/>
      <s:c r="DI30" s="124"/>
      <s:c r="DJ30" s="124"/>
      <s:c r="DK30" s="124"/>
      <s:c r="DL30" s="124"/>
      <s:c r="DM30" s="124"/>
      <s:c r="DN30" s="124"/>
      <s:c r="DO30" s="124"/>
      <s:c r="DP30" s="124"/>
      <s:c r="DQ30" s="124"/>
      <s:c r="DR30" s="124"/>
      <s:c r="DS30" s="124"/>
      <s:c r="DT30" s="124"/>
      <s:c r="DU30" s="124"/>
      <s:c r="DV30" s="124"/>
      <s:c r="DW30" s="124"/>
      <s:c r="DX30" s="124"/>
      <s:c r="DY30" s="124"/>
      <s:c r="DZ30" s="124"/>
      <s:c r="EA30" s="124"/>
      <s:c r="EB30" s="124"/>
      <s:c r="EC30" s="124"/>
      <s:c r="ED30" s="124"/>
      <s:c r="EE30" s="124"/>
      <s:c r="EF30" s="124"/>
      <s:c r="EG30" s="124"/>
      <s:c r="EH30" s="124"/>
      <s:c r="EI30" s="124"/>
      <s:c r="EJ30" s="124"/>
      <s:c r="EK30" s="124"/>
      <s:c r="EL30" s="124"/>
      <s:c r="EM30" s="124"/>
      <s:c r="EN30" s="124"/>
      <s:c r="EO30" s="124"/>
      <s:c r="EP30" s="124"/>
      <s:c r="EQ30" s="124"/>
      <s:c r="ER30" s="124"/>
      <s:c r="ES30" s="124"/>
      <s:c r="ET30" s="124"/>
      <s:c r="EU30" s="124"/>
      <s:c r="EV30" s="124"/>
      <s:c r="EW30" s="124"/>
      <s:c r="EX30" s="124"/>
      <s:c r="EY30" s="124"/>
      <s:c r="EZ30" s="124"/>
      <s:c r="FA30" s="124"/>
      <s:c r="FB30" s="124"/>
      <s:c r="FC30" s="124"/>
      <s:c r="FD30" s="124"/>
      <s:c r="FE30" s="124"/>
      <s:c r="FF30" s="124"/>
      <s:c r="FG30" s="124"/>
      <s:c r="FH30" s="124"/>
      <s:c r="FI30" s="124"/>
      <s:c r="FJ30" s="124"/>
      <s:c r="FK30" s="124"/>
      <s:c r="FL30" s="124"/>
      <s:c r="FM30" s="124"/>
      <s:c r="FN30" s="124"/>
      <s:c r="FO30" s="124"/>
      <s:c r="FP30" s="124"/>
      <s:c r="FQ30" s="124"/>
      <s:c r="FR30" s="124"/>
      <s:c r="FS30" s="124"/>
      <s:c r="FT30" s="124"/>
      <s:c r="FU30" s="124"/>
      <s:c r="FV30" s="124"/>
      <s:c r="FW30" s="124"/>
      <s:c r="FX30" s="124"/>
      <s:c r="FY30" s="124"/>
      <s:c r="FZ30" s="124"/>
      <s:c r="GA30" s="124"/>
      <s:c r="GB30" s="124"/>
      <s:c r="GC30" s="124"/>
      <s:c r="GD30" s="124"/>
      <s:c r="GE30" s="124"/>
      <s:c r="GF30" s="124"/>
      <s:c r="GG30" s="124"/>
      <s:c r="GH30" s="124"/>
      <s:c r="GI30" s="124"/>
      <s:c r="GJ30" s="124"/>
      <s:c r="GK30" s="124"/>
      <s:c r="GL30" s="124"/>
      <s:c r="GM30" s="124"/>
      <s:c r="GN30" s="124"/>
      <s:c r="GO30" s="124"/>
      <s:c r="GP30" s="124"/>
      <s:c r="GQ30" s="124"/>
      <s:c r="GR30" s="124"/>
      <s:c r="GS30" s="124"/>
      <s:c r="GT30" s="124"/>
      <s:c r="GU30" s="124"/>
      <s:c r="GV30" s="124"/>
      <s:c r="GW30" s="124"/>
      <s:c r="GX30" s="124"/>
      <s:c r="GY30" s="124"/>
      <s:c r="GZ30" s="124"/>
      <s:c r="HA30" s="124"/>
      <s:c r="HB30" s="124"/>
      <s:c r="HC30" s="124"/>
      <s:c r="HD30" s="124"/>
      <s:c r="HE30" s="124"/>
      <s:c r="HF30" s="124"/>
      <s:c r="HG30" s="124"/>
      <s:c r="HH30" s="124"/>
      <s:c r="HI30" s="124"/>
      <s:c r="HJ30" s="124"/>
      <s:c r="HK30" s="124"/>
      <s:c r="HL30" s="124"/>
      <s:c r="HM30" s="124"/>
      <s:c r="HN30" s="124"/>
      <s:c r="HO30" s="124"/>
      <s:c r="HP30" s="124"/>
      <s:c r="HQ30" s="124"/>
      <s:c r="HR30" s="124"/>
      <s:c r="HS30" s="124"/>
      <s:c r="HT30" s="124"/>
      <s:c r="HU30" s="124"/>
      <s:c r="HV30" s="124"/>
      <s:c r="HW30" s="124"/>
      <s:c r="HX30" s="124"/>
      <s:c r="HY30" s="124"/>
      <s:c r="HZ30" s="124"/>
      <s:c r="IA30" s="124"/>
      <s:c r="IB30" s="124"/>
      <s:c r="IC30" s="124"/>
      <s:c r="ID30" s="124"/>
      <s:c r="IE30" s="124"/>
      <s:c r="IF30" s="124"/>
      <s:c r="IG30" s="124"/>
      <s:c r="IH30" s="124"/>
      <s:c r="II30" s="124"/>
      <s:c r="IJ30" s="124"/>
      <s:c r="IK30" s="124"/>
      <s:c r="IL30" s="124"/>
      <s:c r="IM30" s="124"/>
      <s:c r="IN30" s="124"/>
      <s:c r="IO30" s="124"/>
      <s:c r="IP30" s="124"/>
      <s:c r="IQ30" s="124"/>
      <s:c r="IR30" s="124"/>
      <s:c r="IS30" s="124"/>
      <s:c r="IT30" s="124"/>
      <s:c r="IU30" s="124"/>
    </s:row>
    <s:row r="31" spans="1:255" s="115" customFormat="1">
      <s:c r="A31" s="90" t="s">
        <s:v>49</s:v>
      </s:c>
      <s:c r="B31" s="91">
        <s:v>45695</s:v>
      </s:c>
      <s:c r="C31" s="92" t="s">
        <s:v>54</s:v>
      </s:c>
      <s:c r="D31" s="116">
        <s:v>5984</s:v>
      </s:c>
      <s:c r="E31" s="117">
        <s:v>2</s:v>
      </s:c>
      <s:c r="F31" s="117">
        <s:f>IF(AND(E31&lt;&gt;"",E31&lt;&gt;0),D31/E31,"")</s:f>
        <s:v>2992</s:v>
      </s:c>
      <s:c r="G31" s="117">
        <s:v>2</s:v>
      </s:c>
      <s:c r="H31" s="117">
        <s:f>IF(AND(G31&lt;&gt;"",G31&lt;&gt;0),D31/G31,"")</s:f>
        <s:v>2992</s:v>
      </s:c>
      <s:c r="I31" s="117">
        <s:v>9</s:v>
      </s:c>
      <s:c r="J31" s="116">
        <s:f>IF(AND(G31&lt;&gt;"",G31&lt;&gt;0),E31/G31,"")</s:f>
        <s:v>1</s:v>
      </s:c>
      <s:c r="K31" s="117"/>
      <s:c r="L31" s="117"/>
      <s:c r="M31" s="117"/>
      <s:c r="N31" s="118">
        <s:f>IF(AND(I31&lt;&gt;"",I31&lt;&gt;0),G31/I31,"")</s:f>
        <s:v>0.22222222222222221</s:v>
      </s:c>
      <s:c r="O31" s="119">
        <s:f>D31/P31</s:f>
        <s:v>8.8279466646478441E-2</s:v>
      </s:c>
      <s:c r="P31" s="120">
        <s:f>$I$8*V31*W31/SUMPRODUCT($W$25:$W$55,$V$25:$V$55)</s:f>
        <s:v>67784.732138939667</s:v>
      </s:c>
      <s:c r="Q31" s="121">
        <s:f>$I$9*V31*W31/SUMPRODUCT($W$25:$W$55,$V$25:$V$55)</s:f>
        <s:v>17.647678244972575</s:v>
      </s:c>
      <s:c r="R31" s="121">
        <s:f>IF($I$12="","",Q31/$I$12)</s:f>
        <s:v>8.8238391224862873</s:v>
      </s:c>
      <s:c r="S31" s="120">
        <s:f>IF(W31&lt;&gt;"",IF(D31&lt;&gt;"",D31,($I$8-SUM($S$25:S30))*V31*W31/SUMPRODUCT($W31:$W$55,$V31:$V$55)),"")</s:f>
        <s:v>5984</s:v>
      </s:c>
      <s:c r="T31" s="121">
        <s:f>IF(W31&lt;&gt;"",IF(E31&lt;&gt;"",E31,($I$9-SUM($T$25:T30))*V31*W31/SUMPRODUCT($W31:$W$55,$V31:$V$55)),"")</s:f>
        <s:v>2</s:v>
      </s:c>
      <s:c r="U31" s="121">
        <s:f>IF(W31&lt;&gt;"",IF($I$12&lt;&gt;"",IF(G31&lt;&gt;"",G31,($I$9/$I$12-SUM($U$25:U30))*V31*W31/SUMPRODUCT($W31:$W$55,$V31:$V$55)),""),"")</s:f>
        <s:v>2</s:v>
      </s:c>
      <s:c r="V31" s="122">
        <s:v>1.3</s:v>
      </s:c>
      <s:c r="W31" s="122">
        <s:v>1.3</s:v>
      </s:c>
      <s:c r="X31" s="123"/>
      <s:c r="Y31" s="123"/>
      <s:c r="Z31" s="124"/>
      <s:c r="AA31" s="124"/>
      <s:c r="AB31" s="124"/>
      <s:c r="AC31" s="124"/>
      <s:c r="AD31" s="124"/>
      <s:c r="AE31" s="124"/>
      <s:c r="AF31" s="124"/>
      <s:c r="AG31" s="124"/>
      <s:c r="AH31" s="124"/>
      <s:c r="AI31" s="124"/>
      <s:c r="AJ31" s="124"/>
      <s:c r="AK31" s="124"/>
      <s:c r="AL31" s="124"/>
      <s:c r="AM31" s="124"/>
      <s:c r="AN31" s="124"/>
      <s:c r="AO31" s="124"/>
      <s:c r="AP31" s="124"/>
      <s:c r="AQ31" s="124"/>
      <s:c r="AR31" s="124"/>
      <s:c r="AS31" s="124"/>
      <s:c r="AT31" s="124"/>
      <s:c r="AU31" s="124"/>
      <s:c r="AV31" s="124"/>
      <s:c r="AW31" s="124"/>
      <s:c r="AX31" s="124"/>
      <s:c r="AY31" s="124"/>
      <s:c r="AZ31" s="124"/>
      <s:c r="BA31" s="124"/>
      <s:c r="BB31" s="124"/>
      <s:c r="BC31" s="124"/>
      <s:c r="BD31" s="124"/>
      <s:c r="BE31" s="124"/>
      <s:c r="BF31" s="124"/>
      <s:c r="BG31" s="124"/>
      <s:c r="BH31" s="124"/>
      <s:c r="BI31" s="124"/>
      <s:c r="BJ31" s="124"/>
      <s:c r="BK31" s="124"/>
      <s:c r="BL31" s="124"/>
      <s:c r="BM31" s="124"/>
      <s:c r="BN31" s="124"/>
      <s:c r="BO31" s="124"/>
      <s:c r="BP31" s="124"/>
      <s:c r="BQ31" s="124"/>
      <s:c r="BR31" s="124"/>
      <s:c r="BS31" s="124"/>
      <s:c r="BT31" s="124"/>
      <s:c r="BU31" s="124"/>
      <s:c r="BV31" s="124"/>
      <s:c r="BW31" s="124"/>
      <s:c r="BX31" s="124"/>
      <s:c r="BY31" s="124"/>
      <s:c r="BZ31" s="124"/>
      <s:c r="CA31" s="124"/>
      <s:c r="CB31" s="124"/>
      <s:c r="CC31" s="124"/>
      <s:c r="CD31" s="124"/>
      <s:c r="CE31" s="124"/>
      <s:c r="CF31" s="124"/>
      <s:c r="CG31" s="124"/>
      <s:c r="CH31" s="124"/>
      <s:c r="CI31" s="124"/>
      <s:c r="CJ31" s="124"/>
      <s:c r="CK31" s="124"/>
      <s:c r="CL31" s="124"/>
      <s:c r="CM31" s="124"/>
      <s:c r="CN31" s="124"/>
      <s:c r="CO31" s="124"/>
      <s:c r="CP31" s="124"/>
      <s:c r="CQ31" s="124"/>
      <s:c r="CR31" s="124"/>
      <s:c r="CS31" s="124"/>
      <s:c r="CT31" s="124"/>
      <s:c r="CU31" s="124"/>
      <s:c r="CV31" s="124"/>
      <s:c r="CW31" s="124"/>
      <s:c r="CX31" s="124"/>
      <s:c r="CY31" s="124"/>
      <s:c r="CZ31" s="124"/>
      <s:c r="DA31" s="124"/>
      <s:c r="DB31" s="124"/>
      <s:c r="DC31" s="124"/>
      <s:c r="DD31" s="124"/>
      <s:c r="DE31" s="124"/>
      <s:c r="DF31" s="124"/>
      <s:c r="DG31" s="124"/>
      <s:c r="DH31" s="124"/>
      <s:c r="DI31" s="124"/>
      <s:c r="DJ31" s="124"/>
      <s:c r="DK31" s="124"/>
      <s:c r="DL31" s="124"/>
      <s:c r="DM31" s="124"/>
      <s:c r="DN31" s="124"/>
      <s:c r="DO31" s="124"/>
      <s:c r="DP31" s="124"/>
      <s:c r="DQ31" s="124"/>
      <s:c r="DR31" s="124"/>
      <s:c r="DS31" s="124"/>
      <s:c r="DT31" s="124"/>
      <s:c r="DU31" s="124"/>
      <s:c r="DV31" s="124"/>
      <s:c r="DW31" s="124"/>
      <s:c r="DX31" s="124"/>
      <s:c r="DY31" s="124"/>
      <s:c r="DZ31" s="124"/>
      <s:c r="EA31" s="124"/>
      <s:c r="EB31" s="124"/>
      <s:c r="EC31" s="124"/>
      <s:c r="ED31" s="124"/>
      <s:c r="EE31" s="124"/>
      <s:c r="EF31" s="124"/>
      <s:c r="EG31" s="124"/>
      <s:c r="EH31" s="124"/>
      <s:c r="EI31" s="124"/>
      <s:c r="EJ31" s="124"/>
      <s:c r="EK31" s="124"/>
      <s:c r="EL31" s="124"/>
      <s:c r="EM31" s="124"/>
      <s:c r="EN31" s="124"/>
      <s:c r="EO31" s="124"/>
      <s:c r="EP31" s="124"/>
      <s:c r="EQ31" s="124"/>
      <s:c r="ER31" s="124"/>
      <s:c r="ES31" s="124"/>
      <s:c r="ET31" s="124"/>
      <s:c r="EU31" s="124"/>
      <s:c r="EV31" s="124"/>
      <s:c r="EW31" s="124"/>
      <s:c r="EX31" s="124"/>
      <s:c r="EY31" s="124"/>
      <s:c r="EZ31" s="124"/>
      <s:c r="FA31" s="124"/>
      <s:c r="FB31" s="124"/>
      <s:c r="FC31" s="124"/>
      <s:c r="FD31" s="124"/>
      <s:c r="FE31" s="124"/>
      <s:c r="FF31" s="124"/>
      <s:c r="FG31" s="124"/>
      <s:c r="FH31" s="124"/>
      <s:c r="FI31" s="124"/>
      <s:c r="FJ31" s="124"/>
      <s:c r="FK31" s="124"/>
      <s:c r="FL31" s="124"/>
      <s:c r="FM31" s="124"/>
      <s:c r="FN31" s="124"/>
      <s:c r="FO31" s="124"/>
      <s:c r="FP31" s="124"/>
      <s:c r="FQ31" s="124"/>
      <s:c r="FR31" s="124"/>
      <s:c r="FS31" s="124"/>
      <s:c r="FT31" s="124"/>
      <s:c r="FU31" s="124"/>
      <s:c r="FV31" s="124"/>
      <s:c r="FW31" s="124"/>
      <s:c r="FX31" s="124"/>
      <s:c r="FY31" s="124"/>
      <s:c r="FZ31" s="124"/>
      <s:c r="GA31" s="124"/>
      <s:c r="GB31" s="124"/>
      <s:c r="GC31" s="124"/>
      <s:c r="GD31" s="124"/>
      <s:c r="GE31" s="124"/>
      <s:c r="GF31" s="124"/>
      <s:c r="GG31" s="124"/>
      <s:c r="GH31" s="124"/>
      <s:c r="GI31" s="124"/>
      <s:c r="GJ31" s="124"/>
      <s:c r="GK31" s="124"/>
      <s:c r="GL31" s="124"/>
      <s:c r="GM31" s="124"/>
      <s:c r="GN31" s="124"/>
      <s:c r="GO31" s="124"/>
      <s:c r="GP31" s="124"/>
      <s:c r="GQ31" s="124"/>
      <s:c r="GR31" s="124"/>
      <s:c r="GS31" s="124"/>
      <s:c r="GT31" s="124"/>
      <s:c r="GU31" s="124"/>
      <s:c r="GV31" s="124"/>
      <s:c r="GW31" s="124"/>
      <s:c r="GX31" s="124"/>
      <s:c r="GY31" s="124"/>
      <s:c r="GZ31" s="124"/>
      <s:c r="HA31" s="124"/>
      <s:c r="HB31" s="124"/>
      <s:c r="HC31" s="124"/>
      <s:c r="HD31" s="124"/>
      <s:c r="HE31" s="124"/>
      <s:c r="HF31" s="124"/>
      <s:c r="HG31" s="124"/>
      <s:c r="HH31" s="124"/>
      <s:c r="HI31" s="124"/>
      <s:c r="HJ31" s="124"/>
      <s:c r="HK31" s="124"/>
      <s:c r="HL31" s="124"/>
      <s:c r="HM31" s="124"/>
      <s:c r="HN31" s="124"/>
      <s:c r="HO31" s="124"/>
      <s:c r="HP31" s="124"/>
      <s:c r="HQ31" s="124"/>
      <s:c r="HR31" s="124"/>
      <s:c r="HS31" s="124"/>
      <s:c r="HT31" s="124"/>
      <s:c r="HU31" s="124"/>
      <s:c r="HV31" s="124"/>
      <s:c r="HW31" s="124"/>
      <s:c r="HX31" s="124"/>
      <s:c r="HY31" s="124"/>
      <s:c r="HZ31" s="124"/>
      <s:c r="IA31" s="124"/>
      <s:c r="IB31" s="124"/>
      <s:c r="IC31" s="124"/>
      <s:c r="ID31" s="124"/>
      <s:c r="IE31" s="124"/>
      <s:c r="IF31" s="124"/>
      <s:c r="IG31" s="124"/>
      <s:c r="IH31" s="124"/>
      <s:c r="II31" s="124"/>
      <s:c r="IJ31" s="124"/>
      <s:c r="IK31" s="124"/>
      <s:c r="IL31" s="124"/>
      <s:c r="IM31" s="124"/>
      <s:c r="IN31" s="124"/>
      <s:c r="IO31" s="124"/>
      <s:c r="IP31" s="124"/>
      <s:c r="IQ31" s="124"/>
      <s:c r="IR31" s="124"/>
      <s:c r="IS31" s="124"/>
      <s:c r="IT31" s="124"/>
      <s:c r="IU31" s="124"/>
    </s:row>
    <s:row r="32" spans="1:255" s="115" customFormat="1">
      <s:c r="A32" s="90" t="s">
        <s:v>49</s:v>
      </s:c>
      <s:c r="B32" s="91">
        <s:v>45696</s:v>
      </s:c>
      <s:c r="C32" s="92" t="s">
        <s:v>47</s:v>
      </s:c>
      <s:c r="D32" s="116">
        <s:v>13876</s:v>
      </s:c>
      <s:c r="E32" s="117">
        <s:v>3</s:v>
      </s:c>
      <s:c r="F32" s="117">
        <s:f>IF(AND(E32&lt;&gt;"",E32&lt;&gt;0),D32/E32,"")</s:f>
        <s:v>4625.333333333333</s:v>
      </s:c>
      <s:c r="G32" s="117">
        <s:v>3</s:v>
      </s:c>
      <s:c r="H32" s="117">
        <s:f>IF(AND(G32&lt;&gt;"",G32&lt;&gt;0),D32/G32,"")</s:f>
        <s:v>4625.333333333333</s:v>
      </s:c>
      <s:c r="I32" s="117">
        <s:v>4</s:v>
      </s:c>
      <s:c r="J32" s="116">
        <s:f>IF(AND(G32&lt;&gt;"",G32&lt;&gt;0),E32/G32,"")</s:f>
        <s:v>1</s:v>
      </s:c>
      <s:c r="K32" s="117"/>
      <s:c r="L32" s="117"/>
      <s:c r="M32" s="117"/>
      <s:c r="N32" s="118">
        <s:f>IF(AND(I32&lt;&gt;"",I32&lt;&gt;0),G32/I32,"")</s:f>
        <s:v>0.75</s:v>
      </s:c>
      <s:c r="O32" s="119">
        <s:f>D32/P32</s:f>
        <s:v>0.153757600700033</s:v>
      </s:c>
      <s:c r="P32" s="120">
        <s:f>$I$8*V32*W32/SUMPRODUCT($W$25:$W$55,$V$25:$V$55)</s:f>
        <s:v>90245.945155393041</s:v>
      </s:c>
      <s:c r="Q32" s="121">
        <s:f>$I$9*V32*W32/SUMPRODUCT($W$25:$W$55,$V$25:$V$55)</s:f>
        <s:v>23.495429616087748</s:v>
      </s:c>
      <s:c r="R32" s="121">
        <s:f>IF($I$12="","",Q32/$I$12)</s:f>
        <s:v>11.747714808043874</s:v>
      </s:c>
      <s:c r="S32" s="120">
        <s:f>IF(W32&lt;&gt;"",IF(D32&lt;&gt;"",D32,($I$8-SUM($S$25:S31))*V32*W32/SUMPRODUCT($W32:$W$55,$V32:$V$55)),"")</s:f>
        <s:v>13876</s:v>
      </s:c>
      <s:c r="T32" s="121">
        <s:f>IF(W32&lt;&gt;"",IF(E32&lt;&gt;"",E32,($I$9-SUM($T$25:T31))*V32*W32/SUMPRODUCT($W32:$W$55,$V32:$V$55)),"")</s:f>
        <s:v>3</s:v>
      </s:c>
      <s:c r="U32" s="121">
        <s:f>IF(W32&lt;&gt;"",IF($I$12&lt;&gt;"",IF(G32&lt;&gt;"",G32,($I$9/$I$12-SUM($U$25:U31))*V32*W32/SUMPRODUCT($W32:$W$55,$V32:$V$55)),""),"")</s:f>
        <s:v>3</s:v>
      </s:c>
      <s:c r="V32" s="122">
        <s:v>1.5</s:v>
      </s:c>
      <s:c r="W32" s="122">
        <s:v>1.5</s:v>
      </s:c>
      <s:c r="X32" s="123"/>
      <s:c r="Y32" s="123"/>
    </s:row>
    <s:row r="33" spans="1:255" s="115" customFormat="1">
      <s:c r="A33" s="90" t="s">
        <s:v>49</s:v>
      </s:c>
      <s:c r="B33" s="91">
        <s:v>45697</s:v>
      </s:c>
      <s:c r="C33" s="92" t="s">
        <s:v>48</s:v>
      </s:c>
      <s:c r="D33" s="116"/>
      <s:c r="E33" s="117">
        <s:v>0</s:v>
      </s:c>
      <s:c r="F33" s="117" t="str">
        <s:f>IF(AND(E33&lt;&gt;"",E33&lt;&gt;0),D33/E33,"")</s:f>
        <s:v/>
      </s:c>
      <s:c r="G33" s="117">
        <s:v>0</s:v>
      </s:c>
      <s:c r="H33" s="117" t="str">
        <s:f>IF(AND(G33&lt;&gt;"",G33&lt;&gt;0),D33/G33,"")</s:f>
        <s:v/>
      </s:c>
      <s:c r="I33" s="117">
        <s:v>4</s:v>
      </s:c>
      <s:c r="J33" s="116" t="str">
        <s:f>IF(AND(G33&lt;&gt;"",G33&lt;&gt;0),E33/G33,"")</s:f>
        <s:v/>
      </s:c>
      <s:c r="K33" s="117"/>
      <s:c r="L33" s="117"/>
      <s:c r="M33" s="117"/>
      <s:c r="N33" s="118">
        <s:f>IF(AND(I33&lt;&gt;"",I33&lt;&gt;0),G33/I33,"")</s:f>
        <s:v>0</s:v>
      </s:c>
      <s:c r="O33" s="119">
        <s:f>D33/P33</s:f>
        <s:v>0</s:v>
      </s:c>
      <s:c r="P33" s="120">
        <s:f>$I$8*V33*W33/SUMPRODUCT($W$25:$W$55,$V$25:$V$55)</s:f>
        <s:v>40109.30895795246</s:v>
      </s:c>
      <s:c r="Q33" s="121">
        <s:f>$I$9*V33*W33/SUMPRODUCT($W$25:$W$55,$V$25:$V$55)</s:f>
        <s:v>10.442413162705666</s:v>
      </s:c>
      <s:c r="R33" s="121">
        <s:f>IF($I$12="","",Q33/$I$12)</s:f>
        <s:v>5.221206581352833</s:v>
      </s:c>
      <s:c r="S33" s="120">
        <s:f>IF(W33&lt;&gt;"",IF(D33&lt;&gt;"",D33,($I$8-SUM($S$25:S32))*V33*W33/SUMPRODUCT($W33:$W$55,$V33:$V$55)),"")</s:f>
        <s:v>49135.876354520748</s:v>
      </s:c>
      <s:c r="T33" s="121">
        <s:f>IF(W33&lt;&gt;"",IF(E33&lt;&gt;"",E33,($I$9-SUM($T$25:T32))*V33*W33/SUMPRODUCT($W33:$W$55,$V33:$V$55)),"")</s:f>
        <s:v>0</s:v>
      </s:c>
      <s:c r="U33" s="121">
        <s:f>IF(W33&lt;&gt;"",IF($I$12&lt;&gt;"",IF(G33&lt;&gt;"",G33,($I$9/$I$12-SUM($U$25:U32))*V33*W33/SUMPRODUCT($W33:$W$55,$V33:$V$55)),""),"")</s:f>
        <s:v>0</s:v>
      </s:c>
      <s:c r="V33" s="122">
        <s:v>1</s:v>
      </s:c>
      <s:c r="W33" s="122">
        <s:v>1</s:v>
      </s:c>
      <s:c r="X33" s="123"/>
      <s:c r="Y33" s="123"/>
    </s:row>
    <s:row r="34">
      <s:c r="A34" s="101" t="s">
        <s:v>49</s:v>
      </s:c>
      <s:c r="B34" s="102">
        <s:v>45698</s:v>
      </s:c>
      <s:c r="C34" s="103" t="s">
        <s:v>50</s:v>
      </s:c>
      <s:c r="D34" s="104">
        <s:v>17966</s:v>
      </s:c>
      <s:c r="E34" s="106">
        <s:v>4</s:v>
      </s:c>
      <s:c r="F34" s="106">
        <s:f>IF(AND(E34&lt;&gt;"",E34&lt;&gt;0),D34/E34,"")</s:f>
        <s:v>4491.5</s:v>
      </s:c>
      <s:c r="G34" s="106">
        <s:v>2</s:v>
      </s:c>
      <s:c r="H34" s="106">
        <s:f>IF(AND(G34&lt;&gt;"",G34&lt;&gt;0),D34/G34,"")</s:f>
        <s:v>8983</s:v>
      </s:c>
      <s:c r="I34" s="106">
        <s:v>12</s:v>
      </s:c>
      <s:c r="J34" s="104">
        <s:f>IF(AND(G34&lt;&gt;"",G34&lt;&gt;0),E34/G34,"")</s:f>
        <s:v>2</s:v>
      </s:c>
      <s:c r="K34" s="106"/>
      <s:c r="L34" s="106"/>
      <s:c r="M34" s="106"/>
      <s:c r="N34" s="107">
        <s:f>IF(AND(I34&lt;&gt;"",I34&lt;&gt;0),G34/I34,"")</s:f>
        <s:v>0.16666666666666666</s:v>
      </s:c>
      <s:c r="O34" s="108">
        <s:f>D34/P34</s:f>
        <s:v>0.55299499018625142</s:v>
      </s:c>
      <s:c r="P34" s="109">
        <s:f>$I$8*V34*W34/SUMPRODUCT($W$25:$W$55,$V$25:$V$55)</s:f>
        <s:v>32488.540255941494</s:v>
      </s:c>
      <s:c r="Q34" s="110">
        <s:f>$I$9*V34*W34/SUMPRODUCT($W$25:$W$55,$V$25:$V$55)</s:f>
        <s:v>8.4583546617915903</s:v>
      </s:c>
      <s:c r="R34" s="110">
        <s:f>IF($I$12="","",Q34/$I$12)</s:f>
        <s:v>4.2291773308957952</s:v>
      </s:c>
      <s:c r="S34" s="109">
        <s:f>IF(W34&lt;&gt;"",IF(D34&lt;&gt;"",D34,($I$8-SUM($S$25:S33))*V34*W34/SUMPRODUCT($W34:$W$55,$V34:$V$55)),"")</s:f>
        <s:v>17966</s:v>
      </s:c>
      <s:c r="T34" s="110">
        <s:f>IF(W34&lt;&gt;"",IF(E34&lt;&gt;"",E34,($I$9-SUM($T$25:T33))*V34*W34/SUMPRODUCT($W34:$W$55,$V34:$V$55)),"")</s:f>
        <s:v>4</s:v>
      </s:c>
      <s:c r="U34" s="110">
        <s:f>IF(W34&lt;&gt;"",IF($I$12&lt;&gt;"",IF(G34&lt;&gt;"",G34,($I$9/$I$12-SUM($U$25:U33))*V34*W34/SUMPRODUCT($W34:$W$55,$V34:$V$55)),""),"")</s:f>
        <s:v>2</s:v>
      </s:c>
      <s:c r="V34" s="111">
        <s:v>0.9</s:v>
      </s:c>
      <s:c r="W34" s="111">
        <s:v>0.9</s:v>
      </s:c>
      <s:c r="X34" s="112"/>
      <s:c r="Y34" s="112"/>
    </s:row>
    <s:row r="35">
      <s:c r="A35" s="101" t="s">
        <s:v>49</s:v>
      </s:c>
      <s:c r="B35" s="102">
        <s:v>45699</s:v>
      </s:c>
      <s:c r="C35" s="103" t="s">
        <s:v>51</s:v>
      </s:c>
      <s:c r="D35" s="104">
        <s:v>12675</s:v>
      </s:c>
      <s:c r="E35" s="106">
        <s:v>3</s:v>
      </s:c>
      <s:c r="F35" s="106">
        <s:f>IF(AND(E35&lt;&gt;"",E35&lt;&gt;0),D35/E35,"")</s:f>
        <s:v>4225</s:v>
      </s:c>
      <s:c r="G35" s="106">
        <s:v>2</s:v>
      </s:c>
      <s:c r="H35" s="106">
        <s:f>IF(AND(G35&lt;&gt;"",G35&lt;&gt;0),D35/G35,"")</s:f>
        <s:v>6337.5</s:v>
      </s:c>
      <s:c r="I35" s="106">
        <s:v>10</s:v>
      </s:c>
      <s:c r="J35" s="104">
        <s:f>IF(AND(G35&lt;&gt;"",G35&lt;&gt;0),E35/G35,"")</s:f>
        <s:v>1.5</s:v>
      </s:c>
      <s:c r="K35" s="106"/>
      <s:c r="L35" s="106"/>
      <s:c r="M35" s="106"/>
      <s:c r="N35" s="107">
        <s:f>IF(AND(I35&lt;&gt;"",I35&lt;&gt;0),G35/I35,"")</s:f>
        <s:v>0.2</s:v>
      </s:c>
      <s:c r="O35" s="108">
        <s:f>D35/P35</s:f>
        <s:v>0.39013756543530759</s:v>
      </s:c>
      <s:c r="P35" s="109">
        <s:f>$I$8*V35*W35/SUMPRODUCT($W$25:$W$55,$V$25:$V$55)</s:f>
        <s:v>32488.540255941494</s:v>
      </s:c>
      <s:c r="Q35" s="110">
        <s:f>$I$9*V35*W35/SUMPRODUCT($W$25:$W$55,$V$25:$V$55)</s:f>
        <s:v>8.4583546617915903</s:v>
      </s:c>
      <s:c r="R35" s="110">
        <s:f>IF($I$12="","",Q35/$I$12)</s:f>
        <s:v>4.2291773308957952</s:v>
      </s:c>
      <s:c r="S35" s="109">
        <s:f>IF(W35&lt;&gt;"",IF(D35&lt;&gt;"",D35,($I$8-SUM($S$25:S34))*V35*W35/SUMPRODUCT($W35:$W$55,$V35:$V$55)),"")</s:f>
        <s:v>12675</s:v>
      </s:c>
      <s:c r="T35" s="110">
        <s:f>IF(W35&lt;&gt;"",IF(E35&lt;&gt;"",E35,($I$9-SUM($T$25:T34))*V35*W35/SUMPRODUCT($W35:$W$55,$V35:$V$55)),"")</s:f>
        <s:v>3</s:v>
      </s:c>
      <s:c r="U35" s="110">
        <s:f>IF(W35&lt;&gt;"",IF($I$12&lt;&gt;"",IF(G35&lt;&gt;"",G35,($I$9/$I$12-SUM($U$25:U34))*V35*W35/SUMPRODUCT($W35:$W$55,$V35:$V$55)),""),"")</s:f>
        <s:v>2</s:v>
      </s:c>
      <s:c r="V35" s="111">
        <s:v>0.9</s:v>
      </s:c>
      <s:c r="W35" s="111">
        <s:v>0.9</s:v>
      </s:c>
      <s:c r="X35" s="112"/>
      <s:c r="Y35" s="112"/>
    </s:row>
    <s:row r="36" spans="1:255" s="115" customFormat="1">
      <s:c r="A36" s="90" t="s">
        <s:v>49</s:v>
      </s:c>
      <s:c r="B36" s="91">
        <s:v>45700</s:v>
      </s:c>
      <s:c r="C36" s="92" t="s">
        <s:v>52</s:v>
      </s:c>
      <s:c r="D36" s="116">
        <s:v>21858</s:v>
      </s:c>
      <s:c r="E36" s="125">
        <s:v>5</s:v>
      </s:c>
      <s:c r="F36" s="117">
        <s:f>IF(AND(E36&lt;&gt;"",E36&lt;&gt;0),D36/E36,"")</s:f>
        <s:v>4371.6000000000004</s:v>
      </s:c>
      <s:c r="G36" s="117">
        <s:v>3</s:v>
      </s:c>
      <s:c r="H36" s="117">
        <s:f>IF(AND(G36&lt;&gt;"",G36&lt;&gt;0),D36/G36,"")</s:f>
        <s:v>7286</s:v>
      </s:c>
      <s:c r="I36" s="117">
        <s:v>8</s:v>
      </s:c>
      <s:c r="J36" s="116">
        <s:f>IF(AND(G36&lt;&gt;"",G36&lt;&gt;0),E36/G36,"")</s:f>
        <s:v>1.6666666666666667</s:v>
      </s:c>
      <s:c r="K36" s="117"/>
      <s:c r="L36" s="117"/>
      <s:c r="M36" s="117"/>
      <s:c r="N36" s="118">
        <s:f>IF(AND(I36&lt;&gt;"",I36&lt;&gt;0),G36/I36,"")</s:f>
        <s:v>0.375</s:v>
      </s:c>
      <s:c r="O36" s="119">
        <s:f>D36/P36</s:f>
        <s:v>0.67279107734003574</s:v>
      </s:c>
      <s:c r="P36" s="120">
        <s:f>$I$8*V36*W36/SUMPRODUCT($W$25:$W$55,$V$25:$V$55)</s:f>
        <s:v>32488.540255941494</s:v>
      </s:c>
      <s:c r="Q36" s="121">
        <s:f>$I$9*V36*W36/SUMPRODUCT($W$25:$W$55,$V$25:$V$55)</s:f>
        <s:v>8.4583546617915903</s:v>
      </s:c>
      <s:c r="R36" s="121">
        <s:f>IF($I$12="","",Q36/$I$12)</s:f>
        <s:v>4.2291773308957952</s:v>
      </s:c>
      <s:c r="S36" s="120">
        <s:f>IF(W36&lt;&gt;"",IF(D36&lt;&gt;"",D36,($I$8-SUM($S$25:S35))*V36*W36/SUMPRODUCT($W36:$W$55,$V36:$V$55)),"")</s:f>
        <s:v>21858</s:v>
      </s:c>
      <s:c r="T36" s="121">
        <s:f>IF(W36&lt;&gt;"",IF(E35&lt;&gt;"",E35,($I$9-SUM($T$25:T35))*V36*W36/SUMPRODUCT($W36:$W$55,$V36:$V$55)),"")</s:f>
        <s:v>3</s:v>
      </s:c>
      <s:c r="U36" s="121">
        <s:f>IF(W36&lt;&gt;"",IF($I$12&lt;&gt;"",IF(G36&lt;&gt;"",G36,($I$9/$I$12-SUM($U$25:U35))*V36*W36/SUMPRODUCT($W36:$W$55,$V36:$V$55)),""),"")</s:f>
        <s:v>3</s:v>
      </s:c>
      <s:c r="V36" s="122">
        <s:v>0.9</s:v>
      </s:c>
      <s:c r="W36" s="122">
        <s:v>0.9</s:v>
      </s:c>
      <s:c r="X36" s="123"/>
      <s:c r="Y36" s="123"/>
      <s:c r="Z36" s="124"/>
      <s:c r="AA36" s="124"/>
      <s:c r="AB36" s="124"/>
      <s:c r="AC36" s="124"/>
      <s:c r="AD36" s="124"/>
      <s:c r="AE36" s="124"/>
      <s:c r="AF36" s="124"/>
      <s:c r="AG36" s="124"/>
      <s:c r="AH36" s="124"/>
      <s:c r="AI36" s="124"/>
      <s:c r="AJ36" s="124"/>
      <s:c r="AK36" s="124"/>
      <s:c r="AL36" s="124"/>
      <s:c r="AM36" s="124"/>
      <s:c r="AN36" s="124"/>
      <s:c r="AO36" s="124"/>
      <s:c r="AP36" s="124"/>
      <s:c r="AQ36" s="124"/>
      <s:c r="AR36" s="124"/>
      <s:c r="AS36" s="124"/>
      <s:c r="AT36" s="124"/>
      <s:c r="AU36" s="124"/>
      <s:c r="AV36" s="124"/>
      <s:c r="AW36" s="124"/>
      <s:c r="AX36" s="124"/>
      <s:c r="AY36" s="124"/>
      <s:c r="AZ36" s="124"/>
      <s:c r="BA36" s="124"/>
      <s:c r="BB36" s="124"/>
      <s:c r="BC36" s="124"/>
      <s:c r="BD36" s="124"/>
      <s:c r="BE36" s="124"/>
      <s:c r="BF36" s="124"/>
      <s:c r="BG36" s="124"/>
      <s:c r="BH36" s="124"/>
      <s:c r="BI36" s="124"/>
      <s:c r="BJ36" s="124"/>
      <s:c r="BK36" s="124"/>
      <s:c r="BL36" s="124"/>
      <s:c r="BM36" s="124"/>
      <s:c r="BN36" s="124"/>
      <s:c r="BO36" s="124"/>
      <s:c r="BP36" s="124"/>
      <s:c r="BQ36" s="124"/>
      <s:c r="BR36" s="124"/>
      <s:c r="BS36" s="124"/>
      <s:c r="BT36" s="124"/>
      <s:c r="BU36" s="124"/>
      <s:c r="BV36" s="124"/>
      <s:c r="BW36" s="124"/>
      <s:c r="BX36" s="124"/>
      <s:c r="BY36" s="124"/>
      <s:c r="BZ36" s="124"/>
      <s:c r="CA36" s="124"/>
      <s:c r="CB36" s="124"/>
      <s:c r="CC36" s="124"/>
      <s:c r="CD36" s="124"/>
      <s:c r="CE36" s="124"/>
      <s:c r="CF36" s="124"/>
      <s:c r="CG36" s="124"/>
      <s:c r="CH36" s="124"/>
      <s:c r="CI36" s="124"/>
      <s:c r="CJ36" s="124"/>
      <s:c r="CK36" s="124"/>
      <s:c r="CL36" s="124"/>
      <s:c r="CM36" s="124"/>
      <s:c r="CN36" s="124"/>
      <s:c r="CO36" s="124"/>
      <s:c r="CP36" s="124"/>
      <s:c r="CQ36" s="124"/>
      <s:c r="CR36" s="124"/>
      <s:c r="CS36" s="124"/>
      <s:c r="CT36" s="124"/>
      <s:c r="CU36" s="124"/>
      <s:c r="CV36" s="124"/>
      <s:c r="CW36" s="124"/>
      <s:c r="CX36" s="124"/>
      <s:c r="CY36" s="124"/>
      <s:c r="CZ36" s="124"/>
      <s:c r="DA36" s="124"/>
      <s:c r="DB36" s="124"/>
      <s:c r="DC36" s="124"/>
      <s:c r="DD36" s="124"/>
      <s:c r="DE36" s="124"/>
      <s:c r="DF36" s="124"/>
      <s:c r="DG36" s="124"/>
      <s:c r="DH36" s="124"/>
      <s:c r="DI36" s="124"/>
      <s:c r="DJ36" s="124"/>
      <s:c r="DK36" s="124"/>
      <s:c r="DL36" s="124"/>
      <s:c r="DM36" s="124"/>
      <s:c r="DN36" s="124"/>
      <s:c r="DO36" s="124"/>
      <s:c r="DP36" s="124"/>
      <s:c r="DQ36" s="124"/>
      <s:c r="DR36" s="124"/>
      <s:c r="DS36" s="124"/>
      <s:c r="DT36" s="124"/>
      <s:c r="DU36" s="124"/>
      <s:c r="DV36" s="124"/>
      <s:c r="DW36" s="124"/>
      <s:c r="DX36" s="124"/>
      <s:c r="DY36" s="124"/>
      <s:c r="DZ36" s="124"/>
      <s:c r="EA36" s="124"/>
      <s:c r="EB36" s="124"/>
      <s:c r="EC36" s="124"/>
      <s:c r="ED36" s="124"/>
      <s:c r="EE36" s="124"/>
      <s:c r="EF36" s="124"/>
      <s:c r="EG36" s="124"/>
      <s:c r="EH36" s="124"/>
      <s:c r="EI36" s="124"/>
      <s:c r="EJ36" s="124"/>
      <s:c r="EK36" s="124"/>
      <s:c r="EL36" s="124"/>
      <s:c r="EM36" s="124"/>
      <s:c r="EN36" s="124"/>
      <s:c r="EO36" s="124"/>
      <s:c r="EP36" s="124"/>
      <s:c r="EQ36" s="124"/>
      <s:c r="ER36" s="124"/>
      <s:c r="ES36" s="124"/>
      <s:c r="ET36" s="124"/>
      <s:c r="EU36" s="124"/>
      <s:c r="EV36" s="124"/>
      <s:c r="EW36" s="124"/>
      <s:c r="EX36" s="124"/>
      <s:c r="EY36" s="124"/>
      <s:c r="EZ36" s="124"/>
      <s:c r="FA36" s="124"/>
      <s:c r="FB36" s="124"/>
      <s:c r="FC36" s="124"/>
      <s:c r="FD36" s="124"/>
      <s:c r="FE36" s="124"/>
      <s:c r="FF36" s="124"/>
      <s:c r="FG36" s="124"/>
      <s:c r="FH36" s="124"/>
      <s:c r="FI36" s="124"/>
      <s:c r="FJ36" s="124"/>
      <s:c r="FK36" s="124"/>
      <s:c r="FL36" s="124"/>
      <s:c r="FM36" s="124"/>
      <s:c r="FN36" s="124"/>
      <s:c r="FO36" s="124"/>
      <s:c r="FP36" s="124"/>
      <s:c r="FQ36" s="124"/>
      <s:c r="FR36" s="124"/>
      <s:c r="FS36" s="124"/>
      <s:c r="FT36" s="124"/>
      <s:c r="FU36" s="124"/>
      <s:c r="FV36" s="124"/>
      <s:c r="FW36" s="124"/>
      <s:c r="FX36" s="124"/>
      <s:c r="FY36" s="124"/>
      <s:c r="FZ36" s="124"/>
      <s:c r="GA36" s="124"/>
      <s:c r="GB36" s="124"/>
      <s:c r="GC36" s="124"/>
      <s:c r="GD36" s="124"/>
      <s:c r="GE36" s="124"/>
      <s:c r="GF36" s="124"/>
      <s:c r="GG36" s="124"/>
      <s:c r="GH36" s="124"/>
      <s:c r="GI36" s="124"/>
      <s:c r="GJ36" s="124"/>
      <s:c r="GK36" s="124"/>
      <s:c r="GL36" s="124"/>
      <s:c r="GM36" s="124"/>
      <s:c r="GN36" s="124"/>
      <s:c r="GO36" s="124"/>
      <s:c r="GP36" s="124"/>
      <s:c r="GQ36" s="124"/>
      <s:c r="GR36" s="124"/>
      <s:c r="GS36" s="124"/>
      <s:c r="GT36" s="124"/>
      <s:c r="GU36" s="124"/>
      <s:c r="GV36" s="124"/>
      <s:c r="GW36" s="124"/>
      <s:c r="GX36" s="124"/>
      <s:c r="GY36" s="124"/>
      <s:c r="GZ36" s="124"/>
      <s:c r="HA36" s="124"/>
      <s:c r="HB36" s="124"/>
      <s:c r="HC36" s="124"/>
      <s:c r="HD36" s="124"/>
      <s:c r="HE36" s="124"/>
      <s:c r="HF36" s="124"/>
      <s:c r="HG36" s="124"/>
      <s:c r="HH36" s="124"/>
      <s:c r="HI36" s="124"/>
      <s:c r="HJ36" s="124"/>
      <s:c r="HK36" s="124"/>
      <s:c r="HL36" s="124"/>
      <s:c r="HM36" s="124"/>
      <s:c r="HN36" s="124"/>
      <s:c r="HO36" s="124"/>
      <s:c r="HP36" s="124"/>
      <s:c r="HQ36" s="124"/>
      <s:c r="HR36" s="124"/>
      <s:c r="HS36" s="124"/>
      <s:c r="HT36" s="124"/>
      <s:c r="HU36" s="124"/>
      <s:c r="HV36" s="124"/>
      <s:c r="HW36" s="124"/>
      <s:c r="HX36" s="124"/>
      <s:c r="HY36" s="124"/>
      <s:c r="HZ36" s="124"/>
      <s:c r="IA36" s="124"/>
      <s:c r="IB36" s="124"/>
      <s:c r="IC36" s="124"/>
      <s:c r="ID36" s="124"/>
      <s:c r="IE36" s="124"/>
      <s:c r="IF36" s="124"/>
      <s:c r="IG36" s="124"/>
      <s:c r="IH36" s="124"/>
      <s:c r="II36" s="124"/>
      <s:c r="IJ36" s="124"/>
      <s:c r="IK36" s="124"/>
      <s:c r="IL36" s="124"/>
      <s:c r="IM36" s="124"/>
      <s:c r="IN36" s="124"/>
      <s:c r="IO36" s="124"/>
      <s:c r="IP36" s="124"/>
      <s:c r="IQ36" s="124"/>
      <s:c r="IR36" s="124"/>
      <s:c r="IS36" s="124"/>
      <s:c r="IT36" s="124"/>
      <s:c r="IU36" s="124"/>
    </s:row>
    <s:row r="37" spans="1:255" s="115" customFormat="1" ht="15.25" customHeight="1">
      <s:c r="A37" s="90" t="s">
        <s:v>49</s:v>
      </s:c>
      <s:c r="B37" s="91">
        <s:v>45701</s:v>
      </s:c>
      <s:c r="C37" s="92" t="s">
        <s:v>53</s:v>
      </s:c>
      <s:c r="D37" s="116">
        <s:v>71996</s:v>
      </s:c>
      <s:c r="E37" s="117">
        <s:v>16</s:v>
      </s:c>
      <s:c r="F37" s="117">
        <s:f>IF(AND(E37&lt;&gt;"",E37&lt;&gt;0),D37/E37,"")</s:f>
        <s:v>4499.75</s:v>
      </s:c>
      <s:c r="G37" s="117">
        <s:v>7</s:v>
      </s:c>
      <s:c r="H37" s="117">
        <s:f>IF(AND(G37&lt;&gt;"",G37&lt;&gt;0),D37/G37,"")</s:f>
        <s:v>10285.142857142857</s:v>
      </s:c>
      <s:c r="I37" s="117">
        <s:v>18</s:v>
      </s:c>
      <s:c r="J37" s="116">
        <s:f>IF(AND(G37&lt;&gt;"",G37&lt;&gt;0),E37/G37,"")</s:f>
        <s:v>2.2857142857142856</s:v>
      </s:c>
      <s:c r="K37" s="117"/>
      <s:c r="L37" s="117"/>
      <s:c r="M37" s="117"/>
      <s:c r="N37" s="118">
        <s:f>IF(AND(I37&lt;&gt;"",I37&lt;&gt;0),G37/I37,"")</s:f>
        <s:v>0.3888888888888889</s:v>
      </s:c>
      <s:c r="O37" s="119">
        <s:f>D37/P37</s:f>
        <s:v>1.7949947747909374</s:v>
      </s:c>
      <s:c r="P37" s="120">
        <s:f>$I$8*V37*W37/SUMPRODUCT($W$25:$W$55,$V$25:$V$55)</s:f>
        <s:v>40109.30895795246</s:v>
      </s:c>
      <s:c r="Q37" s="121">
        <s:f>$I$9*V37*W37/SUMPRODUCT($W$25:$W$55,$V$25:$V$55)</s:f>
        <s:v>10.442413162705666</s:v>
      </s:c>
      <s:c r="R37" s="121">
        <s:f>IF($I$12="","",Q37/$I$12)</s:f>
        <s:v>5.221206581352833</s:v>
      </s:c>
      <s:c r="S37" s="120">
        <s:f>IF(W37&lt;&gt;"",IF(D37&lt;&gt;"",D37,($I$8-SUM($S$25:S36))*V37*W37/SUMPRODUCT($W37:$W$55,$V37:$V$55)),"")</s:f>
        <s:v>71996</s:v>
      </s:c>
      <s:c r="T37" s="121">
        <s:f>IF(W37&lt;&gt;"",IF(E37&lt;&gt;"",E37,($I$9-SUM($T$25:T36))*V37*W37/SUMPRODUCT($W37:$W$55,$V37:$V$55)),"")</s:f>
        <s:v>16</s:v>
      </s:c>
      <s:c r="U37" s="121">
        <s:f>IF(W37&lt;&gt;"",IF($I$12&lt;&gt;"",IF(G37&lt;&gt;"",G37,($I$9/$I$12-SUM($U$25:U36))*V37*W37/SUMPRODUCT($W37:$W$55,$V37:$V$55)),""),"")</s:f>
        <s:v>7</s:v>
      </s:c>
      <s:c r="V37" s="122">
        <s:v>1</s:v>
      </s:c>
      <s:c r="W37" s="122">
        <s:v>1</s:v>
      </s:c>
      <s:c r="X37" s="123"/>
      <s:c r="Y37" s="123"/>
      <s:c r="Z37" s="124"/>
      <s:c r="AA37" s="124"/>
      <s:c r="AB37" s="124"/>
      <s:c r="AC37" s="124"/>
      <s:c r="AD37" s="124"/>
      <s:c r="AE37" s="124"/>
      <s:c r="AF37" s="124"/>
      <s:c r="AG37" s="124"/>
      <s:c r="AH37" s="124"/>
      <s:c r="AI37" s="124"/>
      <s:c r="AJ37" s="124"/>
      <s:c r="AK37" s="124"/>
      <s:c r="AL37" s="124"/>
      <s:c r="AM37" s="124"/>
      <s:c r="AN37" s="124"/>
      <s:c r="AO37" s="124"/>
      <s:c r="AP37" s="124"/>
      <s:c r="AQ37" s="124"/>
      <s:c r="AR37" s="124"/>
      <s:c r="AS37" s="124"/>
      <s:c r="AT37" s="124"/>
      <s:c r="AU37" s="124"/>
      <s:c r="AV37" s="124"/>
      <s:c r="AW37" s="124"/>
      <s:c r="AX37" s="124"/>
      <s:c r="AY37" s="124"/>
      <s:c r="AZ37" s="124"/>
      <s:c r="BA37" s="124"/>
      <s:c r="BB37" s="124"/>
      <s:c r="BC37" s="124"/>
      <s:c r="BD37" s="124"/>
      <s:c r="BE37" s="124"/>
      <s:c r="BF37" s="124"/>
      <s:c r="BG37" s="124"/>
      <s:c r="BH37" s="124"/>
      <s:c r="BI37" s="124"/>
      <s:c r="BJ37" s="124"/>
      <s:c r="BK37" s="124"/>
      <s:c r="BL37" s="124"/>
      <s:c r="BM37" s="124"/>
      <s:c r="BN37" s="124"/>
      <s:c r="BO37" s="124"/>
      <s:c r="BP37" s="124"/>
      <s:c r="BQ37" s="124"/>
      <s:c r="BR37" s="124"/>
      <s:c r="BS37" s="124"/>
      <s:c r="BT37" s="124"/>
      <s:c r="BU37" s="124"/>
      <s:c r="BV37" s="124"/>
      <s:c r="BW37" s="124"/>
      <s:c r="BX37" s="124"/>
      <s:c r="BY37" s="124"/>
      <s:c r="BZ37" s="124"/>
      <s:c r="CA37" s="124"/>
      <s:c r="CB37" s="124"/>
      <s:c r="CC37" s="124"/>
      <s:c r="CD37" s="124"/>
      <s:c r="CE37" s="124"/>
      <s:c r="CF37" s="124"/>
      <s:c r="CG37" s="124"/>
      <s:c r="CH37" s="124"/>
      <s:c r="CI37" s="124"/>
      <s:c r="CJ37" s="124"/>
      <s:c r="CK37" s="124"/>
      <s:c r="CL37" s="124"/>
      <s:c r="CM37" s="124"/>
      <s:c r="CN37" s="124"/>
      <s:c r="CO37" s="124"/>
      <s:c r="CP37" s="124"/>
      <s:c r="CQ37" s="124"/>
      <s:c r="CR37" s="124"/>
      <s:c r="CS37" s="124"/>
      <s:c r="CT37" s="124"/>
      <s:c r="CU37" s="124"/>
      <s:c r="CV37" s="124"/>
      <s:c r="CW37" s="124"/>
      <s:c r="CX37" s="124"/>
      <s:c r="CY37" s="124"/>
      <s:c r="CZ37" s="124"/>
      <s:c r="DA37" s="124"/>
      <s:c r="DB37" s="124"/>
      <s:c r="DC37" s="124"/>
      <s:c r="DD37" s="124"/>
      <s:c r="DE37" s="124"/>
      <s:c r="DF37" s="124"/>
      <s:c r="DG37" s="124"/>
      <s:c r="DH37" s="124"/>
      <s:c r="DI37" s="124"/>
      <s:c r="DJ37" s="124"/>
      <s:c r="DK37" s="124"/>
      <s:c r="DL37" s="124"/>
      <s:c r="DM37" s="124"/>
      <s:c r="DN37" s="124"/>
      <s:c r="DO37" s="124"/>
      <s:c r="DP37" s="124"/>
      <s:c r="DQ37" s="124"/>
      <s:c r="DR37" s="124"/>
      <s:c r="DS37" s="124"/>
      <s:c r="DT37" s="124"/>
      <s:c r="DU37" s="124"/>
      <s:c r="DV37" s="124"/>
      <s:c r="DW37" s="124"/>
      <s:c r="DX37" s="124"/>
      <s:c r="DY37" s="124"/>
      <s:c r="DZ37" s="124"/>
      <s:c r="EA37" s="124"/>
      <s:c r="EB37" s="124"/>
      <s:c r="EC37" s="124"/>
      <s:c r="ED37" s="124"/>
      <s:c r="EE37" s="124"/>
      <s:c r="EF37" s="124"/>
      <s:c r="EG37" s="124"/>
      <s:c r="EH37" s="124"/>
      <s:c r="EI37" s="124"/>
      <s:c r="EJ37" s="124"/>
      <s:c r="EK37" s="124"/>
      <s:c r="EL37" s="124"/>
      <s:c r="EM37" s="124"/>
      <s:c r="EN37" s="124"/>
      <s:c r="EO37" s="124"/>
      <s:c r="EP37" s="124"/>
      <s:c r="EQ37" s="124"/>
      <s:c r="ER37" s="124"/>
      <s:c r="ES37" s="124"/>
      <s:c r="ET37" s="124"/>
      <s:c r="EU37" s="124"/>
      <s:c r="EV37" s="124"/>
      <s:c r="EW37" s="124"/>
      <s:c r="EX37" s="124"/>
      <s:c r="EY37" s="124"/>
      <s:c r="EZ37" s="124"/>
      <s:c r="FA37" s="124"/>
      <s:c r="FB37" s="124"/>
      <s:c r="FC37" s="124"/>
      <s:c r="FD37" s="124"/>
      <s:c r="FE37" s="124"/>
      <s:c r="FF37" s="124"/>
      <s:c r="FG37" s="124"/>
      <s:c r="FH37" s="124"/>
      <s:c r="FI37" s="124"/>
      <s:c r="FJ37" s="124"/>
      <s:c r="FK37" s="124"/>
      <s:c r="FL37" s="124"/>
      <s:c r="FM37" s="124"/>
      <s:c r="FN37" s="124"/>
      <s:c r="FO37" s="124"/>
      <s:c r="FP37" s="124"/>
      <s:c r="FQ37" s="124"/>
      <s:c r="FR37" s="124"/>
      <s:c r="FS37" s="124"/>
      <s:c r="FT37" s="124"/>
      <s:c r="FU37" s="124"/>
      <s:c r="FV37" s="124"/>
      <s:c r="FW37" s="124"/>
      <s:c r="FX37" s="124"/>
      <s:c r="FY37" s="124"/>
      <s:c r="FZ37" s="124"/>
      <s:c r="GA37" s="124"/>
      <s:c r="GB37" s="124"/>
      <s:c r="GC37" s="124"/>
      <s:c r="GD37" s="124"/>
      <s:c r="GE37" s="124"/>
      <s:c r="GF37" s="124"/>
      <s:c r="GG37" s="124"/>
      <s:c r="GH37" s="124"/>
      <s:c r="GI37" s="124"/>
      <s:c r="GJ37" s="124"/>
      <s:c r="GK37" s="124"/>
      <s:c r="GL37" s="124"/>
      <s:c r="GM37" s="124"/>
      <s:c r="GN37" s="124"/>
      <s:c r="GO37" s="124"/>
      <s:c r="GP37" s="124"/>
      <s:c r="GQ37" s="124"/>
      <s:c r="GR37" s="124"/>
      <s:c r="GS37" s="124"/>
      <s:c r="GT37" s="124"/>
      <s:c r="GU37" s="124"/>
      <s:c r="GV37" s="124"/>
      <s:c r="GW37" s="124"/>
      <s:c r="GX37" s="124"/>
      <s:c r="GY37" s="124"/>
      <s:c r="GZ37" s="124"/>
      <s:c r="HA37" s="124"/>
      <s:c r="HB37" s="124"/>
      <s:c r="HC37" s="124"/>
      <s:c r="HD37" s="124"/>
      <s:c r="HE37" s="124"/>
      <s:c r="HF37" s="124"/>
      <s:c r="HG37" s="124"/>
      <s:c r="HH37" s="124"/>
      <s:c r="HI37" s="124"/>
      <s:c r="HJ37" s="124"/>
      <s:c r="HK37" s="124"/>
      <s:c r="HL37" s="124"/>
      <s:c r="HM37" s="124"/>
      <s:c r="HN37" s="124"/>
      <s:c r="HO37" s="124"/>
      <s:c r="HP37" s="124"/>
      <s:c r="HQ37" s="124"/>
      <s:c r="HR37" s="124"/>
      <s:c r="HS37" s="124"/>
      <s:c r="HT37" s="124"/>
      <s:c r="HU37" s="124"/>
      <s:c r="HV37" s="124"/>
      <s:c r="HW37" s="124"/>
      <s:c r="HX37" s="124"/>
      <s:c r="HY37" s="124"/>
      <s:c r="HZ37" s="124"/>
      <s:c r="IA37" s="124"/>
      <s:c r="IB37" s="124"/>
      <s:c r="IC37" s="124"/>
      <s:c r="ID37" s="124"/>
      <s:c r="IE37" s="124"/>
      <s:c r="IF37" s="124"/>
      <s:c r="IG37" s="124"/>
      <s:c r="IH37" s="124"/>
      <s:c r="II37" s="124"/>
      <s:c r="IJ37" s="124"/>
      <s:c r="IK37" s="124"/>
      <s:c r="IL37" s="124"/>
      <s:c r="IM37" s="124"/>
      <s:c r="IN37" s="124"/>
      <s:c r="IO37" s="124"/>
      <s:c r="IP37" s="124"/>
      <s:c r="IQ37" s="124"/>
      <s:c r="IR37" s="124"/>
      <s:c r="IS37" s="124"/>
      <s:c r="IT37" s="124"/>
      <s:c r="IU37" s="124"/>
    </s:row>
    <s:row r="38" spans="1:255" s="115" customFormat="1">
      <s:c r="A38" s="90" t="s">
        <s:v>49</s:v>
      </s:c>
      <s:c r="B38" s="91">
        <s:v>45702</s:v>
      </s:c>
      <s:c r="C38" s="92" t="s">
        <s:v>54</s:v>
      </s:c>
      <s:c r="D38" s="116">
        <s:v>56474</s:v>
      </s:c>
      <s:c r="E38" s="117">
        <s:v>15</s:v>
      </s:c>
      <s:c r="F38" s="117">
        <s:f>IF(AND(E38&lt;&gt;"",E38&lt;&gt;0),D38/E38,"")</s:f>
        <s:v>3764.9333333333334</s:v>
      </s:c>
      <s:c r="G38" s="117">
        <s:v>7</s:v>
      </s:c>
      <s:c r="H38" s="117">
        <s:f>IF(AND(G38&lt;&gt;"",G38&lt;&gt;0),D38/G38,"")</s:f>
        <s:v>8067.7142857142853</s:v>
      </s:c>
      <s:c r="I38" s="117">
        <s:v>20</s:v>
      </s:c>
      <s:c r="J38" s="116">
        <s:f>IF(AND(G38&lt;&gt;"",G38&lt;&gt;0),E38/G38,"")</s:f>
        <s:v>2.1428571428571428</s:v>
      </s:c>
      <s:c r="K38" s="117"/>
      <s:c r="L38" s="117"/>
      <s:c r="M38" s="117"/>
      <s:c r="N38" s="118">
        <s:f>IF(AND(I38&lt;&gt;"",I38&lt;&gt;0),G38/I38,"")</s:f>
        <s:v>0.35</s:v>
      </s:c>
      <s:c r="O38" s="119">
        <s:f>D38/P38</s:f>
        <s:v>1.4080023183446775</s:v>
      </s:c>
      <s:c r="P38" s="120">
        <s:f>$I$8*V38*W38/SUMPRODUCT($W$25:$W$55,$V$25:$V$55)</s:f>
        <s:v>40109.30895795246</s:v>
      </s:c>
      <s:c r="Q38" s="121">
        <s:f>$I$9*V38*W38/SUMPRODUCT($W$25:$W$55,$V$25:$V$55)</s:f>
        <s:v>10.442413162705666</s:v>
      </s:c>
      <s:c r="R38" s="121">
        <s:f>IF($I$12="","",Q38/$I$12)</s:f>
        <s:v>5.221206581352833</s:v>
      </s:c>
      <s:c r="S38" s="120">
        <s:f>IF(W38&lt;&gt;"",IF(D38&lt;&gt;"",D38,($I$8-SUM($S$25:S37))*V38*W38/SUMPRODUCT($W38:$W$55,$V38:$V$55)),"")</s:f>
        <s:v>56474</s:v>
      </s:c>
      <s:c r="T38" s="121">
        <s:f>IF(W38&lt;&gt;"",IF(E38&lt;&gt;"",E38,($I$9-SUM($T$25:T37))*V38*W38/SUMPRODUCT($W38:$W$55,$V38:$V$55)),"")</s:f>
        <s:v>15</s:v>
      </s:c>
      <s:c r="U38" s="121">
        <s:f>IF(W38&lt;&gt;"",IF($I$12&lt;&gt;"",IF(G38&lt;&gt;"",G38,($I$9/$I$12-SUM($U$25:U37))*V38*W38/SUMPRODUCT($W38:$W$55,$V38:$V$55)),""),"")</s:f>
        <s:v>7</s:v>
      </s:c>
      <s:c r="V38" s="122">
        <s:v>1</s:v>
      </s:c>
      <s:c r="W38" s="122">
        <s:v>1</s:v>
      </s:c>
      <s:c r="X38" s="123"/>
      <s:c r="Y38" s="123"/>
      <s:c r="Z38" s="124"/>
      <s:c r="AA38" s="124"/>
      <s:c r="AB38" s="124"/>
      <s:c r="AC38" s="124"/>
      <s:c r="AD38" s="124"/>
      <s:c r="AE38" s="124"/>
      <s:c r="AF38" s="124"/>
      <s:c r="AG38" s="124"/>
      <s:c r="AH38" s="124"/>
      <s:c r="AI38" s="124"/>
      <s:c r="AJ38" s="124"/>
      <s:c r="AK38" s="124"/>
      <s:c r="AL38" s="124"/>
      <s:c r="AM38" s="124"/>
      <s:c r="AN38" s="124"/>
      <s:c r="AO38" s="124"/>
      <s:c r="AP38" s="124"/>
      <s:c r="AQ38" s="124"/>
      <s:c r="AR38" s="124"/>
      <s:c r="AS38" s="124"/>
      <s:c r="AT38" s="124"/>
      <s:c r="AU38" s="124"/>
      <s:c r="AV38" s="124"/>
      <s:c r="AW38" s="124"/>
      <s:c r="AX38" s="124"/>
      <s:c r="AY38" s="124"/>
      <s:c r="AZ38" s="124"/>
      <s:c r="BA38" s="124"/>
      <s:c r="BB38" s="124"/>
      <s:c r="BC38" s="124"/>
      <s:c r="BD38" s="124"/>
      <s:c r="BE38" s="124"/>
      <s:c r="BF38" s="124"/>
      <s:c r="BG38" s="124"/>
      <s:c r="BH38" s="124"/>
      <s:c r="BI38" s="124"/>
      <s:c r="BJ38" s="124"/>
      <s:c r="BK38" s="124"/>
      <s:c r="BL38" s="124"/>
      <s:c r="BM38" s="124"/>
      <s:c r="BN38" s="124"/>
      <s:c r="BO38" s="124"/>
      <s:c r="BP38" s="124"/>
      <s:c r="BQ38" s="124"/>
      <s:c r="BR38" s="124"/>
      <s:c r="BS38" s="124"/>
      <s:c r="BT38" s="124"/>
      <s:c r="BU38" s="124"/>
      <s:c r="BV38" s="124"/>
      <s:c r="BW38" s="124"/>
      <s:c r="BX38" s="124"/>
      <s:c r="BY38" s="124"/>
      <s:c r="BZ38" s="124"/>
      <s:c r="CA38" s="124"/>
      <s:c r="CB38" s="124"/>
      <s:c r="CC38" s="124"/>
      <s:c r="CD38" s="124"/>
      <s:c r="CE38" s="124"/>
      <s:c r="CF38" s="124"/>
      <s:c r="CG38" s="124"/>
      <s:c r="CH38" s="124"/>
      <s:c r="CI38" s="124"/>
      <s:c r="CJ38" s="124"/>
      <s:c r="CK38" s="124"/>
      <s:c r="CL38" s="124"/>
      <s:c r="CM38" s="124"/>
      <s:c r="CN38" s="124"/>
      <s:c r="CO38" s="124"/>
      <s:c r="CP38" s="124"/>
      <s:c r="CQ38" s="124"/>
      <s:c r="CR38" s="124"/>
      <s:c r="CS38" s="124"/>
      <s:c r="CT38" s="124"/>
      <s:c r="CU38" s="124"/>
      <s:c r="CV38" s="124"/>
      <s:c r="CW38" s="124"/>
      <s:c r="CX38" s="124"/>
      <s:c r="CY38" s="124"/>
      <s:c r="CZ38" s="124"/>
      <s:c r="DA38" s="124"/>
      <s:c r="DB38" s="124"/>
      <s:c r="DC38" s="124"/>
      <s:c r="DD38" s="124"/>
      <s:c r="DE38" s="124"/>
      <s:c r="DF38" s="124"/>
      <s:c r="DG38" s="124"/>
      <s:c r="DH38" s="124"/>
      <s:c r="DI38" s="124"/>
      <s:c r="DJ38" s="124"/>
      <s:c r="DK38" s="124"/>
      <s:c r="DL38" s="124"/>
      <s:c r="DM38" s="124"/>
      <s:c r="DN38" s="124"/>
      <s:c r="DO38" s="124"/>
      <s:c r="DP38" s="124"/>
      <s:c r="DQ38" s="124"/>
      <s:c r="DR38" s="124"/>
      <s:c r="DS38" s="124"/>
      <s:c r="DT38" s="124"/>
      <s:c r="DU38" s="124"/>
      <s:c r="DV38" s="124"/>
      <s:c r="DW38" s="124"/>
      <s:c r="DX38" s="124"/>
      <s:c r="DY38" s="124"/>
      <s:c r="DZ38" s="124"/>
      <s:c r="EA38" s="124"/>
      <s:c r="EB38" s="124"/>
      <s:c r="EC38" s="124"/>
      <s:c r="ED38" s="124"/>
      <s:c r="EE38" s="124"/>
      <s:c r="EF38" s="124"/>
      <s:c r="EG38" s="124"/>
      <s:c r="EH38" s="124"/>
      <s:c r="EI38" s="124"/>
      <s:c r="EJ38" s="124"/>
      <s:c r="EK38" s="124"/>
      <s:c r="EL38" s="124"/>
      <s:c r="EM38" s="124"/>
      <s:c r="EN38" s="124"/>
      <s:c r="EO38" s="124"/>
      <s:c r="EP38" s="124"/>
      <s:c r="EQ38" s="124"/>
      <s:c r="ER38" s="124"/>
      <s:c r="ES38" s="124"/>
      <s:c r="ET38" s="124"/>
      <s:c r="EU38" s="124"/>
      <s:c r="EV38" s="124"/>
      <s:c r="EW38" s="124"/>
      <s:c r="EX38" s="124"/>
      <s:c r="EY38" s="124"/>
      <s:c r="EZ38" s="124"/>
      <s:c r="FA38" s="124"/>
      <s:c r="FB38" s="124"/>
      <s:c r="FC38" s="124"/>
      <s:c r="FD38" s="124"/>
      <s:c r="FE38" s="124"/>
      <s:c r="FF38" s="124"/>
      <s:c r="FG38" s="124"/>
      <s:c r="FH38" s="124"/>
      <s:c r="FI38" s="124"/>
      <s:c r="FJ38" s="124"/>
      <s:c r="FK38" s="124"/>
      <s:c r="FL38" s="124"/>
      <s:c r="FM38" s="124"/>
      <s:c r="FN38" s="124"/>
      <s:c r="FO38" s="124"/>
      <s:c r="FP38" s="124"/>
      <s:c r="FQ38" s="124"/>
      <s:c r="FR38" s="124"/>
      <s:c r="FS38" s="124"/>
      <s:c r="FT38" s="124"/>
      <s:c r="FU38" s="124"/>
      <s:c r="FV38" s="124"/>
      <s:c r="FW38" s="124"/>
      <s:c r="FX38" s="124"/>
      <s:c r="FY38" s="124"/>
      <s:c r="FZ38" s="124"/>
      <s:c r="GA38" s="124"/>
      <s:c r="GB38" s="124"/>
      <s:c r="GC38" s="124"/>
      <s:c r="GD38" s="124"/>
      <s:c r="GE38" s="124"/>
      <s:c r="GF38" s="124"/>
      <s:c r="GG38" s="124"/>
      <s:c r="GH38" s="124"/>
      <s:c r="GI38" s="124"/>
      <s:c r="GJ38" s="124"/>
      <s:c r="GK38" s="124"/>
      <s:c r="GL38" s="124"/>
      <s:c r="GM38" s="124"/>
      <s:c r="GN38" s="124"/>
      <s:c r="GO38" s="124"/>
      <s:c r="GP38" s="124"/>
      <s:c r="GQ38" s="124"/>
      <s:c r="GR38" s="124"/>
      <s:c r="GS38" s="124"/>
      <s:c r="GT38" s="124"/>
      <s:c r="GU38" s="124"/>
      <s:c r="GV38" s="124"/>
      <s:c r="GW38" s="124"/>
      <s:c r="GX38" s="124"/>
      <s:c r="GY38" s="124"/>
      <s:c r="GZ38" s="124"/>
      <s:c r="HA38" s="124"/>
      <s:c r="HB38" s="124"/>
      <s:c r="HC38" s="124"/>
      <s:c r="HD38" s="124"/>
      <s:c r="HE38" s="124"/>
      <s:c r="HF38" s="124"/>
      <s:c r="HG38" s="124"/>
      <s:c r="HH38" s="124"/>
      <s:c r="HI38" s="124"/>
      <s:c r="HJ38" s="124"/>
      <s:c r="HK38" s="124"/>
      <s:c r="HL38" s="124"/>
      <s:c r="HM38" s="124"/>
      <s:c r="HN38" s="124"/>
      <s:c r="HO38" s="124"/>
      <s:c r="HP38" s="124"/>
      <s:c r="HQ38" s="124"/>
      <s:c r="HR38" s="124"/>
      <s:c r="HS38" s="124"/>
      <s:c r="HT38" s="124"/>
      <s:c r="HU38" s="124"/>
      <s:c r="HV38" s="124"/>
      <s:c r="HW38" s="124"/>
      <s:c r="HX38" s="124"/>
      <s:c r="HY38" s="124"/>
      <s:c r="HZ38" s="124"/>
      <s:c r="IA38" s="124"/>
      <s:c r="IB38" s="124"/>
      <s:c r="IC38" s="124"/>
      <s:c r="ID38" s="124"/>
      <s:c r="IE38" s="124"/>
      <s:c r="IF38" s="124"/>
      <s:c r="IG38" s="124"/>
      <s:c r="IH38" s="124"/>
      <s:c r="II38" s="124"/>
      <s:c r="IJ38" s="124"/>
      <s:c r="IK38" s="124"/>
      <s:c r="IL38" s="124"/>
      <s:c r="IM38" s="124"/>
      <s:c r="IN38" s="124"/>
      <s:c r="IO38" s="124"/>
      <s:c r="IP38" s="124"/>
      <s:c r="IQ38" s="124"/>
      <s:c r="IR38" s="124"/>
      <s:c r="IS38" s="124"/>
      <s:c r="IT38" s="124"/>
      <s:c r="IU38" s="124"/>
    </s:row>
    <s:row r="39" spans="1:255" s="115" customFormat="1">
      <s:c r="A39" s="90" t="s">
        <s:v>49</s:v>
      </s:c>
      <s:c r="B39" s="91">
        <s:v>45703</s:v>
      </s:c>
      <s:c r="C39" s="92" t="s">
        <s:v>47</s:v>
      </s:c>
      <s:c r="D39" s="116">
        <s:v>63280</s:v>
      </s:c>
      <s:c r="E39" s="117">
        <s:v>14</s:v>
      </s:c>
      <s:c r="F39" s="117">
        <s:f>IF(AND(E39&lt;&gt;"",E39&lt;&gt;0),D39/E39,"")</s:f>
        <s:v>4520</s:v>
      </s:c>
      <s:c r="G39" s="117">
        <s:v>6</s:v>
      </s:c>
      <s:c r="H39" s="117">
        <s:f>IF(AND(G39&lt;&gt;"",G39&lt;&gt;0),D39/G39,"")</s:f>
        <s:v>10546.666666666666</s:v>
      </s:c>
      <s:c r="I39" s="117">
        <s:v>25</s:v>
      </s:c>
      <s:c r="J39" s="116">
        <s:f>IF(AND(G39&lt;&gt;"",G39&lt;&gt;0),E39/G39,"")</s:f>
        <s:v>2.3333333333333335</s:v>
      </s:c>
      <s:c r="K39" s="117"/>
      <s:c r="L39" s="117"/>
      <s:c r="M39" s="117"/>
      <s:c r="N39" s="118">
        <s:f>IF(AND(I39&lt;&gt;"",I39&lt;&gt;0),G39/I39,"")</s:f>
        <s:v>0.24</s:v>
      </s:c>
      <s:c r="O39" s="119">
        <s:f>D39/P39</s:f>
        <s:v>1.3038748864006044</s:v>
      </s:c>
      <s:c r="P39" s="120">
        <s:f>$I$8*V39*W39/SUMPRODUCT($W$25:$W$55,$V$25:$V$55)</s:f>
        <s:v>48532.26383912249</s:v>
      </s:c>
      <s:c r="Q39" s="121">
        <s:f>$I$9*V39*W39/SUMPRODUCT($W$25:$W$55,$V$25:$V$55)</s:f>
        <s:v>12.635319926873855</s:v>
      </s:c>
      <s:c r="R39" s="121">
        <s:f>IF($I$12="","",Q39/$I$12)</s:f>
        <s:v>6.3176599634369275</s:v>
      </s:c>
      <s:c r="S39" s="120">
        <s:f>IF(W39&lt;&gt;"",IF(D39&lt;&gt;"",D39,($I$8-SUM($S$25:S38))*V39*W39/SUMPRODUCT($W39:$W$55,$V39:$V$55)),"")</s:f>
        <s:v>63280</s:v>
      </s:c>
      <s:c r="T39" s="121">
        <s:f>IF(W39&lt;&gt;"",IF(E39&lt;&gt;"",E39,($I$9-SUM($T$25:T38))*V39*W39/SUMPRODUCT($W39:$W$55,$V39:$V$55)),"")</s:f>
        <s:v>14</s:v>
      </s:c>
      <s:c r="U39" s="121">
        <s:f>IF(W39&lt;&gt;"",IF($I$12&lt;&gt;"",IF(G39&lt;&gt;"",G39,($I$9/$I$12-SUM($U$25:U38))*V39*W39/SUMPRODUCT($W39:$W$55,$V39:$V$55)),""),"")</s:f>
        <s:v>6</s:v>
      </s:c>
      <s:c r="V39" s="122">
        <s:v>1.1000000000000001</s:v>
      </s:c>
      <s:c r="W39" s="122">
        <s:v>1.1000000000000001</s:v>
      </s:c>
      <s:c r="X39" s="123"/>
      <s:c r="Y39" s="123"/>
      <s:c r="Z39" s="124"/>
      <s:c r="AA39" s="124"/>
      <s:c r="AB39" s="124"/>
      <s:c r="AC39" s="124"/>
      <s:c r="AD39" s="124"/>
      <s:c r="AE39" s="124"/>
      <s:c r="AF39" s="124"/>
      <s:c r="AG39" s="124"/>
      <s:c r="AH39" s="124"/>
      <s:c r="AI39" s="124"/>
      <s:c r="AJ39" s="124"/>
      <s:c r="AK39" s="124"/>
      <s:c r="AL39" s="124"/>
      <s:c r="AM39" s="124"/>
      <s:c r="AN39" s="124"/>
      <s:c r="AO39" s="124"/>
      <s:c r="AP39" s="124"/>
      <s:c r="AQ39" s="124"/>
      <s:c r="AR39" s="124"/>
      <s:c r="AS39" s="124"/>
      <s:c r="AT39" s="124"/>
      <s:c r="AU39" s="124"/>
      <s:c r="AV39" s="124"/>
      <s:c r="AW39" s="124"/>
      <s:c r="AX39" s="124"/>
      <s:c r="AY39" s="124"/>
      <s:c r="AZ39" s="124"/>
      <s:c r="BA39" s="124"/>
      <s:c r="BB39" s="124"/>
      <s:c r="BC39" s="124"/>
      <s:c r="BD39" s="124"/>
      <s:c r="BE39" s="124"/>
      <s:c r="BF39" s="124"/>
      <s:c r="BG39" s="124"/>
      <s:c r="BH39" s="124"/>
      <s:c r="BI39" s="124"/>
      <s:c r="BJ39" s="124"/>
      <s:c r="BK39" s="124"/>
      <s:c r="BL39" s="124"/>
      <s:c r="BM39" s="124"/>
      <s:c r="BN39" s="124"/>
      <s:c r="BO39" s="124"/>
      <s:c r="BP39" s="124"/>
      <s:c r="BQ39" s="124"/>
      <s:c r="BR39" s="124"/>
      <s:c r="BS39" s="124"/>
      <s:c r="BT39" s="124"/>
      <s:c r="BU39" s="124"/>
      <s:c r="BV39" s="124"/>
      <s:c r="BW39" s="124"/>
      <s:c r="BX39" s="124"/>
      <s:c r="BY39" s="124"/>
      <s:c r="BZ39" s="124"/>
      <s:c r="CA39" s="124"/>
      <s:c r="CB39" s="124"/>
      <s:c r="CC39" s="124"/>
      <s:c r="CD39" s="124"/>
      <s:c r="CE39" s="124"/>
      <s:c r="CF39" s="124"/>
      <s:c r="CG39" s="124"/>
      <s:c r="CH39" s="124"/>
      <s:c r="CI39" s="124"/>
      <s:c r="CJ39" s="124"/>
      <s:c r="CK39" s="124"/>
      <s:c r="CL39" s="124"/>
      <s:c r="CM39" s="124"/>
      <s:c r="CN39" s="124"/>
      <s:c r="CO39" s="124"/>
      <s:c r="CP39" s="124"/>
      <s:c r="CQ39" s="124"/>
      <s:c r="CR39" s="124"/>
      <s:c r="CS39" s="124"/>
      <s:c r="CT39" s="124"/>
      <s:c r="CU39" s="124"/>
      <s:c r="CV39" s="124"/>
      <s:c r="CW39" s="124"/>
      <s:c r="CX39" s="124"/>
      <s:c r="CY39" s="124"/>
      <s:c r="CZ39" s="124"/>
      <s:c r="DA39" s="124"/>
      <s:c r="DB39" s="124"/>
      <s:c r="DC39" s="124"/>
      <s:c r="DD39" s="124"/>
      <s:c r="DE39" s="124"/>
      <s:c r="DF39" s="124"/>
      <s:c r="DG39" s="124"/>
      <s:c r="DH39" s="124"/>
      <s:c r="DI39" s="124"/>
      <s:c r="DJ39" s="124"/>
      <s:c r="DK39" s="124"/>
      <s:c r="DL39" s="124"/>
      <s:c r="DM39" s="124"/>
      <s:c r="DN39" s="124"/>
      <s:c r="DO39" s="124"/>
      <s:c r="DP39" s="124"/>
      <s:c r="DQ39" s="124"/>
      <s:c r="DR39" s="124"/>
      <s:c r="DS39" s="124"/>
      <s:c r="DT39" s="124"/>
      <s:c r="DU39" s="124"/>
      <s:c r="DV39" s="124"/>
      <s:c r="DW39" s="124"/>
      <s:c r="DX39" s="124"/>
      <s:c r="DY39" s="124"/>
      <s:c r="DZ39" s="124"/>
      <s:c r="EA39" s="124"/>
      <s:c r="EB39" s="124"/>
      <s:c r="EC39" s="124"/>
      <s:c r="ED39" s="124"/>
      <s:c r="EE39" s="124"/>
      <s:c r="EF39" s="124"/>
      <s:c r="EG39" s="124"/>
      <s:c r="EH39" s="124"/>
      <s:c r="EI39" s="124"/>
      <s:c r="EJ39" s="124"/>
      <s:c r="EK39" s="124"/>
      <s:c r="EL39" s="124"/>
      <s:c r="EM39" s="124"/>
      <s:c r="EN39" s="124"/>
      <s:c r="EO39" s="124"/>
      <s:c r="EP39" s="124"/>
      <s:c r="EQ39" s="124"/>
      <s:c r="ER39" s="124"/>
      <s:c r="ES39" s="124"/>
      <s:c r="ET39" s="124"/>
      <s:c r="EU39" s="124"/>
      <s:c r="EV39" s="124"/>
      <s:c r="EW39" s="124"/>
      <s:c r="EX39" s="124"/>
      <s:c r="EY39" s="124"/>
      <s:c r="EZ39" s="124"/>
      <s:c r="FA39" s="124"/>
      <s:c r="FB39" s="124"/>
      <s:c r="FC39" s="124"/>
      <s:c r="FD39" s="124"/>
      <s:c r="FE39" s="124"/>
      <s:c r="FF39" s="124"/>
      <s:c r="FG39" s="124"/>
      <s:c r="FH39" s="124"/>
      <s:c r="FI39" s="124"/>
      <s:c r="FJ39" s="124"/>
      <s:c r="FK39" s="124"/>
      <s:c r="FL39" s="124"/>
      <s:c r="FM39" s="124"/>
      <s:c r="FN39" s="124"/>
      <s:c r="FO39" s="124"/>
      <s:c r="FP39" s="124"/>
      <s:c r="FQ39" s="124"/>
      <s:c r="FR39" s="124"/>
      <s:c r="FS39" s="124"/>
      <s:c r="FT39" s="124"/>
      <s:c r="FU39" s="124"/>
      <s:c r="FV39" s="124"/>
      <s:c r="FW39" s="124"/>
      <s:c r="FX39" s="124"/>
      <s:c r="FY39" s="124"/>
      <s:c r="FZ39" s="124"/>
      <s:c r="GA39" s="124"/>
      <s:c r="GB39" s="124"/>
      <s:c r="GC39" s="124"/>
      <s:c r="GD39" s="124"/>
      <s:c r="GE39" s="124"/>
      <s:c r="GF39" s="124"/>
      <s:c r="GG39" s="124"/>
      <s:c r="GH39" s="124"/>
      <s:c r="GI39" s="124"/>
      <s:c r="GJ39" s="124"/>
      <s:c r="GK39" s="124"/>
      <s:c r="GL39" s="124"/>
      <s:c r="GM39" s="124"/>
      <s:c r="GN39" s="124"/>
      <s:c r="GO39" s="124"/>
      <s:c r="GP39" s="124"/>
      <s:c r="GQ39" s="124"/>
      <s:c r="GR39" s="124"/>
      <s:c r="GS39" s="124"/>
      <s:c r="GT39" s="124"/>
      <s:c r="GU39" s="124"/>
      <s:c r="GV39" s="124"/>
      <s:c r="GW39" s="124"/>
      <s:c r="GX39" s="124"/>
      <s:c r="GY39" s="124"/>
      <s:c r="GZ39" s="124"/>
      <s:c r="HA39" s="124"/>
      <s:c r="HB39" s="124"/>
      <s:c r="HC39" s="124"/>
      <s:c r="HD39" s="124"/>
      <s:c r="HE39" s="124"/>
      <s:c r="HF39" s="124"/>
      <s:c r="HG39" s="124"/>
      <s:c r="HH39" s="124"/>
      <s:c r="HI39" s="124"/>
      <s:c r="HJ39" s="124"/>
      <s:c r="HK39" s="124"/>
      <s:c r="HL39" s="124"/>
      <s:c r="HM39" s="124"/>
      <s:c r="HN39" s="124"/>
      <s:c r="HO39" s="124"/>
      <s:c r="HP39" s="124"/>
      <s:c r="HQ39" s="124"/>
      <s:c r="HR39" s="124"/>
      <s:c r="HS39" s="124"/>
      <s:c r="HT39" s="124"/>
      <s:c r="HU39" s="124"/>
      <s:c r="HV39" s="124"/>
      <s:c r="HW39" s="124"/>
      <s:c r="HX39" s="124"/>
      <s:c r="HY39" s="124"/>
      <s:c r="HZ39" s="124"/>
      <s:c r="IA39" s="124"/>
      <s:c r="IB39" s="124"/>
      <s:c r="IC39" s="124"/>
      <s:c r="ID39" s="124"/>
      <s:c r="IE39" s="124"/>
      <s:c r="IF39" s="124"/>
      <s:c r="IG39" s="124"/>
      <s:c r="IH39" s="124"/>
      <s:c r="II39" s="124"/>
      <s:c r="IJ39" s="124"/>
      <s:c r="IK39" s="124"/>
      <s:c r="IL39" s="124"/>
      <s:c r="IM39" s="124"/>
      <s:c r="IN39" s="124"/>
      <s:c r="IO39" s="124"/>
      <s:c r="IP39" s="124"/>
      <s:c r="IQ39" s="124"/>
      <s:c r="IR39" s="124"/>
      <s:c r="IS39" s="124"/>
      <s:c r="IT39" s="124"/>
      <s:c r="IU39" s="124"/>
    </s:row>
    <s:row r="40" spans="1:255" s="115" customFormat="1">
      <s:c r="A40" s="90" t="s">
        <s:v>49</s:v>
      </s:c>
      <s:c r="B40" s="91">
        <s:v>45704</s:v>
      </s:c>
      <s:c r="C40" s="92" t="s">
        <s:v>48</s:v>
      </s:c>
      <s:c r="D40" s="116">
        <s:v>21059</s:v>
      </s:c>
      <s:c r="E40" s="117">
        <s:v>5</s:v>
      </s:c>
      <s:c r="F40" s="117">
        <s:f>IF(AND(E40&lt;&gt;"",E40&lt;&gt;0),D40/E40,"")</s:f>
        <s:v>4211.8</s:v>
      </s:c>
      <s:c r="G40" s="117">
        <s:v>2</s:v>
      </s:c>
      <s:c r="H40" s="117">
        <s:f>IF(AND(G40&lt;&gt;"",G40&lt;&gt;0),D40/G40,"")</s:f>
        <s:v>10529.5</s:v>
      </s:c>
      <s:c r="I40" s="117">
        <s:v>4</s:v>
      </s:c>
      <s:c r="J40" s="116">
        <s:f>IF(AND(G40&lt;&gt;"",G40&lt;&gt;0),E40/G40,"")</s:f>
        <s:v>2.5</s:v>
      </s:c>
      <s:c r="K40" s="117"/>
      <s:c r="L40" s="117"/>
      <s:c r="M40" s="117"/>
      <s:c r="N40" s="118">
        <s:f>IF(AND(I40&lt;&gt;"",I40&lt;&gt;0),G40/I40,"")</s:f>
        <s:v>0.5</s:v>
      </s:c>
      <s:c r="O40" s="119">
        <s:f>D40/P40</s:f>
        <s:v>0.43391752896192048</s:v>
      </s:c>
      <s:c r="P40" s="120">
        <s:f>$I$8*V40*W40/SUMPRODUCT($W$25:$W$55,$V$25:$V$55)</s:f>
        <s:v>48532.26383912249</s:v>
      </s:c>
      <s:c r="Q40" s="121">
        <s:f>$I$9*V40*W40/SUMPRODUCT($W$25:$W$55,$V$25:$V$55)</s:f>
        <s:v>12.635319926873855</s:v>
      </s:c>
      <s:c r="R40" s="121">
        <s:f>IF($I$12="","",Q40/$I$12)</s:f>
        <s:v>6.3176599634369275</s:v>
      </s:c>
      <s:c r="S40" s="120">
        <s:f>IF(W40&lt;&gt;"",IF(D40&lt;&gt;"",D40,($I$8-SUM($S$25:S39))*V40*W40/SUMPRODUCT($W40:$W$55,$V40:$V$55)),"")</s:f>
        <s:v>21059</s:v>
      </s:c>
      <s:c r="T40" s="121">
        <s:f>IF(W40&lt;&gt;"",IF(E40&lt;&gt;"",E40,($I$9-SUM($T$25:T39))*V40*W40/SUMPRODUCT($W40:$W$55,$V40:$V$55)),"")</s:f>
        <s:v>5</s:v>
      </s:c>
      <s:c r="U40" s="121">
        <s:f>IF(W40&lt;&gt;"",IF($I$12&lt;&gt;"",IF(G40&lt;&gt;"",G40,($I$9/$I$12-SUM($U$25:U39))*V40*W40/SUMPRODUCT($W40:$W$55,$V40:$V$55)),""),"")</s:f>
        <s:v>2</s:v>
      </s:c>
      <s:c r="V40" s="122">
        <s:v>1.1000000000000001</s:v>
      </s:c>
      <s:c r="W40" s="122">
        <s:v>1.1000000000000001</s:v>
      </s:c>
      <s:c r="X40" s="123"/>
      <s:c r="Y40" s="123"/>
      <s:c r="Z40" s="124"/>
      <s:c r="AA40" s="124"/>
      <s:c r="AB40" s="124"/>
      <s:c r="AC40" s="124"/>
      <s:c r="AD40" s="124"/>
      <s:c r="AE40" s="124"/>
      <s:c r="AF40" s="124"/>
      <s:c r="AG40" s="124"/>
      <s:c r="AH40" s="124"/>
      <s:c r="AI40" s="124"/>
      <s:c r="AJ40" s="124"/>
      <s:c r="AK40" s="124"/>
      <s:c r="AL40" s="124"/>
      <s:c r="AM40" s="124"/>
      <s:c r="AN40" s="124"/>
      <s:c r="AO40" s="124"/>
      <s:c r="AP40" s="124"/>
      <s:c r="AQ40" s="124"/>
      <s:c r="AR40" s="124"/>
      <s:c r="AS40" s="124"/>
      <s:c r="AT40" s="124"/>
      <s:c r="AU40" s="124"/>
      <s:c r="AV40" s="124"/>
      <s:c r="AW40" s="124"/>
      <s:c r="AX40" s="124"/>
      <s:c r="AY40" s="124"/>
      <s:c r="AZ40" s="124"/>
      <s:c r="BA40" s="124"/>
      <s:c r="BB40" s="124"/>
      <s:c r="BC40" s="124"/>
      <s:c r="BD40" s="124"/>
      <s:c r="BE40" s="124"/>
      <s:c r="BF40" s="124"/>
      <s:c r="BG40" s="124"/>
      <s:c r="BH40" s="124"/>
      <s:c r="BI40" s="124"/>
      <s:c r="BJ40" s="124"/>
      <s:c r="BK40" s="124"/>
      <s:c r="BL40" s="124"/>
      <s:c r="BM40" s="124"/>
      <s:c r="BN40" s="124"/>
      <s:c r="BO40" s="124"/>
      <s:c r="BP40" s="124"/>
      <s:c r="BQ40" s="124"/>
      <s:c r="BR40" s="124"/>
      <s:c r="BS40" s="124"/>
      <s:c r="BT40" s="124"/>
      <s:c r="BU40" s="124"/>
      <s:c r="BV40" s="124"/>
      <s:c r="BW40" s="124"/>
      <s:c r="BX40" s="124"/>
      <s:c r="BY40" s="124"/>
      <s:c r="BZ40" s="124"/>
      <s:c r="CA40" s="124"/>
      <s:c r="CB40" s="124"/>
      <s:c r="CC40" s="124"/>
      <s:c r="CD40" s="124"/>
      <s:c r="CE40" s="124"/>
      <s:c r="CF40" s="124"/>
      <s:c r="CG40" s="124"/>
      <s:c r="CH40" s="124"/>
      <s:c r="CI40" s="124"/>
      <s:c r="CJ40" s="124"/>
      <s:c r="CK40" s="124"/>
      <s:c r="CL40" s="124"/>
      <s:c r="CM40" s="124"/>
      <s:c r="CN40" s="124"/>
      <s:c r="CO40" s="124"/>
      <s:c r="CP40" s="124"/>
      <s:c r="CQ40" s="124"/>
      <s:c r="CR40" s="124"/>
      <s:c r="CS40" s="124"/>
      <s:c r="CT40" s="124"/>
      <s:c r="CU40" s="124"/>
      <s:c r="CV40" s="124"/>
      <s:c r="CW40" s="124"/>
      <s:c r="CX40" s="124"/>
      <s:c r="CY40" s="124"/>
      <s:c r="CZ40" s="124"/>
      <s:c r="DA40" s="124"/>
      <s:c r="DB40" s="124"/>
      <s:c r="DC40" s="124"/>
      <s:c r="DD40" s="124"/>
      <s:c r="DE40" s="124"/>
      <s:c r="DF40" s="124"/>
      <s:c r="DG40" s="124"/>
      <s:c r="DH40" s="124"/>
      <s:c r="DI40" s="124"/>
      <s:c r="DJ40" s="124"/>
      <s:c r="DK40" s="124"/>
      <s:c r="DL40" s="124"/>
      <s:c r="DM40" s="124"/>
      <s:c r="DN40" s="124"/>
      <s:c r="DO40" s="124"/>
      <s:c r="DP40" s="124"/>
      <s:c r="DQ40" s="124"/>
      <s:c r="DR40" s="124"/>
      <s:c r="DS40" s="124"/>
      <s:c r="DT40" s="124"/>
      <s:c r="DU40" s="124"/>
      <s:c r="DV40" s="124"/>
      <s:c r="DW40" s="124"/>
      <s:c r="DX40" s="124"/>
      <s:c r="DY40" s="124"/>
      <s:c r="DZ40" s="124"/>
      <s:c r="EA40" s="124"/>
      <s:c r="EB40" s="124"/>
      <s:c r="EC40" s="124"/>
      <s:c r="ED40" s="124"/>
      <s:c r="EE40" s="124"/>
      <s:c r="EF40" s="124"/>
      <s:c r="EG40" s="124"/>
      <s:c r="EH40" s="124"/>
      <s:c r="EI40" s="124"/>
      <s:c r="EJ40" s="124"/>
      <s:c r="EK40" s="124"/>
      <s:c r="EL40" s="124"/>
      <s:c r="EM40" s="124"/>
      <s:c r="EN40" s="124"/>
      <s:c r="EO40" s="124"/>
      <s:c r="EP40" s="124"/>
      <s:c r="EQ40" s="124"/>
      <s:c r="ER40" s="124"/>
      <s:c r="ES40" s="124"/>
      <s:c r="ET40" s="124"/>
      <s:c r="EU40" s="124"/>
      <s:c r="EV40" s="124"/>
      <s:c r="EW40" s="124"/>
      <s:c r="EX40" s="124"/>
      <s:c r="EY40" s="124"/>
      <s:c r="EZ40" s="124"/>
      <s:c r="FA40" s="124"/>
      <s:c r="FB40" s="124"/>
      <s:c r="FC40" s="124"/>
      <s:c r="FD40" s="124"/>
      <s:c r="FE40" s="124"/>
      <s:c r="FF40" s="124"/>
      <s:c r="FG40" s="124"/>
      <s:c r="FH40" s="124"/>
      <s:c r="FI40" s="124"/>
      <s:c r="FJ40" s="124"/>
      <s:c r="FK40" s="124"/>
      <s:c r="FL40" s="124"/>
      <s:c r="FM40" s="124"/>
      <s:c r="FN40" s="124"/>
      <s:c r="FO40" s="124"/>
      <s:c r="FP40" s="124"/>
      <s:c r="FQ40" s="124"/>
      <s:c r="FR40" s="124"/>
      <s:c r="FS40" s="124"/>
      <s:c r="FT40" s="124"/>
      <s:c r="FU40" s="124"/>
      <s:c r="FV40" s="124"/>
      <s:c r="FW40" s="124"/>
      <s:c r="FX40" s="124"/>
      <s:c r="FY40" s="124"/>
      <s:c r="FZ40" s="124"/>
      <s:c r="GA40" s="124"/>
      <s:c r="GB40" s="124"/>
      <s:c r="GC40" s="124"/>
      <s:c r="GD40" s="124"/>
      <s:c r="GE40" s="124"/>
      <s:c r="GF40" s="124"/>
      <s:c r="GG40" s="124"/>
      <s:c r="GH40" s="124"/>
      <s:c r="GI40" s="124"/>
      <s:c r="GJ40" s="124"/>
      <s:c r="GK40" s="124"/>
      <s:c r="GL40" s="124"/>
      <s:c r="GM40" s="124"/>
      <s:c r="GN40" s="124"/>
      <s:c r="GO40" s="124"/>
      <s:c r="GP40" s="124"/>
      <s:c r="GQ40" s="124"/>
      <s:c r="GR40" s="124"/>
      <s:c r="GS40" s="124"/>
      <s:c r="GT40" s="124"/>
      <s:c r="GU40" s="124"/>
      <s:c r="GV40" s="124"/>
      <s:c r="GW40" s="124"/>
      <s:c r="GX40" s="124"/>
      <s:c r="GY40" s="124"/>
      <s:c r="GZ40" s="124"/>
      <s:c r="HA40" s="124"/>
      <s:c r="HB40" s="124"/>
      <s:c r="HC40" s="124"/>
      <s:c r="HD40" s="124"/>
      <s:c r="HE40" s="124"/>
      <s:c r="HF40" s="124"/>
      <s:c r="HG40" s="124"/>
      <s:c r="HH40" s="124"/>
      <s:c r="HI40" s="124"/>
      <s:c r="HJ40" s="124"/>
      <s:c r="HK40" s="124"/>
      <s:c r="HL40" s="124"/>
      <s:c r="HM40" s="124"/>
      <s:c r="HN40" s="124"/>
      <s:c r="HO40" s="124"/>
      <s:c r="HP40" s="124"/>
      <s:c r="HQ40" s="124"/>
      <s:c r="HR40" s="124"/>
      <s:c r="HS40" s="124"/>
      <s:c r="HT40" s="124"/>
      <s:c r="HU40" s="124"/>
      <s:c r="HV40" s="124"/>
      <s:c r="HW40" s="124"/>
      <s:c r="HX40" s="124"/>
      <s:c r="HY40" s="124"/>
      <s:c r="HZ40" s="124"/>
      <s:c r="IA40" s="124"/>
      <s:c r="IB40" s="124"/>
      <s:c r="IC40" s="124"/>
      <s:c r="ID40" s="124"/>
      <s:c r="IE40" s="124"/>
      <s:c r="IF40" s="124"/>
      <s:c r="IG40" s="124"/>
      <s:c r="IH40" s="124"/>
      <s:c r="II40" s="124"/>
      <s:c r="IJ40" s="124"/>
      <s:c r="IK40" s="124"/>
      <s:c r="IL40" s="124"/>
      <s:c r="IM40" s="124"/>
      <s:c r="IN40" s="124"/>
      <s:c r="IO40" s="124"/>
      <s:c r="IP40" s="124"/>
      <s:c r="IQ40" s="124"/>
      <s:c r="IR40" s="124"/>
      <s:c r="IS40" s="124"/>
      <s:c r="IT40" s="124"/>
      <s:c r="IU40" s="124"/>
    </s:row>
    <s:row r="41">
      <s:c r="A41" s="101" t="s">
        <s:v>49</s:v>
      </s:c>
      <s:c r="B41" s="102">
        <s:v>45705</s:v>
      </s:c>
      <s:c r="C41" s="103" t="s">
        <s:v>50</s:v>
      </s:c>
      <s:c r="D41" s="104">
        <s:v>29039</s:v>
      </s:c>
      <s:c r="E41" s="106">
        <s:v>7</s:v>
      </s:c>
      <s:c r="F41" s="106">
        <s:f>IF(AND(E41&lt;&gt;"",E41&lt;&gt;0),D41/E41,"")</s:f>
        <s:v>4148.4285714285716</s:v>
      </s:c>
      <s:c r="G41" s="106">
        <s:v>4</s:v>
      </s:c>
      <s:c r="H41" s="106">
        <s:f>IF(AND(G41&lt;&gt;"",G41&lt;&gt;0),D41/G41,"")</s:f>
        <s:v>7259.75</s:v>
      </s:c>
      <s:c r="I41" s="106">
        <s:v>16</s:v>
      </s:c>
      <s:c r="J41" s="104">
        <s:f>IF(AND(G41&lt;&gt;"",G41&lt;&gt;0),E41/G41,"")</s:f>
        <s:v>1.75</s:v>
      </s:c>
      <s:c r="K41" s="106"/>
      <s:c r="L41" s="106"/>
      <s:c r="M41" s="106"/>
      <s:c r="N41" s="107">
        <s:f>IF(AND(I41&lt;&gt;"",I41&lt;&gt;0),G41/I41,"")</s:f>
        <s:v>0.25</s:v>
      </s:c>
      <s:c r="O41" s="108">
        <s:f>D41/P41</s:f>
        <s:v>1.1312445584032884</s:v>
      </s:c>
      <s:c r="P41" s="109">
        <s:f>$I$8*V41*W41/SUMPRODUCT($W$25:$W$55,$V$25:$V$55)</s:f>
        <s:v>25669.957733089581</s:v>
      </s:c>
      <s:c r="Q41" s="110">
        <s:f>$I$9*V41*W41/SUMPRODUCT($W$25:$W$55,$V$25:$V$55)</s:f>
        <s:v>6.6831444241316262</s:v>
      </s:c>
      <s:c r="R41" s="110">
        <s:f>IF($I$12="","",Q41/$I$12)</s:f>
        <s:v>3.3415722120658131</s:v>
      </s:c>
      <s:c r="S41" s="109">
        <s:f>IF(W41&lt;&gt;"",IF(D41&lt;&gt;"",D41,($I$8-SUM($S$25:S40))*V41*W41/SUMPRODUCT($W41:$W$55,$V41:$V$55)),"")</s:f>
        <s:v>29039</s:v>
      </s:c>
      <s:c r="T41" s="110">
        <s:f>IF(W41&lt;&gt;"",IF(E41&lt;&gt;"",E41,($I$9-SUM($T$25:T40))*V41*W41/SUMPRODUCT($W41:$W$55,$V41:$V$55)),"")</s:f>
        <s:v>7</s:v>
      </s:c>
      <s:c r="U41" s="110">
        <s:f>IF(W41&lt;&gt;"",IF($I$12&lt;&gt;"",IF(G41&lt;&gt;"",G41,($I$9/$I$12-SUM($U$25:U40))*V41*W41/SUMPRODUCT($W41:$W$55,$V41:$V$55)),""),"")</s:f>
        <s:v>4</s:v>
      </s:c>
      <s:c r="V41" s="111">
        <s:v>0.8</s:v>
      </s:c>
      <s:c r="W41" s="111">
        <s:v>0.8</s:v>
      </s:c>
      <s:c r="X41" s="112"/>
      <s:c r="Y41" s="112"/>
    </s:row>
    <s:row r="42">
      <s:c r="A42" s="101" t="s">
        <s:v>49</s:v>
      </s:c>
      <s:c r="B42" s="102">
        <s:v>45706</s:v>
      </s:c>
      <s:c r="C42" s="103" t="s">
        <s:v>51</s:v>
      </s:c>
      <s:c r="D42" s="104">
        <s:v>37624</s:v>
      </s:c>
      <s:c r="E42" s="106">
        <s:v>9</s:v>
      </s:c>
      <s:c r="F42" s="106">
        <s:f>IF(AND(E42&lt;&gt;"",E42&lt;&gt;0),D42/E42,"")</s:f>
        <s:v>4180.4444444444443</s:v>
      </s:c>
      <s:c r="G42" s="106">
        <s:v>5</s:v>
      </s:c>
      <s:c r="H42" s="106">
        <s:f>IF(AND(G42&lt;&gt;"",G42&lt;&gt;0),D42/G42,"")</s:f>
        <s:v>7524.8</s:v>
      </s:c>
      <s:c r="I42" s="106">
        <s:v>11</s:v>
      </s:c>
      <s:c r="J42" s="104">
        <s:f>IF(AND(G42&lt;&gt;"",G42&lt;&gt;0),E42/G42,"")</s:f>
        <s:v>1.8</s:v>
      </s:c>
      <s:c r="K42" s="106"/>
      <s:c r="L42" s="106"/>
      <s:c r="M42" s="106"/>
      <s:c r="N42" s="107">
        <s:f>IF(AND(I42&lt;&gt;"",I42&lt;&gt;0),G42/I42,"")</s:f>
        <s:v>0.45454545454545453</s:v>
      </s:c>
      <s:c r="O42" s="108">
        <s:f>D42/P42</s:f>
        <s:v>1.4656821951639285</s:v>
      </s:c>
      <s:c r="P42" s="109">
        <s:f>$I$8*V42*W42/SUMPRODUCT($W$25:$W$55,$V$25:$V$55)</s:f>
        <s:v>25669.957733089581</s:v>
      </s:c>
      <s:c r="Q42" s="110">
        <s:f>$I$9*V42*W42/SUMPRODUCT($W$25:$W$55,$V$25:$V$55)</s:f>
        <s:v>6.6831444241316262</s:v>
      </s:c>
      <s:c r="R42" s="110">
        <s:f>IF($I$12="","",Q42/$I$12)</s:f>
        <s:v>3.3415722120658131</s:v>
      </s:c>
      <s:c r="S42" s="109">
        <s:f>IF(W42&lt;&gt;"",IF(D42&lt;&gt;"",D42,($I$8-SUM($S$25:S41))*V42*W42/SUMPRODUCT($W42:$W$55,$V42:$V$55)),"")</s:f>
        <s:v>37624</s:v>
      </s:c>
      <s:c r="T42" s="110">
        <s:f>IF(W42&lt;&gt;"",IF(E42&lt;&gt;"",E42,($I$9-SUM($T$25:T41))*V42*W42/SUMPRODUCT($W42:$W$55,$V42:$V$55)),"")</s:f>
        <s:v>9</s:v>
      </s:c>
      <s:c r="U42" s="110">
        <s:f>IF(W42&lt;&gt;"",IF($I$12&lt;&gt;"",IF(G42&lt;&gt;"",G42,($I$9/$I$12-SUM($U$25:U41))*V42*W42/SUMPRODUCT($W42:$W$55,$V42:$V$55)),""),"")</s:f>
        <s:v>5</s:v>
      </s:c>
      <s:c r="V42" s="111">
        <s:v>0.8</s:v>
      </s:c>
      <s:c r="W42" s="111">
        <s:v>0.8</s:v>
      </s:c>
      <s:c r="X42" s="112"/>
      <s:c r="Y42" s="112"/>
    </s:row>
    <s:row r="43">
      <s:c r="A43" s="101" t="s">
        <s:v>49</s:v>
      </s:c>
      <s:c r="B43" s="102">
        <s:v>45707</s:v>
      </s:c>
      <s:c r="C43" s="103" t="s">
        <s:v>52</s:v>
      </s:c>
      <s:c r="D43" s="104">
        <s:v>42905</s:v>
      </s:c>
      <s:c r="E43" s="106">
        <s:v>9</s:v>
      </s:c>
      <s:c r="F43" s="106">
        <s:f>IF(AND(E43&lt;&gt;"",E43&lt;&gt;0),D43/E43,"")</s:f>
        <s:v>4767.2222222222226</s:v>
      </s:c>
      <s:c r="G43" s="106">
        <s:v>5</s:v>
      </s:c>
      <s:c r="H43" s="106">
        <s:f>IF(AND(G43&lt;&gt;"",G43&lt;&gt;0),D43/G43,"")</s:f>
        <s:v>8581</s:v>
      </s:c>
      <s:c r="I43" s="106">
        <s:v>17</s:v>
      </s:c>
      <s:c r="J43" s="104">
        <s:f>IF(AND(G43&lt;&gt;"",G43&lt;&gt;0),E43/G43,"")</s:f>
        <s:v>1.8</s:v>
      </s:c>
      <s:c r="K43" s="106"/>
      <s:c r="L43" s="106"/>
      <s:c r="M43" s="106"/>
      <s:c r="N43" s="107">
        <s:f>IF(AND(I43&lt;&gt;"",I43&lt;&gt;0),G43/I43,"")</s:f>
        <s:v>0.29411764705882354</s:v>
      </s:c>
      <s:c r="O43" s="108">
        <s:f>D43/P43</s:f>
        <s:v>1.6714090629254825</s:v>
      </s:c>
      <s:c r="P43" s="109">
        <s:f>$I$8*V43*W43/SUMPRODUCT($W$25:$W$55,$V$25:$V$55)</s:f>
        <s:v>25669.957733089581</s:v>
      </s:c>
      <s:c r="Q43" s="110">
        <s:f>$I$9*V43*W43/SUMPRODUCT($W$25:$W$55,$V$25:$V$55)</s:f>
        <s:v>6.6831444241316262</s:v>
      </s:c>
      <s:c r="R43" s="110">
        <s:f>IF($I$12="","",Q43/$I$12)</s:f>
        <s:v>3.3415722120658131</s:v>
      </s:c>
      <s:c r="S43" s="109">
        <s:f>IF(W43&lt;&gt;"",IF(D43&lt;&gt;"",D43,($I$8-SUM($S$25:S42))*V43*W43/SUMPRODUCT($W43:$W$55,$V43:$V$55)),"")</s:f>
        <s:v>42905</s:v>
      </s:c>
      <s:c r="T43" s="110">
        <s:f>IF(W43&lt;&gt;"",IF(E43&lt;&gt;"",E43,($I$9-SUM($T$25:T42))*V43*W43/SUMPRODUCT($W43:$W$55,$V43:$V$55)),"")</s:f>
        <s:v>9</s:v>
      </s:c>
      <s:c r="U43" s="110">
        <s:f>IF(W43&lt;&gt;"",IF($I$12&lt;&gt;"",IF(G43&lt;&gt;"",G43,($I$9/$I$12-SUM($U$25:U42))*V43*W43/SUMPRODUCT($W43:$W$55,$V43:$V$55)),""),"")</s:f>
        <s:v>5</s:v>
      </s:c>
      <s:c r="V43" s="111">
        <s:v>0.8</s:v>
      </s:c>
      <s:c r="W43" s="111">
        <s:v>0.8</s:v>
      </s:c>
      <s:c r="X43" s="112"/>
      <s:c r="Y43" s="112"/>
      <s:c r="Z43" s="126"/>
    </s:row>
    <s:row r="44">
      <s:c r="A44" s="101" t="s">
        <s:v>49</s:v>
      </s:c>
      <s:c r="B44" s="102">
        <s:v>45708</s:v>
      </s:c>
      <s:c r="C44" s="103" t="s">
        <s:v>53</s:v>
      </s:c>
      <s:c r="D44" s="104">
        <s:v>66400</s:v>
      </s:c>
      <s:c r="E44" s="106">
        <s:v>16</s:v>
      </s:c>
      <s:c r="F44" s="106">
        <s:f>IF(AND(E44&lt;&gt;"",E44&lt;&gt;0),D44/E44,"")</s:f>
        <s:v>4150</s:v>
      </s:c>
      <s:c r="G44" s="106">
        <s:v>9</s:v>
      </s:c>
      <s:c r="H44" s="106">
        <s:f>IF(AND(G44&lt;&gt;"",G44&lt;&gt;0),D44/G44,"")</s:f>
        <s:v>7377.7777777777774</s:v>
      </s:c>
      <s:c r="I44" s="106">
        <s:v>20</s:v>
      </s:c>
      <s:c r="J44" s="104">
        <s:f>IF(AND(G44&lt;&gt;"",G44&lt;&gt;0),E44/G44,"")</s:f>
        <s:v>1.7777777777777777</s:v>
      </s:c>
      <s:c r="K44" s="106"/>
      <s:c r="L44" s="106"/>
      <s:c r="M44" s="106"/>
      <s:c r="N44" s="107">
        <s:f>IF(AND(I44&lt;&gt;"",I44&lt;&gt;0),G44/I44,"")</s:f>
        <s:v>0.45</s:v>
      </s:c>
      <s:c r="O44" s="108">
        <s:f>D44/P44</s:f>
        <s:v>2.0437975814520257</s:v>
      </s:c>
      <s:c r="P44" s="109">
        <s:f>$I$8*V44*W44/SUMPRODUCT($W$25:$W$55,$V$25:$V$55)</s:f>
        <s:v>32488.540255941494</s:v>
      </s:c>
      <s:c r="Q44" s="110">
        <s:f>$I$9*V44*W44/SUMPRODUCT($W$25:$W$55,$V$25:$V$55)</s:f>
        <s:v>8.4583546617915903</s:v>
      </s:c>
      <s:c r="R44" s="110">
        <s:f>IF($I$12="","",Q44/$I$12)</s:f>
        <s:v>4.2291773308957952</s:v>
      </s:c>
      <s:c r="S44" s="109">
        <s:f>IF(W44&lt;&gt;"",IF(D44&lt;&gt;"",D44,($I$8-SUM($S$25:S43))*V44*W44/SUMPRODUCT($W44:$W$55,$V44:$V$55)),"")</s:f>
        <s:v>66400</s:v>
      </s:c>
      <s:c r="T44" s="110">
        <s:f>IF(W44&lt;&gt;"",IF(E44&lt;&gt;"",E44,($I$9-SUM($T$25:T43))*V44*W44/SUMPRODUCT($W44:$W$55,$V44:$V$55)),"")</s:f>
        <s:v>16</s:v>
      </s:c>
      <s:c r="U44" s="110">
        <s:f>IF(W44&lt;&gt;"",IF($I$12&lt;&gt;"",IF(G44&lt;&gt;"",G44,($I$9/$I$12-SUM($U$25:U43))*V44*W44/SUMPRODUCT($W44:$W$55,$V44:$V$55)),""),"")</s:f>
        <s:v>9</s:v>
      </s:c>
      <s:c r="V44" s="111">
        <s:v>0.9</s:v>
      </s:c>
      <s:c r="W44" s="111">
        <s:v>0.9</s:v>
      </s:c>
      <s:c r="X44" s="112"/>
      <s:c r="Y44" s="112"/>
      <s:c r="Z44" s="126"/>
    </s:row>
    <s:row r="45" spans="1:255" s="115" customFormat="1">
      <s:c r="A45" s="90" t="s">
        <s:v>49</s:v>
      </s:c>
      <s:c r="B45" s="91">
        <s:v>45709</s:v>
      </s:c>
      <s:c r="C45" s="92" t="s">
        <s:v>54</s:v>
      </s:c>
      <s:c r="D45" s="116">
        <s:v>28558</s:v>
      </s:c>
      <s:c r="E45" s="117">
        <s:v>5</s:v>
      </s:c>
      <s:c r="F45" s="117">
        <s:f>IF(AND(E45&lt;&gt;"",E45&lt;&gt;0),D45/E45,"")</s:f>
        <s:v>5711.6</s:v>
      </s:c>
      <s:c r="G45" s="117">
        <s:v>2</s:v>
      </s:c>
      <s:c r="H45" s="117">
        <s:f>IF(AND(G45&lt;&gt;"",G45&lt;&gt;0),D45/G45,"")</s:f>
        <s:v>14279</s:v>
      </s:c>
      <s:c r="I45" s="117">
        <s:v>7</s:v>
      </s:c>
      <s:c r="J45" s="116">
        <s:f>IF(AND(G45&lt;&gt;"",G45&lt;&gt;0),E45/G45,"")</s:f>
        <s:v>2.5</s:v>
      </s:c>
      <s:c r="K45" s="117"/>
      <s:c r="L45" s="117"/>
      <s:c r="M45" s="117"/>
      <s:c r="N45" s="118">
        <s:f>IF(AND(I45&lt;&gt;"",I45&lt;&gt;0),G45/I45,"")</s:f>
        <s:v>0.2857142857142857</s:v>
      </s:c>
      <s:c r="O45" s="119">
        <s:f>D45/P45</s:f>
        <s:v>0.87901764052871911</s:v>
      </s:c>
      <s:c r="P45" s="120">
        <s:f>$I$8*V45*W45/SUMPRODUCT($W$25:$W$55,$V$25:$V$55)</s:f>
        <s:v>32488.540255941494</s:v>
      </s:c>
      <s:c r="Q45" s="121">
        <s:f>$I$9*V45*W45/SUMPRODUCT($W$25:$W$55,$V$25:$V$55)</s:f>
        <s:v>8.4583546617915903</s:v>
      </s:c>
      <s:c r="R45" s="121">
        <s:f>IF($I$12="","",Q45/$I$12)</s:f>
        <s:v>4.2291773308957952</s:v>
      </s:c>
      <s:c r="S45" s="120">
        <s:f>IF(W45&lt;&gt;"",IF(D45&lt;&gt;"",D45,($I$8-SUM($S$25:S44))*V45*W45/SUMPRODUCT($W45:$W$55,$V45:$V$55)),"")</s:f>
        <s:v>28558</s:v>
      </s:c>
      <s:c r="T45" s="121">
        <s:f>IF(W45&lt;&gt;"",IF(E45&lt;&gt;"",E45,($I$9-SUM($T$25:T44))*V45*W45/SUMPRODUCT($W45:$W$55,$V45:$V$55)),"")</s:f>
        <s:v>5</s:v>
      </s:c>
      <s:c r="U45" s="121">
        <s:f>IF(W45&lt;&gt;"",IF($I$12&lt;&gt;"",IF(G45&lt;&gt;"",G45,($I$9/$I$12-SUM($U$25:U44))*V45*W45/SUMPRODUCT($W45:$W$55,$V45:$V$55)),""),"")</s:f>
        <s:v>2</s:v>
      </s:c>
      <s:c r="V45" s="122">
        <s:v>0.9</s:v>
      </s:c>
      <s:c r="W45" s="122">
        <s:v>0.9</s:v>
      </s:c>
      <s:c r="X45" s="123"/>
      <s:c r="Y45" s="123"/>
      <s:c r="Z45" s="127"/>
      <s:c r="AA45" s="124"/>
      <s:c r="AB45" s="124"/>
      <s:c r="AC45" s="124"/>
      <s:c r="AD45" s="124"/>
      <s:c r="AE45" s="124"/>
      <s:c r="AF45" s="124"/>
      <s:c r="AG45" s="124"/>
      <s:c r="AH45" s="124"/>
      <s:c r="AI45" s="124"/>
      <s:c r="AJ45" s="124"/>
      <s:c r="AK45" s="124"/>
      <s:c r="AL45" s="124"/>
      <s:c r="AM45" s="124"/>
      <s:c r="AN45" s="124"/>
      <s:c r="AO45" s="124"/>
      <s:c r="AP45" s="124"/>
      <s:c r="AQ45" s="124"/>
      <s:c r="AR45" s="124"/>
      <s:c r="AS45" s="124"/>
      <s:c r="AT45" s="124"/>
      <s:c r="AU45" s="124"/>
      <s:c r="AV45" s="124"/>
      <s:c r="AW45" s="124"/>
      <s:c r="AX45" s="124"/>
      <s:c r="AY45" s="124"/>
      <s:c r="AZ45" s="124"/>
      <s:c r="BA45" s="124"/>
      <s:c r="BB45" s="124"/>
      <s:c r="BC45" s="124"/>
      <s:c r="BD45" s="124"/>
      <s:c r="BE45" s="124"/>
      <s:c r="BF45" s="124"/>
      <s:c r="BG45" s="124"/>
      <s:c r="BH45" s="124"/>
      <s:c r="BI45" s="124"/>
      <s:c r="BJ45" s="124"/>
      <s:c r="BK45" s="124"/>
      <s:c r="BL45" s="124"/>
      <s:c r="BM45" s="124"/>
      <s:c r="BN45" s="124"/>
      <s:c r="BO45" s="124"/>
      <s:c r="BP45" s="124"/>
      <s:c r="BQ45" s="124"/>
      <s:c r="BR45" s="124"/>
      <s:c r="BS45" s="124"/>
      <s:c r="BT45" s="124"/>
      <s:c r="BU45" s="124"/>
      <s:c r="BV45" s="124"/>
      <s:c r="BW45" s="124"/>
      <s:c r="BX45" s="124"/>
      <s:c r="BY45" s="124"/>
      <s:c r="BZ45" s="124"/>
      <s:c r="CA45" s="124"/>
      <s:c r="CB45" s="124"/>
      <s:c r="CC45" s="124"/>
      <s:c r="CD45" s="124"/>
      <s:c r="CE45" s="124"/>
      <s:c r="CF45" s="124"/>
      <s:c r="CG45" s="124"/>
      <s:c r="CH45" s="124"/>
      <s:c r="CI45" s="124"/>
      <s:c r="CJ45" s="124"/>
      <s:c r="CK45" s="124"/>
      <s:c r="CL45" s="124"/>
      <s:c r="CM45" s="124"/>
      <s:c r="CN45" s="124"/>
      <s:c r="CO45" s="124"/>
      <s:c r="CP45" s="124"/>
      <s:c r="CQ45" s="124"/>
      <s:c r="CR45" s="124"/>
      <s:c r="CS45" s="124"/>
      <s:c r="CT45" s="124"/>
      <s:c r="CU45" s="124"/>
      <s:c r="CV45" s="124"/>
      <s:c r="CW45" s="124"/>
      <s:c r="CX45" s="124"/>
      <s:c r="CY45" s="124"/>
      <s:c r="CZ45" s="124"/>
      <s:c r="DA45" s="124"/>
      <s:c r="DB45" s="124"/>
      <s:c r="DC45" s="124"/>
      <s:c r="DD45" s="124"/>
      <s:c r="DE45" s="124"/>
      <s:c r="DF45" s="124"/>
      <s:c r="DG45" s="124"/>
      <s:c r="DH45" s="124"/>
      <s:c r="DI45" s="124"/>
      <s:c r="DJ45" s="124"/>
      <s:c r="DK45" s="124"/>
      <s:c r="DL45" s="124"/>
      <s:c r="DM45" s="124"/>
      <s:c r="DN45" s="124"/>
      <s:c r="DO45" s="124"/>
      <s:c r="DP45" s="124"/>
      <s:c r="DQ45" s="124"/>
      <s:c r="DR45" s="124"/>
      <s:c r="DS45" s="124"/>
      <s:c r="DT45" s="124"/>
      <s:c r="DU45" s="124"/>
      <s:c r="DV45" s="124"/>
      <s:c r="DW45" s="124"/>
      <s:c r="DX45" s="124"/>
      <s:c r="DY45" s="124"/>
      <s:c r="DZ45" s="124"/>
      <s:c r="EA45" s="124"/>
      <s:c r="EB45" s="124"/>
      <s:c r="EC45" s="124"/>
      <s:c r="ED45" s="124"/>
      <s:c r="EE45" s="124"/>
      <s:c r="EF45" s="124"/>
      <s:c r="EG45" s="124"/>
      <s:c r="EH45" s="124"/>
      <s:c r="EI45" s="124"/>
      <s:c r="EJ45" s="124"/>
      <s:c r="EK45" s="124"/>
      <s:c r="EL45" s="124"/>
      <s:c r="EM45" s="124"/>
      <s:c r="EN45" s="124"/>
      <s:c r="EO45" s="124"/>
      <s:c r="EP45" s="124"/>
      <s:c r="EQ45" s="124"/>
      <s:c r="ER45" s="124"/>
      <s:c r="ES45" s="124"/>
      <s:c r="ET45" s="124"/>
      <s:c r="EU45" s="124"/>
      <s:c r="EV45" s="124"/>
      <s:c r="EW45" s="124"/>
      <s:c r="EX45" s="124"/>
      <s:c r="EY45" s="124"/>
      <s:c r="EZ45" s="124"/>
      <s:c r="FA45" s="124"/>
      <s:c r="FB45" s="124"/>
      <s:c r="FC45" s="124"/>
      <s:c r="FD45" s="124"/>
      <s:c r="FE45" s="124"/>
      <s:c r="FF45" s="124"/>
      <s:c r="FG45" s="124"/>
      <s:c r="FH45" s="124"/>
      <s:c r="FI45" s="124"/>
      <s:c r="FJ45" s="124"/>
      <s:c r="FK45" s="124"/>
      <s:c r="FL45" s="124"/>
      <s:c r="FM45" s="124"/>
      <s:c r="FN45" s="124"/>
      <s:c r="FO45" s="124"/>
      <s:c r="FP45" s="124"/>
      <s:c r="FQ45" s="124"/>
      <s:c r="FR45" s="124"/>
      <s:c r="FS45" s="124"/>
      <s:c r="FT45" s="124"/>
      <s:c r="FU45" s="124"/>
      <s:c r="FV45" s="124"/>
      <s:c r="FW45" s="124"/>
      <s:c r="FX45" s="124"/>
      <s:c r="FY45" s="124"/>
      <s:c r="FZ45" s="124"/>
      <s:c r="GA45" s="124"/>
      <s:c r="GB45" s="124"/>
      <s:c r="GC45" s="124"/>
      <s:c r="GD45" s="124"/>
      <s:c r="GE45" s="124"/>
      <s:c r="GF45" s="124"/>
      <s:c r="GG45" s="124"/>
      <s:c r="GH45" s="124"/>
      <s:c r="GI45" s="124"/>
      <s:c r="GJ45" s="124"/>
      <s:c r="GK45" s="124"/>
      <s:c r="GL45" s="124"/>
      <s:c r="GM45" s="124"/>
      <s:c r="GN45" s="124"/>
      <s:c r="GO45" s="124"/>
      <s:c r="GP45" s="124"/>
      <s:c r="GQ45" s="124"/>
      <s:c r="GR45" s="124"/>
      <s:c r="GS45" s="124"/>
      <s:c r="GT45" s="124"/>
      <s:c r="GU45" s="124"/>
      <s:c r="GV45" s="124"/>
      <s:c r="GW45" s="124"/>
      <s:c r="GX45" s="124"/>
      <s:c r="GY45" s="124"/>
      <s:c r="GZ45" s="124"/>
      <s:c r="HA45" s="124"/>
      <s:c r="HB45" s="124"/>
      <s:c r="HC45" s="124"/>
      <s:c r="HD45" s="124"/>
      <s:c r="HE45" s="124"/>
      <s:c r="HF45" s="124"/>
      <s:c r="HG45" s="124"/>
      <s:c r="HH45" s="124"/>
      <s:c r="HI45" s="124"/>
      <s:c r="HJ45" s="124"/>
      <s:c r="HK45" s="124"/>
      <s:c r="HL45" s="124"/>
      <s:c r="HM45" s="124"/>
      <s:c r="HN45" s="124"/>
      <s:c r="HO45" s="124"/>
      <s:c r="HP45" s="124"/>
      <s:c r="HQ45" s="124"/>
      <s:c r="HR45" s="124"/>
      <s:c r="HS45" s="124"/>
      <s:c r="HT45" s="124"/>
      <s:c r="HU45" s="124"/>
      <s:c r="HV45" s="124"/>
      <s:c r="HW45" s="124"/>
      <s:c r="HX45" s="124"/>
      <s:c r="HY45" s="124"/>
      <s:c r="HZ45" s="124"/>
      <s:c r="IA45" s="124"/>
      <s:c r="IB45" s="124"/>
      <s:c r="IC45" s="124"/>
      <s:c r="ID45" s="124"/>
      <s:c r="IE45" s="124"/>
      <s:c r="IF45" s="124"/>
      <s:c r="IG45" s="124"/>
      <s:c r="IH45" s="124"/>
      <s:c r="II45" s="124"/>
      <s:c r="IJ45" s="124"/>
      <s:c r="IK45" s="124"/>
      <s:c r="IL45" s="124"/>
      <s:c r="IM45" s="124"/>
      <s:c r="IN45" s="124"/>
      <s:c r="IO45" s="124"/>
      <s:c r="IP45" s="124"/>
      <s:c r="IQ45" s="124"/>
      <s:c r="IR45" s="124"/>
      <s:c r="IS45" s="124"/>
      <s:c r="IT45" s="124"/>
      <s:c r="IU45" s="124"/>
    </s:row>
    <s:row r="46" spans="1:255" s="115" customFormat="1">
      <s:c r="A46" s="90" t="s">
        <s:v>49</s:v>
      </s:c>
      <s:c r="B46" s="91">
        <s:v>45710</s:v>
      </s:c>
      <s:c r="C46" s="92" t="s">
        <s:v>47</s:v>
      </s:c>
      <s:c r="D46" s="116">
        <s:v>22350</s:v>
      </s:c>
      <s:c r="E46" s="117">
        <s:v>6</s:v>
      </s:c>
      <s:c r="F46" s="117">
        <s:f>IF(AND(E46&lt;&gt;"",E46&lt;&gt;0),D46/E46,"")</s:f>
        <s:v>3725</s:v>
      </s:c>
      <s:c r="G46" s="117">
        <s:v>4</s:v>
      </s:c>
      <s:c r="H46" s="117">
        <s:f>IF(AND(G46&lt;&gt;"",G46&lt;&gt;0),D46/G46,"")</s:f>
        <s:v>5587.5</s:v>
      </s:c>
      <s:c r="I46" s="117">
        <s:v>15</s:v>
      </s:c>
      <s:c r="J46" s="116">
        <s:f>IF(AND(G46&lt;&gt;"",G46&lt;&gt;0),E46/G46,"")</s:f>
        <s:v>1.5</s:v>
      </s:c>
      <s:c r="K46" s="117"/>
      <s:c r="L46" s="117"/>
      <s:c r="M46" s="117"/>
      <s:c r="N46" s="118">
        <s:f>IF(AND(I46&lt;&gt;"",I46&lt;&gt;0),G46/I46,"")</s:f>
        <s:v>0.26666666666666666</s:v>
      </s:c>
      <s:c r="O46" s="119">
        <s:f>D46/P46</s:f>
        <s:v>0.55722725174422816</s:v>
      </s:c>
      <s:c r="P46" s="120">
        <s:f>$I$8*V46*W46/SUMPRODUCT($W$25:$W$55,$V$25:$V$55)</s:f>
        <s:v>40109.30895795246</s:v>
      </s:c>
      <s:c r="Q46" s="121">
        <s:f>$I$9*V46*W46/SUMPRODUCT($W$25:$W$55,$V$25:$V$55)</s:f>
        <s:v>10.442413162705666</s:v>
      </s:c>
      <s:c r="R46" s="121">
        <s:f>IF($I$12="","",Q46/$I$12)</s:f>
        <s:v>5.221206581352833</s:v>
      </s:c>
      <s:c r="S46" s="120">
        <s:f>IF(W46&lt;&gt;"",IF(D46&lt;&gt;"",D46,($I$8-SUM($S$25:S45))*V46*W46/SUMPRODUCT($W46:$W$55,$V46:$V$55)),"")</s:f>
        <s:v>22350</s:v>
      </s:c>
      <s:c r="T46" s="121">
        <s:f>IF(W46&lt;&gt;"",IF(E46&lt;&gt;"",E46,($I$9-SUM($T$25:T45))*V46*W46/SUMPRODUCT($W46:$W$55,$V46:$V$55)),"")</s:f>
        <s:v>6</s:v>
      </s:c>
      <s:c r="U46" s="121">
        <s:f>IF(W46&lt;&gt;"",IF($I$12&lt;&gt;"",IF(G46&lt;&gt;"",G46,($I$9/$I$12-SUM($U$25:U45))*V46*W46/SUMPRODUCT($W46:$W$55,$V46:$V$55)),""),"")</s:f>
        <s:v>4</s:v>
      </s:c>
      <s:c r="V46" s="122">
        <s:v>1</s:v>
      </s:c>
      <s:c r="W46" s="122">
        <s:v>1</s:v>
      </s:c>
      <s:c r="X46" s="123"/>
      <s:c r="Y46" s="123"/>
      <s:c r="Z46" s="127"/>
    </s:row>
    <s:row r="47" spans="1:255" s="115" customFormat="1">
      <s:c r="A47" s="90" t="s">
        <s:v>49</s:v>
      </s:c>
      <s:c r="B47" s="91">
        <s:v>45711</s:v>
      </s:c>
      <s:c r="C47" s="92" t="s">
        <s:v>48</s:v>
      </s:c>
      <s:c r="D47" s="116">
        <s:v>56582</s:v>
      </s:c>
      <s:c r="E47" s="117">
        <s:v>13</s:v>
      </s:c>
      <s:c r="F47" s="117">
        <s:f>IF(AND(E47&lt;&gt;"",E47&lt;&gt;0),D47/E47,"")</s:f>
        <s:v>4352.4615384615381</s:v>
      </s:c>
      <s:c r="G47" s="117">
        <s:v>9</s:v>
      </s:c>
      <s:c r="H47" s="117">
        <s:f>IF(AND(G47&lt;&gt;"",G47&lt;&gt;0),D47/G47,"")</s:f>
        <s:v>6286.8888888888887</s:v>
      </s:c>
      <s:c r="I47" s="117">
        <s:v>24</s:v>
      </s:c>
      <s:c r="J47" s="116">
        <s:f>IF(AND(G47&lt;&gt;"",G47&lt;&gt;0),E47/G47,"")</s:f>
        <s:v>1.4444444444444444</s:v>
      </s:c>
      <s:c r="K47" s="117"/>
      <s:c r="L47" s="117"/>
      <s:c r="M47" s="117"/>
      <s:c r="N47" s="118">
        <s:f>IF(AND(I47&lt;&gt;"",I47&lt;&gt;0),G47/I47,"")</s:f>
        <s:v>0.375</s:v>
      </s:c>
      <s:c r="O47" s="119">
        <s:f>D47/P47</s:f>
        <s:v>1.4106949600980723</s:v>
      </s:c>
      <s:c r="P47" s="120">
        <s:f>$I$8*V47*W47/SUMPRODUCT($W$25:$W$55,$V$25:$V$55)</s:f>
        <s:v>40109.30895795246</s:v>
      </s:c>
      <s:c r="Q47" s="121">
        <s:f>$I$9*V47*W47/SUMPRODUCT($W$25:$W$55,$V$25:$V$55)</s:f>
        <s:v>10.442413162705666</s:v>
      </s:c>
      <s:c r="R47" s="121">
        <s:f>IF($I$12="","",Q47/$I$12)</s:f>
        <s:v>5.221206581352833</s:v>
      </s:c>
      <s:c r="S47" s="120">
        <s:f>IF(W47&lt;&gt;"",IF(D47&lt;&gt;"",D47,($I$8-SUM($S$25:S46))*V47*W47/SUMPRODUCT($W47:$W$55,$V47:$V$55)),"")</s:f>
        <s:v>56582</s:v>
      </s:c>
      <s:c r="T47" s="121">
        <s:f>IF(W47&lt;&gt;"",IF(E47&lt;&gt;"",E47,($I$9-SUM($T$25:T46))*V47*W47/SUMPRODUCT($W47:$W$55,$V47:$V$55)),"")</s:f>
        <s:v>13</s:v>
      </s:c>
      <s:c r="U47" s="121">
        <s:f>IF(W47&lt;&gt;"",IF($I$12&lt;&gt;"",IF(G47&lt;&gt;"",G47,($I$9/$I$12-SUM($U$25:U46))*V47*W47/SUMPRODUCT($W47:$W$55,$V47:$V$55)),""),"")</s:f>
        <s:v>9</s:v>
      </s:c>
      <s:c r="V47" s="122">
        <s:v>1</s:v>
      </s:c>
      <s:c r="W47" s="122">
        <s:v>1</s:v>
      </s:c>
      <s:c r="X47" s="123"/>
      <s:c r="Y47" s="123"/>
      <s:c r="Z47" s="127"/>
    </s:row>
    <s:row r="48">
      <s:c r="A48" s="101" t="s">
        <s:v>49</s:v>
      </s:c>
      <s:c r="B48" s="102">
        <s:v>45712</s:v>
      </s:c>
      <s:c r="C48" s="103" t="s">
        <s:v>50</s:v>
      </s:c>
      <s:c r="D48" s="104">
        <s:v>3892</s:v>
      </s:c>
      <s:c r="E48" s="106">
        <s:v>1</s:v>
      </s:c>
      <s:c r="F48" s="106">
        <s:f>IF(AND(E48&lt;&gt;"",E48&lt;&gt;0),D48/E48,"")</s:f>
        <s:v>3892</s:v>
      </s:c>
      <s:c r="G48" s="106">
        <s:v>1</s:v>
      </s:c>
      <s:c r="H48" s="106">
        <s:f>IF(AND(G48&lt;&gt;"",G48&lt;&gt;0),D48/G48,"")</s:f>
        <s:v>3892</s:v>
      </s:c>
      <s:c r="I48" s="106">
        <s:v>5</s:v>
      </s:c>
      <s:c r="J48" s="104">
        <s:f>IF(AND(G48&lt;&gt;"",G48&lt;&gt;0),E48/G48,"")</s:f>
        <s:v>1</s:v>
      </s:c>
      <s:c r="K48" s="106"/>
      <s:c r="L48" s="106"/>
      <s:c r="M48" s="106"/>
      <s:c r="N48" s="107">
        <s:f>IF(AND(I48&lt;&gt;"",I48&lt;&gt;0),G48/I48,"")</s:f>
        <s:v>0.2</s:v>
      </s:c>
      <s:c r="O48" s="108">
        <s:f>D48/P48</s:f>
        <s:v>0.15161692280400835</s:v>
      </s:c>
      <s:c r="P48" s="109">
        <s:f>$I$8*V48*W48/SUMPRODUCT($W$25:$W$55,$V$25:$V$55)</s:f>
        <s:v>25669.957733089581</s:v>
      </s:c>
      <s:c r="Q48" s="110">
        <s:f>$I$9*V48*W48/SUMPRODUCT($W$25:$W$55,$V$25:$V$55)</s:f>
        <s:v>6.6831444241316262</s:v>
      </s:c>
      <s:c r="R48" s="110">
        <s:f>IF($I$12="","",Q48/$I$12)</s:f>
        <s:v>3.3415722120658131</s:v>
      </s:c>
      <s:c r="S48" s="109">
        <s:f>IF(W48&lt;&gt;"",IF(D48&lt;&gt;"",D48,($I$8-SUM($S$25:S47))*V48*W48/SUMPRODUCT($W48:$W$55,$V48:$V$55)),"")</s:f>
        <s:v>3892</s:v>
      </s:c>
      <s:c r="T48" s="110">
        <s:f>IF(W48&lt;&gt;"",IF(E48&lt;&gt;"",E48,($I$9-SUM($T$25:T47))*V48*W48/SUMPRODUCT($W48:$W$55,$V48:$V$55)),"")</s:f>
        <s:v>1</s:v>
      </s:c>
      <s:c r="U48" s="110">
        <s:f>IF(W48&lt;&gt;"",IF($I$12&lt;&gt;"",IF(G48&lt;&gt;"",G48,($I$9/$I$12-SUM($U$25:U47))*V48*W48/SUMPRODUCT($W48:$W$55,$V48:$V$55)),""),"")</s:f>
        <s:v>1</s:v>
      </s:c>
      <s:c r="V48" s="111">
        <s:v>0.8</s:v>
      </s:c>
      <s:c r="W48" s="111">
        <s:v>0.8</s:v>
      </s:c>
      <s:c r="X48" s="112"/>
      <s:c r="Y48" s="112"/>
      <s:c r="Z48" s="126"/>
    </s:row>
    <s:row r="49">
      <s:c r="A49" s="101" t="s">
        <s:v>49</s:v>
      </s:c>
      <s:c r="B49" s="102">
        <s:v>45713</s:v>
      </s:c>
      <s:c r="C49" s="103" t="s">
        <s:v>51</s:v>
      </s:c>
      <s:c r="D49" s="104">
        <s:v>20474</s:v>
      </s:c>
      <s:c r="E49" s="106">
        <s:v>3</s:v>
      </s:c>
      <s:c r="F49" s="106">
        <s:f>IF(AND(E49&lt;&gt;"",E49&lt;&gt;0),D49/E49,"")</s:f>
        <s:v>6824.666666666667</s:v>
      </s:c>
      <s:c r="G49" s="106">
        <s:v>1</s:v>
      </s:c>
      <s:c r="H49" s="106">
        <s:f>IF(AND(G49&lt;&gt;"",G49&lt;&gt;0),D49/G49,"")</s:f>
        <s:v>20474</s:v>
      </s:c>
      <s:c r="I49" s="106">
        <s:v>9</s:v>
      </s:c>
      <s:c r="J49" s="104">
        <s:f>IF(AND(G49&lt;&gt;"",G49&lt;&gt;0),E49/G49,"")</s:f>
        <s:v>3</s:v>
      </s:c>
      <s:c r="K49" s="106"/>
      <s:c r="L49" s="106"/>
      <s:c r="M49" s="106"/>
      <s:c r="N49" s="107">
        <s:f>IF(AND(I49&lt;&gt;"",I49&lt;&gt;0),G49/I49,"")</s:f>
        <s:v>0.1111111111111111</s:v>
      </s:c>
      <s:c r="O49" s="108">
        <s:f>D49/P49</s:f>
        <s:v>0.79758604252036658</s:v>
      </s:c>
      <s:c r="P49" s="109">
        <s:f>$I$8*V49*W49/SUMPRODUCT($W$25:$W$55,$V$25:$V$55)</s:f>
        <s:v>25669.957733089581</s:v>
      </s:c>
      <s:c r="Q49" s="110">
        <s:f>$I$9*V49*W49/SUMPRODUCT($W$25:$W$55,$V$25:$V$55)</s:f>
        <s:v>6.6831444241316262</s:v>
      </s:c>
      <s:c r="R49" s="110">
        <s:f>IF($I$12="","",Q49/$I$12)</s:f>
        <s:v>3.3415722120658131</s:v>
      </s:c>
      <s:c r="S49" s="109">
        <s:f>IF(W49&lt;&gt;"",IF(D49&lt;&gt;"",D49,($I$8-SUM($S$25:S48))*V49*W49/SUMPRODUCT($W49:$W$55,$V49:$V$55)),"")</s:f>
        <s:v>20474</s:v>
      </s:c>
      <s:c r="T49" s="110">
        <s:f>IF(W49&lt;&gt;"",IF(E49&lt;&gt;"",E49,($I$9-SUM($T$25:T48))*V49*W49/SUMPRODUCT($W49:$W$55,$V49:$V$55)),"")</s:f>
        <s:v>3</s:v>
      </s:c>
      <s:c r="U49" s="110">
        <s:f>IF(W49&lt;&gt;"",IF($I$12&lt;&gt;"",IF(G49&lt;&gt;"",G49,($I$9/$I$12-SUM($U$25:U48))*V49*W49/SUMPRODUCT($W49:$W$55,$V49:$V$55)),""),"")</s:f>
        <s:v>1</s:v>
      </s:c>
      <s:c r="V49" s="111">
        <s:v>0.8</s:v>
      </s:c>
      <s:c r="W49" s="111">
        <s:v>0.8</s:v>
      </s:c>
      <s:c r="X49" s="112"/>
      <s:c r="Y49" s="112"/>
      <s:c r="Z49" s="126"/>
    </s:row>
    <s:row r="50">
      <s:c r="A50" s="101" t="s">
        <s:v>49</s:v>
      </s:c>
      <s:c r="B50" s="102">
        <s:v>45714</s:v>
      </s:c>
      <s:c r="C50" s="103" t="s">
        <s:v>52</s:v>
      </s:c>
      <s:c r="D50" s="104">
        <s:v>13866</s:v>
      </s:c>
      <s:c r="E50" s="106">
        <s:v>4</s:v>
      </s:c>
      <s:c r="F50" s="105">
        <s:f>IF(AND(E50&lt;&gt;"",E50&lt;&gt;0),D50/E50,"")</s:f>
        <s:v>3466.5</s:v>
      </s:c>
      <s:c r="G50" s="106">
        <s:v>2</s:v>
      </s:c>
      <s:c r="H50" s="106">
        <s:f>IF(AND(G50&lt;&gt;"",G50&lt;&gt;0),D50/G50,"")</s:f>
        <s:v>6933</s:v>
      </s:c>
      <s:c r="I50" s="106">
        <s:v>6</s:v>
      </s:c>
      <s:c r="J50" s="104">
        <s:f>IF(AND(G50&lt;&gt;"",G50&lt;&gt;0),E50/G50,"")</s:f>
        <s:v>2</s:v>
      </s:c>
      <s:c r="K50" s="106"/>
      <s:c r="L50" s="106"/>
      <s:c r="M50" s="106"/>
      <s:c r="N50" s="107">
        <s:f>IF(AND(I50&lt;&gt;"",I50&lt;&gt;0),G50/I50,"")</s:f>
        <s:v>0.33333333333333331</s:v>
      </s:c>
      <s:c r="O50" s="108">
        <s:f>D50/P50</s:f>
        <s:v>0.34570528289420432</s:v>
      </s:c>
      <s:c r="P50" s="109">
        <s:f>$I$8*V50*W50/SUMPRODUCT($W$25:$W$55,$V$25:$V$55)</s:f>
        <s:v>40109.30895795246</s:v>
      </s:c>
      <s:c r="Q50" s="110">
        <s:f>$I$9*V50*W50/SUMPRODUCT($W$25:$W$55,$V$25:$V$55)</s:f>
        <s:v>10.442413162705666</s:v>
      </s:c>
      <s:c r="R50" s="110">
        <s:f>IF($I$12="","",Q50/$I$12)</s:f>
        <s:v>5.221206581352833</s:v>
      </s:c>
      <s:c r="S50" s="109">
        <s:f>IF(W50&lt;&gt;"",IF(D50&lt;&gt;"",D50,($I$8-SUM($S$25:S49))*V50*W50/SUMPRODUCT($W50:$W$55,$V50:$V$55)),"")</s:f>
        <s:v>13866</s:v>
      </s:c>
      <s:c r="T50" s="110">
        <s:f>IF(W50&lt;&gt;"",IF(E50&lt;&gt;"",E50,($I$9-SUM($T$25:T49))*V50*W50/SUMPRODUCT($W50:$W$55,$V50:$V$55)),"")</s:f>
        <s:v>4</s:v>
      </s:c>
      <s:c r="U50" s="110">
        <s:f>IF(W50&lt;&gt;"",IF($I$12&lt;&gt;"",IF(G50&lt;&gt;"",G50,($I$9/$I$12-SUM($U$25:U49))*V50*W50/SUMPRODUCT($W50:$W$55,$V50:$V$55)),""),"")</s:f>
        <s:v>2</s:v>
      </s:c>
      <s:c r="V50" s="111">
        <s:v>1</s:v>
      </s:c>
      <s:c r="W50" s="111">
        <s:v>1</s:v>
      </s:c>
      <s:c r="X50" s="112"/>
      <s:c r="Y50" s="112"/>
      <s:c r="Z50" s="126"/>
    </s:row>
    <s:row r="51">
      <s:c r="A51" s="101" t="s">
        <s:v>49</s:v>
      </s:c>
      <s:c r="B51" s="102">
        <s:v>45715</s:v>
      </s:c>
      <s:c r="C51" s="103" t="s">
        <s:v>53</s:v>
      </s:c>
      <s:c r="D51" s="104">
        <s:v>32572</s:v>
      </s:c>
      <s:c r="E51" s="106">
        <s:v>8</s:v>
      </s:c>
      <s:c r="F51" s="106">
        <s:f>IF(AND(E51&lt;&gt;"",E51&lt;&gt;0),D51/E51,"")</s:f>
        <s:v>4071.5</s:v>
      </s:c>
      <s:c r="G51" s="106">
        <s:v>3</s:v>
      </s:c>
      <s:c r="H51" s="106">
        <s:f>IF(AND(G51&lt;&gt;"",G51&lt;&gt;0),D51/G51,"")</s:f>
        <s:v>10857.333333333334</s:v>
      </s:c>
      <s:c r="I51" s="106">
        <s:v>10</s:v>
      </s:c>
      <s:c r="J51" s="104">
        <s:f>IF(AND(G51&lt;&gt;"",G51&lt;&gt;0),E51/G51,"")</s:f>
        <s:v>2.6666666666666665</s:v>
      </s:c>
      <s:c r="K51" s="106"/>
      <s:c r="L51" s="106"/>
      <s:c r="M51" s="106"/>
      <s:c r="N51" s="107">
        <s:f>IF(AND(I51&lt;&gt;"",I51&lt;&gt;0),G51/I51,"")</s:f>
        <s:v>0.3</s:v>
      </s:c>
      <s:c r="O51" s="108">
        <s:f>D51/P51</s:f>
        <s:v>0.81208080732944066</s:v>
      </s:c>
      <s:c r="P51" s="109">
        <s:f>$I$8*V51*W51/SUMPRODUCT($W$25:$W$55,$V$25:$V$55)</s:f>
        <s:v>40109.30895795246</s:v>
      </s:c>
      <s:c r="Q51" s="110">
        <s:f>$I$9*V51*W51/SUMPRODUCT($W$25:$W$55,$V$25:$V$55)</s:f>
        <s:v>10.442413162705666</s:v>
      </s:c>
      <s:c r="R51" s="110">
        <s:f>IF($I$12="","",Q51/$I$12)</s:f>
        <s:v>5.221206581352833</s:v>
      </s:c>
      <s:c r="S51" s="109">
        <s:f>IF(W51&lt;&gt;"",IF(D51&lt;&gt;"",D51,($I$8-SUM($S$25:S50))*V51*W51/SUMPRODUCT($W51:$W$55,$V51:$V$55)),"")</s:f>
        <s:v>32572</s:v>
      </s:c>
      <s:c r="T51" s="110">
        <s:f>IF(W51&lt;&gt;"",IF(E51&lt;&gt;"",E51,($I$9-SUM($T$25:T50))*V51*W51/SUMPRODUCT($W51:$W$55,$V51:$V$55)),"")</s:f>
        <s:v>8</s:v>
      </s:c>
      <s:c r="U51" s="110">
        <s:f>IF(W51&lt;&gt;"",IF($I$12&lt;&gt;"",IF(G51&lt;&gt;"",G51,($I$9/$I$12-SUM($U$25:U50))*V51*W51/SUMPRODUCT($W51:$W$55,$V51:$V$55)),""),"")</s:f>
        <s:v>3</s:v>
      </s:c>
      <s:c r="V51" s="111">
        <s:v>1</s:v>
      </s:c>
      <s:c r="W51" s="111">
        <s:v>1</s:v>
      </s:c>
      <s:c r="X51" s="112"/>
      <s:c r="Y51" s="112"/>
      <s:c r="Z51" s="126"/>
    </s:row>
    <s:row r="52" spans="1:255" s="115" customFormat="1">
      <s:c r="A52" s="90" t="s">
        <s:v>49</s:v>
      </s:c>
      <s:c r="B52" s="91">
        <s:v>45716</s:v>
      </s:c>
      <s:c r="C52" s="92" t="s">
        <s:v>54</s:v>
      </s:c>
      <s:c r="D52" s="116">
        <s:v>20159</s:v>
      </s:c>
      <s:c r="E52" s="117">
        <s:v>5</s:v>
      </s:c>
      <s:c r="F52" s="117">
        <s:f>IF(AND(E52&lt;&gt;"",E52&lt;&gt;0),D52/E52,"")</s:f>
        <s:v>4031.8</s:v>
      </s:c>
      <s:c r="G52" s="117">
        <s:v>5</s:v>
      </s:c>
      <s:c r="H52" s="117">
        <s:f>IF(AND(G52&lt;&gt;"",G52&lt;&gt;0),D52/G52,"")</s:f>
        <s:v>4031.8</s:v>
      </s:c>
      <s:c r="I52" s="117">
        <s:v>10</s:v>
      </s:c>
      <s:c r="J52" s="116">
        <s:f>IF(AND(G52&lt;&gt;"",G52&lt;&gt;0),E52/G52,"")</s:f>
        <s:v>1</s:v>
      </s:c>
      <s:c r="K52" s="117"/>
      <s:c r="L52" s="117"/>
      <s:c r="M52" s="117"/>
      <s:c r="N52" s="118">
        <s:f>IF(AND(I52&lt;&gt;"",I52&lt;&gt;0),G52/I52,"")</s:f>
        <s:v>0.5</s:v>
      </s:c>
      <s:c r="O52" s="119">
        <s:f>D52/P52</s:f>
        <s:v>0.50260152876563291</s:v>
      </s:c>
      <s:c r="P52" s="120">
        <s:f>$I$8*V52*W52/SUMPRODUCT($W$25:$W$55,$V$25:$V$55)</s:f>
        <s:v>40109.30895795246</s:v>
      </s:c>
      <s:c r="Q52" s="121">
        <s:f>$I$9*V52*W52/SUMPRODUCT($W$25:$W$55,$V$25:$V$55)</s:f>
        <s:v>10.442413162705666</s:v>
      </s:c>
      <s:c r="R52" s="121">
        <s:f>IF($I$12="","",Q52/$I$12)</s:f>
        <s:v>5.221206581352833</s:v>
      </s:c>
      <s:c r="S52" s="120">
        <s:f>IF(W52&lt;&gt;"",IF(D52&lt;&gt;"",D52,($I$8-SUM($S$25:S51))*V52*W52/SUMPRODUCT($W52:$W$55,$V52:$V$55)),"")</s:f>
        <s:v>20159</s:v>
      </s:c>
      <s:c r="T52" s="121">
        <s:f>IF(W52&lt;&gt;"",IF(E52&lt;&gt;"",E52,($I$9-SUM($T$25:T51))*V52*W52/SUMPRODUCT($W52:$W$55,$V52:$V$55)),"")</s:f>
        <s:v>5</s:v>
      </s:c>
      <s:c r="U52" s="121">
        <s:f>IF(W52&lt;&gt;"",IF($I$12&lt;&gt;"",IF(G52&lt;&gt;"",G52,($I$9/$I$12-SUM($U$25:U51))*V52*W52/SUMPRODUCT($W52:$W$55,$V52:$V$55)),""),"")</s:f>
        <s:v>5</s:v>
      </s:c>
      <s:c r="V52" s="122">
        <s:v>1</s:v>
      </s:c>
      <s:c r="W52" s="122">
        <s:v>1</s:v>
      </s:c>
      <s:c r="X52" s="123"/>
      <s:c r="Y52" s="123"/>
      <s:c r="Z52" s="127"/>
      <s:c r="AA52" s="124"/>
      <s:c r="AB52" s="124"/>
      <s:c r="AC52" s="124"/>
      <s:c r="AD52" s="124"/>
      <s:c r="AE52" s="124"/>
      <s:c r="AF52" s="124"/>
      <s:c r="AG52" s="124"/>
      <s:c r="AH52" s="124"/>
      <s:c r="AI52" s="124"/>
      <s:c r="AJ52" s="124"/>
      <s:c r="AK52" s="124"/>
      <s:c r="AL52" s="124"/>
      <s:c r="AM52" s="124"/>
      <s:c r="AN52" s="124"/>
      <s:c r="AO52" s="124"/>
      <s:c r="AP52" s="124"/>
      <s:c r="AQ52" s="124"/>
      <s:c r="AR52" s="124"/>
      <s:c r="AS52" s="124"/>
      <s:c r="AT52" s="124"/>
      <s:c r="AU52" s="124"/>
      <s:c r="AV52" s="124"/>
      <s:c r="AW52" s="124"/>
      <s:c r="AX52" s="124"/>
      <s:c r="AY52" s="124"/>
      <s:c r="AZ52" s="124"/>
      <s:c r="BA52" s="124"/>
      <s:c r="BB52" s="124"/>
      <s:c r="BC52" s="124"/>
      <s:c r="BD52" s="124"/>
      <s:c r="BE52" s="124"/>
      <s:c r="BF52" s="124"/>
      <s:c r="BG52" s="124"/>
      <s:c r="BH52" s="124"/>
      <s:c r="BI52" s="124"/>
      <s:c r="BJ52" s="124"/>
      <s:c r="BK52" s="124"/>
      <s:c r="BL52" s="124"/>
      <s:c r="BM52" s="124"/>
      <s:c r="BN52" s="124"/>
      <s:c r="BO52" s="124"/>
      <s:c r="BP52" s="124"/>
      <s:c r="BQ52" s="124"/>
      <s:c r="BR52" s="124"/>
      <s:c r="BS52" s="124"/>
      <s:c r="BT52" s="124"/>
      <s:c r="BU52" s="124"/>
      <s:c r="BV52" s="124"/>
      <s:c r="BW52" s="124"/>
      <s:c r="BX52" s="124"/>
      <s:c r="BY52" s="124"/>
      <s:c r="BZ52" s="124"/>
      <s:c r="CA52" s="124"/>
      <s:c r="CB52" s="124"/>
      <s:c r="CC52" s="124"/>
      <s:c r="CD52" s="124"/>
      <s:c r="CE52" s="124"/>
      <s:c r="CF52" s="124"/>
      <s:c r="CG52" s="124"/>
      <s:c r="CH52" s="124"/>
      <s:c r="CI52" s="124"/>
      <s:c r="CJ52" s="124"/>
      <s:c r="CK52" s="124"/>
      <s:c r="CL52" s="124"/>
      <s:c r="CM52" s="124"/>
      <s:c r="CN52" s="124"/>
      <s:c r="CO52" s="124"/>
      <s:c r="CP52" s="124"/>
      <s:c r="CQ52" s="124"/>
      <s:c r="CR52" s="124"/>
      <s:c r="CS52" s="124"/>
      <s:c r="CT52" s="124"/>
      <s:c r="CU52" s="124"/>
      <s:c r="CV52" s="124"/>
      <s:c r="CW52" s="124"/>
      <s:c r="CX52" s="124"/>
      <s:c r="CY52" s="124"/>
      <s:c r="CZ52" s="124"/>
      <s:c r="DA52" s="124"/>
      <s:c r="DB52" s="124"/>
      <s:c r="DC52" s="124"/>
      <s:c r="DD52" s="124"/>
      <s:c r="DE52" s="124"/>
      <s:c r="DF52" s="124"/>
      <s:c r="DG52" s="124"/>
      <s:c r="DH52" s="124"/>
      <s:c r="DI52" s="124"/>
      <s:c r="DJ52" s="124"/>
      <s:c r="DK52" s="124"/>
      <s:c r="DL52" s="124"/>
      <s:c r="DM52" s="124"/>
      <s:c r="DN52" s="124"/>
      <s:c r="DO52" s="124"/>
      <s:c r="DP52" s="124"/>
      <s:c r="DQ52" s="124"/>
      <s:c r="DR52" s="124"/>
      <s:c r="DS52" s="124"/>
      <s:c r="DT52" s="124"/>
      <s:c r="DU52" s="124"/>
      <s:c r="DV52" s="124"/>
      <s:c r="DW52" s="124"/>
      <s:c r="DX52" s="124"/>
      <s:c r="DY52" s="124"/>
      <s:c r="DZ52" s="124"/>
      <s:c r="EA52" s="124"/>
      <s:c r="EB52" s="124"/>
      <s:c r="EC52" s="124"/>
      <s:c r="ED52" s="124"/>
      <s:c r="EE52" s="124"/>
      <s:c r="EF52" s="124"/>
      <s:c r="EG52" s="124"/>
      <s:c r="EH52" s="124"/>
      <s:c r="EI52" s="124"/>
      <s:c r="EJ52" s="124"/>
      <s:c r="EK52" s="124"/>
      <s:c r="EL52" s="124"/>
      <s:c r="EM52" s="124"/>
      <s:c r="EN52" s="124"/>
      <s:c r="EO52" s="124"/>
      <s:c r="EP52" s="124"/>
      <s:c r="EQ52" s="124"/>
      <s:c r="ER52" s="124"/>
      <s:c r="ES52" s="124"/>
      <s:c r="ET52" s="124"/>
      <s:c r="EU52" s="124"/>
      <s:c r="EV52" s="124"/>
      <s:c r="EW52" s="124"/>
      <s:c r="EX52" s="124"/>
      <s:c r="EY52" s="124"/>
      <s:c r="EZ52" s="124"/>
      <s:c r="FA52" s="124"/>
      <s:c r="FB52" s="124"/>
      <s:c r="FC52" s="124"/>
      <s:c r="FD52" s="124"/>
      <s:c r="FE52" s="124"/>
      <s:c r="FF52" s="124"/>
      <s:c r="FG52" s="124"/>
      <s:c r="FH52" s="124"/>
      <s:c r="FI52" s="124"/>
      <s:c r="FJ52" s="124"/>
      <s:c r="FK52" s="124"/>
      <s:c r="FL52" s="124"/>
      <s:c r="FM52" s="124"/>
      <s:c r="FN52" s="124"/>
      <s:c r="FO52" s="124"/>
      <s:c r="FP52" s="124"/>
      <s:c r="FQ52" s="124"/>
      <s:c r="FR52" s="124"/>
      <s:c r="FS52" s="124"/>
      <s:c r="FT52" s="124"/>
      <s:c r="FU52" s="124"/>
      <s:c r="FV52" s="124"/>
      <s:c r="FW52" s="124"/>
      <s:c r="FX52" s="124"/>
      <s:c r="FY52" s="124"/>
      <s:c r="FZ52" s="124"/>
      <s:c r="GA52" s="124"/>
      <s:c r="GB52" s="124"/>
      <s:c r="GC52" s="124"/>
      <s:c r="GD52" s="124"/>
      <s:c r="GE52" s="124"/>
      <s:c r="GF52" s="124"/>
      <s:c r="GG52" s="124"/>
      <s:c r="GH52" s="124"/>
      <s:c r="GI52" s="124"/>
      <s:c r="GJ52" s="124"/>
      <s:c r="GK52" s="124"/>
      <s:c r="GL52" s="124"/>
      <s:c r="GM52" s="124"/>
      <s:c r="GN52" s="124"/>
      <s:c r="GO52" s="124"/>
      <s:c r="GP52" s="124"/>
      <s:c r="GQ52" s="124"/>
      <s:c r="GR52" s="124"/>
      <s:c r="GS52" s="124"/>
      <s:c r="GT52" s="124"/>
      <s:c r="GU52" s="124"/>
      <s:c r="GV52" s="124"/>
      <s:c r="GW52" s="124"/>
      <s:c r="GX52" s="124"/>
      <s:c r="GY52" s="124"/>
      <s:c r="GZ52" s="124"/>
      <s:c r="HA52" s="124"/>
      <s:c r="HB52" s="124"/>
      <s:c r="HC52" s="124"/>
      <s:c r="HD52" s="124"/>
      <s:c r="HE52" s="124"/>
      <s:c r="HF52" s="124"/>
      <s:c r="HG52" s="124"/>
      <s:c r="HH52" s="124"/>
      <s:c r="HI52" s="124"/>
      <s:c r="HJ52" s="124"/>
      <s:c r="HK52" s="124"/>
      <s:c r="HL52" s="124"/>
      <s:c r="HM52" s="124"/>
      <s:c r="HN52" s="124"/>
      <s:c r="HO52" s="124"/>
      <s:c r="HP52" s="124"/>
      <s:c r="HQ52" s="124"/>
      <s:c r="HR52" s="124"/>
      <s:c r="HS52" s="124"/>
      <s:c r="HT52" s="124"/>
      <s:c r="HU52" s="124"/>
      <s:c r="HV52" s="124"/>
      <s:c r="HW52" s="124"/>
      <s:c r="HX52" s="124"/>
      <s:c r="HY52" s="124"/>
      <s:c r="HZ52" s="124"/>
      <s:c r="IA52" s="124"/>
      <s:c r="IB52" s="124"/>
      <s:c r="IC52" s="124"/>
      <s:c r="ID52" s="124"/>
      <s:c r="IE52" s="124"/>
      <s:c r="IF52" s="124"/>
      <s:c r="IG52" s="124"/>
      <s:c r="IH52" s="124"/>
      <s:c r="II52" s="124"/>
      <s:c r="IJ52" s="124"/>
      <s:c r="IK52" s="124"/>
      <s:c r="IL52" s="124"/>
      <s:c r="IM52" s="124"/>
      <s:c r="IN52" s="124"/>
      <s:c r="IO52" s="124"/>
      <s:c r="IP52" s="124"/>
      <s:c r="IQ52" s="124"/>
      <s:c r="IR52" s="124"/>
      <s:c r="IS52" s="124"/>
      <s:c r="IT52" s="124"/>
      <s:c r="IU52" s="124"/>
    </s:row>
    <s:row r="53">
      <s:c r="A53" s="128"/>
      <s:c r="B53" s="129"/>
      <s:c r="C53" s="130"/>
      <s:c r="D53" s="104"/>
      <s:c r="E53" s="106"/>
      <s:c r="F53" s="106" t="str">
        <s:f>IF(AND(E53&lt;&gt;"",E53&lt;&gt;0),D53/E53,"")</s:f>
        <s:v/>
      </s:c>
      <s:c r="G53" s="106"/>
      <s:c r="H53" s="106" t="str">
        <s:f>IF(AND(G53&lt;&gt;"",G53&lt;&gt;0),D53/G53,"")</s:f>
        <s:v/>
      </s:c>
      <s:c r="I53" s="106"/>
      <s:c r="J53" s="104" t="str">
        <s:f>IF(AND(G53&lt;&gt;"",G53&lt;&gt;0),E53/G53,"")</s:f>
        <s:v/>
      </s:c>
      <s:c r="K53" s="106"/>
      <s:c r="L53" s="106"/>
      <s:c r="M53" s="106"/>
      <s:c r="N53" s="107" t="str">
        <s:f>IF(AND(I53&lt;&gt;"",I53&lt;&gt;0),G53/I53,"")</s:f>
        <s:v/>
      </s:c>
      <s:c r="O53" s="108" t="e">
        <s:f>D53/P53</s:f>
        <s:v>#DIV/0!</s:v>
      </s:c>
      <s:c r="P53" s="109">
        <s:f>$I$8*V53*W53/SUMPRODUCT($W$25:$W$55,$V$25:$V$55)</s:f>
        <s:v>0</s:v>
      </s:c>
      <s:c r="Q53" s="110">
        <s:f>$I$9*V53*W53/SUMPRODUCT($W$25:$W$55,$V$25:$V$55)</s:f>
        <s:v>0</s:v>
      </s:c>
      <s:c r="R53" s="110">
        <s:f>IF($I$12="","",Q53/$I$12)</s:f>
        <s:v>0</s:v>
      </s:c>
      <s:c r="S53" s="109" t="str">
        <s:f>IF(W53&lt;&gt;"",IF(D53&lt;&gt;"",D53,($I$8-SUM($S$25:S52))*V53*W53/SUMPRODUCT($W53:$W$55,$V53:$V$55)),"")</s:f>
        <s:v/>
      </s:c>
      <s:c r="T53" s="110" t="str">
        <s:f>IF(W53&lt;&gt;"",IF(E53&lt;&gt;"",E53,($I$9-SUM($T$25:T52))*V53*W53/SUMPRODUCT($W53:$W$55,$V53:$V$55)),"")</s:f>
        <s:v/>
      </s:c>
      <s:c r="U53" s="110" t="str">
        <s:f>IF(W53&lt;&gt;"",IF($I$12&lt;&gt;"",IF(G53&lt;&gt;"",G53,($I$9/$I$12-SUM($U$25:U52))*V53*W53/SUMPRODUCT($W53:$W$55,$V53:$V$55)),""),"")</s:f>
        <s:v/>
      </s:c>
      <s:c r="V53" s="111"/>
      <s:c r="W53" s="111"/>
      <s:c r="X53" s="112"/>
      <s:c r="Y53" s="112"/>
      <s:c r="Z53" s="126"/>
    </s:row>
    <s:row r="54" spans="1:255" ht="15" customHeight="1">
      <s:c r="A54" s="128"/>
      <s:c r="B54" s="129"/>
      <s:c r="C54" s="131"/>
      <s:c r="D54" s="104"/>
      <s:c r="E54" s="106"/>
      <s:c r="F54" s="106" t="str">
        <s:f>IF(AND(E54&lt;&gt;"",E54&lt;&gt;0),D54/E54,"")</s:f>
        <s:v/>
      </s:c>
      <s:c r="G54" s="106"/>
      <s:c r="H54" s="106" t="str">
        <s:f>IF(AND(G54&lt;&gt;"",G54&lt;&gt;0),D54/G54,"")</s:f>
        <s:v/>
      </s:c>
      <s:c r="I54" s="106"/>
      <s:c r="J54" s="104" t="str">
        <s:f>IF(AND(G54&lt;&gt;"",G54&lt;&gt;0),E54/G54,"")</s:f>
        <s:v/>
      </s:c>
      <s:c r="K54" s="106"/>
      <s:c r="L54" s="106"/>
      <s:c r="M54" s="106"/>
      <s:c r="N54" s="107" t="str">
        <s:f>IF(AND(I54&lt;&gt;"",I54&lt;&gt;0),G54/I54,"")</s:f>
        <s:v/>
      </s:c>
      <s:c r="O54" s="108" t="e">
        <s:f>D54/P54</s:f>
        <s:v>#DIV/0!</s:v>
      </s:c>
      <s:c r="P54" s="109">
        <s:f>$I$8*V54*W54/SUMPRODUCT($W$25:$W$55,$V$25:$V$55)</s:f>
        <s:v>0</s:v>
      </s:c>
      <s:c r="Q54" s="110">
        <s:f>$I$9*V54*W54/SUMPRODUCT($W$25:$W$55,$V$25:$V$55)</s:f>
        <s:v>0</s:v>
      </s:c>
      <s:c r="R54" s="110">
        <s:f>IF($I$12="","",Q54/$I$12)</s:f>
        <s:v>0</s:v>
      </s:c>
      <s:c r="S54" s="109" t="str">
        <s:f>IF(W54&lt;&gt;"",IF(D54&lt;&gt;"",D54,($I$8-SUM($S$25:S53))*V54*W54/SUMPRODUCT($W54:$W$55,$V54:$V$55)),"")</s:f>
        <s:v/>
      </s:c>
      <s:c r="T54" s="110" t="str">
        <s:f>IF(W54&lt;&gt;"",IF(E54&lt;&gt;"",E54,($I$9-SUM($T$25:T53))*V54*W54/SUMPRODUCT($W54:$W$55,$V54:$V$55)),"")</s:f>
        <s:v/>
      </s:c>
      <s:c r="U54" s="110" t="str">
        <s:f>IF(W54&lt;&gt;"",IF($I$12&lt;&gt;"",IF(G54&lt;&gt;"",G54,($I$9/$I$12-SUM($U$25:U53))*V54*W54/SUMPRODUCT($W54:$W$55,$V54:$V$55)),""),"")</s:f>
        <s:v/>
      </s:c>
      <s:c r="V54" s="111"/>
      <s:c r="W54" s="111"/>
      <s:c r="X54" s="112"/>
      <s:c r="Y54" s="112"/>
      <s:c r="Z54" s="126"/>
    </s:row>
    <s:row r="55" spans="1:255" ht="15" customHeight="1">
      <s:c r="A55" s="128"/>
      <s:c r="B55" s="129"/>
      <s:c r="C55" s="132"/>
      <s:c r="D55" s="104"/>
      <s:c r="E55" s="106"/>
      <s:c r="F55" s="106" t="str">
        <s:f>IF(AND(E55&lt;&gt;"",E55&lt;&gt;0),D55/E55,"")</s:f>
        <s:v/>
      </s:c>
      <s:c r="G55" s="106"/>
      <s:c r="H55" s="106" t="str">
        <s:f>IF(AND(G55&lt;&gt;"",G55&lt;&gt;0),D55/G55,"")</s:f>
        <s:v/>
      </s:c>
      <s:c r="I55" s="106"/>
      <s:c r="J55" s="104" t="str">
        <s:f>IF(AND(G55&lt;&gt;"",G55&lt;&gt;0),E55/G55,"")</s:f>
        <s:v/>
      </s:c>
      <s:c r="K55" s="106"/>
      <s:c r="L55" s="106"/>
      <s:c r="M55" s="106"/>
      <s:c r="N55" s="107" t="str">
        <s:f>IF(AND(I55&lt;&gt;"",I55&lt;&gt;0),G55/I55,"")</s:f>
        <s:v/>
      </s:c>
      <s:c r="O55" s="108" t="e">
        <s:f>D55/P55</s:f>
        <s:v>#DIV/0!</s:v>
      </s:c>
      <s:c r="P55" s="109">
        <s:f>$I$8*V55*W55/SUMPRODUCT($W$25:$W$55,$V$25:$V$55)</s:f>
        <s:v>0</s:v>
      </s:c>
      <s:c r="Q55" s="110">
        <s:f>$I$9*V55*W55/SUMPRODUCT($W$25:$W$55,$V$25:$V$55)</s:f>
        <s:v>0</s:v>
      </s:c>
      <s:c r="R55" s="110">
        <s:f>IF($I$12="","",Q55/$I$12)</s:f>
        <s:v>0</s:v>
      </s:c>
      <s:c r="S55" s="109" t="str">
        <s:f>IF(W55&lt;&gt;"",IF(D55&lt;&gt;"",D55,($I$8-SUM($S$25:S54))*V55*W55/SUMPRODUCT($W55:$W$55,$V55:$V$55)),"")</s:f>
        <s:v/>
      </s:c>
      <s:c r="T55" s="110">
        <s:f>IF(W55&lt;&gt;"",IF(E55&lt;&gt;"",E55,($I$9-SUM($T$25:T54))*V55*W55/SUMPRODUCT($W55:$W$55,$V55:$V$55)),0)</s:f>
        <s:v>0</s:v>
      </s:c>
      <s:c r="U55" s="110" t="str">
        <s:f>IF(W55&lt;&gt;"",IF($I$12&lt;&gt;"",IF(G55&lt;&gt;"",G55,($I$9/$I$12-SUM($U$25:U54))*V55*W55/SUMPRODUCT($W55:$W$55,$V55:$V$55)),""),"")</s:f>
        <s:v/>
      </s:c>
      <s:c r="V55" s="111"/>
      <s:c r="W55" s="111"/>
      <s:c r="X55" s="112"/>
      <s:c r="Y55" s="112"/>
    </s:row>
    <s:row r="56" spans="1:255" ht="15" customHeight="1">
      <s:c r="A56" s="128"/>
      <s:c r="B56" s="557" t="s">
        <s:v>55</s:v>
      </s:c>
      <s:c r="C56" s="557"/>
      <s:c r="D56" s="133">
        <s:f>SUM(D25:D55)</s:f>
        <s:v>809309</s:v>
      </s:c>
      <s:c r="E56" s="134">
        <s:f>SUM(E25:E55)</s:f>
        <s:v>192</s:v>
      </s:c>
      <s:c r="F56" s="134">
        <s:f>IF(AND(E56&lt;&gt;"", E56&lt;&gt;0), D56/E56, "")</s:f>
        <s:v>4215.151041666667</s:v>
      </s:c>
      <s:c r="G56" s="134">
        <s:f>SUM(G25:G55)</s:f>
        <s:v>104</s:v>
      </s:c>
      <s:c r="H56" s="134">
        <s:f>IF(AND(G56&lt;&gt;"", G56&lt;&gt;0), D56/G56, "")</s:f>
        <s:v>7781.8173076923076</s:v>
      </s:c>
      <s:c r="I56" s="134">
        <s:f>SUM(I25:I55)</s:f>
        <s:v>341</s:v>
      </s:c>
      <s:c r="J56" s="133">
        <s:f>E56/G56</s:f>
        <s:v>1.8461538461538463</s:v>
      </s:c>
      <s:c r="K56" s="134">
        <s:f>SUM(K25:K55)</s:f>
        <s:v>0</s:v>
      </s:c>
      <s:c r="L56" s="134">
        <s:f>SUM(L25:L55)</s:f>
        <s:v>0</s:v>
      </s:c>
      <s:c r="M56" s="134">
        <s:f>SUM(M25:M55)</s:f>
        <s:v>0</s:v>
      </s:c>
      <s:c r="N56" s="135">
        <s:f>IF(AND(I56&lt;&gt;"", I56&lt;&gt;0), G56/I56, "")</s:f>
        <s:v>0.30498533724340177</s:v>
      </s:c>
      <s:c r="O56" s="136">
        <s:f>D56/P56</s:f>
        <s:v>0.73775448737162164</s:v>
      </s:c>
      <s:c r="P56" s="137">
        <s:f>SUM(P25:P55)</s:f>
        <s:v>1096989.5999999996</s:v>
      </s:c>
      <s:c r="Q56" s="137">
        <s:f>SUM(Q25:Q55)</s:f>
        <s:v>285.60000000000002</s:v>
      </s:c>
      <s:c r="R56" s="137">
        <s:f>SUM(R25:R55)</s:f>
        <s:v>142.80000000000001</s:v>
      </s:c>
      <s:c r="S56" s="137">
        <s:f>SUM(S25:S55)</s:f>
        <s:v>917623.54117013887</s:v>
      </s:c>
      <s:c r="T56" s="137">
        <s:f>SUM(T25:T55)</s:f>
        <s:v>190</s:v>
      </s:c>
      <s:c r="U56" s="137">
        <s:f>SUM(U25:U55)</s:f>
        <s:v>104</s:v>
      </s:c>
      <s:c r="V56" s="138"/>
      <s:c r="W56" s="138"/>
    </s:row>
    <s:row r="57">
      <s:c r="A57" s="139"/>
      <s:c r="B57" s="130"/>
      <s:c r="C57" s="140"/>
      <s:c r="D57" s="141">
        <s:f>SUMIF(D25:D55,"",P25:P55)+D56</s:f>
        <s:v>907175.71385740396</s:v>
      </s:c>
      <s:c r="E57" s="142"/>
      <s:c r="F57" s="140"/>
      <s:c r="G57" s="140"/>
      <s:c r="H57" s="143"/>
      <s:c r="I57" s="144">
        <s:f>I56/J14</s:f>
        <s:v>12.178571428571429</s:v>
      </s:c>
      <s:c r="J57" s="143"/>
      <s:c r="K57" s="3"/>
      <s:c r="L57" s="145"/>
      <s:c r="M57" s="142"/>
      <s:c r="N57" s="145"/>
      <s:c r="O57" s="145"/>
      <s:c r="P57" s="145"/>
      <s:c r="Q57" s="146"/>
      <s:c r="R57" s="3"/>
      <s:c r="T57" s="3"/>
      <s:c r="U57" s="3"/>
      <s:c r="V57" s="3"/>
      <s:c r="W57" s="3"/>
    </s:row>
    <s:row r="58">
      <s:c r="A58" s="139"/>
      <s:c r="B58" s="3"/>
      <s:c r="C58" s="147"/>
      <s:c r="D58" s="147">
        <s:f>'Рогалевич И. Е.'!J8+ПК1!J8+'ПК 2'!J8+'Доп сотрудник'!J8</s:f>
        <s:v>809309</s:v>
      </s:c>
      <s:c r="E58" s="147"/>
      <s:c r="F58" s="3"/>
      <s:c r="G58" s="3"/>
      <s:c r="H58" s="3"/>
      <s:c r="I58" s="148"/>
      <s:c r="J58" s="149"/>
      <s:c r="K58" s="3"/>
      <s:c r="L58" s="3"/>
      <s:c r="M58" s="3"/>
      <s:c r="N58" s="3"/>
      <s:c r="O58" s="3"/>
      <s:c r="P58" s="3"/>
      <s:c r="Q58" s="3"/>
      <s:c r="R58" s="3"/>
      <s:c r="T58" s="3"/>
      <s:c r="U58" s="3"/>
      <s:c r="V58" s="3"/>
      <s:c r="W58" s="3"/>
    </s:row>
    <s:row r="59">
      <s:c r="D59" s="150"/>
      <s:c r="F59" s="151"/>
    </s:row>
    <s:row r="60">
      <s:c r="D60" s="86"/>
      <s:c r="G60" s="152"/>
    </s:row>
    <s:row r="61">
      <s:c r="D61" s="86"/>
    </s:row>
    <s:row r="64">
      <s:c r="F64" s="558"/>
    </s:row>
    <s:row r="65">
      <s:c r="F65" s="558"/>
    </s:row>
    <s:row r="68">
      <s:c r="D68" s="153"/>
    </s:row>
  </s:sheetData>
  <s:mergeCells count="29">
    <s:mergeCell ref="B1:C1"/>
    <s:mergeCell ref="Q1:T4"/>
    <s:mergeCell ref="B2:C2"/>
    <s:mergeCell ref="J2:P2"/>
    <s:mergeCell ref="I3:M4"/>
    <s:mergeCell ref="C4:D4"/>
    <s:mergeCell ref="J5:N5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O22:O24"/>
    <s:mergeCell ref="P22:W22"/>
    <s:mergeCell ref="A23:A24"/>
    <s:mergeCell ref="F15:H15"/>
    <s:mergeCell ref="F16:H16"/>
    <s:mergeCell ref="S16:S17"/>
    <s:mergeCell ref="F17:H17"/>
    <s:mergeCell ref="F18:H18"/>
    <s:mergeCell ref="B56:C56"/>
    <s:mergeCell ref="F64:F65"/>
    <s:mergeCell ref="F19:H19"/>
    <s:mergeCell ref="F20:H20"/>
    <s:mergeCell ref="A22:N22"/>
  </s:mergeCells>
  <s:conditionalFormatting sqref="D58">
    <s:cfRule type="cellIs" dxfId="185" priority="30" operator="notEqual">
      <s:formula>$D$56</s:formula>
    </s:cfRule>
    <s:cfRule type="cellIs" dxfId="184" priority="31" operator="equal">
      <s:formula>$D$56</s:formula>
    </s:cfRule>
  </s:conditionalFormatting>
  <s:conditionalFormatting sqref="J16">
    <s:cfRule type="cellIs" dxfId="183" priority="33" operator="lessThan">
      <s:formula>0</s:formula>
    </s:cfRule>
    <s:cfRule type="cellIs" dxfId="182" priority="34" operator="greaterThan">
      <s:formula>0</s:formula>
    </s:cfRule>
  </s:conditionalFormatting>
  <s:conditionalFormatting sqref="J25:J55">
    <s:cfRule type="cellIs" dxfId="181" priority="10" operator="lessThan">
      <s:formula>$I$12</s:formula>
    </s:cfRule>
    <s:cfRule type="cellIs" dxfId="180" priority="11" operator="greaterThan">
      <s:formula>$I$12</s:formula>
    </s:cfRule>
  </s:conditionalFormatting>
  <s:conditionalFormatting sqref="J27">
    <s:cfRule type="cellIs" dxfId="179" priority="45" operator="lessThan">
      <s:formula>$I$12</s:formula>
    </s:cfRule>
  </s:conditionalFormatting>
  <s:conditionalFormatting sqref="K10:K12 K15">
    <s:cfRule type="cellIs" dxfId="178" priority="37" operator="lessThan">
      <s:formula>1</s:formula>
    </s:cfRule>
    <s:cfRule type="cellIs" dxfId="177" priority="38" operator="greaterThan">
      <s:formula>1</s:formula>
    </s:cfRule>
  </s:conditionalFormatting>
  <s:conditionalFormatting sqref="M8:M15">
    <s:cfRule type="cellIs" dxfId="176" priority="23" operator="lessThan">
      <s:formula>1</s:formula>
    </s:cfRule>
    <s:cfRule type="cellIs" dxfId="175" priority="24" operator="greaterThan">
      <s:formula>1</s:formula>
    </s:cfRule>
  </s:conditionalFormatting>
  <s:conditionalFormatting sqref="N25:N55">
    <s:cfRule type="cellIs" dxfId="174" priority="7" operator="between">
      <s:formula>0.2</s:formula>
      <s:formula>0.25</s:formula>
    </s:cfRule>
    <s:cfRule type="cellIs" dxfId="173" priority="8" operator="greaterThanOrEqual">
      <s:formula>0.25</s:formula>
    </s:cfRule>
    <s:cfRule type="cellIs" dxfId="172" priority="9" operator="lessThan">
      <s:formula>0.2</s:formula>
    </s:cfRule>
  </s:conditionalFormatting>
  <s:conditionalFormatting sqref="O25:O55">
    <s:cfRule type="cellIs" dxfId="171" priority="1" operator="between">
      <s:formula>0.9001</s:formula>
      <s:formula>0.9999</s:formula>
    </s:cfRule>
    <s:cfRule type="cellIs" dxfId="170" priority="2" operator="lessThan">
      <s:formula>0.9</s:formula>
    </s:cfRule>
    <s:cfRule type="cellIs" dxfId="169" priority="3" operator="greaterThan">
      <s:formula>1</s:formula>
    </s:cfRule>
    <s:cfRule type="cellIs" dxfId="168" priority="4" operator="greaterThan">
      <s:formula>100</s:formula>
    </s:cfRule>
    <s:cfRule type="cellIs" dxfId="167" priority="5" operator="between">
      <s:formula>0.85</s:formula>
      <s:formula>1</s:formula>
    </s:cfRule>
    <s:cfRule type="cellIs" dxfId="166" priority="6" operator="between">
      <s:formula>0.01</s:formula>
      <s:formula>0.99</s:formula>
    </s:cfRule>
  </s:conditionalFormatting>
  <s:conditionalFormatting sqref="P10:Q10">
    <s:cfRule type="cellIs" dxfId="165" priority="43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100-000000000000}">
  <s:dimension ref="A1:L12"/>
  <s:sheetViews>
    <s:sheetView tabSelected="0" zoomScale="134" workbookViewId="0">
      <s:selection activeCell="I16" sqref="I16"/>
    </s:sheetView>
  </s:sheetViews>
  <s:sheetFormatPr baseColWidth="10" defaultColWidth="10" defaultRowHeight="15"/>
  <s:cols>
    <s:col min="1" max="1" width="10.832" style="3"/>
    <s:col min="2" max="2" width="9.5" style="3" customWidth="1"/>
    <s:col min="3" max="3" width="10.832" style="3" hidden="1" customWidth="1"/>
    <s:col min="4" max="4" width="10.164" style="3" customWidth="1"/>
    <s:col min="5" max="5" width="12.332" style="3" customWidth="1"/>
    <s:col min="6" max="6" width="8.5" style="3" customWidth="1"/>
    <s:col min="7" max="7" width="10.664" style="3" customWidth="1"/>
    <s:col min="8" max="8" width="14.832" style="3" customWidth="1"/>
    <s:col min="9" max="9" width="13.332" style="3" customWidth="1"/>
    <s:col min="10" max="11" width="12.832" style="3" customWidth="1"/>
    <s:col min="12" max="12" width="14.832" style="3" customWidth="1"/>
  </s:cols>
  <s:sheetData>
    <s:row r="1" spans="1:12" ht="33" customHeight="1">
      <s:c r="A1" s="598" t="s">
        <s:v>56</s:v>
      </s:c>
      <s:c r="B1" s="599"/>
      <s:c r="C1" s="599"/>
      <s:c r="D1" s="599"/>
      <s:c r="E1" s="599"/>
      <s:c r="F1" s="599"/>
      <s:c r="G1" s="599"/>
      <s:c r="H1" s="599"/>
      <s:c r="I1" s="599"/>
      <s:c r="J1" s="599"/>
      <s:c r="K1" s="599"/>
      <s:c r="L1" s="600"/>
    </s:row>
    <s:row r="2" spans="1:12">
      <s:c r="A2" s="601" t="s">
        <s:v>3</s:v>
      </s:c>
      <s:c r="B2" s="602"/>
      <s:c r="C2" s="602"/>
      <s:c r="D2" s="605" t="str">
        <s:f>'Ялта, Ленина, 18'!I3</s:f>
        <s:v>ул. Набережная Ленина, 18</s:v>
      </s:c>
      <s:c r="E2" s="606"/>
      <s:c r="F2" s="606"/>
      <s:c r="G2" s="607" t="str">
        <s:f>График!B29</s:f>
        <s:v>Рогалевич Ирина</s:v>
      </s:c>
      <s:c r="H2" s="608"/>
      <s:c r="I2" s="608"/>
      <s:c r="J2" s="609">
        <s:f>График!B30</s:f>
        <s:v>0</s:v>
      </s:c>
      <s:c r="K2" s="610"/>
      <s:c r="L2" s="611"/>
    </s:row>
    <s:row r="3" spans="1:12" ht="16" thickBot="1">
      <s:c r="A3" s="603"/>
      <s:c r="B3" s="604"/>
      <s:c r="C3" s="604"/>
      <s:c r="D3" s="612" t="s">
        <s:v>57</s:v>
      </s:c>
      <s:c r="E3" s="613"/>
      <s:c r="F3" s="154" t="s">
        <s:v>58</s:v>
      </s:c>
      <s:c r="G3" s="614" t="s">
        <s:v>5</s:v>
      </s:c>
      <s:c r="H3" s="615"/>
      <s:c r="I3" s="546" t="s">
        <s:v>58</s:v>
      </s:c>
      <s:c r="J3" s="155" t="s">
        <s:v>5</s:v>
      </s:c>
      <s:c r="K3" s="156"/>
      <s:c r="L3" s="157" t="s">
        <s:v>58</s:v>
      </s:c>
    </s:row>
    <s:row r="4" spans="1:12" ht="16" thickBot="1">
      <s:c r="A4" s="567" t="s">
        <s:v>12</s:v>
      </s:c>
      <s:c r="B4" s="567"/>
      <s:c r="C4" s="567"/>
      <s:c r="D4" s="158">
        <s:f>'Ялта, Ленина, 18'!K8</s:f>
        <s:v>0.73775448737162153</s:v>
      </s:c>
      <s:c r="E4" s="159">
        <s:f>'Ялта, Ленина, 18'!J8</s:f>
        <s:v>809309</s:v>
      </s:c>
      <s:c r="F4" s="163">
        <s:f>'Ялта, Ленина, 18'!M8</s:f>
        <s:v>0.81001947931007034</s:v>
      </s:c>
      <s:c r="G4" s="161">
        <s:f>'Рогалевич И. Е.'!K8</s:f>
        <s:v>0.72389888572408456</s:v>
      </s:c>
      <s:c r="H4" s="162">
        <s:f>'Рогалевич И. Е.'!J8</s:f>
        <s:v>723113</s:v>
      </s:c>
      <s:c r="I4" s="160">
        <s:f>'Рогалевич И. Е.'!M8</s:f>
        <s:v>0.80171004348473529</s:v>
      </s:c>
      <s:c r="J4" s="544" t="e">
        <s:f>ПК1!K8</s:f>
        <s:v>#DIV/0!</s:v>
      </s:c>
      <s:c r="K4" s="162">
        <s:f>ПК1!J8</s:f>
        <s:v>0</s:v>
      </s:c>
      <s:c r="L4" s="164" t="str">
        <s:f>ПК1!M8</s:f>
        <s:v/>
      </s:c>
    </s:row>
    <s:row r="5" spans="1:12" ht="16" thickBot="1">
      <s:c r="A5" s="559" t="s">
        <s:v>13</s:v>
      </s:c>
      <s:c r="B5" s="559"/>
      <s:c r="C5" s="559"/>
      <s:c r="D5" s="165">
        <s:f>'Ялта, Ленина, 18'!K9</s:f>
        <s:v>0.67226890756302526</s:v>
      </s:c>
      <s:c r="E5" s="166">
        <s:f>'Ялта, Ленина, 18'!J9</s:f>
        <s:v>192</s:v>
      </s:c>
      <s:c r="F5" s="543">
        <s:f>'Ялта, Ленина, 18'!M9</s:f>
        <s:v>0.67226890756302515</s:v>
      </s:c>
      <s:c r="G5" s="547">
        <s:f>'Рогалевич И. Е.'!K9</s:f>
        <s:v>0.64214413037942453</s:v>
      </s:c>
      <s:c r="H5" s="172">
        <s:f>'Рогалевич И. Е.'!J9</s:f>
        <s:v>167</s:v>
      </s:c>
      <s:c r="I5" s="548">
        <s:f>'Рогалевич И. Е.'!M9</s:f>
        <s:v>0.69764491952198526</s:v>
      </s:c>
      <s:c r="J5" s="544" t="str">
        <s:f>ПК1!K9</s:f>
        <s:v/>
      </s:c>
      <s:c r="K5" s="167">
        <s:f>ПК1!J9</s:f>
        <s:v>0</s:v>
      </s:c>
      <s:c r="L5" s="164" t="str">
        <s:f>ПК1!M9</s:f>
        <s:v/>
      </s:c>
    </s:row>
    <s:row r="6" spans="1:12" ht="16" thickBot="1">
      <s:c r="A6" s="567" t="s">
        <s:v>14</s:v>
      </s:c>
      <s:c r="B6" s="567"/>
      <s:c r="C6" s="567"/>
      <s:c r="D6" s="165">
        <s:f>'Ялта, Ленина, 18'!K10</s:f>
        <s:v>1.0129936615064186</s:v>
      </s:c>
      <s:c r="E6" s="168">
        <s:f>'Ялта, Ленина, 18'!J10</s:f>
        <s:v>7781.8173076923076</s:v>
      </s:c>
      <s:c r="F6" s="543">
        <s:f>'Ялта, Ленина, 18'!M10</s:f>
        <s:v>1.0129936615064186</s:v>
      </s:c>
      <s:c r="G6" s="547">
        <s:f>'Рогалевич И. Е.'!K10</s:f>
        <s:v>1.0231611446294555</s:v>
      </s:c>
      <s:c r="H6" s="555">
        <s:f>'Рогалевич И. Е.'!J10</s:f>
        <s:v>7859.923913043478</s:v>
      </s:c>
      <s:c r="I6" s="548">
        <s:f>'Рогалевич И. Е.'!M10</s:f>
        <s:v>1.0231611446294555</s:v>
      </s:c>
      <s:c r="J6" s="545" t="str">
        <s:f>ПК1!K10</s:f>
        <s:v/>
      </s:c>
      <s:c r="K6" s="169" t="str">
        <s:f>ПК1!J10</s:f>
        <s:v/>
      </s:c>
      <s:c r="L6" s="164" t="str">
        <s:f>ПК1!M10</s:f>
        <s:v/>
      </s:c>
    </s:row>
    <s:row r="7" spans="1:12" ht="16" thickBot="1">
      <s:c r="A7" s="559" t="s">
        <s:v>15</s:v>
      </s:c>
      <s:c r="B7" s="559"/>
      <s:c r="C7" s="559"/>
      <s:c r="D7" s="165">
        <s:f>'Ялта, Ленина, 18'!K11</s:f>
        <s:v>1.097409799965287</s:v>
      </s:c>
      <s:c r="E7" s="168">
        <s:f>'Ялта, Ленина, 18'!J11</s:f>
        <s:v>4215.151041666667</s:v>
      </s:c>
      <s:c r="F7" s="543">
        <s:f>'Ялта, Ленина, 18'!M11</s:f>
        <s:v>1.2049039754737296</s:v>
      </s:c>
      <s:c r="G7" s="547">
        <s:f>'Рогалевич И. Е.'!K11</s:f>
        <s:v>1.1273152731246696</s:v>
      </s:c>
      <s:c r="H7" s="555">
        <s:f>'Рогалевич И. Е.'!J11</s:f>
        <s:v>4330.0179640718561</s:v>
      </s:c>
      <s:c r="I7" s="548">
        <s:f>'Рогалевич И. Е.'!M11</s:f>
        <s:v>1.1491663180662932</s:v>
      </s:c>
      <s:c r="J7" s="545" t="str">
        <s:f>ПК1!K11</s:f>
        <s:v/>
      </s:c>
      <s:c r="K7" s="169" t="str">
        <s:f>ПК1!J11</s:f>
        <s:v/>
      </s:c>
      <s:c r="L7" s="164" t="str">
        <s:f>ПК1!M11</s:f>
        <s:v/>
      </s:c>
    </s:row>
    <s:row r="8" spans="1:12" ht="16" thickBot="1">
      <s:c r="A8" s="559" t="s">
        <s:v>16</s:v>
      </s:c>
      <s:c r="B8" s="559"/>
      <s:c r="C8" s="559"/>
      <s:c r="D8" s="165">
        <s:f>'Ялта, Ленина, 18'!K12</s:f>
        <s:v>0.92307692307692313</s:v>
      </s:c>
      <s:c r="E8" s="170">
        <s:f>'Ялта, Ленина, 18'!J12</s:f>
        <s:v>1.8461538461538463</s:v>
      </s:c>
      <s:c r="F8" s="543">
        <s:f>'Ялта, Ленина, 18'!M12</s:f>
        <s:v>0.92307692307692313</s:v>
      </s:c>
      <s:c r="G8" s="547">
        <s:f>'Рогалевич И. Е.'!K12</s:f>
        <s:v>0.90760869565217395</s:v>
      </s:c>
      <s:c r="H8" s="556">
        <s:f>'Рогалевич И. Е.'!J12</s:f>
        <s:v>1.8152173913043479</s:v>
      </s:c>
      <s:c r="I8" s="548">
        <s:f>'Рогалевич И. Е.'!M12</s:f>
        <s:v>0.90760869565217395</s:v>
      </s:c>
      <s:c r="J8" s="545" t="str">
        <s:f>ПК1!K12</s:f>
        <s:v/>
      </s:c>
      <s:c r="K8" s="171" t="str">
        <s:f>ПК1!J12</s:f>
        <s:v/>
      </s:c>
      <s:c r="L8" s="164" t="str">
        <s:f>ПК1!M12</s:f>
        <s:v/>
      </s:c>
    </s:row>
    <s:row r="9" spans="1:12" ht="16" thickBot="1">
      <s:c r="A9" s="559" t="s">
        <s:v>17</s:v>
      </s:c>
      <s:c r="B9" s="559"/>
      <s:c r="C9" s="559"/>
      <s:c r="D9" s="165">
        <s:f>'Ялта, Ленина, 18'!K13</s:f>
        <s:v>0.72829131652661072</s:v>
      </s:c>
      <s:c r="E9" s="166">
        <s:f>'Ялта, Ленина, 18'!J13</s:f>
        <s:v>104</s:v>
      </s:c>
      <s:c r="F9" s="543">
        <s:f>'Ялта, Ленина, 18'!M13</s:f>
        <s:v>0.72829131652661061</s:v>
      </s:c>
      <s:c r="G9" s="547">
        <s:f>'Рогалевич И. Е.'!K13</s:f>
        <s:v>0.70751209574738982</s:v>
      </s:c>
      <s:c r="H9" s="172">
        <s:f>'Рогалевич И. Е.'!J13</s:f>
        <s:v>92</s:v>
      </s:c>
      <s:c r="I9" s="548">
        <s:f>'Рогалевич И. Е.'!M13</s:f>
        <s:v>0.76866266582063048</s:v>
      </s:c>
      <s:c r="J9" s="545" t="str">
        <s:f>ПК1!K13</s:f>
        <s:v/>
      </s:c>
      <s:c r="K9" s="167">
        <s:f>ПК1!J13</s:f>
        <s:v>0</s:v>
      </s:c>
      <s:c r="L9" s="164" t="str">
        <s:f>ПК1!M13</s:f>
        <s:v/>
      </s:c>
    </s:row>
    <s:row r="10" spans="1:12" ht="16" thickBot="1">
      <s:c r="A10" s="559" t="s">
        <s:v>59</s:v>
      </s:c>
      <s:c r="B10" s="559"/>
      <s:c r="C10" s="559"/>
      <s:c r="D10" s="165">
        <s:f>'Ялта, Ленина, 18'!K14</s:f>
        <s:v>1</s:v>
      </s:c>
      <s:c r="E10" s="166">
        <s:f>'Ялта, Ленина, 18'!J14</s:f>
        <s:v>28</s:v>
      </s:c>
      <s:c r="F10" s="543">
        <s:f>'Ялта, Ленина, 18'!M14</s:f>
        <s:v>13.371494523140452</s:v>
      </s:c>
      <s:c r="G10" s="547">
        <s:f>'Рогалевич И. Е.'!K14</s:f>
        <s:v>1</s:v>
      </s:c>
      <s:c r="H10" s="172">
        <s:f>'Рогалевич И. Е.'!J14</s:f>
        <s:v>26</s:v>
      </s:c>
      <s:c r="I10" s="548">
        <s:f>'Рогалевич И. Е.'!M14</s:f>
        <s:v>13.96666666666667</s:v>
      </s:c>
      <s:c r="J10" s="545" t="str">
        <s:f>ПК1!K14</s:f>
        <s:v/>
      </s:c>
      <s:c r="K10" s="172">
        <s:f>ПК1!J14</s:f>
        <s:v>0</s:v>
      </s:c>
      <s:c r="L10" s="164" t="str">
        <s:f>ПК1!M14</s:f>
        <s:v/>
      </s:c>
    </s:row>
    <s:row r="11" spans="1:12" ht="16" thickBot="1">
      <s:c r="A11" s="559" t="s">
        <s:v>19</s:v>
      </s:c>
      <s:c r="B11" s="559"/>
      <s:c r="C11" s="559"/>
      <s:c r="D11" s="551">
        <s:f>'Ялта, Ленина, 18'!K15</s:f>
        <s:v>0.73775448737162153</s:v>
      </s:c>
      <s:c r="E11" s="552">
        <s:f>'Ялта, Ленина, 18'!J15</s:f>
        <s:v>28903.892857142859</s:v>
      </s:c>
      <s:c r="F11" s="553">
        <s:f>'Ялта, Ленина, 18'!M15</s:f>
        <s:v>0.73775448737162153</s:v>
      </s:c>
      <s:c r="G11" s="549">
        <s:f>'Рогалевич И. Е.'!K15</s:f>
        <s:v>0.70988556037639461</s:v>
      </s:c>
      <s:c r="H11" s="554">
        <s:f>'Рогалевич И. Е.'!J15</s:f>
        <s:v>27812.038461538461</s:v>
      </s:c>
      <s:c r="I11" s="550">
        <s:f>'Рогалевич И. Е.'!M15</s:f>
        <s:v>0.70988556037639461</s:v>
      </s:c>
      <s:c r="J11" s="545" t="e">
        <s:f>ПК1!K15</s:f>
        <s:v>#DIV/0!</s:v>
      </s:c>
      <s:c r="K11" s="173" t="e">
        <s:f>ПК1!J15</s:f>
        <s:v>#DIV/0!</s:v>
      </s:c>
      <s:c r="L11" s="164" t="e">
        <s:f>ПК1!M15</s:f>
        <s:v>#DIV/0!</s:v>
      </s:c>
    </s:row>
    <s:row r="12" spans="1:12" ht="16" thickBot="1">
      <s:c r="A12" s="594" t="s">
        <s:v>20</s:v>
      </s:c>
      <s:c r="B12" s="594"/>
      <s:c r="C12" s="594"/>
      <s:c r="D12" s="595">
        <s:f>'Ялта, Ленина, 18'!J16</s:f>
        <s:v>-287680.59999999986</s:v>
      </s:c>
      <s:c r="E12" s="596"/>
      <s:c r="F12" s="597"/>
      <s:c r="G12" s="588">
        <s:f>'Рогалевич И. Е.'!J16</s:f>
        <s:v>-295520.19999999995</s:v>
      </s:c>
      <s:c r="H12" s="589"/>
      <s:c r="I12" s="590"/>
      <s:c r="J12" s="591">
        <s:f>ПК1!J16</s:f>
        <s:v>0</s:v>
      </s:c>
      <s:c r="K12" s="592"/>
      <s:c r="L12" s="593"/>
    </s:row>
  </s:sheetData>
  <s:mergeCells count="19">
    <s:mergeCell ref="A1:L1"/>
    <s:mergeCell ref="A2:C3"/>
    <s:mergeCell ref="D2:F2"/>
    <s:mergeCell ref="G2:I2"/>
    <s:mergeCell ref="J2:L2"/>
    <s:mergeCell ref="D3:E3"/>
    <s:mergeCell ref="G3:H3"/>
    <s:mergeCell ref="A4:C4"/>
    <s:mergeCell ref="A5:C5"/>
    <s:mergeCell ref="A6:C6"/>
    <s:mergeCell ref="A7:C7"/>
    <s:mergeCell ref="A8:C8"/>
    <s:mergeCell ref="G12:I12"/>
    <s:mergeCell ref="J12:L12"/>
    <s:mergeCell ref="A9:C9"/>
    <s:mergeCell ref="A10:C10"/>
    <s:mergeCell ref="A11:C11"/>
    <s:mergeCell ref="A12:C12"/>
    <s:mergeCell ref="D12:F12"/>
  </s:mergeCells>
  <s:conditionalFormatting sqref="D4">
    <s:cfRule type="cellIs" dxfId="164" priority="7" operator="lessThan">
      <s:formula>$D$10</s:formula>
    </s:cfRule>
    <s:cfRule type="cellIs" dxfId="163" priority="10" operator="greaterThanOrEqual">
      <s:formula>$D$10</s:formula>
    </s:cfRule>
  </s:conditionalFormatting>
  <s:conditionalFormatting sqref="D6:D8 D11">
    <s:cfRule type="cellIs" dxfId="162" priority="3" operator="lessThan">
      <s:formula>1</s:formula>
    </s:cfRule>
    <s:cfRule type="cellIs" dxfId="161" priority="4" operator="greaterThanOrEqual">
      <s:formula>1</s:formula>
    </s:cfRule>
  </s:conditionalFormatting>
  <s:conditionalFormatting sqref="D12:L12">
    <s:cfRule type="cellIs" dxfId="160" priority="15" operator="lessThan">
      <s:formula>0</s:formula>
    </s:cfRule>
    <s:cfRule type="cellIs" dxfId="159" priority="16" operator="greaterThan">
      <s:formula>0</s:formula>
    </s:cfRule>
  </s:conditionalFormatting>
  <s:conditionalFormatting sqref="F4:F11 I4:I11">
    <s:cfRule type="cellIs" dxfId="158" priority="11" operator="lessThan">
      <s:formula>1</s:formula>
    </s:cfRule>
    <s:cfRule type="cellIs" dxfId="157" priority="12" operator="greaterThan">
      <s:formula>1</s:formula>
    </s:cfRule>
  </s:conditionalFormatting>
  <s:conditionalFormatting sqref="G4:G11">
    <s:cfRule type="cellIs" dxfId="156" priority="6" operator="lessThan">
      <s:formula>$G$10</s:formula>
    </s:cfRule>
    <s:cfRule type="cellIs" dxfId="155" priority="9" operator="greaterThanOrEqual">
      <s:formula>$G$10</s:formula>
    </s:cfRule>
  </s:conditionalFormatting>
  <s:conditionalFormatting sqref="J4:J5">
    <s:cfRule type="cellIs" dxfId="154" priority="5" operator="lessThan">
      <s:formula>$J$10</s:formula>
    </s:cfRule>
    <s:cfRule type="cellIs" dxfId="153" priority="8" operator="greaterThanOrEqual">
      <s:formula>$J$10</s:formula>
    </s:cfRule>
  </s:conditionalFormatting>
  <s:conditionalFormatting sqref="J6:J11">
    <s:cfRule type="cellIs" dxfId="152" priority="1" operator="lessThan">
      <s:formula>1</s:formula>
    </s:cfRule>
    <s:cfRule type="cellIs" dxfId="151" priority="2" operator="greaterThanOrEqual">
      <s:formula>1</s:formula>
    </s:cfRule>
  </s:conditionalFormatting>
  <s:conditionalFormatting sqref="L4:L11">
    <s:cfRule type="cellIs" dxfId="150" priority="13" operator="lessThan">
      <s:formula>1</s:formula>
    </s:cfRule>
    <s:cfRule type="cellIs" dxfId="149" priority="14" operator="greaterThan">
      <s:formula>1</s:formula>
    </s:cfRule>
  </s:conditionalFormatting>
  <s:dataValidations count="1">
    <s:dataValidation xr:uid="{00AA0036-00A2-4F98-B171-007B007A00C1}" type="decimal" allowBlank="1" showErrorMessage="1" sqref="F4:F11 D4:E12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200-000000000000}">
  <s:sheetPr>
    <s:pageSetUpPr fitToPage="1"/>
  </s:sheetPr>
  <s:dimension ref="A1:D7"/>
  <s:sheetViews>
    <s:sheetView showZeros="0" tabSelected="0" zoomScale="138" workbookViewId="0">
      <s:selection activeCell="D2" sqref="D2"/>
    </s:sheetView>
  </s:sheetViews>
  <s:sheetFormatPr baseColWidth="10" defaultColWidth="11.5" defaultRowHeight="15"/>
  <s:cols>
    <s:col min="1" max="4" width="11.5" style="3"/>
  </s:cols>
  <s:sheetData>
    <s:row r="1" spans="1:4">
      <s:c r="A1" s="567" t="s">
        <s:v>12</s:v>
      </s:c>
      <s:c r="B1" s="568"/>
      <s:c r="C1" s="569"/>
      <s:c r="D1" s="174">
        <s:v>81988</s:v>
      </s:c>
    </s:row>
    <s:row r="2" spans="1:4">
      <s:c r="A2" s="559" t="s">
        <s:v>13</s:v>
      </s:c>
      <s:c r="B2" s="560"/>
      <s:c r="C2" s="561"/>
      <s:c r="D2" s="175">
        <s:f>D1/D4</s:f>
        <s:v>21.345482947149179</s:v>
      </s:c>
    </s:row>
    <s:row r="3" spans="1:4">
      <s:c r="A3" s="567" t="s">
        <s:v>14</s:v>
      </s:c>
      <s:c r="B3" s="568"/>
      <s:c r="C3" s="569"/>
      <s:c r="D3" s="48">
        <s:f>D4*D5</s:f>
        <s:v>7682</s:v>
      </s:c>
    </s:row>
    <s:row r="4" spans="1:4">
      <s:c r="A4" s="559" t="s">
        <s:v>15</s:v>
      </s:c>
      <s:c r="B4" s="560"/>
      <s:c r="C4" s="561"/>
      <s:c r="D4" s="50">
        <s:f>'Ялта, Ленина, 18'!I11</s:f>
        <s:v>3841</s:v>
      </s:c>
    </s:row>
    <s:row r="5" spans="1:4">
      <s:c r="A5" s="559" t="s">
        <s:v>16</s:v>
      </s:c>
      <s:c r="B5" s="560"/>
      <s:c r="C5" s="561"/>
      <s:c r="D5" s="53">
        <s:f>'Ялта, Ленина, 18'!I12</s:f>
        <s:v>2</s:v>
      </s:c>
    </s:row>
    <s:row r="6" spans="1:4">
      <s:c r="A6" s="559" t="s">
        <s:v>17</s:v>
      </s:c>
      <s:c r="B6" s="560"/>
      <s:c r="C6" s="561"/>
      <s:c r="D6" s="36">
        <s:f>IF(D5&lt;&gt;0,D2/D5,"")</s:f>
        <s:v>10.67274147357459</s:v>
      </s:c>
    </s:row>
    <s:row r="7" spans="1:4">
      <s:c r="A7" s="559" t="s">
        <s:v>60</s:v>
      </s:c>
      <s:c r="B7" s="559"/>
      <s:c r="C7" s="559"/>
      <s:c r="D7" s="176">
        <s:f>'Ялта, Ленина, 18'!I20</s:f>
        <s:v>0.3</s:v>
      </s:c>
    </s:row>
  </s:sheetData>
  <s:mergeCells count="7">
    <s:mergeCell ref="A6:C6"/>
    <s:mergeCell ref="A7:C7"/>
    <s:mergeCell ref="A1:C1"/>
    <s:mergeCell ref="A2:C2"/>
    <s:mergeCell ref="A3:C3"/>
    <s:mergeCell ref="A4:C4"/>
    <s:mergeCell ref="A5:C5"/>
  </s:mergeCells>
  <s:dataValidations count="1">
    <s:dataValidation xr:uid="{00060066-002A-4E90-AE6D-003A009000A0}" type="decimal" allowBlank="1" showErrorMessage="1" sqref="D7 D2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300-000000000000}">
  <s:sheetPr>
    <s:pageSetUpPr fitToPage="1"/>
  </s:sheetPr>
  <s:dimension ref="A1:IU56"/>
  <s:sheetViews>
    <s:sheetView showZeros="0" tabSelected="0" topLeftCell="A22" workbookViewId="0">
      <s:pane xSplit="3" topLeftCell="D1" activePane="topRight" state="frozen"/>
      <s:selection activeCell="L13" sqref="L13"/>
      <s:selection pane="topRight" activeCell="E53" sqref="E53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19">
        <s:f ca="1">TODAY()-1</s:f>
        <s:v>46080</s:v>
      </s:c>
      <s:c r="C1" s="619"/>
      <s:c r="D1" s="11"/>
      <s:c r="E1" s="11"/>
      <s:c r="F1" s="12"/>
      <s:c r="G1" s="12"/>
      <s:c r="H1" s="12"/>
      <s:c r="I1" s="12"/>
      <s:c r="J1" s="177"/>
      <s:c r="K1" s="177"/>
      <s:c r="L1" s="177"/>
      <s:c r="M1" s="177"/>
      <s:c r="N1" s="177"/>
      <s:c r="O1" s="177"/>
      <s:c r="P1" s="177"/>
      <s:c r="Q1" s="620"/>
      <s:c r="R1" s="620"/>
      <s:c r="S1" s="620"/>
      <s:c r="T1" s="620"/>
      <s:c r="U1" s="12"/>
      <s:c r="V1" s="12"/>
      <s:c r="W1" s="12"/>
    </s:row>
    <s:row r="2" spans="2:23" ht="21.75" customHeight="1">
      <s:c r="B2" s="621" t="s">
        <s:v>0</s:v>
      </s:c>
      <s:c r="C2" s="621"/>
      <s:c r="D2" s="11"/>
      <s:c r="E2" s="11"/>
      <s:c r="F2" s="12"/>
      <s:c r="G2" s="12"/>
      <s:c r="H2" s="12"/>
      <s:c r="I2" s="12"/>
      <s:c r="J2" s="622" t="s">
        <s:v>61</s:v>
      </s:c>
      <s:c r="K2" s="622"/>
      <s:c r="L2" s="622"/>
      <s:c r="M2" s="622"/>
      <s:c r="N2" s="622"/>
      <s:c r="O2" s="622"/>
      <s:c r="P2" s="622"/>
      <s:c r="Q2" s="620"/>
      <s:c r="R2" s="620"/>
      <s:c r="S2" s="620"/>
      <s:c r="T2" s="62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23" t="str">
        <s:f>График!B29</s:f>
        <s:v>Рогалевич Ирина</s:v>
      </s:c>
      <s:c r="K3" s="624"/>
      <s:c r="L3" s="624"/>
      <s:c r="M3" s="624"/>
      <s:c r="N3" s="625"/>
      <s:c r="O3" s="177"/>
      <s:c r="P3" s="178"/>
      <s:c r="Q3" s="620"/>
      <s:c r="R3" s="620"/>
      <s:c r="S3" s="620"/>
      <s:c r="T3" s="620"/>
      <s:c r="U3" s="12"/>
      <s:c r="V3" s="12"/>
      <s:c r="W3" s="12"/>
    </s:row>
    <s:row r="4" spans="2:23" ht="15" customHeight="1">
      <s:c r="B4" s="11"/>
      <s:c r="C4" s="629">
        <s:f>I8-D51</s:f>
        <s:v>275801.37086092704</s:v>
      </s:c>
      <s:c r="D4" s="630"/>
      <s:c r="E4" s="179">
        <s:f>IF(I8&lt;&gt;0,C4/I8,0)</s:f>
        <s:v>0.27610111427591549</s:v>
      </s:c>
      <s:c r="F4" s="12"/>
      <s:c r="G4" s="12"/>
      <s:c r="H4" s="12"/>
      <s:c r="I4" s="12"/>
      <s:c r="J4" s="626"/>
      <s:c r="K4" s="627"/>
      <s:c r="L4" s="627"/>
      <s:c r="M4" s="627"/>
      <s:c r="N4" s="628"/>
      <s:c r="O4" s="12"/>
      <s:c r="P4" s="12"/>
      <s:c r="Q4" s="620"/>
      <s:c r="R4" s="620"/>
      <s:c r="S4" s="620"/>
      <s:c r="T4" s="62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80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80"/>
      <s:c r="C7" s="12"/>
      <s:c r="D7" s="12"/>
      <s:c r="E7" s="12"/>
      <s:c r="F7" s="571" t="s">
        <s:v>3</s:v>
      </s:c>
      <s:c r="G7" s="572"/>
      <s:c r="H7" s="573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74" t="s">
        <s:v>11</s:v>
      </s:c>
      <s:c r="Q7" s="575"/>
      <s:c r="R7" s="20"/>
      <s:c r="S7" s="20"/>
      <s:c r="T7" s="12"/>
      <s:c r="U7" s="12"/>
      <s:c r="V7" s="12"/>
      <s:c r="W7" s="12"/>
    </s:row>
    <s:row r="8" spans="2:23" ht="15.75" customHeight="1">
      <s:c r="B8" s="180"/>
      <s:c r="C8" s="12"/>
      <s:c r="D8" s="12"/>
      <s:c r="E8" s="12"/>
      <s:c r="F8" s="567" t="s">
        <s:v>12</s:v>
      </s:c>
      <s:c r="G8" s="568"/>
      <s:c r="H8" s="569"/>
      <s:c r="I8" s="181">
        <s:f>'Ялта, Ленина, 18'!I8/График!AJ31*График!AJ29</s:f>
        <s:v>998914.37086092704</s:v>
      </s:c>
      <s:c r="J8" s="182">
        <s:f>D51</s:f>
        <s:v>723113</s:v>
      </s:c>
      <s:c r="K8" s="183">
        <s:f>IF(AND(I8&lt;&gt;"",I8&lt;&gt;0,J8&lt;&gt;""),J8/I8,"")</s:f>
        <s:v>0.72389888572408456</s:v>
      </s:c>
      <s:c r="L8" s="184">
        <s:f>IF(SUMIF($D$25:$D$50,"&gt;=0",$P$25:$P$50)&lt;&gt;0,I8*D51/SUMIF($D$25:$D$50,"&gt;=0",$P$25:$P$50),0)</s:f>
        <s:v>800839.6837004408</s:v>
      </s:c>
      <s:c r="M8" s="185">
        <s:f>IF(AND(I8&lt;&gt;"",I8&lt;&gt;0,L8&lt;&gt;"",L8&lt;&gt;0),L8/I8,"")</s:f>
        <s:v>0.80171004348473529</s:v>
      </s:c>
      <s:c r="N8" s="32">
        <s:f>IF(AND(J8&lt;&gt;0,J8&lt;&gt;"",I8&lt;&gt;0,I8&lt;&gt;""),L8-I8,"")</s:f>
        <s:v>-198074.68716048624</s:v>
      </s:c>
      <s:c r="O8" s="33"/>
      <s:c r="P8" s="32" t="str">
        <s:f>IF(AND(O8&lt;&gt;"",O8&lt;&gt;0,L8&lt;&gt;"",L8&lt;&gt;0),-O8+L8,"")</s:f>
        <s:v/>
      </s:c>
      <s:c r="Q8" s="34" t="str">
        <s:f>IF(AND(P8&lt;&gt;"",P8&lt;&gt;0,O8&lt;&gt;0,O8&lt;&gt;""),P8/O8,"")</s:f>
        <s:v/>
      </s:c>
      <s:c r="R8" s="20"/>
      <s:c r="S8" s="35"/>
      <s:c r="T8" s="12"/>
      <s:c r="U8" s="12"/>
      <s:c r="V8" s="12"/>
      <s:c r="W8" s="12"/>
    </s:row>
    <s:row r="9" spans="2:23" ht="15.75" customHeight="1">
      <s:c r="B9" s="180"/>
      <s:c r="C9" s="12"/>
      <s:c r="D9" s="12"/>
      <s:c r="E9" s="12"/>
      <s:c r="F9" s="559" t="s">
        <s:v>13</s:v>
      </s:c>
      <s:c r="G9" s="560"/>
      <s:c r="H9" s="561"/>
      <s:c r="I9" s="36">
        <s:f>I8/I11</s:f>
        <s:v>260.06622516556291</s:v>
      </s:c>
      <s:c r="J9" s="37">
        <s:f>E51</s:f>
        <s:v>167</s:v>
      </s:c>
      <s:c r="K9" s="186">
        <s:f>IF(AND(I9&lt;&gt;"",I9&lt;&gt;0,J9&lt;&gt;""),J9/I9,"")</s:f>
        <s:v>0.64214413037942453</s:v>
      </s:c>
      <s:c r="L9" s="187">
        <s:f>IF(SUMIF($E$25:$E$48,"&gt;=0",$Q$25:$Q$48)&lt;&gt;0,I9*E51/SUMIF($E$25:$E$48,"&gt;=0",$Q$25:$Q$48),0)</s:f>
        <s:v>181.43388072601564</s:v>
      </s:c>
      <s:c r="M9" s="188">
        <s:f>IF(AND(I9&lt;&gt;"",I9&lt;&gt;0,L9&lt;&gt;"",L9&lt;&gt;0),L9/I9,"")</s:f>
        <s:v>0.69764491952198526</s:v>
      </s:c>
      <s:c r="N9" s="41">
        <s:f>IF(AND(J9&lt;&gt;0,J9&lt;&gt;"",I9&lt;&gt;0,I9&lt;&gt;""),L9-I9,"")</s:f>
        <s:v>-78.632344439547268</s:v>
      </s:c>
      <s:c r="O9" s="42" t="e">
        <s:f>O8/O11</s:f>
        <s:v>#DIV/0!</s:v>
      </s:c>
      <s:c r="P9" s="41" t="e">
        <s:f>IF(AND(O9&lt;&gt;"",O9&lt;&gt;0,L9&lt;&gt;"",L9&lt;&gt;0),-O9+L9,"")</s:f>
        <s:v>#DIV/0!</s:v>
      </s:c>
      <s:c r="Q9" s="43" t="e">
        <s:f>IF(AND(P9&lt;&gt;"",P9&lt;&gt;0,O9&lt;&gt;0,O9&lt;&gt;""),P9/O9,"")</s:f>
        <s:v>#DIV/0!</s:v>
      </s:c>
      <s:c r="R9" s="20"/>
      <s:c r="S9" s="35"/>
      <s:c r="T9" s="12"/>
      <s:c r="U9" s="12"/>
      <s:c r="V9" s="12"/>
      <s:c r="W9" s="12"/>
    </s:row>
    <s:row r="10" spans="2:23" ht="15.75" customHeight="1">
      <s:c r="B10" s="180"/>
      <s:c r="C10" s="12"/>
      <s:c r="D10" s="12"/>
      <s:c r="E10" s="12"/>
      <s:c r="F10" s="567" t="s">
        <s:v>14</s:v>
      </s:c>
      <s:c r="G10" s="568"/>
      <s:c r="H10" s="569"/>
      <s:c r="I10" s="48">
        <s:f>I11*I12</s:f>
        <s:v>7682</s:v>
      </s:c>
      <s:c r="J10" s="189">
        <s:f>H51</s:f>
        <s:v>7859.923913043478</s:v>
      </s:c>
      <s:c r="K10" s="190">
        <s:f>IF(AND(I10&lt;&gt;"",I10&lt;&gt;0,J10&lt;&gt;""),J10/I10,"")</s:f>
        <s:v>1.0231611446294555</s:v>
      </s:c>
      <s:c r="L10" s="187">
        <s:f>J10</s:f>
        <s:v>7859.923913043478</s:v>
      </s:c>
      <s:c r="M10" s="191">
        <s:f>IF(AND(I10&lt;&gt;"",I10&lt;&gt;0,L10&lt;&gt;"",L10&lt;&gt;0),L10/I10,"")</s:f>
        <s:v>1.0231611446294555</s:v>
      </s:c>
      <s:c r="N10" s="47">
        <s:f>IF(AND(J10&lt;&gt;0,J10&lt;&gt;"",I10&lt;&gt;0,I10&lt;&gt;""),L10-I10,"")</s:f>
        <s:v>177.92391304347802</s:v>
      </s:c>
      <s:c r="O10" s="48">
        <s:f>O11*O12</s:f>
        <s:v>0</s:v>
      </s:c>
      <s:c r="P10" s="47" t="str">
        <s:f>IF(AND(O10&lt;&gt;"",O10&lt;&gt;0,L10&lt;&gt;"",L10&lt;&gt;0),-O10+L10,"")</s:f>
        <s:v/>
      </s:c>
      <s:c r="Q10" s="49" t="str">
        <s:f>IF(AND(P10&lt;&gt;"",P10&lt;&gt;0,O10&lt;&gt;0,O10&lt;&gt;""),P10/O10,"")</s:f>
        <s:v/>
      </s:c>
      <s:c r="R10" s="20"/>
      <s:c r="S10" s="35"/>
      <s:c r="T10" s="12"/>
      <s:c r="U10" s="12"/>
      <s:c r="V10" s="12"/>
      <s:c r="W10" s="12"/>
    </s:row>
    <s:row r="11" spans="2:23" ht="15.75" customHeight="1">
      <s:c r="B11" s="180"/>
      <s:c r="C11" s="12"/>
      <s:c r="D11" s="12"/>
      <s:c r="E11" s="12"/>
      <s:c r="F11" s="559" t="s">
        <s:v>15</s:v>
      </s:c>
      <s:c r="G11" s="560"/>
      <s:c r="H11" s="561"/>
      <s:c r="I11" s="50">
        <s:f>'Ялта, Ленина, 18'!I11</s:f>
        <s:v>3841</s:v>
      </s:c>
      <s:c r="J11" s="37">
        <s:f>F51</s:f>
        <s:v>4330.0179640718561</s:v>
      </s:c>
      <s:c r="K11" s="192">
        <s:f>IF(AND(I11&lt;&gt;"",I11&lt;&gt;0,J11&lt;&gt;""),J11/I11,"")</s:f>
        <s:v>1.1273152731246696</s:v>
      </s:c>
      <s:c r="L11" s="187">
        <s:f>IF(L9&gt;0,L8/L9,"")</s:f>
        <s:v>4413.947827692632</s:v>
      </s:c>
      <s:c r="M11" s="188">
        <s:f>IF(AND(I11&lt;&gt;"",I11&lt;&gt;0,L11&lt;&gt;"",L11&lt;&gt;0),L11/I11,"")</s:f>
        <s:v>1.1491663180662932</s:v>
      </s:c>
      <s:c r="N11" s="41">
        <s:f>IF(AND(J11&lt;&gt;0,J11&lt;&gt;"",I11&lt;&gt;0,I11&lt;&gt;""),L11-I11,"")</s:f>
        <s:v>572.94782769263202</s:v>
      </s:c>
      <s:c r="O11" s="51"/>
      <s:c r="P11" s="41" t="str">
        <s:f>IF(AND(O11&lt;&gt;"",O11&lt;&gt;0,L11&lt;&gt;"",L11&lt;&gt;0),-O11+L11,"")</s:f>
        <s:v/>
      </s:c>
      <s:c r="Q11" s="43" t="str">
        <s:f>IF(AND(P11&lt;&gt;"",P11&lt;&gt;0,O11&lt;&gt;0,O11&lt;&gt;""),P11/O11,"")</s:f>
        <s:v/>
      </s:c>
      <s:c r="R11" s="20"/>
      <s:c r="S11" s="52"/>
      <s:c r="T11" s="12"/>
      <s:c r="U11" s="12"/>
      <s:c r="V11" s="12"/>
      <s:c r="W11" s="12"/>
    </s:row>
    <s:row r="12" spans="2:23" ht="15.75" customHeight="1">
      <s:c r="B12" s="180"/>
      <s:c r="C12" s="12"/>
      <s:c r="D12" s="12"/>
      <s:c r="E12" s="12"/>
      <s:c r="F12" s="559" t="s">
        <s:v>16</s:v>
      </s:c>
      <s:c r="G12" s="560"/>
      <s:c r="H12" s="561"/>
      <s:c r="I12" s="53">
        <s:f>'Ялта, Ленина, 18'!I12</s:f>
        <s:v>2</s:v>
      </s:c>
      <s:c r="J12" s="54">
        <s:f>J51</s:f>
        <s:v>1.8152173913043479</s:v>
      </s:c>
      <s:c r="K12" s="192">
        <s:f>IF(AND(I12&lt;&gt;"",I12&lt;&gt;0,J12&lt;&gt;""),J12/I12,"")</s:f>
        <s:v>0.90760869565217395</s:v>
      </s:c>
      <s:c r="L12" s="193">
        <s:f>J12</s:f>
        <s:v>1.8152173913043479</s:v>
      </s:c>
      <s:c r="M12" s="188">
        <s:f>IF(AND(I12&lt;&gt;"",I12&lt;&gt;0,L12&lt;&gt;"",L12&lt;&gt;0),L12/I12,"")</s:f>
        <s:v>0.90760869565217395</s:v>
      </s:c>
      <s:c r="N12" s="55">
        <s:f>IF(AND(J12&lt;&gt;0,J12&lt;&gt;"",I12&lt;&gt;0,I12&lt;&gt;""),L12-I12,"")</s:f>
        <s:v>-0.18478260869565211</s:v>
      </s:c>
      <s:c r="O12" s="56"/>
      <s:c r="P12" s="41" t="str">
        <s:f>IF(AND(O12&lt;&gt;"",O12&lt;&gt;0,L12&lt;&gt;"",L12&lt;&gt;0),-O12+L12,"")</s:f>
        <s:v/>
      </s:c>
      <s:c r="Q12" s="43" t="str">
        <s:f>IF(AND(P12&lt;&gt;"",P12&lt;&gt;0,O12&lt;&gt;0,O12&lt;&gt;""),P12/O12,"")</s:f>
        <s:v/>
      </s:c>
      <s:c r="R12" s="20"/>
      <s:c r="S12" s="52"/>
      <s:c r="T12" s="12"/>
      <s:c r="U12" s="12"/>
      <s:c r="V12" s="12"/>
      <s:c r="W12" s="12"/>
    </s:row>
    <s:row r="13" spans="2:23" ht="15.75" customHeight="1">
      <s:c r="B13" s="180"/>
      <s:c r="C13" s="12"/>
      <s:c r="D13" s="12"/>
      <s:c r="E13" s="12"/>
      <s:c r="F13" s="559" t="s">
        <s:v>17</s:v>
      </s:c>
      <s:c r="G13" s="560"/>
      <s:c r="H13" s="561"/>
      <s:c r="I13" s="36">
        <s:f>IF(I12&lt;&gt;0,I9/I12,"")</s:f>
        <s:v>130.03311258278146</s:v>
      </s:c>
      <s:c r="J13" s="37">
        <s:f>G51</s:f>
        <s:v>92</s:v>
      </s:c>
      <s:c r="K13" s="186">
        <s:f>IF(AND(I13&lt;&gt;"",I13&lt;&gt;0,J13&lt;&gt;""),J13/I13,"")</s:f>
        <s:v>0.70751209574738982</s:v>
      </s:c>
      <s:c r="L13" s="187">
        <s:f>IF(SUMIF($G$25:$G$48,"&gt;=0",$R$25:$R$48)&lt;&gt;0,I13*G51/SUMIF($G$25:$G$48,"&gt;=0",$R$25:$R$48),"")</s:f>
        <s:v>99.951598962834964</s:v>
      </s:c>
      <s:c r="M13" s="188">
        <s:f>IF(AND(I13&lt;&gt;"",I13&lt;&gt;0,L13&lt;&gt;"",L13&lt;&gt;0),L13/I13,"")</s:f>
        <s:v>0.76866266582063048</s:v>
      </s:c>
      <s:c r="N13" s="55">
        <s:f>IF(AND(J13&lt;&gt;0,J13&lt;&gt;"",I13&lt;&gt;0,I13&lt;&gt;""),L13-I13,"")</s:f>
        <s:v>-30.081513619946492</s:v>
      </s:c>
      <s:c r="O13" s="57"/>
      <s:c r="P13" s="41" t="str">
        <s:f>IF(AND(O13&lt;&gt;"",O13&lt;&gt;0,L13&lt;&gt;"",L13&lt;&gt;0),-O13+L13,"")</s:f>
        <s:v/>
      </s:c>
      <s:c r="Q13" s="43" t="str">
        <s:f>IF(AND(P13&lt;&gt;"",P13&lt;&gt;0,O13&lt;&gt;0,O13&lt;&gt;""),P13/O13,"")</s:f>
        <s:v/>
      </s:c>
      <s:c r="R13" s="20"/>
      <s:c r="S13" s="52"/>
      <s:c r="T13" s="12"/>
      <s:c r="U13" s="12"/>
      <s:c r="V13" s="12"/>
      <s:c r="W13" s="12"/>
    </s:row>
    <s:row r="14" spans="2:23" ht="15.75" customHeight="1">
      <s:c r="B14" s="180"/>
      <s:c r="C14" s="12"/>
      <s:c r="D14" s="194"/>
      <s:c r="E14" s="12"/>
      <s:c r="F14" s="559" t="s">
        <s:v>59</s:v>
      </s:c>
      <s:c r="G14" s="560"/>
      <s:c r="H14" s="561"/>
      <s:c r="I14" s="50">
        <s:f>График!AI29</s:f>
        <s:v>26</s:v>
      </s:c>
      <s:c r="J14" s="58">
        <s:v>26</s:v>
      </s:c>
      <s:c r="K14" s="186">
        <s:f>IF(AND(I14&lt;&gt;"",I14&lt;&gt;0,J14&lt;&gt;""),J14/I14,"")</s:f>
        <s:v>1</s:v>
      </s:c>
      <s:c r="L14" s="187">
        <s:f>IF(SUMIF($D$25:$D$48,"&gt;=0",$P$25:$P$48),I51*I8/SUMIF($D$25:$D$48,"&gt;=0",$P$25:$P$48),"")</s:f>
        <s:v>363.13333333333344</s:v>
      </s:c>
      <s:c r="M14" s="188">
        <s:f>IF(AND(I14&lt;&gt;"",I14&lt;&gt;0,L14&lt;&gt;"",L14&lt;&gt;0),L14/I14,"")</s:f>
        <s:v>13.96666666666667</s:v>
      </s:c>
      <s:c r="N14" s="41">
        <s:f>IF(AND(J14&lt;&gt;0,J14&lt;&gt;"",I14&lt;&gt;0,I14&lt;&gt;""),L14-I14,"")</s:f>
        <s:v>337.13333333333344</s:v>
      </s:c>
      <s:c r="O14" s="57"/>
      <s:c r="P14" s="41" t="str">
        <s:f>IF(AND(O14&lt;&gt;"",O14&lt;&gt;0,L14&lt;&gt;"",L14&lt;&gt;0),-O14+L14,"")</s:f>
        <s:v/>
      </s:c>
      <s:c r="Q14" s="43" t="str">
        <s:f>IF(AND(P14&lt;&gt;"",P14&lt;&gt;0,O14&lt;&gt;0,O14&lt;&gt;""),P14/O14,"")</s:f>
        <s:v/>
      </s:c>
      <s:c r="R14" s="20"/>
      <s:c r="S14" s="59"/>
      <s:c r="T14" s="12"/>
      <s:c r="U14" s="12"/>
      <s:c r="V14" s="12"/>
      <s:c r="W14" s="12"/>
    </s:row>
    <s:row r="15" spans="2:23" ht="15.75" customHeight="1">
      <s:c r="B15" s="180"/>
      <s:c r="C15" s="12"/>
      <s:c r="D15" s="12"/>
      <s:c r="E15" s="12"/>
      <s:c r="F15" s="559" t="s">
        <s:v>19</s:v>
      </s:c>
      <s:c r="G15" s="560"/>
      <s:c r="H15" s="561"/>
      <s:c r="I15" s="69">
        <s:f>'Ялта, Ленина, 18'!I15</s:f>
        <s:v>39178.199999999997</s:v>
      </s:c>
      <s:c r="J15" s="61">
        <s:f>J8/J14</s:f>
        <s:v>27812.038461538461</s:v>
      </s:c>
      <s:c r="K15" s="195">
        <s:f>IF(AND(I15&lt;&gt;"",I15&lt;&gt;0,J15&lt;&gt;""),J15/I15,"")</s:f>
        <s:v>0.70988556037639461</s:v>
      </s:c>
      <s:c r="L15" s="70">
        <s:f>J15</s:f>
        <s:v>27812.038461538461</s:v>
      </s:c>
      <s:c r="M15" s="196">
        <s:f>IF(AND(I15&lt;&gt;"",I15&lt;&gt;0,L15&lt;&gt;"",L15&lt;&gt;0),L15/I15,"")</s:f>
        <s:v>0.70988556037639461</s:v>
      </s:c>
      <s:c r="N15" s="41">
        <s:f>IF(AND(J15&lt;&gt;0,J15&lt;&gt;"",I15&lt;&gt;0,I15&lt;&gt;""),L15-I15,"")</s:f>
        <s:v>-11366.161538461536</s:v>
      </s:c>
      <s:c r="O15" s="65"/>
      <s:c r="P15" s="41" t="str">
        <s:f>IF(AND(O15&lt;&gt;"",O15&lt;&gt;0,L15&lt;&gt;"",L15&lt;&gt;0),-O15+L15,"")</s:f>
        <s:v/>
      </s:c>
      <s:c r="Q15" s="43" t="str">
        <s:f>IF(AND(P15&lt;&gt;"",P15&lt;&gt;0,O15&lt;&gt;0,O15&lt;&gt;""),P15/O15,"")</s:f>
        <s:v/>
      </s:c>
      <s:c r="R15" s="20"/>
      <s:c r="S15" s="35"/>
      <s:c r="T15" s="12"/>
      <s:c r="U15" s="12"/>
      <s:c r="V15" s="12"/>
      <s:c r="W15" s="12"/>
    </s:row>
    <s:row r="16" spans="2:23" ht="15.75" customHeight="1">
      <s:c r="B16" s="180"/>
      <s:c r="C16" s="12"/>
      <s:c r="D16" s="12"/>
      <s:c r="E16" s="12"/>
      <s:c r="F16" s="559" t="s">
        <s:v>20</s:v>
      </s:c>
      <s:c r="G16" s="560"/>
      <s:c r="H16" s="561"/>
      <s:c r="I16" s="69"/>
      <s:c r="J16" s="61">
        <s:f>J8-I15*J14</s:f>
        <s:v>-295520.19999999995</s:v>
      </s:c>
      <s:c r="K16" s="195" t="str">
        <s:f>IF(AND(I16&lt;&gt;"",I16&lt;&gt;0,J16&lt;&gt;""),J16/I16,"")</s:f>
        <s:v/>
      </s:c>
      <s:c r="L16" s="70">
        <s:f>J16</s:f>
        <s:v>-295520.19999999995</s:v>
      </s:c>
      <s:c r="M16" s="197" t="str">
        <s:f>IF(AND(I16&lt;&gt;"",I16&lt;&gt;0,L16&lt;&gt;"",L16&lt;&gt;0),L16/I16,"")</s:f>
        <s:v/>
      </s:c>
      <s:c r="N16" s="41" t="str">
        <s:f>IF(AND(J16&lt;&gt;0,J16&lt;&gt;"",I16&lt;&gt;0,I16&lt;&gt;""),L16-I16,"")</s:f>
        <s:v/>
      </s:c>
      <s:c r="O16" s="65"/>
      <s:c r="P16" s="41" t="str">
        <s:f>IF(AND(O16&lt;&gt;"",O16&lt;&gt;0,L16&lt;&gt;"",L16&lt;&gt;0),-O16+L16,"")</s:f>
        <s:v/>
      </s:c>
      <s:c r="Q16" s="43" t="str">
        <s:f>IF(AND(P16&lt;&gt;"",P16&lt;&gt;0,O16&lt;&gt;0,O16&lt;&gt;""),P16/O16,"")</s:f>
        <s:v/>
      </s:c>
      <s:c r="R16" s="20"/>
      <s:c r="S16" s="566" t="s">
        <s:v>21</s:v>
      </s:c>
      <s:c r="T16" s="12"/>
      <s:c r="U16" s="12"/>
      <s:c r="V16" s="12"/>
      <s:c r="W16" s="12"/>
    </s:row>
    <s:row r="17" spans="1:255" ht="15.75" customHeight="1">
      <s:c r="B17" s="180"/>
      <s:c r="C17" s="12"/>
      <s:c r="D17" s="12"/>
      <s:c r="E17" s="12"/>
      <s:c r="F17" s="559" t="s">
        <s:v>22</s:v>
      </s:c>
      <s:c r="G17" s="560"/>
      <s:c r="H17" s="561"/>
      <s:c r="I17" s="69">
        <s:f>'Ялта, Ленина, 18'!I17/График!AJ31*График!AJ29</s:f>
        <s:v>433.44370860927154</s:v>
      </s:c>
      <s:c r="J17" s="61">
        <s:f>I51</s:f>
        <s:v>299</s:v>
      </s:c>
      <s:c r="K17" s="195">
        <s:f>IF(AND(I17&lt;&gt;"",I17&lt;&gt;0,J17&lt;&gt;""),J17/I17,"")</s:f>
        <s:v>0.6898242933537051</s:v>
      </s:c>
      <s:c r="L17" s="70">
        <s:f>J17/J14*I14</s:f>
        <s:v>299</s:v>
      </s:c>
      <s:c r="M17" s="197">
        <s:f>IF(AND(I17&lt;&gt;"",I17&lt;&gt;0,L17&lt;&gt;"",L17&lt;&gt;0),L17/I17,"")</s:f>
        <s:v>0.6898242933537051</s:v>
      </s:c>
      <s:c r="N17" s="41">
        <s:f>IF(AND(J17&lt;&gt;0,J17&lt;&gt;"",I17&lt;&gt;0,I17&lt;&gt;""),L17-I17,"")</s:f>
        <s:v>-134.44370860927154</s:v>
      </s:c>
      <s:c r="O17" s="65"/>
      <s:c r="P17" s="41" t="str">
        <s:f>IF(AND(O17&lt;&gt;"",O17&lt;&gt;0,L17&lt;&gt;"",L17&lt;&gt;0),-O17+L17,"")</s:f>
        <s:v/>
      </s:c>
      <s:c r="Q17" s="43" t="str">
        <s:f>IF(AND(P17&lt;&gt;"",P17&lt;&gt;0,O17&lt;&gt;0,O17&lt;&gt;""),P17/O17,"")</s:f>
        <s:v/>
      </s:c>
      <s:c r="R17" s="20"/>
      <s:c r="S17" s="566"/>
      <s:c r="T17" s="12"/>
      <s:c r="U17" s="12"/>
      <s:c r="V17" s="12"/>
      <s:c r="W17" s="12"/>
    </s:row>
    <s:row r="18" spans="1:255" ht="15.75" customHeight="1">
      <s:c r="B18" s="180"/>
      <s:c r="C18" s="12"/>
      <s:c r="D18" s="12"/>
      <s:c r="E18" s="12"/>
      <s:c r="F18" s="559"/>
      <s:c r="G18" s="560"/>
      <s:c r="H18" s="561"/>
      <s:c r="I18" s="71"/>
      <s:c r="J18" s="61"/>
      <s:c r="K18" s="195" t="str">
        <s:f>IF(AND(I18&lt;&gt;"",I18&lt;&gt;0,J18&lt;&gt;""),J18/I18,"")</s:f>
        <s:v/>
      </s:c>
      <s:c r="L18" s="70">
        <s:f>J18</s:f>
        <s:v>0</s:v>
      </s:c>
      <s:c r="M18" s="197" t="str">
        <s:f>IF(AND(I18&lt;&gt;"",I18&lt;&gt;0,L18&lt;&gt;"",L18&lt;&gt;0),L18/I18,"")</s:f>
        <s:v/>
      </s:c>
      <s:c r="N18" s="41" t="str">
        <s:f>IF(AND(J18&lt;&gt;0,J18&lt;&gt;"",I18&lt;&gt;0,I18&lt;&gt;""),L18-I18,"")</s:f>
        <s:v/>
      </s:c>
      <s:c r="O18" s="72">
        <s:v>0</s:v>
      </s:c>
      <s:c r="P18" s="41" t="str">
        <s:f>IF(AND(O18&lt;&gt;"",O18&lt;&gt;0,L18&lt;&gt;"",L18&lt;&gt;0),-O18+L18,"")</s:f>
        <s:v/>
      </s:c>
      <s:c r="Q18" s="43" t="str">
        <s:f>IF(AND(P18&lt;&gt;"",P18&lt;&gt;0,O18&lt;&gt;0,O18&lt;&gt;""),P18/O18,"")</s:f>
        <s:v/>
      </s:c>
      <s:c r="R18" s="20"/>
      <s:c r="S18" s="73"/>
      <s:c r="T18" s="12"/>
      <s:c r="U18" s="12"/>
      <s:c r="V18" s="12"/>
      <s:c r="W18" s="12"/>
    </s:row>
    <s:row r="19" spans="1:255" ht="15.75" customHeight="1">
      <s:c r="B19" s="180"/>
      <s:c r="C19" s="12"/>
      <s:c r="D19" s="12"/>
      <s:c r="E19" s="12"/>
      <s:c r="F19" s="559"/>
      <s:c r="G19" s="560"/>
      <s:c r="H19" s="561"/>
      <s:c r="I19" s="71"/>
      <s:c r="J19" s="61">
        <s:f>M51</s:f>
        <s:v>0</s:v>
      </s:c>
      <s:c r="K19" s="195" t="str">
        <s:f>IF(AND(I19&lt;&gt;"",I19&lt;&gt;0,J19&lt;&gt;""),J19/I19,"")</s:f>
        <s:v/>
      </s:c>
      <s:c r="L19" s="70">
        <s:f>J19</s:f>
        <s:v>0</s:v>
      </s:c>
      <s:c r="M19" s="197" t="str">
        <s:f>IF(AND(I19&lt;&gt;"",I19&lt;&gt;0,L19&lt;&gt;"",L19&lt;&gt;0),L19/I19,"")</s:f>
        <s:v/>
      </s:c>
      <s:c r="N19" s="41" t="str">
        <s:f>IF(AND(J19&lt;&gt;0,J19&lt;&gt;"",I19&lt;&gt;0,I19&lt;&gt;""),L19-I19,"")</s:f>
        <s:v/>
      </s:c>
      <s:c r="O19" s="65">
        <s:v>0</s:v>
      </s:c>
      <s:c r="P19" s="41" t="str">
        <s:f>IF(AND(O19&lt;&gt;"",O19&lt;&gt;0,L19&lt;&gt;"",L19&lt;&gt;0),-O19+L19,"")</s:f>
        <s:v/>
      </s:c>
      <s:c r="Q19" s="43" t="str">
        <s:f>IF(AND(P19&lt;&gt;"",P19&lt;&gt;0,O19&lt;&gt;0,O19&lt;&gt;""),P19/O19,"")</s:f>
        <s:v/>
      </s:c>
      <s:c r="R19" s="20"/>
      <s:c r="S19" s="74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80"/>
      <s:c r="C20" s="12"/>
      <s:c r="D20" s="12"/>
      <s:c r="E20" s="12"/>
      <s:c r="F20" s="562" t="s">
        <s:v>23</s:v>
      </s:c>
      <s:c r="G20" s="562"/>
      <s:c r="H20" s="562"/>
      <s:c r="I20" s="198">
        <s:f>'Ялта, Ленина, 18'!I20</s:f>
        <s:v>0.3</s:v>
      </s:c>
      <s:c r="J20" s="199">
        <s:f>N51</s:f>
        <s:v>0.30769230769230771</s:v>
      </s:c>
      <s:c r="K20" s="200">
        <s:f>J20/I20</s:f>
        <s:v>1.0256410256410258</s:v>
      </s:c>
      <s:c r="L20" s="201">
        <s:f>IF(AND(K8&lt;&gt;0,I14&lt;&gt;0,I51&lt;&gt;0),(I51*N51+(I51/K8-I51)*I20)/(I51/K8),0)</s:f>
        <s:v>0.30556845296710833</s:v>
      </s:c>
      <s:c r="M20" s="77">
        <s:f>IF(AND(I20&lt;&gt;"",I20&lt;&gt;0,L20&lt;&gt;"",L20&lt;&gt;0),L20/I20,"")</s:f>
        <s:v>1.0185615098903611</s:v>
      </s:c>
      <s:c r="N20" s="78">
        <s:f>IF(AND(J20&lt;&gt;0,J20&lt;&gt;"",I20&lt;&gt;0,I20&lt;&gt;""),L20-I20,"")</s:f>
        <s:v>5.5684529671083394E-3</s:v>
      </s:c>
      <s:c r="O20" s="79"/>
      <s:c r="P20" s="80" t="str">
        <s:f>IF(AND(O20&lt;&gt;"",O20&lt;&gt;0,L20&lt;&gt;"",L20&lt;&gt;0),-O20+L20,"")</s:f>
        <s:v/>
      </s:c>
      <s:c r="Q20" s="81" t="str">
        <s:f>IF(AND(P20&lt;&gt;"",P20&lt;&gt;0,O20&lt;&gt;0,O20&lt;&gt;""),P20/O20,"")</s:f>
        <s:v/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8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16" t="s">
        <s:v>24</s:v>
      </s:c>
      <s:c r="C22" s="616"/>
      <s:c r="D22" s="616"/>
      <s:c r="E22" s="616"/>
      <s:c r="F22" s="616"/>
      <s:c r="G22" s="616"/>
      <s:c r="H22" s="616"/>
      <s:c r="I22" s="616"/>
      <s:c r="J22" s="616"/>
      <s:c r="K22" s="616"/>
      <s:c r="L22" s="616"/>
      <s:c r="M22" s="616"/>
      <s:c r="N22" s="616"/>
      <s:c r="O22" s="617" t="s">
        <s:v>25</s:v>
      </s:c>
      <s:c r="P22" s="616" t="s">
        <s:v>26</s:v>
      </s:c>
      <s:c r="Q22" s="616"/>
      <s:c r="R22" s="616"/>
      <s:c r="S22" s="616"/>
      <s:c r="T22" s="616"/>
      <s:c r="U22" s="616"/>
      <s:c r="V22" s="616"/>
      <s:c r="W22" s="616"/>
    </s:row>
    <s:row r="23" ht="36">
      <s:c r="B23" s="202" t="s">
        <s:v>28</s:v>
      </s:c>
      <s:c r="C23" s="202" t="s">
        <s:v>29</s:v>
      </s:c>
      <s:c r="D23" s="202" t="s">
        <s:v>30</s:v>
      </s:c>
      <s:c r="E23" s="202" t="s">
        <s:v>31</s:v>
      </s:c>
      <s:c r="F23" s="202" t="s">
        <s:v>32</s:v>
      </s:c>
      <s:c r="G23" s="202" t="s">
        <s:v>33</s:v>
      </s:c>
      <s:c r="H23" s="202" t="s">
        <s:v>34</s:v>
      </s:c>
      <s:c r="I23" s="202" t="s">
        <s:v>22</s:v>
      </s:c>
      <s:c r="J23" s="202" t="s">
        <s:v>35</s:v>
      </s:c>
      <s:c r="K23" s="203" t="s">
        <s:v>36</s:v>
      </s:c>
      <s:c r="L23" s="203" t="s">
        <s:v>36</s:v>
      </s:c>
      <s:c r="M23" s="203" t="s">
        <s:v>36</s:v>
      </s:c>
      <s:c r="N23" s="202" t="s">
        <s:v>37</s:v>
      </s:c>
      <s:c r="O23" s="617"/>
      <s:c r="P23" s="202" t="s">
        <s:v>38</s:v>
      </s:c>
      <s:c r="Q23" s="202" t="s">
        <s:v>39</s:v>
      </s:c>
      <s:c r="R23" s="202" t="s">
        <s:v>40</s:v>
      </s:c>
      <s:c r="S23" s="202" t="s">
        <s:v>41</s:v>
      </s:c>
      <s:c r="T23" s="202" t="s">
        <s:v>42</s:v>
      </s:c>
      <s:c r="U23" s="202" t="s">
        <s:v>43</s:v>
      </s:c>
      <s:c r="V23" s="204" t="s">
        <s:v>44</s:v>
      </s:c>
      <s:c r="W23" s="204" t="s">
        <s:v>45</s:v>
      </s:c>
      <s:c r="X23" s="205"/>
    </s:row>
    <s:row r="24">
      <s:c r="B24" s="206">
        <s:v>1</s:v>
      </s:c>
      <s:c r="C24" s="207">
        <s:v>2</s:v>
      </s:c>
      <s:c r="D24" s="206">
        <s:v>3</s:v>
      </s:c>
      <s:c r="E24" s="206">
        <s:v>4</s:v>
      </s:c>
      <s:c r="F24" s="206">
        <s:v>5</s:v>
      </s:c>
      <s:c r="G24" s="206">
        <s:v>6</s:v>
      </s:c>
      <s:c r="H24" s="206">
        <s:v>7</s:v>
      </s:c>
      <s:c r="I24" s="206">
        <s:v>8</s:v>
      </s:c>
      <s:c r="J24" s="206">
        <s:v>9</s:v>
      </s:c>
      <s:c r="K24" s="206">
        <s:v>10</s:v>
      </s:c>
      <s:c r="L24" s="206">
        <s:v>11</s:v>
      </s:c>
      <s:c r="M24" s="206">
        <s:v>12</s:v>
      </s:c>
      <s:c r="N24" s="206">
        <s:v>13</s:v>
      </s:c>
      <s:c r="O24" s="617"/>
      <s:c r="P24" s="208">
        <s:v>1</s:v>
      </s:c>
      <s:c r="Q24" s="208">
        <s:v>2</s:v>
      </s:c>
      <s:c r="R24" s="208">
        <s:v>3</s:v>
      </s:c>
      <s:c r="S24" s="208">
        <s:v>4</s:v>
      </s:c>
      <s:c r="T24" s="208">
        <s:v>5</s:v>
      </s:c>
      <s:c r="U24" s="208">
        <s:v>6</s:v>
      </s:c>
      <s:c r="V24" s="208">
        <s:v>10</s:v>
      </s:c>
      <s:c r="W24" s="208">
        <s:v>11</s:v>
      </s:c>
    </s:row>
    <s:row r="25">
      <s:c r="A25" s="101">
        <s:v>1</s:v>
      </s:c>
      <s:c r="B25" s="102">
        <s:v>45691</s:v>
      </s:c>
      <s:c r="C25" s="103" t="s">
        <s:v>50</s:v>
      </s:c>
      <s:c r="D25" s="104">
        <s:v>13237</s:v>
      </s:c>
      <s:c r="E25" s="105">
        <s:v>4</s:v>
      </s:c>
      <s:c r="F25" s="106">
        <s:f>IF(AND(E25&lt;&gt;"",E25&lt;&gt;0),D25/E25,"")</s:f>
        <s:v>3309.25</s:v>
      </s:c>
      <s:c r="G25" s="105">
        <s:v>3</s:v>
      </s:c>
      <s:c r="H25" s="106">
        <s:f>IF(AND(G25&lt;&gt;"",G25&lt;&gt;0),D25/G25,"")</s:f>
        <s:v>4412.333333333333</s:v>
      </s:c>
      <s:c r="I25" s="105">
        <s:v>8</s:v>
      </s:c>
      <s:c r="J25" s="104">
        <s:f>IF(AND(G25&lt;&gt;"",G25&lt;&gt;0),E25/G25,"")</s:f>
        <s:v>1.3333333333333333</s:v>
      </s:c>
      <s:c r="K25" s="106"/>
      <s:c r="L25" s="106"/>
      <s:c r="M25" s="106"/>
      <s:c r="N25" s="107">
        <s:f>IF(AND(I25&lt;&gt;"",I25&lt;&gt;0),G25/I25,"")</s:f>
        <s:v>0.375</s:v>
      </s:c>
      <s:c r="O25" s="108">
        <s:f>D25/P25</s:f>
        <s:v>0.52053100988211909</s:v>
      </s:c>
      <s:c r="P25" s="109">
        <s:f>$I$8*V25*W25/SUMPRODUCT($W$25:$W$56,$V$25:$V$56)</s:f>
        <s:v>25429.801008392733</s:v>
      </s:c>
      <s:c r="Q25" s="110">
        <s:f>$I$9*V25*W25/SUMPRODUCT($W$25:$W$56,$V$25:$V$56)</s:f>
        <s:v>6.6206198928385147</s:v>
      </s:c>
      <s:c r="R25" s="110">
        <s:f>IF($I$12="","",Q25/$I$12)</s:f>
        <s:v>3.3103099464192574</s:v>
      </s:c>
      <s:c r="S25" s="109">
        <s:f>IF(W25&lt;&gt;"",IF(D25&lt;&gt;"",D25,($I$8-SUM($S24:S$25))*V25*W25/SUMPRODUCT($W25:$W$56,$V25:$V$56)),"")</s:f>
        <s:v>13237</s:v>
      </s:c>
      <s:c r="T25" s="110">
        <s:f>IF(W25&lt;&gt;"",IF(E25&lt;&gt;"",E25,($I$9-SUM($T24:T$25))*V25*W25/SUMPRODUCT($W25:$W$56,$V25:$V$56)),"")</s:f>
        <s:v>4</s:v>
      </s:c>
      <s:c r="U25" s="110">
        <s:f>IF(W25&lt;&gt;"",IF($I$12&lt;&gt;"",IF(G25&lt;&gt;"",G25,($I$9/$I$12-SUM($U24:U$25))*V25*W25/SUMPRODUCT($W25:$W$56,$V25:$V$56)),""),"")</s:f>
        <s:v>3</s:v>
      </s:c>
      <s:c r="V25" s="111">
        <s:v>0.8</s:v>
      </s:c>
      <s:c r="W25" s="111">
        <s:v>0.8</s:v>
      </s:c>
      <s:c r="X25" s="112"/>
      <s:c r="Y25" s="112"/>
    </s:row>
    <s:row r="26">
      <s:c r="A26" s="101">
        <s:v>2</s:v>
      </s:c>
      <s:c r="B26" s="102">
        <s:v>45692</s:v>
      </s:c>
      <s:c r="C26" s="209" t="s">
        <s:v>51</s:v>
      </s:c>
      <s:c r="D26" s="104">
        <s:v>41907</s:v>
      </s:c>
      <s:c r="E26" s="106">
        <s:v>9</s:v>
      </s:c>
      <s:c r="F26" s="105">
        <s:f>IF(AND(E26&lt;&gt;"",E26&lt;&gt;0),D26/E26,"")</s:f>
        <s:v>4656.333333333333</s:v>
      </s:c>
      <s:c r="G26" s="106">
        <s:v>4</s:v>
      </s:c>
      <s:c r="H26" s="105">
        <s:f>IF(AND(G26&lt;&gt;"",G26&lt;&gt;0),D26/G26,"")</s:f>
        <s:v>10476.75</s:v>
      </s:c>
      <s:c r="I26" s="106">
        <s:v>16</s:v>
      </s:c>
      <s:c r="J26" s="210">
        <s:f>IF(AND(G26&lt;&gt;"",G26&lt;&gt;0),E26/G26,"")</s:f>
        <s:v>2.25</s:v>
      </s:c>
      <s:c r="K26" s="106"/>
      <s:c r="L26" s="105"/>
      <s:c r="M26" s="106"/>
      <s:c r="N26" s="211">
        <s:f>IF(AND(I26&lt;&gt;"",I26&lt;&gt;0),G26/I26,"")</s:f>
        <s:v>0.25</s:v>
      </s:c>
      <s:c r="O26" s="108">
        <s:f>D26/P26</s:f>
        <s:v>1.6479484045576767</s:v>
      </s:c>
      <s:c r="P26" s="212">
        <s:f>$I$8*V26*W26/SUMPRODUCT($W$25:$W$55,$V$25:$V$55)</s:f>
        <s:v>25429.801008392733</s:v>
      </s:c>
      <s:c r="Q26" s="110">
        <s:f>$I$9*V26*W26/SUMPRODUCT($W$25:$W$55,$V$25:$V$55)</s:f>
        <s:v>6.6206198928385147</s:v>
      </s:c>
      <s:c r="R26" s="213">
        <s:f>IF($I$12="","",Q26/$I$12)</s:f>
        <s:v>3.3103099464192574</s:v>
      </s:c>
      <s:c r="S26" s="109">
        <s:f>IF(W26&lt;&gt;"",IF(D26&lt;&gt;"",D26,($I$8-SUM($S$25:S25))*V26*W26/SUMPRODUCT($W26:$W$55,$V26:$V$55)),"")</s:f>
        <s:v>41907</s:v>
      </s:c>
      <s:c r="T26" s="213">
        <s:f>IF(W26&lt;&gt;"",IF(E26&lt;&gt;"",E26,($I$9-SUM($T$25:T25))*V26*W26/SUMPRODUCT($W26:$W$55,$V26:$V$55)),"")</s:f>
        <s:v>9</s:v>
      </s:c>
      <s:c r="U26" s="110">
        <s:f>IF(W26&lt;&gt;"",IF($I$12&lt;&gt;"",IF(G26&lt;&gt;"",G26,($I$9/$I$12-SUM($U$25:U25))*V26*W26/SUMPRODUCT($W26:$W$55,$V26:$V$55)),""),"")</s:f>
        <s:v>4</s:v>
      </s:c>
      <s:c r="V26" s="214">
        <s:v>0.8</s:v>
      </s:c>
      <s:c r="W26" s="111">
        <s:v>0.8</s:v>
      </s:c>
      <s:c r="X26" s="112"/>
      <s:c r="Y26" s="113"/>
      <s:c r="Z26" s="2"/>
      <s:c r="AA26" s="2"/>
      <s:c r="AB26" s="2"/>
      <s:c r="AC26" s="2"/>
      <s:c r="AD26" s="2"/>
    </s:row>
    <s:row r="27" spans="1:255" s="114" customFormat="1">
      <s:c r="A27" s="101">
        <s:v>3</s:v>
      </s:c>
      <s:c r="B27" s="102">
        <s:v>45693</s:v>
      </s:c>
      <s:c r="C27" s="103" t="s">
        <s:v>52</s:v>
      </s:c>
      <s:c r="D27" s="104">
        <s:v>15563</s:v>
      </s:c>
      <s:c r="E27" s="106">
        <s:v>3</s:v>
      </s:c>
      <s:c r="F27" s="106">
        <s:f>IF(AND(E27&lt;&gt;"",E27&lt;&gt;0),D27/E27,"")</s:f>
        <s:v>5187.666666666667</s:v>
      </s:c>
      <s:c r="G27" s="106">
        <s:v>2</s:v>
      </s:c>
      <s:c r="H27" s="106">
        <s:f>IF(AND(G27&lt;&gt;"",G27&lt;&gt;0),D27/G27,"")</s:f>
        <s:v>7781.5</s:v>
      </s:c>
      <s:c r="I27" s="106">
        <s:v>9</s:v>
      </s:c>
      <s:c r="J27" s="104">
        <s:f>IF(AND(G27&lt;&gt;"",G27&lt;&gt;0),E27/G27,"")</s:f>
        <s:v>1.5</s:v>
      </s:c>
      <s:c r="K27" s="106"/>
      <s:c r="L27" s="106"/>
      <s:c r="M27" s="106"/>
      <s:c r="N27" s="107">
        <s:f>IF(AND(I27&lt;&gt;"",I27&lt;&gt;0),G27/I27,"")</s:f>
        <s:v>0.22222222222222221</s:v>
      </s:c>
      <s:c r="O27" s="108">
        <s:f>D27/P27</s:f>
        <s:v>0.48355436811976427</s:v>
      </s:c>
      <s:c r="P27" s="109">
        <s:f>$I$8*V27*W27/SUMPRODUCT($W$25:$W$55,$V$25:$V$55)</s:f>
        <s:v>32184.591901247051</s:v>
      </s:c>
      <s:c r="Q27" s="110">
        <s:f>$I$9*V27*W27/SUMPRODUCT($W$25:$W$55,$V$25:$V$55)</s:f>
        <s:v>8.379222051873743</s:v>
      </s:c>
      <s:c r="R27" s="110">
        <s:f>IF($I$12="","",Q27/$I$12)</s:f>
        <s:v>4.1896110259368715</s:v>
      </s:c>
      <s:c r="S27" s="109">
        <s:f>IF(W27&lt;&gt;"",IF(D27&lt;&gt;"",D27,($I$8-SUM($S$25:S26))*V27*W27/SUMPRODUCT($W27:$W$55,$V27:$V$55)),"")</s:f>
        <s:v>15563</s:v>
      </s:c>
      <s:c r="T27" s="110">
        <s:f>IF(W27&lt;&gt;"",IF(E27&lt;&gt;"",E27,($I$9-SUM($T$25:T26))*V27*W27/SUMPRODUCT($W27:$W$55,$V27:$V$55)),"")</s:f>
        <s:v>3</s:v>
      </s:c>
      <s:c r="U27" s="110">
        <s:f>IF(W27&lt;&gt;"",IF($I$12&lt;&gt;"",IF(G27&lt;&gt;"",G27,($I$9/$I$12-SUM($U$25:U26))*V27*W27/SUMPRODUCT($W27:$W$55,$V27:$V$55)),""),"")</s:f>
        <s:v>2</s:v>
      </s:c>
      <s:c r="V27" s="111">
        <s:v>0.9</s:v>
      </s:c>
      <s:c r="W27" s="111">
        <s:v>0.9</s:v>
      </s:c>
      <s:c r="X27" s="112"/>
      <s:c r="Y27" s="112"/>
      <s:c r="Z27" s="2"/>
      <s:c r="AA27" s="2"/>
      <s:c r="AB27" s="2"/>
      <s:c r="AC27" s="2"/>
      <s:c r="AD27" s="2"/>
      <s:c r="AE27" s="2"/>
      <s:c r="AF27" s="2"/>
      <s:c r="AG27" s="2"/>
      <s:c r="AH27" s="2"/>
      <s:c r="AI27" s="2"/>
      <s:c r="AJ27" s="2"/>
      <s:c r="AK27" s="2"/>
      <s:c r="AL27" s="2"/>
      <s:c r="AM27" s="2"/>
      <s:c r="AN27" s="2"/>
      <s:c r="AO27" s="2"/>
      <s:c r="AP27" s="2"/>
      <s:c r="AQ27" s="2"/>
      <s:c r="AR27" s="2"/>
      <s:c r="AS27" s="2"/>
      <s:c r="AT27" s="2"/>
      <s:c r="AU27" s="2"/>
      <s:c r="AV27" s="2"/>
      <s:c r="AW27" s="2"/>
      <s:c r="AX27" s="2"/>
      <s:c r="AY27" s="2"/>
      <s:c r="AZ27" s="2"/>
      <s:c r="BA27" s="2"/>
      <s:c r="BB27" s="2"/>
      <s:c r="BC27" s="2"/>
      <s:c r="BD27" s="2"/>
      <s:c r="BE27" s="2"/>
      <s:c r="BF27" s="2"/>
      <s:c r="BG27" s="2"/>
      <s:c r="BH27" s="2"/>
      <s:c r="BI27" s="2"/>
      <s:c r="BJ27" s="2"/>
      <s:c r="BK27" s="2"/>
      <s:c r="BL27" s="2"/>
      <s:c r="BM27" s="2"/>
      <s:c r="BN27" s="2"/>
      <s:c r="BO27" s="2"/>
      <s:c r="BP27" s="2"/>
      <s:c r="BQ27" s="2"/>
      <s:c r="BR27" s="2"/>
      <s:c r="BS27" s="2"/>
      <s:c r="BT27" s="2"/>
      <s:c r="BU27" s="2"/>
      <s:c r="BV27" s="2"/>
      <s:c r="BW27" s="2"/>
      <s:c r="BX27" s="2"/>
      <s:c r="BY27" s="2"/>
      <s:c r="BZ27" s="2"/>
      <s:c r="CA27" s="2"/>
      <s:c r="CB27" s="2"/>
      <s:c r="CC27" s="2"/>
      <s:c r="CD27" s="2"/>
      <s:c r="CE27" s="2"/>
      <s:c r="CF27" s="2"/>
      <s:c r="CG27" s="2"/>
      <s:c r="CH27" s="2"/>
      <s:c r="CI27" s="2"/>
      <s:c r="CJ27" s="2"/>
      <s:c r="CK27" s="2"/>
      <s:c r="CL27" s="2"/>
      <s:c r="CM27" s="2"/>
      <s:c r="CN27" s="2"/>
      <s:c r="CO27" s="2"/>
      <s:c r="CP27" s="2"/>
      <s:c r="CQ27" s="2"/>
      <s:c r="CR27" s="2"/>
      <s:c r="CS27" s="2"/>
      <s:c r="CT27" s="2"/>
      <s:c r="CU27" s="2"/>
      <s:c r="CV27" s="2"/>
      <s:c r="CW27" s="2"/>
      <s:c r="CX27" s="2"/>
      <s:c r="CY27" s="2"/>
      <s:c r="CZ27" s="2"/>
      <s:c r="DA27" s="2"/>
      <s:c r="DB27" s="2"/>
      <s:c r="DC27" s="2"/>
      <s:c r="DD27" s="2"/>
      <s:c r="DE27" s="2"/>
      <s:c r="DF27" s="2"/>
      <s:c r="DG27" s="2"/>
      <s:c r="DH27" s="2"/>
      <s:c r="DI27" s="2"/>
      <s:c r="DJ27" s="2"/>
      <s:c r="DK27" s="2"/>
      <s:c r="DL27" s="2"/>
      <s:c r="DM27" s="2"/>
      <s:c r="DN27" s="2"/>
      <s:c r="DO27" s="2"/>
      <s:c r="DP27" s="2"/>
      <s:c r="DQ27" s="2"/>
      <s:c r="DR27" s="2"/>
      <s:c r="DS27" s="2"/>
      <s:c r="DT27" s="2"/>
      <s:c r="DU27" s="2"/>
      <s:c r="DV27" s="2"/>
      <s:c r="DW27" s="2"/>
      <s:c r="DX27" s="2"/>
      <s:c r="DY27" s="2"/>
      <s:c r="DZ27" s="2"/>
      <s:c r="EA27" s="2"/>
      <s:c r="EB27" s="2"/>
      <s:c r="EC27" s="2"/>
      <s:c r="ED27" s="2"/>
      <s:c r="EE27" s="2"/>
      <s:c r="EF27" s="2"/>
      <s:c r="EG27" s="2"/>
      <s:c r="EH27" s="2"/>
      <s:c r="EI27" s="2"/>
      <s:c r="EJ27" s="2"/>
      <s:c r="EK27" s="2"/>
      <s:c r="EL27" s="2"/>
      <s:c r="EM27" s="2"/>
      <s:c r="EN27" s="2"/>
      <s:c r="EO27" s="2"/>
      <s:c r="EP27" s="2"/>
      <s:c r="EQ27" s="2"/>
      <s:c r="ER27" s="2"/>
      <s:c r="ES27" s="2"/>
      <s:c r="ET27" s="2"/>
      <s:c r="EU27" s="2"/>
      <s:c r="EV27" s="2"/>
      <s:c r="EW27" s="2"/>
      <s:c r="EX27" s="2"/>
      <s:c r="EY27" s="2"/>
      <s:c r="EZ27" s="2"/>
      <s:c r="FA27" s="2"/>
      <s:c r="FB27" s="2"/>
      <s:c r="FC27" s="2"/>
      <s:c r="FD27" s="2"/>
      <s:c r="FE27" s="2"/>
      <s:c r="FF27" s="2"/>
      <s:c r="FG27" s="2"/>
      <s:c r="FH27" s="2"/>
      <s:c r="FI27" s="2"/>
      <s:c r="FJ27" s="2"/>
      <s:c r="FK27" s="2"/>
      <s:c r="FL27" s="2"/>
      <s:c r="FM27" s="2"/>
      <s:c r="FN27" s="2"/>
      <s:c r="FO27" s="2"/>
      <s:c r="FP27" s="2"/>
      <s:c r="FQ27" s="2"/>
      <s:c r="FR27" s="2"/>
      <s:c r="FS27" s="2"/>
      <s:c r="FT27" s="2"/>
      <s:c r="FU27" s="2"/>
      <s:c r="FV27" s="2"/>
      <s:c r="FW27" s="2"/>
      <s:c r="FX27" s="2"/>
      <s:c r="FY27" s="2"/>
      <s:c r="FZ27" s="2"/>
      <s:c r="GA27" s="2"/>
      <s:c r="GB27" s="2"/>
      <s:c r="GC27" s="2"/>
      <s:c r="GD27" s="2"/>
      <s:c r="GE27" s="2"/>
      <s:c r="GF27" s="2"/>
      <s:c r="GG27" s="2"/>
      <s:c r="GH27" s="2"/>
      <s:c r="GI27" s="2"/>
      <s:c r="GJ27" s="2"/>
      <s:c r="GK27" s="2"/>
      <s:c r="GL27" s="2"/>
      <s:c r="GM27" s="2"/>
      <s:c r="GN27" s="2"/>
      <s:c r="GO27" s="2"/>
      <s:c r="GP27" s="2"/>
      <s:c r="GQ27" s="2"/>
      <s:c r="GR27" s="2"/>
      <s:c r="GS27" s="2"/>
      <s:c r="GT27" s="2"/>
      <s:c r="GU27" s="2"/>
      <s:c r="GV27" s="2"/>
      <s:c r="GW27" s="2"/>
      <s:c r="GX27" s="2"/>
      <s:c r="GY27" s="2"/>
      <s:c r="GZ27" s="2"/>
      <s:c r="HA27" s="2"/>
      <s:c r="HB27" s="2"/>
      <s:c r="HC27" s="2"/>
      <s:c r="HD27" s="2"/>
      <s:c r="HE27" s="2"/>
      <s:c r="HF27" s="2"/>
      <s:c r="HG27" s="2"/>
      <s:c r="HH27" s="2"/>
      <s:c r="HI27" s="2"/>
      <s:c r="HJ27" s="2"/>
      <s:c r="HK27" s="2"/>
      <s:c r="HL27" s="2"/>
      <s:c r="HM27" s="2"/>
      <s:c r="HN27" s="2"/>
      <s:c r="HO27" s="2"/>
      <s:c r="HP27" s="2"/>
      <s:c r="HQ27" s="2"/>
      <s:c r="HR27" s="2"/>
      <s:c r="HS27" s="2"/>
      <s:c r="HT27" s="2"/>
      <s:c r="HU27" s="2"/>
      <s:c r="HV27" s="2"/>
      <s:c r="HW27" s="2"/>
      <s:c r="HX27" s="2"/>
      <s:c r="HY27" s="2"/>
      <s:c r="HZ27" s="2"/>
      <s:c r="IA27" s="2"/>
      <s:c r="IB27" s="2"/>
      <s:c r="IC27" s="2"/>
      <s:c r="ID27" s="2"/>
      <s:c r="IE27" s="2"/>
      <s:c r="IF27" s="2"/>
      <s:c r="IG27" s="2"/>
      <s:c r="IH27" s="2"/>
      <s:c r="II27" s="2"/>
      <s:c r="IJ27" s="2"/>
      <s:c r="IK27" s="2"/>
      <s:c r="IL27" s="2"/>
      <s:c r="IM27" s="2"/>
      <s:c r="IN27" s="2"/>
      <s:c r="IO27" s="2"/>
      <s:c r="IP27" s="2"/>
      <s:c r="IQ27" s="2"/>
      <s:c r="IR27" s="2"/>
      <s:c r="IS27" s="2"/>
      <s:c r="IT27" s="2"/>
      <s:c r="IU27" s="2"/>
    </s:row>
    <s:row r="28" spans="1:255" s="115" customFormat="1">
      <s:c r="A28" s="90">
        <s:v>4</s:v>
      </s:c>
      <s:c r="B28" s="91">
        <s:v>45694</s:v>
      </s:c>
      <s:c r="C28" s="92" t="s">
        <s:v>53</s:v>
      </s:c>
      <s:c r="D28" s="116"/>
      <s:c r="E28" s="117">
        <s:v>0</s:v>
      </s:c>
      <s:c r="F28" s="117" t="str">
        <s:f>IF(AND(E28&lt;&gt;"",E28&lt;&gt;0),D28/E28,"")</s:f>
        <s:v/>
      </s:c>
      <s:c r="G28" s="117">
        <s:v>0</s:v>
      </s:c>
      <s:c r="H28" s="117" t="str">
        <s:f>IF(AND(G28&lt;&gt;"",G28&lt;&gt;0),D28/G28,"")</s:f>
        <s:v/>
      </s:c>
      <s:c r="I28" s="117">
        <s:v>4</s:v>
      </s:c>
      <s:c r="J28" s="116" t="str">
        <s:f>IF(AND(G28&lt;&gt;"",G28&lt;&gt;0),E28/G28,"")</s:f>
        <s:v/>
      </s:c>
      <s:c r="K28" s="117"/>
      <s:c r="L28" s="117"/>
      <s:c r="M28" s="117"/>
      <s:c r="N28" s="118">
        <s:f>IF(AND(I28&lt;&gt;"",I28&lt;&gt;0),G28/I28,"")</s:f>
        <s:v>0</s:v>
      </s:c>
      <s:c r="O28" s="119">
        <s:f>D28/P28</s:f>
        <s:v>0</s:v>
      </s:c>
      <s:c r="P28" s="120">
        <s:f>$I$8*V28*W28/SUMPRODUCT($W$25:$W$55,$V$25:$V$55)</s:f>
        <s:v>57217.052268883635</s:v>
      </s:c>
      <s:c r="Q28" s="121">
        <s:f>$I$9*V28*W28/SUMPRODUCT($W$25:$W$55,$V$25:$V$55)</s:f>
        <s:v>14.896394758886654</s:v>
      </s:c>
      <s:c r="R28" s="121">
        <s:f>IF($I$12="","",Q28/$I$12)</s:f>
        <s:v>7.4481973794433269</s:v>
      </s:c>
      <s:c r="S28" s="120">
        <s:f>IF(W28&lt;&gt;"",IF(D28&lt;&gt;"",D28,($I$8-SUM($S$25:S27))*V28*W28/SUMPRODUCT($W28:$W$55,$V28:$V$55)),"")</s:f>
        <s:v>57987.792366149013</s:v>
      </s:c>
      <s:c r="T28" s="121">
        <s:f>IF(W28&lt;&gt;"",IF(E28&lt;&gt;"",E28,($I$9-SUM($T$25:T27))*V28*W28/SUMPRODUCT($W28:$W$55,$V28:$V$55)),"")</s:f>
        <s:v>0</s:v>
      </s:c>
      <s:c r="U28" s="121">
        <s:f>IF(W28&lt;&gt;"",IF($I$12&lt;&gt;"",IF(G28&lt;&gt;"",G28,($I$9/$I$12-SUM($U$25:U27))*V28*W28/SUMPRODUCT($W28:$W$55,$V28:$V$55)),""),"")</s:f>
        <s:v>0</s:v>
      </s:c>
      <s:c r="V28" s="122">
        <s:v>1.2</s:v>
      </s:c>
      <s:c r="W28" s="122">
        <s:v>1.2</s:v>
      </s:c>
      <s:c r="X28" s="123"/>
      <s:c r="Y28" s="123"/>
      <s:c r="Z28" s="124"/>
      <s:c r="AA28" s="124"/>
      <s:c r="AB28" s="124"/>
      <s:c r="AC28" s="124"/>
      <s:c r="AD28" s="124"/>
      <s:c r="AE28" s="124"/>
      <s:c r="AF28" s="124"/>
      <s:c r="AG28" s="124"/>
      <s:c r="AH28" s="124"/>
      <s:c r="AI28" s="124"/>
      <s:c r="AJ28" s="124"/>
      <s:c r="AK28" s="124"/>
      <s:c r="AL28" s="124"/>
      <s:c r="AM28" s="124"/>
      <s:c r="AN28" s="124"/>
      <s:c r="AO28" s="124"/>
      <s:c r="AP28" s="124"/>
      <s:c r="AQ28" s="124"/>
      <s:c r="AR28" s="124"/>
      <s:c r="AS28" s="124"/>
      <s:c r="AT28" s="124"/>
      <s:c r="AU28" s="124"/>
      <s:c r="AV28" s="124"/>
      <s:c r="AW28" s="124"/>
      <s:c r="AX28" s="124"/>
      <s:c r="AY28" s="124"/>
      <s:c r="AZ28" s="124"/>
      <s:c r="BA28" s="124"/>
      <s:c r="BB28" s="124"/>
      <s:c r="BC28" s="124"/>
      <s:c r="BD28" s="124"/>
      <s:c r="BE28" s="124"/>
      <s:c r="BF28" s="124"/>
      <s:c r="BG28" s="124"/>
      <s:c r="BH28" s="124"/>
      <s:c r="BI28" s="124"/>
      <s:c r="BJ28" s="124"/>
      <s:c r="BK28" s="124"/>
      <s:c r="BL28" s="124"/>
      <s:c r="BM28" s="124"/>
      <s:c r="BN28" s="124"/>
      <s:c r="BO28" s="124"/>
      <s:c r="BP28" s="124"/>
      <s:c r="BQ28" s="124"/>
      <s:c r="BR28" s="124"/>
      <s:c r="BS28" s="124"/>
      <s:c r="BT28" s="124"/>
      <s:c r="BU28" s="124"/>
      <s:c r="BV28" s="124"/>
      <s:c r="BW28" s="124"/>
      <s:c r="BX28" s="124"/>
      <s:c r="BY28" s="124"/>
      <s:c r="BZ28" s="124"/>
      <s:c r="CA28" s="124"/>
      <s:c r="CB28" s="124"/>
      <s:c r="CC28" s="124"/>
      <s:c r="CD28" s="124"/>
      <s:c r="CE28" s="124"/>
      <s:c r="CF28" s="124"/>
      <s:c r="CG28" s="124"/>
      <s:c r="CH28" s="124"/>
      <s:c r="CI28" s="124"/>
      <s:c r="CJ28" s="124"/>
      <s:c r="CK28" s="124"/>
      <s:c r="CL28" s="124"/>
      <s:c r="CM28" s="124"/>
      <s:c r="CN28" s="124"/>
      <s:c r="CO28" s="124"/>
      <s:c r="CP28" s="124"/>
      <s:c r="CQ28" s="124"/>
      <s:c r="CR28" s="124"/>
      <s:c r="CS28" s="124"/>
      <s:c r="CT28" s="124"/>
      <s:c r="CU28" s="124"/>
      <s:c r="CV28" s="124"/>
      <s:c r="CW28" s="124"/>
      <s:c r="CX28" s="124"/>
      <s:c r="CY28" s="124"/>
      <s:c r="CZ28" s="124"/>
      <s:c r="DA28" s="124"/>
      <s:c r="DB28" s="124"/>
      <s:c r="DC28" s="124"/>
      <s:c r="DD28" s="124"/>
      <s:c r="DE28" s="124"/>
      <s:c r="DF28" s="124"/>
      <s:c r="DG28" s="124"/>
      <s:c r="DH28" s="124"/>
      <s:c r="DI28" s="124"/>
      <s:c r="DJ28" s="124"/>
      <s:c r="DK28" s="124"/>
      <s:c r="DL28" s="124"/>
      <s:c r="DM28" s="124"/>
      <s:c r="DN28" s="124"/>
      <s:c r="DO28" s="124"/>
      <s:c r="DP28" s="124"/>
      <s:c r="DQ28" s="124"/>
      <s:c r="DR28" s="124"/>
      <s:c r="DS28" s="124"/>
      <s:c r="DT28" s="124"/>
      <s:c r="DU28" s="124"/>
      <s:c r="DV28" s="124"/>
      <s:c r="DW28" s="124"/>
      <s:c r="DX28" s="124"/>
      <s:c r="DY28" s="124"/>
      <s:c r="DZ28" s="124"/>
      <s:c r="EA28" s="124"/>
      <s:c r="EB28" s="124"/>
      <s:c r="EC28" s="124"/>
      <s:c r="ED28" s="124"/>
      <s:c r="EE28" s="124"/>
      <s:c r="EF28" s="124"/>
      <s:c r="EG28" s="124"/>
      <s:c r="EH28" s="124"/>
      <s:c r="EI28" s="124"/>
      <s:c r="EJ28" s="124"/>
      <s:c r="EK28" s="124"/>
      <s:c r="EL28" s="124"/>
      <s:c r="EM28" s="124"/>
      <s:c r="EN28" s="124"/>
      <s:c r="EO28" s="124"/>
      <s:c r="EP28" s="124"/>
      <s:c r="EQ28" s="124"/>
      <s:c r="ER28" s="124"/>
      <s:c r="ES28" s="124"/>
      <s:c r="ET28" s="124"/>
      <s:c r="EU28" s="124"/>
      <s:c r="EV28" s="124"/>
      <s:c r="EW28" s="124"/>
      <s:c r="EX28" s="124"/>
      <s:c r="EY28" s="124"/>
      <s:c r="EZ28" s="124"/>
      <s:c r="FA28" s="124"/>
      <s:c r="FB28" s="124"/>
      <s:c r="FC28" s="124"/>
      <s:c r="FD28" s="124"/>
      <s:c r="FE28" s="124"/>
      <s:c r="FF28" s="124"/>
      <s:c r="FG28" s="124"/>
      <s:c r="FH28" s="124"/>
      <s:c r="FI28" s="124"/>
      <s:c r="FJ28" s="124"/>
      <s:c r="FK28" s="124"/>
      <s:c r="FL28" s="124"/>
      <s:c r="FM28" s="124"/>
      <s:c r="FN28" s="124"/>
      <s:c r="FO28" s="124"/>
      <s:c r="FP28" s="124"/>
      <s:c r="FQ28" s="124"/>
      <s:c r="FR28" s="124"/>
      <s:c r="FS28" s="124"/>
      <s:c r="FT28" s="124"/>
      <s:c r="FU28" s="124"/>
      <s:c r="FV28" s="124"/>
      <s:c r="FW28" s="124"/>
      <s:c r="FX28" s="124"/>
      <s:c r="FY28" s="124"/>
      <s:c r="FZ28" s="124"/>
      <s:c r="GA28" s="124"/>
      <s:c r="GB28" s="124"/>
      <s:c r="GC28" s="124"/>
      <s:c r="GD28" s="124"/>
      <s:c r="GE28" s="124"/>
      <s:c r="GF28" s="124"/>
      <s:c r="GG28" s="124"/>
      <s:c r="GH28" s="124"/>
      <s:c r="GI28" s="124"/>
      <s:c r="GJ28" s="124"/>
      <s:c r="GK28" s="124"/>
      <s:c r="GL28" s="124"/>
      <s:c r="GM28" s="124"/>
      <s:c r="GN28" s="124"/>
      <s:c r="GO28" s="124"/>
      <s:c r="GP28" s="124"/>
      <s:c r="GQ28" s="124"/>
      <s:c r="GR28" s="124"/>
      <s:c r="GS28" s="124"/>
      <s:c r="GT28" s="124"/>
      <s:c r="GU28" s="124"/>
      <s:c r="GV28" s="124"/>
      <s:c r="GW28" s="124"/>
      <s:c r="GX28" s="124"/>
      <s:c r="GY28" s="124"/>
      <s:c r="GZ28" s="124"/>
      <s:c r="HA28" s="124"/>
      <s:c r="HB28" s="124"/>
      <s:c r="HC28" s="124"/>
      <s:c r="HD28" s="124"/>
      <s:c r="HE28" s="124"/>
      <s:c r="HF28" s="124"/>
      <s:c r="HG28" s="124"/>
      <s:c r="HH28" s="124"/>
      <s:c r="HI28" s="124"/>
      <s:c r="HJ28" s="124"/>
      <s:c r="HK28" s="124"/>
      <s:c r="HL28" s="124"/>
      <s:c r="HM28" s="124"/>
      <s:c r="HN28" s="124"/>
      <s:c r="HO28" s="124"/>
      <s:c r="HP28" s="124"/>
      <s:c r="HQ28" s="124"/>
      <s:c r="HR28" s="124"/>
      <s:c r="HS28" s="124"/>
      <s:c r="HT28" s="124"/>
      <s:c r="HU28" s="124"/>
      <s:c r="HV28" s="124"/>
      <s:c r="HW28" s="124"/>
      <s:c r="HX28" s="124"/>
      <s:c r="HY28" s="124"/>
      <s:c r="HZ28" s="124"/>
      <s:c r="IA28" s="124"/>
      <s:c r="IB28" s="124"/>
      <s:c r="IC28" s="124"/>
      <s:c r="ID28" s="124"/>
      <s:c r="IE28" s="124"/>
      <s:c r="IF28" s="124"/>
      <s:c r="IG28" s="124"/>
      <s:c r="IH28" s="124"/>
      <s:c r="II28" s="124"/>
      <s:c r="IJ28" s="124"/>
      <s:c r="IK28" s="124"/>
      <s:c r="IL28" s="124"/>
      <s:c r="IM28" s="124"/>
      <s:c r="IN28" s="124"/>
      <s:c r="IO28" s="124"/>
      <s:c r="IP28" s="124"/>
      <s:c r="IQ28" s="124"/>
      <s:c r="IR28" s="124"/>
      <s:c r="IS28" s="124"/>
      <s:c r="IT28" s="124"/>
      <s:c r="IU28" s="124"/>
    </s:row>
    <s:row r="29" spans="1:255" s="115" customFormat="1">
      <s:c r="A29" s="90">
        <s:v>5</s:v>
      </s:c>
      <s:c r="B29" s="91">
        <s:v>45695</s:v>
      </s:c>
      <s:c r="C29" s="92" t="s">
        <s:v>54</s:v>
      </s:c>
      <s:c r="D29" s="116">
        <s:v>5984</s:v>
      </s:c>
      <s:c r="E29" s="117">
        <s:v>2</s:v>
      </s:c>
      <s:c r="F29" s="117">
        <s:f>IF(AND(E29&lt;&gt;"",E29&lt;&gt;0),D29/E29,"")</s:f>
        <s:v>2992</s:v>
      </s:c>
      <s:c r="G29" s="117">
        <s:v>2</s:v>
      </s:c>
      <s:c r="H29" s="117">
        <s:f>IF(AND(G29&lt;&gt;"",G29&lt;&gt;0),D29/G29,"")</s:f>
        <s:v>2992</s:v>
      </s:c>
      <s:c r="I29" s="117">
        <s:v>9</s:v>
      </s:c>
      <s:c r="J29" s="116">
        <s:f>IF(AND(G29&lt;&gt;"",G29&lt;&gt;0),E29/G29,"")</s:f>
        <s:v>1</s:v>
      </s:c>
      <s:c r="K29" s="117"/>
      <s:c r="L29" s="117"/>
      <s:c r="M29" s="117"/>
      <s:c r="N29" s="118">
        <s:f>IF(AND(I29&lt;&gt;"",I29&lt;&gt;0),G29/I29,"")</s:f>
        <s:v>0.22222222222222221</s:v>
      </s:c>
      <s:c r="O29" s="119">
        <s:f>D29/P29</s:f>
        <s:v>8.9113169889410065E-2</s:v>
      </s:c>
      <s:c r="P29" s="120">
        <s:f>$I$8*V29*W29/SUMPRODUCT($W$25:$W$55,$V$25:$V$55)</s:f>
        <s:v>67150.568287787057</s:v>
      </s:c>
      <s:c r="Q29" s="121">
        <s:f>$I$9*V29*W29/SUMPRODUCT($W$25:$W$55,$V$25:$V$55)</s:f>
        <s:v>17.482574404526702</s:v>
      </s:c>
      <s:c r="R29" s="121">
        <s:f>IF($I$12="","",Q29/$I$12)</s:f>
        <s:v>8.7412872022633508</s:v>
      </s:c>
      <s:c r="S29" s="120">
        <s:f>IF(W29&lt;&gt;"",IF(D29&lt;&gt;"",D29,($I$8-SUM($S$25:S28))*V29*W29/SUMPRODUCT($W29:$W$55,$V29:$V$55)),"")</s:f>
        <s:v>5984</s:v>
      </s:c>
      <s:c r="T29" s="121">
        <s:f>IF(W29&lt;&gt;"",IF(E29&lt;&gt;"",E29,($I$9-SUM($T$25:T28))*V29*W29/SUMPRODUCT($W29:$W$55,$V29:$V$55)),"")</s:f>
        <s:v>2</s:v>
      </s:c>
      <s:c r="U29" s="121">
        <s:f>IF(W29&lt;&gt;"",IF($I$12&lt;&gt;"",IF(G29&lt;&gt;"",G29,($I$9/$I$12-SUM($U$25:U28))*V29*W29/SUMPRODUCT($W29:$W$55,$V29:$V$55)),""),"")</s:f>
        <s:v>2</s:v>
      </s:c>
      <s:c r="V29" s="122">
        <s:v>1.3</s:v>
      </s:c>
      <s:c r="W29" s="122">
        <s:v>1.3</s:v>
      </s:c>
      <s:c r="X29" s="123"/>
      <s:c r="Y29" s="123"/>
      <s:c r="Z29" s="124"/>
      <s:c r="AA29" s="124"/>
      <s:c r="AB29" s="124"/>
      <s:c r="AC29" s="124"/>
      <s:c r="AD29" s="124"/>
      <s:c r="AE29" s="124"/>
      <s:c r="AF29" s="124"/>
      <s:c r="AG29" s="124"/>
      <s:c r="AH29" s="124"/>
      <s:c r="AI29" s="124"/>
      <s:c r="AJ29" s="124"/>
      <s:c r="AK29" s="124"/>
      <s:c r="AL29" s="124"/>
      <s:c r="AM29" s="124"/>
      <s:c r="AN29" s="124"/>
      <s:c r="AO29" s="124"/>
      <s:c r="AP29" s="124"/>
      <s:c r="AQ29" s="124"/>
      <s:c r="AR29" s="124"/>
      <s:c r="AS29" s="124"/>
      <s:c r="AT29" s="124"/>
      <s:c r="AU29" s="124"/>
      <s:c r="AV29" s="124"/>
      <s:c r="AW29" s="124"/>
      <s:c r="AX29" s="124"/>
      <s:c r="AY29" s="124"/>
      <s:c r="AZ29" s="124"/>
      <s:c r="BA29" s="124"/>
      <s:c r="BB29" s="124"/>
      <s:c r="BC29" s="124"/>
      <s:c r="BD29" s="124"/>
      <s:c r="BE29" s="124"/>
      <s:c r="BF29" s="124"/>
      <s:c r="BG29" s="124"/>
      <s:c r="BH29" s="124"/>
      <s:c r="BI29" s="124"/>
      <s:c r="BJ29" s="124"/>
      <s:c r="BK29" s="124"/>
      <s:c r="BL29" s="124"/>
      <s:c r="BM29" s="124"/>
      <s:c r="BN29" s="124"/>
      <s:c r="BO29" s="124"/>
      <s:c r="BP29" s="124"/>
      <s:c r="BQ29" s="124"/>
      <s:c r="BR29" s="124"/>
      <s:c r="BS29" s="124"/>
      <s:c r="BT29" s="124"/>
      <s:c r="BU29" s="124"/>
      <s:c r="BV29" s="124"/>
      <s:c r="BW29" s="124"/>
      <s:c r="BX29" s="124"/>
      <s:c r="BY29" s="124"/>
      <s:c r="BZ29" s="124"/>
      <s:c r="CA29" s="124"/>
      <s:c r="CB29" s="124"/>
      <s:c r="CC29" s="124"/>
      <s:c r="CD29" s="124"/>
      <s:c r="CE29" s="124"/>
      <s:c r="CF29" s="124"/>
      <s:c r="CG29" s="124"/>
      <s:c r="CH29" s="124"/>
      <s:c r="CI29" s="124"/>
      <s:c r="CJ29" s="124"/>
      <s:c r="CK29" s="124"/>
      <s:c r="CL29" s="124"/>
      <s:c r="CM29" s="124"/>
      <s:c r="CN29" s="124"/>
      <s:c r="CO29" s="124"/>
      <s:c r="CP29" s="124"/>
      <s:c r="CQ29" s="124"/>
      <s:c r="CR29" s="124"/>
      <s:c r="CS29" s="124"/>
      <s:c r="CT29" s="124"/>
      <s:c r="CU29" s="124"/>
      <s:c r="CV29" s="124"/>
      <s:c r="CW29" s="124"/>
      <s:c r="CX29" s="124"/>
      <s:c r="CY29" s="124"/>
      <s:c r="CZ29" s="124"/>
      <s:c r="DA29" s="124"/>
      <s:c r="DB29" s="124"/>
      <s:c r="DC29" s="124"/>
      <s:c r="DD29" s="124"/>
      <s:c r="DE29" s="124"/>
      <s:c r="DF29" s="124"/>
      <s:c r="DG29" s="124"/>
      <s:c r="DH29" s="124"/>
      <s:c r="DI29" s="124"/>
      <s:c r="DJ29" s="124"/>
      <s:c r="DK29" s="124"/>
      <s:c r="DL29" s="124"/>
      <s:c r="DM29" s="124"/>
      <s:c r="DN29" s="124"/>
      <s:c r="DO29" s="124"/>
      <s:c r="DP29" s="124"/>
      <s:c r="DQ29" s="124"/>
      <s:c r="DR29" s="124"/>
      <s:c r="DS29" s="124"/>
      <s:c r="DT29" s="124"/>
      <s:c r="DU29" s="124"/>
      <s:c r="DV29" s="124"/>
      <s:c r="DW29" s="124"/>
      <s:c r="DX29" s="124"/>
      <s:c r="DY29" s="124"/>
      <s:c r="DZ29" s="124"/>
      <s:c r="EA29" s="124"/>
      <s:c r="EB29" s="124"/>
      <s:c r="EC29" s="124"/>
      <s:c r="ED29" s="124"/>
      <s:c r="EE29" s="124"/>
      <s:c r="EF29" s="124"/>
      <s:c r="EG29" s="124"/>
      <s:c r="EH29" s="124"/>
      <s:c r="EI29" s="124"/>
      <s:c r="EJ29" s="124"/>
      <s:c r="EK29" s="124"/>
      <s:c r="EL29" s="124"/>
      <s:c r="EM29" s="124"/>
      <s:c r="EN29" s="124"/>
      <s:c r="EO29" s="124"/>
      <s:c r="EP29" s="124"/>
      <s:c r="EQ29" s="124"/>
      <s:c r="ER29" s="124"/>
      <s:c r="ES29" s="124"/>
      <s:c r="ET29" s="124"/>
      <s:c r="EU29" s="124"/>
      <s:c r="EV29" s="124"/>
      <s:c r="EW29" s="124"/>
      <s:c r="EX29" s="124"/>
      <s:c r="EY29" s="124"/>
      <s:c r="EZ29" s="124"/>
      <s:c r="FA29" s="124"/>
      <s:c r="FB29" s="124"/>
      <s:c r="FC29" s="124"/>
      <s:c r="FD29" s="124"/>
      <s:c r="FE29" s="124"/>
      <s:c r="FF29" s="124"/>
      <s:c r="FG29" s="124"/>
      <s:c r="FH29" s="124"/>
      <s:c r="FI29" s="124"/>
      <s:c r="FJ29" s="124"/>
      <s:c r="FK29" s="124"/>
      <s:c r="FL29" s="124"/>
      <s:c r="FM29" s="124"/>
      <s:c r="FN29" s="124"/>
      <s:c r="FO29" s="124"/>
      <s:c r="FP29" s="124"/>
      <s:c r="FQ29" s="124"/>
      <s:c r="FR29" s="124"/>
      <s:c r="FS29" s="124"/>
      <s:c r="FT29" s="124"/>
      <s:c r="FU29" s="124"/>
      <s:c r="FV29" s="124"/>
      <s:c r="FW29" s="124"/>
      <s:c r="FX29" s="124"/>
      <s:c r="FY29" s="124"/>
      <s:c r="FZ29" s="124"/>
      <s:c r="GA29" s="124"/>
      <s:c r="GB29" s="124"/>
      <s:c r="GC29" s="124"/>
      <s:c r="GD29" s="124"/>
      <s:c r="GE29" s="124"/>
      <s:c r="GF29" s="124"/>
      <s:c r="GG29" s="124"/>
      <s:c r="GH29" s="124"/>
      <s:c r="GI29" s="124"/>
      <s:c r="GJ29" s="124"/>
      <s:c r="GK29" s="124"/>
      <s:c r="GL29" s="124"/>
      <s:c r="GM29" s="124"/>
      <s:c r="GN29" s="124"/>
      <s:c r="GO29" s="124"/>
      <s:c r="GP29" s="124"/>
      <s:c r="GQ29" s="124"/>
      <s:c r="GR29" s="124"/>
      <s:c r="GS29" s="124"/>
      <s:c r="GT29" s="124"/>
      <s:c r="GU29" s="124"/>
      <s:c r="GV29" s="124"/>
      <s:c r="GW29" s="124"/>
      <s:c r="GX29" s="124"/>
      <s:c r="GY29" s="124"/>
      <s:c r="GZ29" s="124"/>
      <s:c r="HA29" s="124"/>
      <s:c r="HB29" s="124"/>
      <s:c r="HC29" s="124"/>
      <s:c r="HD29" s="124"/>
      <s:c r="HE29" s="124"/>
      <s:c r="HF29" s="124"/>
      <s:c r="HG29" s="124"/>
      <s:c r="HH29" s="124"/>
      <s:c r="HI29" s="124"/>
      <s:c r="HJ29" s="124"/>
      <s:c r="HK29" s="124"/>
      <s:c r="HL29" s="124"/>
      <s:c r="HM29" s="124"/>
      <s:c r="HN29" s="124"/>
      <s:c r="HO29" s="124"/>
      <s:c r="HP29" s="124"/>
      <s:c r="HQ29" s="124"/>
      <s:c r="HR29" s="124"/>
      <s:c r="HS29" s="124"/>
      <s:c r="HT29" s="124"/>
      <s:c r="HU29" s="124"/>
      <s:c r="HV29" s="124"/>
      <s:c r="HW29" s="124"/>
      <s:c r="HX29" s="124"/>
      <s:c r="HY29" s="124"/>
      <s:c r="HZ29" s="124"/>
      <s:c r="IA29" s="124"/>
      <s:c r="IB29" s="124"/>
      <s:c r="IC29" s="124"/>
      <s:c r="ID29" s="124"/>
      <s:c r="IE29" s="124"/>
      <s:c r="IF29" s="124"/>
      <s:c r="IG29" s="124"/>
      <s:c r="IH29" s="124"/>
      <s:c r="II29" s="124"/>
      <s:c r="IJ29" s="124"/>
      <s:c r="IK29" s="124"/>
      <s:c r="IL29" s="124"/>
      <s:c r="IM29" s="124"/>
      <s:c r="IN29" s="124"/>
      <s:c r="IO29" s="124"/>
      <s:c r="IP29" s="124"/>
      <s:c r="IQ29" s="124"/>
      <s:c r="IR29" s="124"/>
      <s:c r="IS29" s="124"/>
      <s:c r="IT29" s="124"/>
      <s:c r="IU29" s="124"/>
    </s:row>
    <s:row r="30" spans="1:255" s="115" customFormat="1">
      <s:c r="A30" s="90">
        <s:v>6</s:v>
      </s:c>
      <s:c r="B30" s="91">
        <s:v>45696</s:v>
      </s:c>
      <s:c r="C30" s="92" t="s">
        <s:v>47</s:v>
      </s:c>
      <s:c r="D30" s="116">
        <s:v>13876</s:v>
      </s:c>
      <s:c r="E30" s="117">
        <s:v>3</s:v>
      </s:c>
      <s:c r="F30" s="117">
        <s:f>IF(AND(E30&lt;&gt;"",E30&lt;&gt;0),D30/E30,"")</s:f>
        <s:v>4625.333333333333</s:v>
      </s:c>
      <s:c r="G30" s="117">
        <s:v>3</s:v>
      </s:c>
      <s:c r="H30" s="117">
        <s:f>IF(AND(G30&lt;&gt;"",G30&lt;&gt;0),D30/G30,"")</s:f>
        <s:v>4625.333333333333</s:v>
      </s:c>
      <s:c r="I30" s="117">
        <s:v>4</s:v>
      </s:c>
      <s:c r="J30" s="116">
        <s:f>IF(AND(G30&lt;&gt;"",G30&lt;&gt;0),E30/G30,"")</s:f>
        <s:v>1</s:v>
      </s:c>
      <s:c r="K30" s="117"/>
      <s:c r="L30" s="117"/>
      <s:c r="M30" s="117"/>
      <s:c r="N30" s="118">
        <s:f>IF(AND(I30&lt;&gt;"",I30&lt;&gt;0),G30/I30,"")</s:f>
        <s:v>0.75</s:v>
      </s:c>
      <s:c r="O30" s="119">
        <s:f>D30/P30</s:f>
        <s:v>0.15520967347752654</s:v>
      </s:c>
      <s:c r="P30" s="120">
        <s:f>$I$8*V30*W30/SUMPRODUCT($W$25:$W$55,$V$25:$V$55)</s:f>
        <s:v>89401.644170130705</s:v>
      </s:c>
      <s:c r="Q30" s="121">
        <s:f>$I$9*V30*W30/SUMPRODUCT($W$25:$W$55,$V$25:$V$55)</s:f>
        <s:v>23.2756168107604</s:v>
      </s:c>
      <s:c r="R30" s="121">
        <s:f>IF($I$12="","",Q30/$I$12)</s:f>
        <s:v>11.6378084053802</s:v>
      </s:c>
      <s:c r="S30" s="120">
        <s:f>IF(W30&lt;&gt;"",IF(D30&lt;&gt;"",D30,($I$8-SUM($S$25:S29))*V30*W30/SUMPRODUCT($W30:$W$55,$V30:$V$55)),"")</s:f>
        <s:v>13876</s:v>
      </s:c>
      <s:c r="T30" s="121">
        <s:f>IF(W30&lt;&gt;"",IF(E30&lt;&gt;"",E30,($I$9-SUM($T$25:T29))*V30*W30/SUMPRODUCT($W30:$W$55,$V30:$V$55)),"")</s:f>
        <s:v>3</s:v>
      </s:c>
      <s:c r="U30" s="121">
        <s:f>IF(W30&lt;&gt;"",IF($I$12&lt;&gt;"",IF(G30&lt;&gt;"",G30,($I$9/$I$12-SUM($U$25:U29))*V30*W30/SUMPRODUCT($W30:$W$55,$V30:$V$55)),""),"")</s:f>
        <s:v>3</s:v>
      </s:c>
      <s:c r="V30" s="122">
        <s:v>1.5</s:v>
      </s:c>
      <s:c r="W30" s="122">
        <s:v>1.5</s:v>
      </s:c>
      <s:c r="X30" s="123"/>
      <s:c r="Y30" s="123"/>
    </s:row>
    <s:row r="31" spans="1:255" s="115" customFormat="1">
      <s:c r="A31" s="90">
        <s:v>7</s:v>
      </s:c>
      <s:c r="B31" s="91">
        <s:v>45697</s:v>
      </s:c>
      <s:c r="C31" s="92" t="s">
        <s:v>48</s:v>
      </s:c>
      <s:c r="D31" s="116"/>
      <s:c r="E31" s="117">
        <s:v>0</s:v>
      </s:c>
      <s:c r="F31" s="117" t="str">
        <s:f>IF(AND(E31&lt;&gt;"",E31&lt;&gt;0),D31/E31,"")</s:f>
        <s:v/>
      </s:c>
      <s:c r="G31" s="117">
        <s:v>0</s:v>
      </s:c>
      <s:c r="H31" s="117" t="str">
        <s:f>IF(AND(G31&lt;&gt;"",G31&lt;&gt;0),D31/G31,"")</s:f>
        <s:v/>
      </s:c>
      <s:c r="I31" s="117">
        <s:v>4</s:v>
      </s:c>
      <s:c r="J31" s="116" t="str">
        <s:f>IF(AND(G31&lt;&gt;"",G31&lt;&gt;0),E31/G31,"")</s:f>
        <s:v/>
      </s:c>
      <s:c r="K31" s="117"/>
      <s:c r="L31" s="117"/>
      <s:c r="M31" s="117"/>
      <s:c r="N31" s="118">
        <s:f>IF(AND(I31&lt;&gt;"",I31&lt;&gt;0),G31/I31,"")</s:f>
        <s:v>0</s:v>
      </s:c>
      <s:c r="O31" s="119">
        <s:f>D31/P31</s:f>
        <s:v>0</s:v>
      </s:c>
      <s:c r="P31" s="120">
        <s:f>$I$8*V31*W31/SUMPRODUCT($W$25:$W$55,$V$25:$V$55)</s:f>
        <s:v>39734.064075613642</s:v>
      </s:c>
      <s:c r="Q31" s="121">
        <s:f>$I$9*V31*W31/SUMPRODUCT($W$25:$W$55,$V$25:$V$55)</s:f>
        <s:v>10.344718582560178</s:v>
      </s:c>
      <s:c r="R31" s="121">
        <s:f>IF($I$12="","",Q31/$I$12)</s:f>
        <s:v>5.1723592912800891</s:v>
      </s:c>
      <s:c r="S31" s="120">
        <s:f>IF(W31&lt;&gt;"",IF(D31&lt;&gt;"",D31,($I$8-SUM($S$25:S30))*V31*W31/SUMPRODUCT($W31:$W$55,$V31:$V$55)),"")</s:f>
        <s:v>48124.480956127787</s:v>
      </s:c>
      <s:c r="T31" s="121">
        <s:f>IF(W31&lt;&gt;"",IF(E31&lt;&gt;"",E31,($I$9-SUM($T$25:T30))*V31*W31/SUMPRODUCT($W31:$W$55,$V31:$V$55)),"")</s:f>
        <s:v>0</s:v>
      </s:c>
      <s:c r="U31" s="121">
        <s:f>IF(W31&lt;&gt;"",IF($I$12&lt;&gt;"",IF(G31&lt;&gt;"",G31,($I$9/$I$12-SUM($U$25:U30))*V31*W31/SUMPRODUCT($W31:$W$55,$V31:$V$55)),""),"")</s:f>
        <s:v>0</s:v>
      </s:c>
      <s:c r="V31" s="122">
        <s:v>1</s:v>
      </s:c>
      <s:c r="W31" s="122">
        <s:v>1</s:v>
      </s:c>
      <s:c r="X31" s="123"/>
      <s:c r="Y31" s="123"/>
    </s:row>
    <s:row r="32">
      <s:c r="A32" s="101">
        <s:v>8</s:v>
      </s:c>
      <s:c r="B32" s="102">
        <s:v>45698</s:v>
      </s:c>
      <s:c r="C32" s="103" t="s">
        <s:v>50</s:v>
      </s:c>
      <s:c r="D32" s="104">
        <s:v>17966</s:v>
      </s:c>
      <s:c r="E32" s="106">
        <s:v>4</s:v>
      </s:c>
      <s:c r="F32" s="106">
        <s:f>IF(AND(E32&lt;&gt;"",E32&lt;&gt;0),D32/E32,"")</s:f>
        <s:v>4491.5</s:v>
      </s:c>
      <s:c r="G32" s="106">
        <s:v>2</s:v>
      </s:c>
      <s:c r="H32" s="106">
        <s:f>IF(AND(G32&lt;&gt;"",G32&lt;&gt;0),D32/G32,"")</s:f>
        <s:v>8983</s:v>
      </s:c>
      <s:c r="I32" s="106">
        <s:v>12</s:v>
      </s:c>
      <s:c r="J32" s="104">
        <s:f>IF(AND(G32&lt;&gt;"",G32&lt;&gt;0),E32/G32,"")</s:f>
        <s:v>2</s:v>
      </s:c>
      <s:c r="K32" s="106"/>
      <s:c r="L32" s="106"/>
      <s:c r="M32" s="106"/>
      <s:c r="N32" s="107">
        <s:f>IF(AND(I32&lt;&gt;"",I32&lt;&gt;0),G32/I32,"")</s:f>
        <s:v>0.16666666666666666</s:v>
      </s:c>
      <s:c r="O32" s="108">
        <s:f>D32/P32</s:f>
        <s:v>0.55821742450939305</s:v>
      </s:c>
      <s:c r="P32" s="109">
        <s:f>$I$8*V32*W32/SUMPRODUCT($W$25:$W$55,$V$25:$V$55)</s:f>
        <s:v>32184.591901247051</s:v>
      </s:c>
      <s:c r="Q32" s="110">
        <s:f>$I$9*V32*W32/SUMPRODUCT($W$25:$W$55,$V$25:$V$55)</s:f>
        <s:v>8.379222051873743</s:v>
      </s:c>
      <s:c r="R32" s="110">
        <s:f>IF($I$12="","",Q32/$I$12)</s:f>
        <s:v>4.1896110259368715</s:v>
      </s:c>
      <s:c r="S32" s="109">
        <s:f>IF(W32&lt;&gt;"",IF(D32&lt;&gt;"",D32,($I$8-SUM($S$25:S31))*V32*W32/SUMPRODUCT($W32:$W$55,$V32:$V$55)),"")</s:f>
        <s:v>17966</s:v>
      </s:c>
      <s:c r="T32" s="110">
        <s:f>IF(W32&lt;&gt;"",IF(E32&lt;&gt;"",E32,($I$9-SUM($T$25:T31))*V32*W32/SUMPRODUCT($W32:$W$55,$V32:$V$55)),"")</s:f>
        <s:v>4</s:v>
      </s:c>
      <s:c r="U32" s="110">
        <s:f>IF(W32&lt;&gt;"",IF($I$12&lt;&gt;"",IF(G32&lt;&gt;"",G32,($I$9/$I$12-SUM($U$25:U31))*V32*W32/SUMPRODUCT($W32:$W$55,$V32:$V$55)),""),"")</s:f>
        <s:v>2</s:v>
      </s:c>
      <s:c r="V32" s="111">
        <s:v>0.9</s:v>
      </s:c>
      <s:c r="W32" s="111">
        <s:v>0.9</s:v>
      </s:c>
      <s:c r="X32" s="112"/>
      <s:c r="Y32" s="112"/>
      <s:c r="Z32" s="2"/>
      <s:c r="AA32" s="2"/>
      <s:c r="AB32" s="2"/>
      <s:c r="AC32" s="2"/>
      <s:c r="AD32" s="2"/>
    </s:row>
    <s:row r="33">
      <s:c r="A33" s="101">
        <s:v>9</s:v>
      </s:c>
      <s:c r="B33" s="102">
        <s:v>45699</s:v>
      </s:c>
      <s:c r="C33" s="103" t="s">
        <s:v>51</s:v>
      </s:c>
      <s:c r="D33" s="104">
        <s:v>12675</s:v>
      </s:c>
      <s:c r="E33" s="106">
        <s:v>3</s:v>
      </s:c>
      <s:c r="F33" s="106">
        <s:f>IF(AND(E33&lt;&gt;"",E33&lt;&gt;0),D33/E33,"")</s:f>
        <s:v>4225</s:v>
      </s:c>
      <s:c r="G33" s="106">
        <s:v>2</s:v>
      </s:c>
      <s:c r="H33" s="106">
        <s:f>IF(AND(G33&lt;&gt;"",G33&lt;&gt;0),D33/G33,"")</s:f>
        <s:v>6337.5</s:v>
      </s:c>
      <s:c r="I33" s="106">
        <s:v>10</s:v>
      </s:c>
      <s:c r="J33" s="104">
        <s:f>IF(AND(G33&lt;&gt;"",G33&lt;&gt;0),E33/G33,"")</s:f>
        <s:v>1.5</s:v>
      </s:c>
      <s:c r="K33" s="106"/>
      <s:c r="L33" s="106"/>
      <s:c r="M33" s="106"/>
      <s:c r="N33" s="107">
        <s:f>IF(AND(I33&lt;&gt;"",I33&lt;&gt;0),G33/I33,"")</s:f>
        <s:v>0.2</s:v>
      </s:c>
      <s:c r="O33" s="108">
        <s:f>D33/P33</s:f>
        <s:v>0.39382198907138805</s:v>
      </s:c>
      <s:c r="P33" s="109">
        <s:f>$I$8*V33*W33/SUMPRODUCT($W$25:$W$55,$V$25:$V$55)</s:f>
        <s:v>32184.591901247051</s:v>
      </s:c>
      <s:c r="Q33" s="110">
        <s:f>$I$9*V33*W33/SUMPRODUCT($W$25:$W$55,$V$25:$V$55)</s:f>
        <s:v>8.379222051873743</s:v>
      </s:c>
      <s:c r="R33" s="110">
        <s:f>IF($I$12="","",Q33/$I$12)</s:f>
        <s:v>4.1896110259368715</s:v>
      </s:c>
      <s:c r="S33" s="109">
        <s:f>IF(W33&lt;&gt;"",IF(D33&lt;&gt;"",D33,($I$8-SUM($S$25:S32))*V33*W33/SUMPRODUCT($W33:$W$55,$V33:$V$55)),"")</s:f>
        <s:v>12675</s:v>
      </s:c>
      <s:c r="T33" s="110">
        <s:f>IF(W33&lt;&gt;"",IF(E33&lt;&gt;"",E33,($I$9-SUM($T$25:T32))*V33*W33/SUMPRODUCT($W33:$W$55,$V33:$V$55)),"")</s:f>
        <s:v>3</s:v>
      </s:c>
      <s:c r="U33" s="110">
        <s:f>IF(W33&lt;&gt;"",IF($I$12&lt;&gt;"",IF(G33&lt;&gt;"",G33,($I$9/$I$12-SUM($U$25:U32))*V33*W33/SUMPRODUCT($W33:$W$55,$V33:$V$55)),""),"")</s:f>
        <s:v>2</s:v>
      </s:c>
      <s:c r="V33" s="111">
        <s:v>0.9</s:v>
      </s:c>
      <s:c r="W33" s="111">
        <s:v>0.9</s:v>
      </s:c>
      <s:c r="X33" s="112"/>
      <s:c r="Y33" s="112"/>
      <s:c r="Z33" s="2"/>
      <s:c r="AA33" s="2"/>
      <s:c r="AB33" s="2"/>
      <s:c r="AC33" s="2"/>
      <s:c r="AD33" s="2"/>
    </s:row>
    <s:row r="34" spans="1:255" s="115" customFormat="1">
      <s:c r="A34" s="90">
        <s:v>10</s:v>
      </s:c>
      <s:c r="B34" s="91">
        <s:v>45700</s:v>
      </s:c>
      <s:c r="C34" s="92" t="s">
        <s:v>52</s:v>
      </s:c>
      <s:c r="D34" s="116">
        <s:v>21858</s:v>
      </s:c>
      <s:c r="E34" s="125">
        <s:v>5</s:v>
      </s:c>
      <s:c r="F34" s="117">
        <s:f>IF(AND(E34&lt;&gt;"",E34&lt;&gt;0),D34/E34,"")</s:f>
        <s:v>4371.6000000000004</s:v>
      </s:c>
      <s:c r="G34" s="117">
        <s:v>3</s:v>
      </s:c>
      <s:c r="H34" s="117">
        <s:f>IF(AND(G34&lt;&gt;"",G34&lt;&gt;0),D34/G34,"")</s:f>
        <s:v>7286</s:v>
      </s:c>
      <s:c r="I34" s="117">
        <s:v>8</s:v>
      </s:c>
      <s:c r="J34" s="116">
        <s:f>IF(AND(G34&lt;&gt;"",G34&lt;&gt;0),E34/G34,"")</s:f>
        <s:v>1.6666666666666667</s:v>
      </s:c>
      <s:c r="K34" s="117"/>
      <s:c r="L34" s="117"/>
      <s:c r="M34" s="117"/>
      <s:c r="N34" s="118">
        <s:f>IF(AND(I34&lt;&gt;"",I34&lt;&gt;0),G34/I34,"")</s:f>
        <s:v>0.375</s:v>
      </s:c>
      <s:c r="O34" s="119">
        <s:f>D34/P34</s:f>
        <s:v>0.67914485499979482</s:v>
      </s:c>
      <s:c r="P34" s="120">
        <s:f>$I$8*V34*W34/SUMPRODUCT($W$25:$W$55,$V$25:$V$55)</s:f>
        <s:v>32184.591901247051</s:v>
      </s:c>
      <s:c r="Q34" s="121">
        <s:f>$I$9*V34*W34/SUMPRODUCT($W$25:$W$55,$V$25:$V$55)</s:f>
        <s:v>8.379222051873743</s:v>
      </s:c>
      <s:c r="R34" s="121">
        <s:f>IF($I$12="","",Q34/$I$12)</s:f>
        <s:v>4.1896110259368715</s:v>
      </s:c>
      <s:c r="S34" s="120">
        <s:f>IF(W34&lt;&gt;"",IF(D34&lt;&gt;"",D34,($I$8-SUM($S$25:S33))*V34*W34/SUMPRODUCT($W34:$W$55,$V34:$V$55)),"")</s:f>
        <s:v>21858</s:v>
      </s:c>
      <s:c r="T34" s="121">
        <s:f>IF(W34&lt;&gt;"",IF(E33&lt;&gt;"",E33,($I$9-SUM($T$25:T33))*V34*W34/SUMPRODUCT($W34:$W$55,$V34:$V$55)),"")</s:f>
        <s:v>3</s:v>
      </s:c>
      <s:c r="U34" s="121">
        <s:f>IF(W34&lt;&gt;"",IF($I$12&lt;&gt;"",IF(G34&lt;&gt;"",G34,($I$9/$I$12-SUM($U$25:U33))*V34*W34/SUMPRODUCT($W34:$W$55,$V34:$V$55)),""),"")</s:f>
        <s:v>3</s:v>
      </s:c>
      <s:c r="V34" s="122">
        <s:v>0.9</s:v>
      </s:c>
      <s:c r="W34" s="122">
        <s:v>0.9</s:v>
      </s:c>
      <s:c r="X34" s="123"/>
      <s:c r="Y34" s="123"/>
      <s:c r="Z34" s="124"/>
      <s:c r="AA34" s="124"/>
      <s:c r="AB34" s="124"/>
      <s:c r="AC34" s="124"/>
      <s:c r="AD34" s="124"/>
      <s:c r="AE34" s="124"/>
      <s:c r="AF34" s="124"/>
      <s:c r="AG34" s="124"/>
      <s:c r="AH34" s="124"/>
      <s:c r="AI34" s="124"/>
      <s:c r="AJ34" s="124"/>
      <s:c r="AK34" s="124"/>
      <s:c r="AL34" s="124"/>
      <s:c r="AM34" s="124"/>
      <s:c r="AN34" s="124"/>
      <s:c r="AO34" s="124"/>
      <s:c r="AP34" s="124"/>
      <s:c r="AQ34" s="124"/>
      <s:c r="AR34" s="124"/>
      <s:c r="AS34" s="124"/>
      <s:c r="AT34" s="124"/>
      <s:c r="AU34" s="124"/>
      <s:c r="AV34" s="124"/>
      <s:c r="AW34" s="124"/>
      <s:c r="AX34" s="124"/>
      <s:c r="AY34" s="124"/>
      <s:c r="AZ34" s="124"/>
      <s:c r="BA34" s="124"/>
      <s:c r="BB34" s="124"/>
      <s:c r="BC34" s="124"/>
      <s:c r="BD34" s="124"/>
      <s:c r="BE34" s="124"/>
      <s:c r="BF34" s="124"/>
      <s:c r="BG34" s="124"/>
      <s:c r="BH34" s="124"/>
      <s:c r="BI34" s="124"/>
      <s:c r="BJ34" s="124"/>
      <s:c r="BK34" s="124"/>
      <s:c r="BL34" s="124"/>
      <s:c r="BM34" s="124"/>
      <s:c r="BN34" s="124"/>
      <s:c r="BO34" s="124"/>
      <s:c r="BP34" s="124"/>
      <s:c r="BQ34" s="124"/>
      <s:c r="BR34" s="124"/>
      <s:c r="BS34" s="124"/>
      <s:c r="BT34" s="124"/>
      <s:c r="BU34" s="124"/>
      <s:c r="BV34" s="124"/>
      <s:c r="BW34" s="124"/>
      <s:c r="BX34" s="124"/>
      <s:c r="BY34" s="124"/>
      <s:c r="BZ34" s="124"/>
      <s:c r="CA34" s="124"/>
      <s:c r="CB34" s="124"/>
      <s:c r="CC34" s="124"/>
      <s:c r="CD34" s="124"/>
      <s:c r="CE34" s="124"/>
      <s:c r="CF34" s="124"/>
      <s:c r="CG34" s="124"/>
      <s:c r="CH34" s="124"/>
      <s:c r="CI34" s="124"/>
      <s:c r="CJ34" s="124"/>
      <s:c r="CK34" s="124"/>
      <s:c r="CL34" s="124"/>
      <s:c r="CM34" s="124"/>
      <s:c r="CN34" s="124"/>
      <s:c r="CO34" s="124"/>
      <s:c r="CP34" s="124"/>
      <s:c r="CQ34" s="124"/>
      <s:c r="CR34" s="124"/>
      <s:c r="CS34" s="124"/>
      <s:c r="CT34" s="124"/>
      <s:c r="CU34" s="124"/>
      <s:c r="CV34" s="124"/>
      <s:c r="CW34" s="124"/>
      <s:c r="CX34" s="124"/>
      <s:c r="CY34" s="124"/>
      <s:c r="CZ34" s="124"/>
      <s:c r="DA34" s="124"/>
      <s:c r="DB34" s="124"/>
      <s:c r="DC34" s="124"/>
      <s:c r="DD34" s="124"/>
      <s:c r="DE34" s="124"/>
      <s:c r="DF34" s="124"/>
      <s:c r="DG34" s="124"/>
      <s:c r="DH34" s="124"/>
      <s:c r="DI34" s="124"/>
      <s:c r="DJ34" s="124"/>
      <s:c r="DK34" s="124"/>
      <s:c r="DL34" s="124"/>
      <s:c r="DM34" s="124"/>
      <s:c r="DN34" s="124"/>
      <s:c r="DO34" s="124"/>
      <s:c r="DP34" s="124"/>
      <s:c r="DQ34" s="124"/>
      <s:c r="DR34" s="124"/>
      <s:c r="DS34" s="124"/>
      <s:c r="DT34" s="124"/>
      <s:c r="DU34" s="124"/>
      <s:c r="DV34" s="124"/>
      <s:c r="DW34" s="124"/>
      <s:c r="DX34" s="124"/>
      <s:c r="DY34" s="124"/>
      <s:c r="DZ34" s="124"/>
      <s:c r="EA34" s="124"/>
      <s:c r="EB34" s="124"/>
      <s:c r="EC34" s="124"/>
      <s:c r="ED34" s="124"/>
      <s:c r="EE34" s="124"/>
      <s:c r="EF34" s="124"/>
      <s:c r="EG34" s="124"/>
      <s:c r="EH34" s="124"/>
      <s:c r="EI34" s="124"/>
      <s:c r="EJ34" s="124"/>
      <s:c r="EK34" s="124"/>
      <s:c r="EL34" s="124"/>
      <s:c r="EM34" s="124"/>
      <s:c r="EN34" s="124"/>
      <s:c r="EO34" s="124"/>
      <s:c r="EP34" s="124"/>
      <s:c r="EQ34" s="124"/>
      <s:c r="ER34" s="124"/>
      <s:c r="ES34" s="124"/>
      <s:c r="ET34" s="124"/>
      <s:c r="EU34" s="124"/>
      <s:c r="EV34" s="124"/>
      <s:c r="EW34" s="124"/>
      <s:c r="EX34" s="124"/>
      <s:c r="EY34" s="124"/>
      <s:c r="EZ34" s="124"/>
      <s:c r="FA34" s="124"/>
      <s:c r="FB34" s="124"/>
      <s:c r="FC34" s="124"/>
      <s:c r="FD34" s="124"/>
      <s:c r="FE34" s="124"/>
      <s:c r="FF34" s="124"/>
      <s:c r="FG34" s="124"/>
      <s:c r="FH34" s="124"/>
      <s:c r="FI34" s="124"/>
      <s:c r="FJ34" s="124"/>
      <s:c r="FK34" s="124"/>
      <s:c r="FL34" s="124"/>
      <s:c r="FM34" s="124"/>
      <s:c r="FN34" s="124"/>
      <s:c r="FO34" s="124"/>
      <s:c r="FP34" s="124"/>
      <s:c r="FQ34" s="124"/>
      <s:c r="FR34" s="124"/>
      <s:c r="FS34" s="124"/>
      <s:c r="FT34" s="124"/>
      <s:c r="FU34" s="124"/>
      <s:c r="FV34" s="124"/>
      <s:c r="FW34" s="124"/>
      <s:c r="FX34" s="124"/>
      <s:c r="FY34" s="124"/>
      <s:c r="FZ34" s="124"/>
      <s:c r="GA34" s="124"/>
      <s:c r="GB34" s="124"/>
      <s:c r="GC34" s="124"/>
      <s:c r="GD34" s="124"/>
      <s:c r="GE34" s="124"/>
      <s:c r="GF34" s="124"/>
      <s:c r="GG34" s="124"/>
      <s:c r="GH34" s="124"/>
      <s:c r="GI34" s="124"/>
      <s:c r="GJ34" s="124"/>
      <s:c r="GK34" s="124"/>
      <s:c r="GL34" s="124"/>
      <s:c r="GM34" s="124"/>
      <s:c r="GN34" s="124"/>
      <s:c r="GO34" s="124"/>
      <s:c r="GP34" s="124"/>
      <s:c r="GQ34" s="124"/>
      <s:c r="GR34" s="124"/>
      <s:c r="GS34" s="124"/>
      <s:c r="GT34" s="124"/>
      <s:c r="GU34" s="124"/>
      <s:c r="GV34" s="124"/>
      <s:c r="GW34" s="124"/>
      <s:c r="GX34" s="124"/>
      <s:c r="GY34" s="124"/>
      <s:c r="GZ34" s="124"/>
      <s:c r="HA34" s="124"/>
      <s:c r="HB34" s="124"/>
      <s:c r="HC34" s="124"/>
      <s:c r="HD34" s="124"/>
      <s:c r="HE34" s="124"/>
      <s:c r="HF34" s="124"/>
      <s:c r="HG34" s="124"/>
      <s:c r="HH34" s="124"/>
      <s:c r="HI34" s="124"/>
      <s:c r="HJ34" s="124"/>
      <s:c r="HK34" s="124"/>
      <s:c r="HL34" s="124"/>
      <s:c r="HM34" s="124"/>
      <s:c r="HN34" s="124"/>
      <s:c r="HO34" s="124"/>
      <s:c r="HP34" s="124"/>
      <s:c r="HQ34" s="124"/>
      <s:c r="HR34" s="124"/>
      <s:c r="HS34" s="124"/>
      <s:c r="HT34" s="124"/>
      <s:c r="HU34" s="124"/>
      <s:c r="HV34" s="124"/>
      <s:c r="HW34" s="124"/>
      <s:c r="HX34" s="124"/>
      <s:c r="HY34" s="124"/>
      <s:c r="HZ34" s="124"/>
      <s:c r="IA34" s="124"/>
      <s:c r="IB34" s="124"/>
      <s:c r="IC34" s="124"/>
      <s:c r="ID34" s="124"/>
      <s:c r="IE34" s="124"/>
      <s:c r="IF34" s="124"/>
      <s:c r="IG34" s="124"/>
      <s:c r="IH34" s="124"/>
      <s:c r="II34" s="124"/>
      <s:c r="IJ34" s="124"/>
      <s:c r="IK34" s="124"/>
      <s:c r="IL34" s="124"/>
      <s:c r="IM34" s="124"/>
      <s:c r="IN34" s="124"/>
      <s:c r="IO34" s="124"/>
      <s:c r="IP34" s="124"/>
      <s:c r="IQ34" s="124"/>
      <s:c r="IR34" s="124"/>
      <s:c r="IS34" s="124"/>
      <s:c r="IT34" s="124"/>
      <s:c r="IU34" s="124"/>
    </s:row>
    <s:row r="35" spans="1:255" s="115" customFormat="1" ht="15.25" customHeight="1">
      <s:c r="A35" s="90">
        <s:v>11</s:v>
      </s:c>
      <s:c r="B35" s="91">
        <s:v>45701</s:v>
      </s:c>
      <s:c r="C35" s="92" t="s">
        <s:v>53</s:v>
      </s:c>
      <s:c r="D35" s="116">
        <s:v>71996</s:v>
      </s:c>
      <s:c r="E35" s="117">
        <s:v>16</s:v>
      </s:c>
      <s:c r="F35" s="117">
        <s:f>IF(AND(E35&lt;&gt;"",E35&lt;&gt;0),D35/E35,"")</s:f>
        <s:v>4499.75</s:v>
      </s:c>
      <s:c r="G35" s="117">
        <s:v>7</s:v>
      </s:c>
      <s:c r="H35" s="117">
        <s:f>IF(AND(G35&lt;&gt;"",G35&lt;&gt;0),D35/G35,"")</s:f>
        <s:v>10285.142857142857</s:v>
      </s:c>
      <s:c r="I35" s="117">
        <s:v>18</s:v>
      </s:c>
      <s:c r="J35" s="116">
        <s:f>IF(AND(G35&lt;&gt;"",G35&lt;&gt;0),E35/G35,"")</s:f>
        <s:v>2.2857142857142856</s:v>
      </s:c>
      <s:c r="K35" s="117"/>
      <s:c r="L35" s="117"/>
      <s:c r="M35" s="117"/>
      <s:c r="N35" s="118">
        <s:f>IF(AND(I35&lt;&gt;"",I35&lt;&gt;0),G35/I35,"")</s:f>
        <s:v>0.3888888888888889</s:v>
      </s:c>
      <s:c r="O35" s="119">
        <s:f>D35/P35</s:f>
        <s:v>1.8119465419643992</s:v>
      </s:c>
      <s:c r="P35" s="120">
        <s:f>$I$8*V35*W35/SUMPRODUCT($W$25:$W$55,$V$25:$V$55)</s:f>
        <s:v>39734.064075613642</s:v>
      </s:c>
      <s:c r="Q35" s="121">
        <s:f>$I$9*V35*W35/SUMPRODUCT($W$25:$W$55,$V$25:$V$55)</s:f>
        <s:v>10.344718582560178</s:v>
      </s:c>
      <s:c r="R35" s="121">
        <s:f>IF($I$12="","",Q35/$I$12)</s:f>
        <s:v>5.1723592912800891</s:v>
      </s:c>
      <s:c r="S35" s="120">
        <s:f>IF(W35&lt;&gt;"",IF(D35&lt;&gt;"",D35,($I$8-SUM($S$25:S34))*V35*W35/SUMPRODUCT($W35:$W$55,$V35:$V$55)),"")</s:f>
        <s:v>71996</s:v>
      </s:c>
      <s:c r="T35" s="121">
        <s:f>IF(W35&lt;&gt;"",IF(E35&lt;&gt;"",E35,($I$9-SUM($T$25:T34))*V35*W35/SUMPRODUCT($W35:$W$55,$V35:$V$55)),"")</s:f>
        <s:v>16</s:v>
      </s:c>
      <s:c r="U35" s="121">
        <s:f>IF(W35&lt;&gt;"",IF($I$12&lt;&gt;"",IF(G35&lt;&gt;"",G35,($I$9/$I$12-SUM($U$25:U34))*V35*W35/SUMPRODUCT($W35:$W$55,$V35:$V$55)),""),"")</s:f>
        <s:v>7</s:v>
      </s:c>
      <s:c r="V35" s="122">
        <s:v>1</s:v>
      </s:c>
      <s:c r="W35" s="122">
        <s:v>1</s:v>
      </s:c>
      <s:c r="X35" s="123"/>
      <s:c r="Y35" s="123"/>
      <s:c r="Z35" s="124"/>
      <s:c r="AA35" s="124"/>
      <s:c r="AB35" s="124"/>
      <s:c r="AC35" s="124"/>
      <s:c r="AD35" s="124"/>
      <s:c r="AE35" s="124"/>
      <s:c r="AF35" s="124"/>
      <s:c r="AG35" s="124"/>
      <s:c r="AH35" s="124"/>
      <s:c r="AI35" s="124"/>
      <s:c r="AJ35" s="124"/>
      <s:c r="AK35" s="124"/>
      <s:c r="AL35" s="124"/>
      <s:c r="AM35" s="124"/>
      <s:c r="AN35" s="124"/>
      <s:c r="AO35" s="124"/>
      <s:c r="AP35" s="124"/>
      <s:c r="AQ35" s="124"/>
      <s:c r="AR35" s="124"/>
      <s:c r="AS35" s="124"/>
      <s:c r="AT35" s="124"/>
      <s:c r="AU35" s="124"/>
      <s:c r="AV35" s="124"/>
      <s:c r="AW35" s="124"/>
      <s:c r="AX35" s="124"/>
      <s:c r="AY35" s="124"/>
      <s:c r="AZ35" s="124"/>
      <s:c r="BA35" s="124"/>
      <s:c r="BB35" s="124"/>
      <s:c r="BC35" s="124"/>
      <s:c r="BD35" s="124"/>
      <s:c r="BE35" s="124"/>
      <s:c r="BF35" s="124"/>
      <s:c r="BG35" s="124"/>
      <s:c r="BH35" s="124"/>
      <s:c r="BI35" s="124"/>
      <s:c r="BJ35" s="124"/>
      <s:c r="BK35" s="124"/>
      <s:c r="BL35" s="124"/>
      <s:c r="BM35" s="124"/>
      <s:c r="BN35" s="124"/>
      <s:c r="BO35" s="124"/>
      <s:c r="BP35" s="124"/>
      <s:c r="BQ35" s="124"/>
      <s:c r="BR35" s="124"/>
      <s:c r="BS35" s="124"/>
      <s:c r="BT35" s="124"/>
      <s:c r="BU35" s="124"/>
      <s:c r="BV35" s="124"/>
      <s:c r="BW35" s="124"/>
      <s:c r="BX35" s="124"/>
      <s:c r="BY35" s="124"/>
      <s:c r="BZ35" s="124"/>
      <s:c r="CA35" s="124"/>
      <s:c r="CB35" s="124"/>
      <s:c r="CC35" s="124"/>
      <s:c r="CD35" s="124"/>
      <s:c r="CE35" s="124"/>
      <s:c r="CF35" s="124"/>
      <s:c r="CG35" s="124"/>
      <s:c r="CH35" s="124"/>
      <s:c r="CI35" s="124"/>
      <s:c r="CJ35" s="124"/>
      <s:c r="CK35" s="124"/>
      <s:c r="CL35" s="124"/>
      <s:c r="CM35" s="124"/>
      <s:c r="CN35" s="124"/>
      <s:c r="CO35" s="124"/>
      <s:c r="CP35" s="124"/>
      <s:c r="CQ35" s="124"/>
      <s:c r="CR35" s="124"/>
      <s:c r="CS35" s="124"/>
      <s:c r="CT35" s="124"/>
      <s:c r="CU35" s="124"/>
      <s:c r="CV35" s="124"/>
      <s:c r="CW35" s="124"/>
      <s:c r="CX35" s="124"/>
      <s:c r="CY35" s="124"/>
      <s:c r="CZ35" s="124"/>
      <s:c r="DA35" s="124"/>
      <s:c r="DB35" s="124"/>
      <s:c r="DC35" s="124"/>
      <s:c r="DD35" s="124"/>
      <s:c r="DE35" s="124"/>
      <s:c r="DF35" s="124"/>
      <s:c r="DG35" s="124"/>
      <s:c r="DH35" s="124"/>
      <s:c r="DI35" s="124"/>
      <s:c r="DJ35" s="124"/>
      <s:c r="DK35" s="124"/>
      <s:c r="DL35" s="124"/>
      <s:c r="DM35" s="124"/>
      <s:c r="DN35" s="124"/>
      <s:c r="DO35" s="124"/>
      <s:c r="DP35" s="124"/>
      <s:c r="DQ35" s="124"/>
      <s:c r="DR35" s="124"/>
      <s:c r="DS35" s="124"/>
      <s:c r="DT35" s="124"/>
      <s:c r="DU35" s="124"/>
      <s:c r="DV35" s="124"/>
      <s:c r="DW35" s="124"/>
      <s:c r="DX35" s="124"/>
      <s:c r="DY35" s="124"/>
      <s:c r="DZ35" s="124"/>
      <s:c r="EA35" s="124"/>
      <s:c r="EB35" s="124"/>
      <s:c r="EC35" s="124"/>
      <s:c r="ED35" s="124"/>
      <s:c r="EE35" s="124"/>
      <s:c r="EF35" s="124"/>
      <s:c r="EG35" s="124"/>
      <s:c r="EH35" s="124"/>
      <s:c r="EI35" s="124"/>
      <s:c r="EJ35" s="124"/>
      <s:c r="EK35" s="124"/>
      <s:c r="EL35" s="124"/>
      <s:c r="EM35" s="124"/>
      <s:c r="EN35" s="124"/>
      <s:c r="EO35" s="124"/>
      <s:c r="EP35" s="124"/>
      <s:c r="EQ35" s="124"/>
      <s:c r="ER35" s="124"/>
      <s:c r="ES35" s="124"/>
      <s:c r="ET35" s="124"/>
      <s:c r="EU35" s="124"/>
      <s:c r="EV35" s="124"/>
      <s:c r="EW35" s="124"/>
      <s:c r="EX35" s="124"/>
      <s:c r="EY35" s="124"/>
      <s:c r="EZ35" s="124"/>
      <s:c r="FA35" s="124"/>
      <s:c r="FB35" s="124"/>
      <s:c r="FC35" s="124"/>
      <s:c r="FD35" s="124"/>
      <s:c r="FE35" s="124"/>
      <s:c r="FF35" s="124"/>
      <s:c r="FG35" s="124"/>
      <s:c r="FH35" s="124"/>
      <s:c r="FI35" s="124"/>
      <s:c r="FJ35" s="124"/>
      <s:c r="FK35" s="124"/>
      <s:c r="FL35" s="124"/>
      <s:c r="FM35" s="124"/>
      <s:c r="FN35" s="124"/>
      <s:c r="FO35" s="124"/>
      <s:c r="FP35" s="124"/>
      <s:c r="FQ35" s="124"/>
      <s:c r="FR35" s="124"/>
      <s:c r="FS35" s="124"/>
      <s:c r="FT35" s="124"/>
      <s:c r="FU35" s="124"/>
      <s:c r="FV35" s="124"/>
      <s:c r="FW35" s="124"/>
      <s:c r="FX35" s="124"/>
      <s:c r="FY35" s="124"/>
      <s:c r="FZ35" s="124"/>
      <s:c r="GA35" s="124"/>
      <s:c r="GB35" s="124"/>
      <s:c r="GC35" s="124"/>
      <s:c r="GD35" s="124"/>
      <s:c r="GE35" s="124"/>
      <s:c r="GF35" s="124"/>
      <s:c r="GG35" s="124"/>
      <s:c r="GH35" s="124"/>
      <s:c r="GI35" s="124"/>
      <s:c r="GJ35" s="124"/>
      <s:c r="GK35" s="124"/>
      <s:c r="GL35" s="124"/>
      <s:c r="GM35" s="124"/>
      <s:c r="GN35" s="124"/>
      <s:c r="GO35" s="124"/>
      <s:c r="GP35" s="124"/>
      <s:c r="GQ35" s="124"/>
      <s:c r="GR35" s="124"/>
      <s:c r="GS35" s="124"/>
      <s:c r="GT35" s="124"/>
      <s:c r="GU35" s="124"/>
      <s:c r="GV35" s="124"/>
      <s:c r="GW35" s="124"/>
      <s:c r="GX35" s="124"/>
      <s:c r="GY35" s="124"/>
      <s:c r="GZ35" s="124"/>
      <s:c r="HA35" s="124"/>
      <s:c r="HB35" s="124"/>
      <s:c r="HC35" s="124"/>
      <s:c r="HD35" s="124"/>
      <s:c r="HE35" s="124"/>
      <s:c r="HF35" s="124"/>
      <s:c r="HG35" s="124"/>
      <s:c r="HH35" s="124"/>
      <s:c r="HI35" s="124"/>
      <s:c r="HJ35" s="124"/>
      <s:c r="HK35" s="124"/>
      <s:c r="HL35" s="124"/>
      <s:c r="HM35" s="124"/>
      <s:c r="HN35" s="124"/>
      <s:c r="HO35" s="124"/>
      <s:c r="HP35" s="124"/>
      <s:c r="HQ35" s="124"/>
      <s:c r="HR35" s="124"/>
      <s:c r="HS35" s="124"/>
      <s:c r="HT35" s="124"/>
      <s:c r="HU35" s="124"/>
      <s:c r="HV35" s="124"/>
      <s:c r="HW35" s="124"/>
      <s:c r="HX35" s="124"/>
      <s:c r="HY35" s="124"/>
      <s:c r="HZ35" s="124"/>
      <s:c r="IA35" s="124"/>
      <s:c r="IB35" s="124"/>
      <s:c r="IC35" s="124"/>
      <s:c r="ID35" s="124"/>
      <s:c r="IE35" s="124"/>
      <s:c r="IF35" s="124"/>
      <s:c r="IG35" s="124"/>
      <s:c r="IH35" s="124"/>
      <s:c r="II35" s="124"/>
      <s:c r="IJ35" s="124"/>
      <s:c r="IK35" s="124"/>
      <s:c r="IL35" s="124"/>
      <s:c r="IM35" s="124"/>
      <s:c r="IN35" s="124"/>
      <s:c r="IO35" s="124"/>
      <s:c r="IP35" s="124"/>
      <s:c r="IQ35" s="124"/>
      <s:c r="IR35" s="124"/>
      <s:c r="IS35" s="124"/>
      <s:c r="IT35" s="124"/>
      <s:c r="IU35" s="124"/>
    </s:row>
    <s:row r="36" spans="1:255" s="115" customFormat="1">
      <s:c r="A36" s="90">
        <s:v>12</s:v>
      </s:c>
      <s:c r="B36" s="91">
        <s:v>45702</s:v>
      </s:c>
      <s:c r="C36" s="92" t="s">
        <s:v>54</s:v>
      </s:c>
      <s:c r="D36" s="116">
        <s:v>56474</s:v>
      </s:c>
      <s:c r="E36" s="117">
        <s:v>15</s:v>
      </s:c>
      <s:c r="F36" s="117">
        <s:f>IF(AND(E36&lt;&gt;"",E36&lt;&gt;0),D36/E36,"")</s:f>
        <s:v>3764.9333333333334</s:v>
      </s:c>
      <s:c r="G36" s="117">
        <s:v>7</s:v>
      </s:c>
      <s:c r="H36" s="117">
        <s:f>IF(AND(G36&lt;&gt;"",G36&lt;&gt;0),D36/G36,"")</s:f>
        <s:v>8067.7142857142853</s:v>
      </s:c>
      <s:c r="I36" s="117">
        <s:v>20</s:v>
      </s:c>
      <s:c r="J36" s="116">
        <s:f>IF(AND(G36&lt;&gt;"",G36&lt;&gt;0),E36/G36,"")</s:f>
        <s:v>2.1428571428571428</s:v>
      </s:c>
      <s:c r="K36" s="117"/>
      <s:c r="L36" s="117"/>
      <s:c r="M36" s="117"/>
      <s:c r="N36" s="118">
        <s:f>IF(AND(I36&lt;&gt;"",I36&lt;&gt;0),G36/I36,"")</s:f>
        <s:v>0.35</s:v>
      </s:c>
      <s:c r="O36" s="119">
        <s:f>D36/P36</s:f>
        <s:v>1.4212993640049096</s:v>
      </s:c>
      <s:c r="P36" s="120">
        <s:f>$I$8*V36*W36/SUMPRODUCT($W$25:$W$55,$V$25:$V$55)</s:f>
        <s:v>39734.064075613642</s:v>
      </s:c>
      <s:c r="Q36" s="121">
        <s:f>$I$9*V36*W36/SUMPRODUCT($W$25:$W$55,$V$25:$V$55)</s:f>
        <s:v>10.344718582560178</s:v>
      </s:c>
      <s:c r="R36" s="121">
        <s:f>IF($I$12="","",Q36/$I$12)</s:f>
        <s:v>5.1723592912800891</s:v>
      </s:c>
      <s:c r="S36" s="120">
        <s:f>IF(W36&lt;&gt;"",IF(D36&lt;&gt;"",D36,($I$8-SUM($S$25:S35))*V36*W36/SUMPRODUCT($W36:$W$55,$V36:$V$55)),"")</s:f>
        <s:v>56474</s:v>
      </s:c>
      <s:c r="T36" s="121">
        <s:f>IF(W36&lt;&gt;"",IF(E36&lt;&gt;"",E36,($I$9-SUM($T$25:T35))*V36*W36/SUMPRODUCT($W36:$W$55,$V36:$V$55)),"")</s:f>
        <s:v>15</s:v>
      </s:c>
      <s:c r="U36" s="121">
        <s:f>IF(W36&lt;&gt;"",IF($I$12&lt;&gt;"",IF(G36&lt;&gt;"",G36,($I$9/$I$12-SUM($U$25:U35))*V36*W36/SUMPRODUCT($W36:$W$55,$V36:$V$55)),""),"")</s:f>
        <s:v>7</s:v>
      </s:c>
      <s:c r="V36" s="122">
        <s:v>1</s:v>
      </s:c>
      <s:c r="W36" s="122">
        <s:v>1</s:v>
      </s:c>
      <s:c r="X36" s="123"/>
      <s:c r="Y36" s="123"/>
      <s:c r="Z36" s="124"/>
      <s:c r="AA36" s="124"/>
      <s:c r="AB36" s="124"/>
      <s:c r="AC36" s="124"/>
      <s:c r="AD36" s="124"/>
      <s:c r="AE36" s="124"/>
      <s:c r="AF36" s="124"/>
      <s:c r="AG36" s="124"/>
      <s:c r="AH36" s="124"/>
      <s:c r="AI36" s="124"/>
      <s:c r="AJ36" s="124"/>
      <s:c r="AK36" s="124"/>
      <s:c r="AL36" s="124"/>
      <s:c r="AM36" s="124"/>
      <s:c r="AN36" s="124"/>
      <s:c r="AO36" s="124"/>
      <s:c r="AP36" s="124"/>
      <s:c r="AQ36" s="124"/>
      <s:c r="AR36" s="124"/>
      <s:c r="AS36" s="124"/>
      <s:c r="AT36" s="124"/>
      <s:c r="AU36" s="124"/>
      <s:c r="AV36" s="124"/>
      <s:c r="AW36" s="124"/>
      <s:c r="AX36" s="124"/>
      <s:c r="AY36" s="124"/>
      <s:c r="AZ36" s="124"/>
      <s:c r="BA36" s="124"/>
      <s:c r="BB36" s="124"/>
      <s:c r="BC36" s="124"/>
      <s:c r="BD36" s="124"/>
      <s:c r="BE36" s="124"/>
      <s:c r="BF36" s="124"/>
      <s:c r="BG36" s="124"/>
      <s:c r="BH36" s="124"/>
      <s:c r="BI36" s="124"/>
      <s:c r="BJ36" s="124"/>
      <s:c r="BK36" s="124"/>
      <s:c r="BL36" s="124"/>
      <s:c r="BM36" s="124"/>
      <s:c r="BN36" s="124"/>
      <s:c r="BO36" s="124"/>
      <s:c r="BP36" s="124"/>
      <s:c r="BQ36" s="124"/>
      <s:c r="BR36" s="124"/>
      <s:c r="BS36" s="124"/>
      <s:c r="BT36" s="124"/>
      <s:c r="BU36" s="124"/>
      <s:c r="BV36" s="124"/>
      <s:c r="BW36" s="124"/>
      <s:c r="BX36" s="124"/>
      <s:c r="BY36" s="124"/>
      <s:c r="BZ36" s="124"/>
      <s:c r="CA36" s="124"/>
      <s:c r="CB36" s="124"/>
      <s:c r="CC36" s="124"/>
      <s:c r="CD36" s="124"/>
      <s:c r="CE36" s="124"/>
      <s:c r="CF36" s="124"/>
      <s:c r="CG36" s="124"/>
      <s:c r="CH36" s="124"/>
      <s:c r="CI36" s="124"/>
      <s:c r="CJ36" s="124"/>
      <s:c r="CK36" s="124"/>
      <s:c r="CL36" s="124"/>
      <s:c r="CM36" s="124"/>
      <s:c r="CN36" s="124"/>
      <s:c r="CO36" s="124"/>
      <s:c r="CP36" s="124"/>
      <s:c r="CQ36" s="124"/>
      <s:c r="CR36" s="124"/>
      <s:c r="CS36" s="124"/>
      <s:c r="CT36" s="124"/>
      <s:c r="CU36" s="124"/>
      <s:c r="CV36" s="124"/>
      <s:c r="CW36" s="124"/>
      <s:c r="CX36" s="124"/>
      <s:c r="CY36" s="124"/>
      <s:c r="CZ36" s="124"/>
      <s:c r="DA36" s="124"/>
      <s:c r="DB36" s="124"/>
      <s:c r="DC36" s="124"/>
      <s:c r="DD36" s="124"/>
      <s:c r="DE36" s="124"/>
      <s:c r="DF36" s="124"/>
      <s:c r="DG36" s="124"/>
      <s:c r="DH36" s="124"/>
      <s:c r="DI36" s="124"/>
      <s:c r="DJ36" s="124"/>
      <s:c r="DK36" s="124"/>
      <s:c r="DL36" s="124"/>
      <s:c r="DM36" s="124"/>
      <s:c r="DN36" s="124"/>
      <s:c r="DO36" s="124"/>
      <s:c r="DP36" s="124"/>
      <s:c r="DQ36" s="124"/>
      <s:c r="DR36" s="124"/>
      <s:c r="DS36" s="124"/>
      <s:c r="DT36" s="124"/>
      <s:c r="DU36" s="124"/>
      <s:c r="DV36" s="124"/>
      <s:c r="DW36" s="124"/>
      <s:c r="DX36" s="124"/>
      <s:c r="DY36" s="124"/>
      <s:c r="DZ36" s="124"/>
      <s:c r="EA36" s="124"/>
      <s:c r="EB36" s="124"/>
      <s:c r="EC36" s="124"/>
      <s:c r="ED36" s="124"/>
      <s:c r="EE36" s="124"/>
      <s:c r="EF36" s="124"/>
      <s:c r="EG36" s="124"/>
      <s:c r="EH36" s="124"/>
      <s:c r="EI36" s="124"/>
      <s:c r="EJ36" s="124"/>
      <s:c r="EK36" s="124"/>
      <s:c r="EL36" s="124"/>
      <s:c r="EM36" s="124"/>
      <s:c r="EN36" s="124"/>
      <s:c r="EO36" s="124"/>
      <s:c r="EP36" s="124"/>
      <s:c r="EQ36" s="124"/>
      <s:c r="ER36" s="124"/>
      <s:c r="ES36" s="124"/>
      <s:c r="ET36" s="124"/>
      <s:c r="EU36" s="124"/>
      <s:c r="EV36" s="124"/>
      <s:c r="EW36" s="124"/>
      <s:c r="EX36" s="124"/>
      <s:c r="EY36" s="124"/>
      <s:c r="EZ36" s="124"/>
      <s:c r="FA36" s="124"/>
      <s:c r="FB36" s="124"/>
      <s:c r="FC36" s="124"/>
      <s:c r="FD36" s="124"/>
      <s:c r="FE36" s="124"/>
      <s:c r="FF36" s="124"/>
      <s:c r="FG36" s="124"/>
      <s:c r="FH36" s="124"/>
      <s:c r="FI36" s="124"/>
      <s:c r="FJ36" s="124"/>
      <s:c r="FK36" s="124"/>
      <s:c r="FL36" s="124"/>
      <s:c r="FM36" s="124"/>
      <s:c r="FN36" s="124"/>
      <s:c r="FO36" s="124"/>
      <s:c r="FP36" s="124"/>
      <s:c r="FQ36" s="124"/>
      <s:c r="FR36" s="124"/>
      <s:c r="FS36" s="124"/>
      <s:c r="FT36" s="124"/>
      <s:c r="FU36" s="124"/>
      <s:c r="FV36" s="124"/>
      <s:c r="FW36" s="124"/>
      <s:c r="FX36" s="124"/>
      <s:c r="FY36" s="124"/>
      <s:c r="FZ36" s="124"/>
      <s:c r="GA36" s="124"/>
      <s:c r="GB36" s="124"/>
      <s:c r="GC36" s="124"/>
      <s:c r="GD36" s="124"/>
      <s:c r="GE36" s="124"/>
      <s:c r="GF36" s="124"/>
      <s:c r="GG36" s="124"/>
      <s:c r="GH36" s="124"/>
      <s:c r="GI36" s="124"/>
      <s:c r="GJ36" s="124"/>
      <s:c r="GK36" s="124"/>
      <s:c r="GL36" s="124"/>
      <s:c r="GM36" s="124"/>
      <s:c r="GN36" s="124"/>
      <s:c r="GO36" s="124"/>
      <s:c r="GP36" s="124"/>
      <s:c r="GQ36" s="124"/>
      <s:c r="GR36" s="124"/>
      <s:c r="GS36" s="124"/>
      <s:c r="GT36" s="124"/>
      <s:c r="GU36" s="124"/>
      <s:c r="GV36" s="124"/>
      <s:c r="GW36" s="124"/>
      <s:c r="GX36" s="124"/>
      <s:c r="GY36" s="124"/>
      <s:c r="GZ36" s="124"/>
      <s:c r="HA36" s="124"/>
      <s:c r="HB36" s="124"/>
      <s:c r="HC36" s="124"/>
      <s:c r="HD36" s="124"/>
      <s:c r="HE36" s="124"/>
      <s:c r="HF36" s="124"/>
      <s:c r="HG36" s="124"/>
      <s:c r="HH36" s="124"/>
      <s:c r="HI36" s="124"/>
      <s:c r="HJ36" s="124"/>
      <s:c r="HK36" s="124"/>
      <s:c r="HL36" s="124"/>
      <s:c r="HM36" s="124"/>
      <s:c r="HN36" s="124"/>
      <s:c r="HO36" s="124"/>
      <s:c r="HP36" s="124"/>
      <s:c r="HQ36" s="124"/>
      <s:c r="HR36" s="124"/>
      <s:c r="HS36" s="124"/>
      <s:c r="HT36" s="124"/>
      <s:c r="HU36" s="124"/>
      <s:c r="HV36" s="124"/>
      <s:c r="HW36" s="124"/>
      <s:c r="HX36" s="124"/>
      <s:c r="HY36" s="124"/>
      <s:c r="HZ36" s="124"/>
      <s:c r="IA36" s="124"/>
      <s:c r="IB36" s="124"/>
      <s:c r="IC36" s="124"/>
      <s:c r="ID36" s="124"/>
      <s:c r="IE36" s="124"/>
      <s:c r="IF36" s="124"/>
      <s:c r="IG36" s="124"/>
      <s:c r="IH36" s="124"/>
      <s:c r="II36" s="124"/>
      <s:c r="IJ36" s="124"/>
      <s:c r="IK36" s="124"/>
      <s:c r="IL36" s="124"/>
      <s:c r="IM36" s="124"/>
      <s:c r="IN36" s="124"/>
      <s:c r="IO36" s="124"/>
      <s:c r="IP36" s="124"/>
      <s:c r="IQ36" s="124"/>
      <s:c r="IR36" s="124"/>
      <s:c r="IS36" s="124"/>
      <s:c r="IT36" s="124"/>
      <s:c r="IU36" s="124"/>
    </s:row>
    <s:row r="37" spans="1:255" s="115" customFormat="1">
      <s:c r="A37" s="90">
        <s:v>13</s:v>
      </s:c>
      <s:c r="B37" s="91">
        <s:v>45703</s:v>
      </s:c>
      <s:c r="C37" s="92" t="s">
        <s:v>47</s:v>
      </s:c>
      <s:c r="D37" s="116">
        <s:v>63280</s:v>
      </s:c>
      <s:c r="E37" s="117">
        <s:v>14</s:v>
      </s:c>
      <s:c r="F37" s="117">
        <s:f>IF(AND(E37&lt;&gt;"",E37&lt;&gt;0),D37/E37,"")</s:f>
        <s:v>4520</s:v>
      </s:c>
      <s:c r="G37" s="117">
        <s:v>6</s:v>
      </s:c>
      <s:c r="H37" s="117">
        <s:f>IF(AND(G37&lt;&gt;"",G37&lt;&gt;0),D37/G37,"")</s:f>
        <s:v>10546.666666666666</s:v>
      </s:c>
      <s:c r="I37" s="117">
        <s:v>25</s:v>
      </s:c>
      <s:c r="J37" s="116">
        <s:f>IF(AND(G37&lt;&gt;"",G37&lt;&gt;0),E37/G37,"")</s:f>
        <s:v>2.3333333333333335</s:v>
      </s:c>
      <s:c r="K37" s="117"/>
      <s:c r="L37" s="117"/>
      <s:c r="M37" s="117"/>
      <s:c r="N37" s="118">
        <s:f>IF(AND(I37&lt;&gt;"",I37&lt;&gt;0),G37/I37,"")</s:f>
        <s:v>0.24</s:v>
      </s:c>
      <s:c r="O37" s="119">
        <s:f>D37/P37</s:f>
        <s:v>1.3161885620769929</s:v>
      </s:c>
      <s:c r="P37" s="120">
        <s:f>$I$8*V37*W37/SUMPRODUCT($W$25:$W$55,$V$25:$V$55)</s:f>
        <s:v>48078.217531492512</s:v>
      </s:c>
      <s:c r="Q37" s="121">
        <s:f>$I$9*V37*W37/SUMPRODUCT($W$25:$W$55,$V$25:$V$55)</s:f>
        <s:v>12.517109484897817</s:v>
      </s:c>
      <s:c r="R37" s="121">
        <s:f>IF($I$12="","",Q37/$I$12)</s:f>
        <s:v>6.2585547424489087</s:v>
      </s:c>
      <s:c r="S37" s="120">
        <s:f>IF(W37&lt;&gt;"",IF(D37&lt;&gt;"",D37,($I$8-SUM($S$25:S36))*V37*W37/SUMPRODUCT($W37:$W$55,$V37:$V$55)),"")</s:f>
        <s:v>63280</s:v>
      </s:c>
      <s:c r="T37" s="121">
        <s:f>IF(W37&lt;&gt;"",IF(E37&lt;&gt;"",E37,($I$9-SUM($T$25:T36))*V37*W37/SUMPRODUCT($W37:$W$55,$V37:$V$55)),"")</s:f>
        <s:v>14</s:v>
      </s:c>
      <s:c r="U37" s="121">
        <s:f>IF(W37&lt;&gt;"",IF($I$12&lt;&gt;"",IF(G37&lt;&gt;"",G37,($I$9/$I$12-SUM($U$25:U36))*V37*W37/SUMPRODUCT($W37:$W$55,$V37:$V$55)),""),"")</s:f>
        <s:v>6</s:v>
      </s:c>
      <s:c r="V37" s="122">
        <s:v>1.1000000000000001</s:v>
      </s:c>
      <s:c r="W37" s="122">
        <s:v>1.1000000000000001</s:v>
      </s:c>
      <s:c r="X37" s="123"/>
      <s:c r="Y37" s="123"/>
      <s:c r="Z37" s="124"/>
      <s:c r="AA37" s="124"/>
      <s:c r="AB37" s="124"/>
      <s:c r="AC37" s="124"/>
      <s:c r="AD37" s="124"/>
      <s:c r="AE37" s="124"/>
      <s:c r="AF37" s="124"/>
      <s:c r="AG37" s="124"/>
      <s:c r="AH37" s="124"/>
      <s:c r="AI37" s="124"/>
      <s:c r="AJ37" s="124"/>
      <s:c r="AK37" s="124"/>
      <s:c r="AL37" s="124"/>
      <s:c r="AM37" s="124"/>
      <s:c r="AN37" s="124"/>
      <s:c r="AO37" s="124"/>
      <s:c r="AP37" s="124"/>
      <s:c r="AQ37" s="124"/>
      <s:c r="AR37" s="124"/>
      <s:c r="AS37" s="124"/>
      <s:c r="AT37" s="124"/>
      <s:c r="AU37" s="124"/>
      <s:c r="AV37" s="124"/>
      <s:c r="AW37" s="124"/>
      <s:c r="AX37" s="124"/>
      <s:c r="AY37" s="124"/>
      <s:c r="AZ37" s="124"/>
      <s:c r="BA37" s="124"/>
      <s:c r="BB37" s="124"/>
      <s:c r="BC37" s="124"/>
      <s:c r="BD37" s="124"/>
      <s:c r="BE37" s="124"/>
      <s:c r="BF37" s="124"/>
      <s:c r="BG37" s="124"/>
      <s:c r="BH37" s="124"/>
      <s:c r="BI37" s="124"/>
      <s:c r="BJ37" s="124"/>
      <s:c r="BK37" s="124"/>
      <s:c r="BL37" s="124"/>
      <s:c r="BM37" s="124"/>
      <s:c r="BN37" s="124"/>
      <s:c r="BO37" s="124"/>
      <s:c r="BP37" s="124"/>
      <s:c r="BQ37" s="124"/>
      <s:c r="BR37" s="124"/>
      <s:c r="BS37" s="124"/>
      <s:c r="BT37" s="124"/>
      <s:c r="BU37" s="124"/>
      <s:c r="BV37" s="124"/>
      <s:c r="BW37" s="124"/>
      <s:c r="BX37" s="124"/>
      <s:c r="BY37" s="124"/>
      <s:c r="BZ37" s="124"/>
      <s:c r="CA37" s="124"/>
      <s:c r="CB37" s="124"/>
      <s:c r="CC37" s="124"/>
      <s:c r="CD37" s="124"/>
      <s:c r="CE37" s="124"/>
      <s:c r="CF37" s="124"/>
      <s:c r="CG37" s="124"/>
      <s:c r="CH37" s="124"/>
      <s:c r="CI37" s="124"/>
      <s:c r="CJ37" s="124"/>
      <s:c r="CK37" s="124"/>
      <s:c r="CL37" s="124"/>
      <s:c r="CM37" s="124"/>
      <s:c r="CN37" s="124"/>
      <s:c r="CO37" s="124"/>
      <s:c r="CP37" s="124"/>
      <s:c r="CQ37" s="124"/>
      <s:c r="CR37" s="124"/>
      <s:c r="CS37" s="124"/>
      <s:c r="CT37" s="124"/>
      <s:c r="CU37" s="124"/>
      <s:c r="CV37" s="124"/>
      <s:c r="CW37" s="124"/>
      <s:c r="CX37" s="124"/>
      <s:c r="CY37" s="124"/>
      <s:c r="CZ37" s="124"/>
      <s:c r="DA37" s="124"/>
      <s:c r="DB37" s="124"/>
      <s:c r="DC37" s="124"/>
      <s:c r="DD37" s="124"/>
      <s:c r="DE37" s="124"/>
      <s:c r="DF37" s="124"/>
      <s:c r="DG37" s="124"/>
      <s:c r="DH37" s="124"/>
      <s:c r="DI37" s="124"/>
      <s:c r="DJ37" s="124"/>
      <s:c r="DK37" s="124"/>
      <s:c r="DL37" s="124"/>
      <s:c r="DM37" s="124"/>
      <s:c r="DN37" s="124"/>
      <s:c r="DO37" s="124"/>
      <s:c r="DP37" s="124"/>
      <s:c r="DQ37" s="124"/>
      <s:c r="DR37" s="124"/>
      <s:c r="DS37" s="124"/>
      <s:c r="DT37" s="124"/>
      <s:c r="DU37" s="124"/>
      <s:c r="DV37" s="124"/>
      <s:c r="DW37" s="124"/>
      <s:c r="DX37" s="124"/>
      <s:c r="DY37" s="124"/>
      <s:c r="DZ37" s="124"/>
      <s:c r="EA37" s="124"/>
      <s:c r="EB37" s="124"/>
      <s:c r="EC37" s="124"/>
      <s:c r="ED37" s="124"/>
      <s:c r="EE37" s="124"/>
      <s:c r="EF37" s="124"/>
      <s:c r="EG37" s="124"/>
      <s:c r="EH37" s="124"/>
      <s:c r="EI37" s="124"/>
      <s:c r="EJ37" s="124"/>
      <s:c r="EK37" s="124"/>
      <s:c r="EL37" s="124"/>
      <s:c r="EM37" s="124"/>
      <s:c r="EN37" s="124"/>
      <s:c r="EO37" s="124"/>
      <s:c r="EP37" s="124"/>
      <s:c r="EQ37" s="124"/>
      <s:c r="ER37" s="124"/>
      <s:c r="ES37" s="124"/>
      <s:c r="ET37" s="124"/>
      <s:c r="EU37" s="124"/>
      <s:c r="EV37" s="124"/>
      <s:c r="EW37" s="124"/>
      <s:c r="EX37" s="124"/>
      <s:c r="EY37" s="124"/>
      <s:c r="EZ37" s="124"/>
      <s:c r="FA37" s="124"/>
      <s:c r="FB37" s="124"/>
      <s:c r="FC37" s="124"/>
      <s:c r="FD37" s="124"/>
      <s:c r="FE37" s="124"/>
      <s:c r="FF37" s="124"/>
      <s:c r="FG37" s="124"/>
      <s:c r="FH37" s="124"/>
      <s:c r="FI37" s="124"/>
      <s:c r="FJ37" s="124"/>
      <s:c r="FK37" s="124"/>
      <s:c r="FL37" s="124"/>
      <s:c r="FM37" s="124"/>
      <s:c r="FN37" s="124"/>
      <s:c r="FO37" s="124"/>
      <s:c r="FP37" s="124"/>
      <s:c r="FQ37" s="124"/>
      <s:c r="FR37" s="124"/>
      <s:c r="FS37" s="124"/>
      <s:c r="FT37" s="124"/>
      <s:c r="FU37" s="124"/>
      <s:c r="FV37" s="124"/>
      <s:c r="FW37" s="124"/>
      <s:c r="FX37" s="124"/>
      <s:c r="FY37" s="124"/>
      <s:c r="FZ37" s="124"/>
      <s:c r="GA37" s="124"/>
      <s:c r="GB37" s="124"/>
      <s:c r="GC37" s="124"/>
      <s:c r="GD37" s="124"/>
      <s:c r="GE37" s="124"/>
      <s:c r="GF37" s="124"/>
      <s:c r="GG37" s="124"/>
      <s:c r="GH37" s="124"/>
      <s:c r="GI37" s="124"/>
      <s:c r="GJ37" s="124"/>
      <s:c r="GK37" s="124"/>
      <s:c r="GL37" s="124"/>
      <s:c r="GM37" s="124"/>
      <s:c r="GN37" s="124"/>
      <s:c r="GO37" s="124"/>
      <s:c r="GP37" s="124"/>
      <s:c r="GQ37" s="124"/>
      <s:c r="GR37" s="124"/>
      <s:c r="GS37" s="124"/>
      <s:c r="GT37" s="124"/>
      <s:c r="GU37" s="124"/>
      <s:c r="GV37" s="124"/>
      <s:c r="GW37" s="124"/>
      <s:c r="GX37" s="124"/>
      <s:c r="GY37" s="124"/>
      <s:c r="GZ37" s="124"/>
      <s:c r="HA37" s="124"/>
      <s:c r="HB37" s="124"/>
      <s:c r="HC37" s="124"/>
      <s:c r="HD37" s="124"/>
      <s:c r="HE37" s="124"/>
      <s:c r="HF37" s="124"/>
      <s:c r="HG37" s="124"/>
      <s:c r="HH37" s="124"/>
      <s:c r="HI37" s="124"/>
      <s:c r="HJ37" s="124"/>
      <s:c r="HK37" s="124"/>
      <s:c r="HL37" s="124"/>
      <s:c r="HM37" s="124"/>
      <s:c r="HN37" s="124"/>
      <s:c r="HO37" s="124"/>
      <s:c r="HP37" s="124"/>
      <s:c r="HQ37" s="124"/>
      <s:c r="HR37" s="124"/>
      <s:c r="HS37" s="124"/>
      <s:c r="HT37" s="124"/>
      <s:c r="HU37" s="124"/>
      <s:c r="HV37" s="124"/>
      <s:c r="HW37" s="124"/>
      <s:c r="HX37" s="124"/>
      <s:c r="HY37" s="124"/>
      <s:c r="HZ37" s="124"/>
      <s:c r="IA37" s="124"/>
      <s:c r="IB37" s="124"/>
      <s:c r="IC37" s="124"/>
      <s:c r="ID37" s="124"/>
      <s:c r="IE37" s="124"/>
      <s:c r="IF37" s="124"/>
      <s:c r="IG37" s="124"/>
      <s:c r="IH37" s="124"/>
      <s:c r="II37" s="124"/>
      <s:c r="IJ37" s="124"/>
      <s:c r="IK37" s="124"/>
      <s:c r="IL37" s="124"/>
      <s:c r="IM37" s="124"/>
      <s:c r="IN37" s="124"/>
      <s:c r="IO37" s="124"/>
      <s:c r="IP37" s="124"/>
      <s:c r="IQ37" s="124"/>
      <s:c r="IR37" s="124"/>
      <s:c r="IS37" s="124"/>
      <s:c r="IT37" s="124"/>
      <s:c r="IU37" s="124"/>
    </s:row>
    <s:row r="38" spans="1:255" s="115" customFormat="1">
      <s:c r="A38" s="90">
        <s:v>14</s:v>
      </s:c>
      <s:c r="B38" s="91">
        <s:v>45704</s:v>
      </s:c>
      <s:c r="C38" s="92" t="s">
        <s:v>48</s:v>
      </s:c>
      <s:c r="D38" s="116">
        <s:v>21059</s:v>
      </s:c>
      <s:c r="E38" s="117">
        <s:v>5</s:v>
      </s:c>
      <s:c r="F38" s="117">
        <s:f>IF(AND(E38&lt;&gt;"",E38&lt;&gt;0),D38/E38,"")</s:f>
        <s:v>4211.8</s:v>
      </s:c>
      <s:c r="G38" s="117">
        <s:v>2</s:v>
      </s:c>
      <s:c r="H38" s="117">
        <s:f>IF(AND(G38&lt;&gt;"",G38&lt;&gt;0),D38/G38,"")</s:f>
        <s:v>10529.5</s:v>
      </s:c>
      <s:c r="I38" s="117">
        <s:v>4</s:v>
      </s:c>
      <s:c r="J38" s="116">
        <s:f>IF(AND(G38&lt;&gt;"",G38&lt;&gt;0),E38/G38,"")</s:f>
        <s:v>2.5</s:v>
      </s:c>
      <s:c r="K38" s="117"/>
      <s:c r="L38" s="117"/>
      <s:c r="M38" s="117"/>
      <s:c r="N38" s="118">
        <s:f>IF(AND(I38&lt;&gt;"",I38&lt;&gt;0),G38/I38,"")</s:f>
        <s:v>0.5</s:v>
      </s:c>
      <s:c r="O38" s="119">
        <s:f>D38/P38</s:f>
        <s:v>0.43801540658627358</s:v>
      </s:c>
      <s:c r="P38" s="120">
        <s:f>$I$8*V38*W38/SUMPRODUCT($W$25:$W$55,$V$25:$V$55)</s:f>
        <s:v>48078.217531492512</s:v>
      </s:c>
      <s:c r="Q38" s="121">
        <s:f>$I$9*V38*W38/SUMPRODUCT($W$25:$W$55,$V$25:$V$55)</s:f>
        <s:v>12.517109484897817</s:v>
      </s:c>
      <s:c r="R38" s="121">
        <s:f>IF($I$12="","",Q38/$I$12)</s:f>
        <s:v>6.2585547424489087</s:v>
      </s:c>
      <s:c r="S38" s="120">
        <s:f>IF(W38&lt;&gt;"",IF(D38&lt;&gt;"",D38,($I$8-SUM($S$25:S37))*V38*W38/SUMPRODUCT($W38:$W$55,$V38:$V$55)),"")</s:f>
        <s:v>21059</s:v>
      </s:c>
      <s:c r="T38" s="121">
        <s:f>IF(W38&lt;&gt;"",IF(E38&lt;&gt;"",E38,($I$9-SUM($T$25:T37))*V38*W38/SUMPRODUCT($W38:$W$55,$V38:$V$55)),"")</s:f>
        <s:v>5</s:v>
      </s:c>
      <s:c r="U38" s="121">
        <s:f>IF(W38&lt;&gt;"",IF($I$12&lt;&gt;"",IF(G38&lt;&gt;"",G38,($I$9/$I$12-SUM($U$25:U37))*V38*W38/SUMPRODUCT($W38:$W$55,$V38:$V$55)),""),"")</s:f>
        <s:v>2</s:v>
      </s:c>
      <s:c r="V38" s="122">
        <s:v>1.1000000000000001</s:v>
      </s:c>
      <s:c r="W38" s="122">
        <s:v>1.1000000000000001</s:v>
      </s:c>
      <s:c r="X38" s="123"/>
      <s:c r="Y38" s="123"/>
      <s:c r="Z38" s="124"/>
      <s:c r="AA38" s="124"/>
      <s:c r="AB38" s="124"/>
      <s:c r="AC38" s="124"/>
      <s:c r="AD38" s="124"/>
      <s:c r="AE38" s="124"/>
      <s:c r="AF38" s="124"/>
      <s:c r="AG38" s="124"/>
      <s:c r="AH38" s="124"/>
      <s:c r="AI38" s="124"/>
      <s:c r="AJ38" s="124"/>
      <s:c r="AK38" s="124"/>
      <s:c r="AL38" s="124"/>
      <s:c r="AM38" s="124"/>
      <s:c r="AN38" s="124"/>
      <s:c r="AO38" s="124"/>
      <s:c r="AP38" s="124"/>
      <s:c r="AQ38" s="124"/>
      <s:c r="AR38" s="124"/>
      <s:c r="AS38" s="124"/>
      <s:c r="AT38" s="124"/>
      <s:c r="AU38" s="124"/>
      <s:c r="AV38" s="124"/>
      <s:c r="AW38" s="124"/>
      <s:c r="AX38" s="124"/>
      <s:c r="AY38" s="124"/>
      <s:c r="AZ38" s="124"/>
      <s:c r="BA38" s="124"/>
      <s:c r="BB38" s="124"/>
      <s:c r="BC38" s="124"/>
      <s:c r="BD38" s="124"/>
      <s:c r="BE38" s="124"/>
      <s:c r="BF38" s="124"/>
      <s:c r="BG38" s="124"/>
      <s:c r="BH38" s="124"/>
      <s:c r="BI38" s="124"/>
      <s:c r="BJ38" s="124"/>
      <s:c r="BK38" s="124"/>
      <s:c r="BL38" s="124"/>
      <s:c r="BM38" s="124"/>
      <s:c r="BN38" s="124"/>
      <s:c r="BO38" s="124"/>
      <s:c r="BP38" s="124"/>
      <s:c r="BQ38" s="124"/>
      <s:c r="BR38" s="124"/>
      <s:c r="BS38" s="124"/>
      <s:c r="BT38" s="124"/>
      <s:c r="BU38" s="124"/>
      <s:c r="BV38" s="124"/>
      <s:c r="BW38" s="124"/>
      <s:c r="BX38" s="124"/>
      <s:c r="BY38" s="124"/>
      <s:c r="BZ38" s="124"/>
      <s:c r="CA38" s="124"/>
      <s:c r="CB38" s="124"/>
      <s:c r="CC38" s="124"/>
      <s:c r="CD38" s="124"/>
      <s:c r="CE38" s="124"/>
      <s:c r="CF38" s="124"/>
      <s:c r="CG38" s="124"/>
      <s:c r="CH38" s="124"/>
      <s:c r="CI38" s="124"/>
      <s:c r="CJ38" s="124"/>
      <s:c r="CK38" s="124"/>
      <s:c r="CL38" s="124"/>
      <s:c r="CM38" s="124"/>
      <s:c r="CN38" s="124"/>
      <s:c r="CO38" s="124"/>
      <s:c r="CP38" s="124"/>
      <s:c r="CQ38" s="124"/>
      <s:c r="CR38" s="124"/>
      <s:c r="CS38" s="124"/>
      <s:c r="CT38" s="124"/>
      <s:c r="CU38" s="124"/>
      <s:c r="CV38" s="124"/>
      <s:c r="CW38" s="124"/>
      <s:c r="CX38" s="124"/>
      <s:c r="CY38" s="124"/>
      <s:c r="CZ38" s="124"/>
      <s:c r="DA38" s="124"/>
      <s:c r="DB38" s="124"/>
      <s:c r="DC38" s="124"/>
      <s:c r="DD38" s="124"/>
      <s:c r="DE38" s="124"/>
      <s:c r="DF38" s="124"/>
      <s:c r="DG38" s="124"/>
      <s:c r="DH38" s="124"/>
      <s:c r="DI38" s="124"/>
      <s:c r="DJ38" s="124"/>
      <s:c r="DK38" s="124"/>
      <s:c r="DL38" s="124"/>
      <s:c r="DM38" s="124"/>
      <s:c r="DN38" s="124"/>
      <s:c r="DO38" s="124"/>
      <s:c r="DP38" s="124"/>
      <s:c r="DQ38" s="124"/>
      <s:c r="DR38" s="124"/>
      <s:c r="DS38" s="124"/>
      <s:c r="DT38" s="124"/>
      <s:c r="DU38" s="124"/>
      <s:c r="DV38" s="124"/>
      <s:c r="DW38" s="124"/>
      <s:c r="DX38" s="124"/>
      <s:c r="DY38" s="124"/>
      <s:c r="DZ38" s="124"/>
      <s:c r="EA38" s="124"/>
      <s:c r="EB38" s="124"/>
      <s:c r="EC38" s="124"/>
      <s:c r="ED38" s="124"/>
      <s:c r="EE38" s="124"/>
      <s:c r="EF38" s="124"/>
      <s:c r="EG38" s="124"/>
      <s:c r="EH38" s="124"/>
      <s:c r="EI38" s="124"/>
      <s:c r="EJ38" s="124"/>
      <s:c r="EK38" s="124"/>
      <s:c r="EL38" s="124"/>
      <s:c r="EM38" s="124"/>
      <s:c r="EN38" s="124"/>
      <s:c r="EO38" s="124"/>
      <s:c r="EP38" s="124"/>
      <s:c r="EQ38" s="124"/>
      <s:c r="ER38" s="124"/>
      <s:c r="ES38" s="124"/>
      <s:c r="ET38" s="124"/>
      <s:c r="EU38" s="124"/>
      <s:c r="EV38" s="124"/>
      <s:c r="EW38" s="124"/>
      <s:c r="EX38" s="124"/>
      <s:c r="EY38" s="124"/>
      <s:c r="EZ38" s="124"/>
      <s:c r="FA38" s="124"/>
      <s:c r="FB38" s="124"/>
      <s:c r="FC38" s="124"/>
      <s:c r="FD38" s="124"/>
      <s:c r="FE38" s="124"/>
      <s:c r="FF38" s="124"/>
      <s:c r="FG38" s="124"/>
      <s:c r="FH38" s="124"/>
      <s:c r="FI38" s="124"/>
      <s:c r="FJ38" s="124"/>
      <s:c r="FK38" s="124"/>
      <s:c r="FL38" s="124"/>
      <s:c r="FM38" s="124"/>
      <s:c r="FN38" s="124"/>
      <s:c r="FO38" s="124"/>
      <s:c r="FP38" s="124"/>
      <s:c r="FQ38" s="124"/>
      <s:c r="FR38" s="124"/>
      <s:c r="FS38" s="124"/>
      <s:c r="FT38" s="124"/>
      <s:c r="FU38" s="124"/>
      <s:c r="FV38" s="124"/>
      <s:c r="FW38" s="124"/>
      <s:c r="FX38" s="124"/>
      <s:c r="FY38" s="124"/>
      <s:c r="FZ38" s="124"/>
      <s:c r="GA38" s="124"/>
      <s:c r="GB38" s="124"/>
      <s:c r="GC38" s="124"/>
      <s:c r="GD38" s="124"/>
      <s:c r="GE38" s="124"/>
      <s:c r="GF38" s="124"/>
      <s:c r="GG38" s="124"/>
      <s:c r="GH38" s="124"/>
      <s:c r="GI38" s="124"/>
      <s:c r="GJ38" s="124"/>
      <s:c r="GK38" s="124"/>
      <s:c r="GL38" s="124"/>
      <s:c r="GM38" s="124"/>
      <s:c r="GN38" s="124"/>
      <s:c r="GO38" s="124"/>
      <s:c r="GP38" s="124"/>
      <s:c r="GQ38" s="124"/>
      <s:c r="GR38" s="124"/>
      <s:c r="GS38" s="124"/>
      <s:c r="GT38" s="124"/>
      <s:c r="GU38" s="124"/>
      <s:c r="GV38" s="124"/>
      <s:c r="GW38" s="124"/>
      <s:c r="GX38" s="124"/>
      <s:c r="GY38" s="124"/>
      <s:c r="GZ38" s="124"/>
      <s:c r="HA38" s="124"/>
      <s:c r="HB38" s="124"/>
      <s:c r="HC38" s="124"/>
      <s:c r="HD38" s="124"/>
      <s:c r="HE38" s="124"/>
      <s:c r="HF38" s="124"/>
      <s:c r="HG38" s="124"/>
      <s:c r="HH38" s="124"/>
      <s:c r="HI38" s="124"/>
      <s:c r="HJ38" s="124"/>
      <s:c r="HK38" s="124"/>
      <s:c r="HL38" s="124"/>
      <s:c r="HM38" s="124"/>
      <s:c r="HN38" s="124"/>
      <s:c r="HO38" s="124"/>
      <s:c r="HP38" s="124"/>
      <s:c r="HQ38" s="124"/>
      <s:c r="HR38" s="124"/>
      <s:c r="HS38" s="124"/>
      <s:c r="HT38" s="124"/>
      <s:c r="HU38" s="124"/>
      <s:c r="HV38" s="124"/>
      <s:c r="HW38" s="124"/>
      <s:c r="HX38" s="124"/>
      <s:c r="HY38" s="124"/>
      <s:c r="HZ38" s="124"/>
      <s:c r="IA38" s="124"/>
      <s:c r="IB38" s="124"/>
      <s:c r="IC38" s="124"/>
      <s:c r="ID38" s="124"/>
      <s:c r="IE38" s="124"/>
      <s:c r="IF38" s="124"/>
      <s:c r="IG38" s="124"/>
      <s:c r="IH38" s="124"/>
      <s:c r="II38" s="124"/>
      <s:c r="IJ38" s="124"/>
      <s:c r="IK38" s="124"/>
      <s:c r="IL38" s="124"/>
      <s:c r="IM38" s="124"/>
      <s:c r="IN38" s="124"/>
      <s:c r="IO38" s="124"/>
      <s:c r="IP38" s="124"/>
      <s:c r="IQ38" s="124"/>
      <s:c r="IR38" s="124"/>
      <s:c r="IS38" s="124"/>
      <s:c r="IT38" s="124"/>
      <s:c r="IU38" s="124"/>
    </s:row>
    <s:row r="39">
      <s:c r="A39" s="101">
        <s:v>15</s:v>
      </s:c>
      <s:c r="B39" s="102">
        <s:v>45705</s:v>
      </s:c>
      <s:c r="C39" s="103" t="s">
        <s:v>50</s:v>
      </s:c>
      <s:c r="D39" s="104">
        <s:v>29039</s:v>
      </s:c>
      <s:c r="E39" s="106">
        <s:v>7</s:v>
      </s:c>
      <s:c r="F39" s="106">
        <s:f>IF(AND(E39&lt;&gt;"",E39&lt;&gt;0),D39/E39,"")</s:f>
        <s:v>4148.4285714285716</s:v>
      </s:c>
      <s:c r="G39" s="106">
        <s:v>4</s:v>
      </s:c>
      <s:c r="H39" s="106">
        <s:f>IF(AND(G39&lt;&gt;"",G39&lt;&gt;0),D39/G39,"")</s:f>
        <s:v>7259.75</s:v>
      </s:c>
      <s:c r="I39" s="106">
        <s:v>16</s:v>
      </s:c>
      <s:c r="J39" s="104">
        <s:f>IF(AND(G39&lt;&gt;"",G39&lt;&gt;0),E39/G39,"")</s:f>
        <s:v>1.75</s:v>
      </s:c>
      <s:c r="K39" s="106"/>
      <s:c r="L39" s="106"/>
      <s:c r="M39" s="106"/>
      <s:c r="N39" s="107">
        <s:f>IF(AND(I39&lt;&gt;"",I39&lt;&gt;0),G39/I39,"")</s:f>
        <s:v>0.25</s:v>
      </s:c>
      <s:c r="O39" s="108">
        <s:f>D39/P39</s:f>
        <s:v>1.1419279289844266</s:v>
      </s:c>
      <s:c r="P39" s="109">
        <s:f>$I$8*V39*W39/SUMPRODUCT($W$25:$W$55,$V$25:$V$55)</s:f>
        <s:v>25429.801008392733</s:v>
      </s:c>
      <s:c r="Q39" s="110">
        <s:f>$I$9*V39*W39/SUMPRODUCT($W$25:$W$55,$V$25:$V$55)</s:f>
        <s:v>6.6206198928385147</s:v>
      </s:c>
      <s:c r="R39" s="110">
        <s:f>IF($I$12="","",Q39/$I$12)</s:f>
        <s:v>3.3103099464192574</s:v>
      </s:c>
      <s:c r="S39" s="109">
        <s:f>IF(W39&lt;&gt;"",IF(D39&lt;&gt;"",D39,($I$8-SUM($S$25:S38))*V39*W39/SUMPRODUCT($W39:$W$55,$V39:$V$55)),"")</s:f>
        <s:v>29039</s:v>
      </s:c>
      <s:c r="T39" s="110">
        <s:f>IF(W39&lt;&gt;"",IF(E39&lt;&gt;"",E39,($I$9-SUM($T$25:T38))*V39*W39/SUMPRODUCT($W39:$W$55,$V39:$V$55)),"")</s:f>
        <s:v>7</s:v>
      </s:c>
      <s:c r="U39" s="110">
        <s:f>IF(W39&lt;&gt;"",IF($I$12&lt;&gt;"",IF(G39&lt;&gt;"",G39,($I$9/$I$12-SUM($U$25:U38))*V39*W39/SUMPRODUCT($W39:$W$55,$V39:$V$55)),""),"")</s:f>
        <s:v>4</s:v>
      </s:c>
      <s:c r="V39" s="111">
        <s:v>0.8</s:v>
      </s:c>
      <s:c r="W39" s="111">
        <s:v>0.8</s:v>
      </s:c>
      <s:c r="X39" s="112"/>
      <s:c r="Y39" s="112"/>
      <s:c r="Z39" s="2"/>
      <s:c r="AA39" s="2"/>
      <s:c r="AB39" s="2"/>
      <s:c r="AC39" s="2"/>
      <s:c r="AD39" s="2"/>
    </s:row>
    <s:row r="40">
      <s:c r="A40" s="101">
        <s:v>16</s:v>
      </s:c>
      <s:c r="B40" s="102">
        <s:v>45706</s:v>
      </s:c>
      <s:c r="C40" s="103" t="s">
        <s:v>51</s:v>
      </s:c>
      <s:c r="D40" s="104">
        <s:v>37624</s:v>
      </s:c>
      <s:c r="E40" s="106">
        <s:v>9</s:v>
      </s:c>
      <s:c r="F40" s="106">
        <s:f>IF(AND(E40&lt;&gt;"",E40&lt;&gt;0),D40/E40,"")</s:f>
        <s:v>4180.4444444444443</s:v>
      </s:c>
      <s:c r="G40" s="106">
        <s:v>5</s:v>
      </s:c>
      <s:c r="H40" s="106">
        <s:f>IF(AND(G40&lt;&gt;"",G40&lt;&gt;0),D40/G40,"")</s:f>
        <s:v>7524.8</s:v>
      </s:c>
      <s:c r="I40" s="106">
        <s:v>11</s:v>
      </s:c>
      <s:c r="J40" s="104">
        <s:f>IF(AND(G40&lt;&gt;"",G40&lt;&gt;0),E40/G40,"")</s:f>
        <s:v>1.8</s:v>
      </s:c>
      <s:c r="K40" s="106"/>
      <s:c r="L40" s="106"/>
      <s:c r="M40" s="106"/>
      <s:c r="N40" s="107">
        <s:f>IF(AND(I40&lt;&gt;"",I40&lt;&gt;0),G40/I40,"")</s:f>
        <s:v>0.45454545454545453</s:v>
      </s:c>
      <s:c r="O40" s="108">
        <s:f>D40/P40</s:f>
        <s:v>1.4795239643276308</s:v>
      </s:c>
      <s:c r="P40" s="109">
        <s:f>$I$8*V40*W40/SUMPRODUCT($W$25:$W$55,$V$25:$V$55)</s:f>
        <s:v>25429.801008392733</s:v>
      </s:c>
      <s:c r="Q40" s="110">
        <s:f>$I$9*V40*W40/SUMPRODUCT($W$25:$W$55,$V$25:$V$55)</s:f>
        <s:v>6.6206198928385147</s:v>
      </s:c>
      <s:c r="R40" s="110">
        <s:f>IF($I$12="","",Q40/$I$12)</s:f>
        <s:v>3.3103099464192574</s:v>
      </s:c>
      <s:c r="S40" s="109">
        <s:f>IF(W40&lt;&gt;"",IF(D40&lt;&gt;"",D40,($I$8-SUM($S$25:S39))*V40*W40/SUMPRODUCT($W40:$W$55,$V40:$V$55)),"")</s:f>
        <s:v>37624</s:v>
      </s:c>
      <s:c r="T40" s="110">
        <s:f>IF(W40&lt;&gt;"",IF(E40&lt;&gt;"",E40,($I$9-SUM($T$25:T39))*V40*W40/SUMPRODUCT($W40:$W$55,$V40:$V$55)),"")</s:f>
        <s:v>9</s:v>
      </s:c>
      <s:c r="U40" s="110">
        <s:f>IF(W40&lt;&gt;"",IF($I$12&lt;&gt;"",IF(G40&lt;&gt;"",G40,($I$9/$I$12-SUM($U$25:U39))*V40*W40/SUMPRODUCT($W40:$W$55,$V40:$V$55)),""),"")</s:f>
        <s:v>5</s:v>
      </s:c>
      <s:c r="V40" s="111">
        <s:v>0.8</s:v>
      </s:c>
      <s:c r="W40" s="111">
        <s:v>0.8</s:v>
      </s:c>
      <s:c r="X40" s="112"/>
      <s:c r="Y40" s="112"/>
      <s:c r="Z40" s="2"/>
      <s:c r="AA40" s="2"/>
      <s:c r="AB40" s="2"/>
      <s:c r="AC40" s="2"/>
      <s:c r="AD40" s="2"/>
    </s:row>
    <s:row r="41">
      <s:c r="A41" s="101">
        <s:v>17</s:v>
      </s:c>
      <s:c r="B41" s="102">
        <s:v>45707</s:v>
      </s:c>
      <s:c r="C41" s="103" t="s">
        <s:v>52</s:v>
      </s:c>
      <s:c r="D41" s="104">
        <s:v>42905</s:v>
      </s:c>
      <s:c r="E41" s="106">
        <s:v>9</s:v>
      </s:c>
      <s:c r="F41" s="106">
        <s:f>IF(AND(E41&lt;&gt;"",E41&lt;&gt;0),D41/E41,"")</s:f>
        <s:v>4767.2222222222226</s:v>
      </s:c>
      <s:c r="G41" s="106">
        <s:v>5</s:v>
      </s:c>
      <s:c r="H41" s="106">
        <s:f>IF(AND(G41&lt;&gt;"",G41&lt;&gt;0),D41/G41,"")</s:f>
        <s:v>8581</s:v>
      </s:c>
      <s:c r="I41" s="106">
        <s:v>17</s:v>
      </s:c>
      <s:c r="J41" s="104">
        <s:f>IF(AND(G41&lt;&gt;"",G41&lt;&gt;0),E41/G41,"")</s:f>
        <s:v>1.8</s:v>
      </s:c>
      <s:c r="K41" s="106"/>
      <s:c r="L41" s="106"/>
      <s:c r="M41" s="106"/>
      <s:c r="N41" s="107">
        <s:f>IF(AND(I41&lt;&gt;"",I41&lt;&gt;0),G41/I41,"")</s:f>
        <s:v>0.29411764705882354</s:v>
      </s:c>
      <s:c r="O41" s="108">
        <s:f>D41/P41</s:f>
        <s:v>1.6871936978916915</s:v>
      </s:c>
      <s:c r="P41" s="109">
        <s:f>$I$8*V41*W41/SUMPRODUCT($W$25:$W$55,$V$25:$V$55)</s:f>
        <s:v>25429.801008392733</s:v>
      </s:c>
      <s:c r="Q41" s="110">
        <s:f>$I$9*V41*W41/SUMPRODUCT($W$25:$W$55,$V$25:$V$55)</s:f>
        <s:v>6.6206198928385147</s:v>
      </s:c>
      <s:c r="R41" s="110">
        <s:f>IF($I$12="","",Q41/$I$12)</s:f>
        <s:v>3.3103099464192574</s:v>
      </s:c>
      <s:c r="S41" s="109">
        <s:f>IF(W41&lt;&gt;"",IF(D41&lt;&gt;"",D41,($I$8-SUM($S$25:S40))*V41*W41/SUMPRODUCT($W41:$W$55,$V41:$V$55)),"")</s:f>
        <s:v>42905</s:v>
      </s:c>
      <s:c r="T41" s="110">
        <s:f>IF(W41&lt;&gt;"",IF(E41&lt;&gt;"",E41,($I$9-SUM($T$25:T40))*V41*W41/SUMPRODUCT($W41:$W$55,$V41:$V$55)),"")</s:f>
        <s:v>9</s:v>
      </s:c>
      <s:c r="U41" s="110">
        <s:f>IF(W41&lt;&gt;"",IF($I$12&lt;&gt;"",IF(G41&lt;&gt;"",G41,($I$9/$I$12-SUM($U$25:U40))*V41*W41/SUMPRODUCT($W41:$W$55,$V41:$V$55)),""),"")</s:f>
        <s:v>5</s:v>
      </s:c>
      <s:c r="V41" s="111">
        <s:v>0.8</s:v>
      </s:c>
      <s:c r="W41" s="111">
        <s:v>0.8</s:v>
      </s:c>
      <s:c r="X41" s="112"/>
      <s:c r="Y41" s="112"/>
      <s:c r="Z41" s="126"/>
      <s:c r="AA41" s="2"/>
      <s:c r="AB41" s="2"/>
      <s:c r="AC41" s="2"/>
      <s:c r="AD41" s="2"/>
    </s:row>
    <s:row r="42">
      <s:c r="A42" s="101">
        <s:v>18</s:v>
      </s:c>
      <s:c r="B42" s="102">
        <s:v>45708</s:v>
      </s:c>
      <s:c r="C42" s="103" t="s">
        <s:v>53</s:v>
      </s:c>
      <s:c r="D42" s="104">
        <s:v>66400</s:v>
      </s:c>
      <s:c r="E42" s="106">
        <s:v>16</s:v>
      </s:c>
      <s:c r="F42" s="106">
        <s:f>IF(AND(E42&lt;&gt;"",E42&lt;&gt;0),D42/E42,"")</s:f>
        <s:v>4150</s:v>
      </s:c>
      <s:c r="G42" s="106">
        <s:v>9</s:v>
      </s:c>
      <s:c r="H42" s="106">
        <s:f>IF(AND(G42&lt;&gt;"",G42&lt;&gt;0),D42/G42,"")</s:f>
        <s:v>7377.7777777777774</s:v>
      </s:c>
      <s:c r="I42" s="106">
        <s:v>20</s:v>
      </s:c>
      <s:c r="J42" s="104">
        <s:f>IF(AND(G42&lt;&gt;"",G42&lt;&gt;0),E42/G42,"")</s:f>
        <s:v>1.7777777777777777</s:v>
      </s:c>
      <s:c r="K42" s="106"/>
      <s:c r="L42" s="106"/>
      <s:c r="M42" s="106"/>
      <s:c r="N42" s="107">
        <s:f>IF(AND(I42&lt;&gt;"",I42&lt;&gt;0),G42/I42,"")</s:f>
        <s:v>0.45</s:v>
      </s:c>
      <s:c r="O42" s="108">
        <s:f>D42/P42</s:f>
        <s:v>2.063099019671808</s:v>
      </s:c>
      <s:c r="P42" s="109">
        <s:f>$I$8*V42*W42/SUMPRODUCT($W$25:$W$55,$V$25:$V$55)</s:f>
        <s:v>32184.591901247051</s:v>
      </s:c>
      <s:c r="Q42" s="110">
        <s:f>$I$9*V42*W42/SUMPRODUCT($W$25:$W$55,$V$25:$V$55)</s:f>
        <s:v>8.379222051873743</s:v>
      </s:c>
      <s:c r="R42" s="110">
        <s:f>IF($I$12="","",Q42/$I$12)</s:f>
        <s:v>4.1896110259368715</s:v>
      </s:c>
      <s:c r="S42" s="109">
        <s:f>IF(W42&lt;&gt;"",IF(D42&lt;&gt;"",D42,($I$8-SUM($S$25:S41))*V42*W42/SUMPRODUCT($W42:$W$55,$V42:$V$55)),"")</s:f>
        <s:v>66400</s:v>
      </s:c>
      <s:c r="T42" s="110">
        <s:f>IF(W42&lt;&gt;"",IF(E42&lt;&gt;"",E42,($I$9-SUM($T$25:T41))*V42*W42/SUMPRODUCT($W42:$W$55,$V42:$V$55)),"")</s:f>
        <s:v>16</s:v>
      </s:c>
      <s:c r="U42" s="110">
        <s:f>IF(W42&lt;&gt;"",IF($I$12&lt;&gt;"",IF(G42&lt;&gt;"",G42,($I$9/$I$12-SUM($U$25:U41))*V42*W42/SUMPRODUCT($W42:$W$55,$V42:$V$55)),""),"")</s:f>
        <s:v>9</s:v>
      </s:c>
      <s:c r="V42" s="111">
        <s:v>0.9</s:v>
      </s:c>
      <s:c r="W42" s="111">
        <s:v>0.9</s:v>
      </s:c>
      <s:c r="X42" s="112"/>
      <s:c r="Y42" s="112"/>
      <s:c r="Z42" s="126"/>
      <s:c r="AA42" s="2"/>
      <s:c r="AB42" s="2"/>
      <s:c r="AC42" s="2"/>
      <s:c r="AD42" s="2"/>
    </s:row>
    <s:row r="43" spans="1:255" s="115" customFormat="1">
      <s:c r="A43" s="90">
        <s:v>19</s:v>
      </s:c>
      <s:c r="B43" s="91">
        <s:v>45709</s:v>
      </s:c>
      <s:c r="C43" s="92" t="s">
        <s:v>54</s:v>
      </s:c>
      <s:c r="D43" s="116">
        <s:v>28558</s:v>
      </s:c>
      <s:c r="E43" s="117">
        <s:v>5</s:v>
      </s:c>
      <s:c r="F43" s="117">
        <s:f>IF(AND(E43&lt;&gt;"",E43&lt;&gt;0),D43/E43,"")</s:f>
        <s:v>5711.6</s:v>
      </s:c>
      <s:c r="G43" s="117">
        <s:v>2</s:v>
      </s:c>
      <s:c r="H43" s="117">
        <s:f>IF(AND(G43&lt;&gt;"",G43&lt;&gt;0),D43/G43,"")</s:f>
        <s:v>14279</s:v>
      </s:c>
      <s:c r="I43" s="117">
        <s:v>7</s:v>
      </s:c>
      <s:c r="J43" s="116">
        <s:f>IF(AND(G43&lt;&gt;"",G43&lt;&gt;0),E43/G43,"")</s:f>
        <s:v>2.5</s:v>
      </s:c>
      <s:c r="K43" s="117"/>
      <s:c r="L43" s="117"/>
      <s:c r="M43" s="117"/>
      <s:c r="N43" s="118">
        <s:f>IF(AND(I43&lt;&gt;"",I43&lt;&gt;0),G43/I43,"")</s:f>
        <s:v>0.2857142857142857</s:v>
      </s:c>
      <s:c r="O43" s="119">
        <s:f>D43/P43</s:f>
        <s:v>0.88731900306908873</s:v>
      </s:c>
      <s:c r="P43" s="120">
        <s:f>$I$8*V43*W43/SUMPRODUCT($W$25:$W$55,$V$25:$V$55)</s:f>
        <s:v>32184.591901247051</s:v>
      </s:c>
      <s:c r="Q43" s="121">
        <s:f>$I$9*V43*W43/SUMPRODUCT($W$25:$W$55,$V$25:$V$55)</s:f>
        <s:v>8.379222051873743</s:v>
      </s:c>
      <s:c r="R43" s="121">
        <s:f>IF($I$12="","",Q43/$I$12)</s:f>
        <s:v>4.1896110259368715</s:v>
      </s:c>
      <s:c r="S43" s="120">
        <s:f>IF(W43&lt;&gt;"",IF(D43&lt;&gt;"",D43,($I$8-SUM($S$25:S42))*V43*W43/SUMPRODUCT($W43:$W$55,$V43:$V$55)),"")</s:f>
        <s:v>28558</s:v>
      </s:c>
      <s:c r="T43" s="121">
        <s:f>IF(W43&lt;&gt;"",IF(E43&lt;&gt;"",E43,($I$9-SUM($T$25:T42))*V43*W43/SUMPRODUCT($W43:$W$55,$V43:$V$55)),"")</s:f>
        <s:v>5</s:v>
      </s:c>
      <s:c r="U43" s="121">
        <s:f>IF(W43&lt;&gt;"",IF($I$12&lt;&gt;"",IF(G43&lt;&gt;"",G43,($I$9/$I$12-SUM($U$25:U42))*V43*W43/SUMPRODUCT($W43:$W$55,$V43:$V$55)),""),"")</s:f>
        <s:v>2</s:v>
      </s:c>
      <s:c r="V43" s="122">
        <s:v>0.9</s:v>
      </s:c>
      <s:c r="W43" s="122">
        <s:v>0.9</s:v>
      </s:c>
      <s:c r="X43" s="123"/>
      <s:c r="Y43" s="123"/>
      <s:c r="Z43" s="127"/>
      <s:c r="AA43" s="124"/>
      <s:c r="AB43" s="124"/>
      <s:c r="AC43" s="124"/>
      <s:c r="AD43" s="124"/>
      <s:c r="AE43" s="124"/>
      <s:c r="AF43" s="124"/>
      <s:c r="AG43" s="124"/>
      <s:c r="AH43" s="124"/>
      <s:c r="AI43" s="124"/>
      <s:c r="AJ43" s="124"/>
      <s:c r="AK43" s="124"/>
      <s:c r="AL43" s="124"/>
      <s:c r="AM43" s="124"/>
      <s:c r="AN43" s="124"/>
      <s:c r="AO43" s="124"/>
      <s:c r="AP43" s="124"/>
      <s:c r="AQ43" s="124"/>
      <s:c r="AR43" s="124"/>
      <s:c r="AS43" s="124"/>
      <s:c r="AT43" s="124"/>
      <s:c r="AU43" s="124"/>
      <s:c r="AV43" s="124"/>
      <s:c r="AW43" s="124"/>
      <s:c r="AX43" s="124"/>
      <s:c r="AY43" s="124"/>
      <s:c r="AZ43" s="124"/>
      <s:c r="BA43" s="124"/>
      <s:c r="BB43" s="124"/>
      <s:c r="BC43" s="124"/>
      <s:c r="BD43" s="124"/>
      <s:c r="BE43" s="124"/>
      <s:c r="BF43" s="124"/>
      <s:c r="BG43" s="124"/>
      <s:c r="BH43" s="124"/>
      <s:c r="BI43" s="124"/>
      <s:c r="BJ43" s="124"/>
      <s:c r="BK43" s="124"/>
      <s:c r="BL43" s="124"/>
      <s:c r="BM43" s="124"/>
      <s:c r="BN43" s="124"/>
      <s:c r="BO43" s="124"/>
      <s:c r="BP43" s="124"/>
      <s:c r="BQ43" s="124"/>
      <s:c r="BR43" s="124"/>
      <s:c r="BS43" s="124"/>
      <s:c r="BT43" s="124"/>
      <s:c r="BU43" s="124"/>
      <s:c r="BV43" s="124"/>
      <s:c r="BW43" s="124"/>
      <s:c r="BX43" s="124"/>
      <s:c r="BY43" s="124"/>
      <s:c r="BZ43" s="124"/>
      <s:c r="CA43" s="124"/>
      <s:c r="CB43" s="124"/>
      <s:c r="CC43" s="124"/>
      <s:c r="CD43" s="124"/>
      <s:c r="CE43" s="124"/>
      <s:c r="CF43" s="124"/>
      <s:c r="CG43" s="124"/>
      <s:c r="CH43" s="124"/>
      <s:c r="CI43" s="124"/>
      <s:c r="CJ43" s="124"/>
      <s:c r="CK43" s="124"/>
      <s:c r="CL43" s="124"/>
      <s:c r="CM43" s="124"/>
      <s:c r="CN43" s="124"/>
      <s:c r="CO43" s="124"/>
      <s:c r="CP43" s="124"/>
      <s:c r="CQ43" s="124"/>
      <s:c r="CR43" s="124"/>
      <s:c r="CS43" s="124"/>
      <s:c r="CT43" s="124"/>
      <s:c r="CU43" s="124"/>
      <s:c r="CV43" s="124"/>
      <s:c r="CW43" s="124"/>
      <s:c r="CX43" s="124"/>
      <s:c r="CY43" s="124"/>
      <s:c r="CZ43" s="124"/>
      <s:c r="DA43" s="124"/>
      <s:c r="DB43" s="124"/>
      <s:c r="DC43" s="124"/>
      <s:c r="DD43" s="124"/>
      <s:c r="DE43" s="124"/>
      <s:c r="DF43" s="124"/>
      <s:c r="DG43" s="124"/>
      <s:c r="DH43" s="124"/>
      <s:c r="DI43" s="124"/>
      <s:c r="DJ43" s="124"/>
      <s:c r="DK43" s="124"/>
      <s:c r="DL43" s="124"/>
      <s:c r="DM43" s="124"/>
      <s:c r="DN43" s="124"/>
      <s:c r="DO43" s="124"/>
      <s:c r="DP43" s="124"/>
      <s:c r="DQ43" s="124"/>
      <s:c r="DR43" s="124"/>
      <s:c r="DS43" s="124"/>
      <s:c r="DT43" s="124"/>
      <s:c r="DU43" s="124"/>
      <s:c r="DV43" s="124"/>
      <s:c r="DW43" s="124"/>
      <s:c r="DX43" s="124"/>
      <s:c r="DY43" s="124"/>
      <s:c r="DZ43" s="124"/>
      <s:c r="EA43" s="124"/>
      <s:c r="EB43" s="124"/>
      <s:c r="EC43" s="124"/>
      <s:c r="ED43" s="124"/>
      <s:c r="EE43" s="124"/>
      <s:c r="EF43" s="124"/>
      <s:c r="EG43" s="124"/>
      <s:c r="EH43" s="124"/>
      <s:c r="EI43" s="124"/>
      <s:c r="EJ43" s="124"/>
      <s:c r="EK43" s="124"/>
      <s:c r="EL43" s="124"/>
      <s:c r="EM43" s="124"/>
      <s:c r="EN43" s="124"/>
      <s:c r="EO43" s="124"/>
      <s:c r="EP43" s="124"/>
      <s:c r="EQ43" s="124"/>
      <s:c r="ER43" s="124"/>
      <s:c r="ES43" s="124"/>
      <s:c r="ET43" s="124"/>
      <s:c r="EU43" s="124"/>
      <s:c r="EV43" s="124"/>
      <s:c r="EW43" s="124"/>
      <s:c r="EX43" s="124"/>
      <s:c r="EY43" s="124"/>
      <s:c r="EZ43" s="124"/>
      <s:c r="FA43" s="124"/>
      <s:c r="FB43" s="124"/>
      <s:c r="FC43" s="124"/>
      <s:c r="FD43" s="124"/>
      <s:c r="FE43" s="124"/>
      <s:c r="FF43" s="124"/>
      <s:c r="FG43" s="124"/>
      <s:c r="FH43" s="124"/>
      <s:c r="FI43" s="124"/>
      <s:c r="FJ43" s="124"/>
      <s:c r="FK43" s="124"/>
      <s:c r="FL43" s="124"/>
      <s:c r="FM43" s="124"/>
      <s:c r="FN43" s="124"/>
      <s:c r="FO43" s="124"/>
      <s:c r="FP43" s="124"/>
      <s:c r="FQ43" s="124"/>
      <s:c r="FR43" s="124"/>
      <s:c r="FS43" s="124"/>
      <s:c r="FT43" s="124"/>
      <s:c r="FU43" s="124"/>
      <s:c r="FV43" s="124"/>
      <s:c r="FW43" s="124"/>
      <s:c r="FX43" s="124"/>
      <s:c r="FY43" s="124"/>
      <s:c r="FZ43" s="124"/>
      <s:c r="GA43" s="124"/>
      <s:c r="GB43" s="124"/>
      <s:c r="GC43" s="124"/>
      <s:c r="GD43" s="124"/>
      <s:c r="GE43" s="124"/>
      <s:c r="GF43" s="124"/>
      <s:c r="GG43" s="124"/>
      <s:c r="GH43" s="124"/>
      <s:c r="GI43" s="124"/>
      <s:c r="GJ43" s="124"/>
      <s:c r="GK43" s="124"/>
      <s:c r="GL43" s="124"/>
      <s:c r="GM43" s="124"/>
      <s:c r="GN43" s="124"/>
      <s:c r="GO43" s="124"/>
      <s:c r="GP43" s="124"/>
      <s:c r="GQ43" s="124"/>
      <s:c r="GR43" s="124"/>
      <s:c r="GS43" s="124"/>
      <s:c r="GT43" s="124"/>
      <s:c r="GU43" s="124"/>
      <s:c r="GV43" s="124"/>
      <s:c r="GW43" s="124"/>
      <s:c r="GX43" s="124"/>
      <s:c r="GY43" s="124"/>
      <s:c r="GZ43" s="124"/>
      <s:c r="HA43" s="124"/>
      <s:c r="HB43" s="124"/>
      <s:c r="HC43" s="124"/>
      <s:c r="HD43" s="124"/>
      <s:c r="HE43" s="124"/>
      <s:c r="HF43" s="124"/>
      <s:c r="HG43" s="124"/>
      <s:c r="HH43" s="124"/>
      <s:c r="HI43" s="124"/>
      <s:c r="HJ43" s="124"/>
      <s:c r="HK43" s="124"/>
      <s:c r="HL43" s="124"/>
      <s:c r="HM43" s="124"/>
      <s:c r="HN43" s="124"/>
      <s:c r="HO43" s="124"/>
      <s:c r="HP43" s="124"/>
      <s:c r="HQ43" s="124"/>
      <s:c r="HR43" s="124"/>
      <s:c r="HS43" s="124"/>
      <s:c r="HT43" s="124"/>
      <s:c r="HU43" s="124"/>
      <s:c r="HV43" s="124"/>
      <s:c r="HW43" s="124"/>
      <s:c r="HX43" s="124"/>
      <s:c r="HY43" s="124"/>
      <s:c r="HZ43" s="124"/>
      <s:c r="IA43" s="124"/>
      <s:c r="IB43" s="124"/>
      <s:c r="IC43" s="124"/>
      <s:c r="ID43" s="124"/>
      <s:c r="IE43" s="124"/>
      <s:c r="IF43" s="124"/>
      <s:c r="IG43" s="124"/>
      <s:c r="IH43" s="124"/>
      <s:c r="II43" s="124"/>
      <s:c r="IJ43" s="124"/>
      <s:c r="IK43" s="124"/>
      <s:c r="IL43" s="124"/>
      <s:c r="IM43" s="124"/>
      <s:c r="IN43" s="124"/>
      <s:c r="IO43" s="124"/>
      <s:c r="IP43" s="124"/>
      <s:c r="IQ43" s="124"/>
      <s:c r="IR43" s="124"/>
      <s:c r="IS43" s="124"/>
      <s:c r="IT43" s="124"/>
      <s:c r="IU43" s="124"/>
    </s:row>
    <s:row r="44" spans="1:255" s="115" customFormat="1">
      <s:c r="A44" s="90">
        <s:v>20</s:v>
      </s:c>
      <s:c r="B44" s="91">
        <s:v>45710</s:v>
      </s:c>
      <s:c r="C44" s="92" t="s">
        <s:v>47</s:v>
      </s:c>
      <s:c r="D44" s="116">
        <s:v>22350</s:v>
      </s:c>
      <s:c r="E44" s="117">
        <s:v>6</s:v>
      </s:c>
      <s:c r="F44" s="117">
        <s:f>IF(AND(E44&lt;&gt;"",E44&lt;&gt;0),D44/E44,"")</s:f>
        <s:v>3725</s:v>
      </s:c>
      <s:c r="G44" s="117">
        <s:v>4</s:v>
      </s:c>
      <s:c r="H44" s="117">
        <s:f>IF(AND(G44&lt;&gt;"",G44&lt;&gt;0),D44/G44,"")</s:f>
        <s:v>5587.5</s:v>
      </s:c>
      <s:c r="I44" s="117">
        <s:v>15</s:v>
      </s:c>
      <s:c r="J44" s="116">
        <s:f>IF(AND(G44&lt;&gt;"",G44&lt;&gt;0),E44/G44,"")</s:f>
        <s:v>1.5</s:v>
      </s:c>
      <s:c r="K44" s="117"/>
      <s:c r="L44" s="117"/>
      <s:c r="M44" s="117"/>
      <s:c r="N44" s="118">
        <s:f>IF(AND(I44&lt;&gt;"",I44&lt;&gt;0),G44/I44,"")</s:f>
        <s:v>0.26666666666666666</s:v>
      </s:c>
      <s:c r="O44" s="119">
        <s:f>D44/P44</s:f>
        <s:v>0.56248965516006888</s:v>
      </s:c>
      <s:c r="P44" s="120">
        <s:f>$I$8*V44*W44/SUMPRODUCT($W$25:$W$55,$V$25:$V$55)</s:f>
        <s:v>39734.064075613642</s:v>
      </s:c>
      <s:c r="Q44" s="121">
        <s:f>$I$9*V44*W44/SUMPRODUCT($W$25:$W$55,$V$25:$V$55)</s:f>
        <s:v>10.344718582560178</s:v>
      </s:c>
      <s:c r="R44" s="121">
        <s:f>IF($I$12="","",Q44/$I$12)</s:f>
        <s:v>5.1723592912800891</s:v>
      </s:c>
      <s:c r="S44" s="120">
        <s:f>IF(W44&lt;&gt;"",IF(D44&lt;&gt;"",D44,($I$8-SUM($S$25:S43))*V44*W44/SUMPRODUCT($W44:$W$55,$V44:$V$55)),"")</s:f>
        <s:v>22350</s:v>
      </s:c>
      <s:c r="T44" s="121">
        <s:f>IF(W44&lt;&gt;"",IF(E44&lt;&gt;"",E44,($I$9-SUM($T$25:T43))*V44*W44/SUMPRODUCT($W44:$W$55,$V44:$V$55)),"")</s:f>
        <s:v>6</s:v>
      </s:c>
      <s:c r="U44" s="121">
        <s:f>IF(W44&lt;&gt;"",IF($I$12&lt;&gt;"",IF(G44&lt;&gt;"",G44,($I$9/$I$12-SUM($U$25:U43))*V44*W44/SUMPRODUCT($W44:$W$55,$V44:$V$55)),""),"")</s:f>
        <s:v>4</s:v>
      </s:c>
      <s:c r="V44" s="122">
        <s:v>1</s:v>
      </s:c>
      <s:c r="W44" s="122">
        <s:v>1</s:v>
      </s:c>
      <s:c r="X44" s="123"/>
      <s:c r="Y44" s="123"/>
      <s:c r="Z44" s="127"/>
    </s:row>
    <s:row r="45" spans="1:255" s="115" customFormat="1">
      <s:c r="A45" s="90">
        <s:v>21</s:v>
      </s:c>
      <s:c r="B45" s="91">
        <s:v>45711</s:v>
      </s:c>
      <s:c r="C45" s="92" t="s">
        <s:v>48</s:v>
      </s:c>
      <s:c r="D45" s="116">
        <s:v>56582</s:v>
      </s:c>
      <s:c r="E45" s="117">
        <s:v>13</s:v>
      </s:c>
      <s:c r="F45" s="117">
        <s:f>IF(AND(E45&lt;&gt;"",E45&lt;&gt;0),D45/E45,"")</s:f>
        <s:v>4352.4615384615381</s:v>
      </s:c>
      <s:c r="G45" s="117">
        <s:v>9</s:v>
      </s:c>
      <s:c r="H45" s="117">
        <s:f>IF(AND(G45&lt;&gt;"",G45&lt;&gt;0),D45/G45,"")</s:f>
        <s:v>6286.8888888888887</s:v>
      </s:c>
      <s:c r="I45" s="117">
        <s:v>24</s:v>
      </s:c>
      <s:c r="J45" s="116">
        <s:f>IF(AND(G45&lt;&gt;"",G45&lt;&gt;0),E45/G45,"")</s:f>
        <s:v>1.4444444444444444</s:v>
      </s:c>
      <s:c r="K45" s="117"/>
      <s:c r="L45" s="117"/>
      <s:c r="M45" s="117"/>
      <s:c r="N45" s="118">
        <s:f>IF(AND(I45&lt;&gt;"",I45&lt;&gt;0),G45/I45,"")</s:f>
        <s:v>0.375</s:v>
      </s:c>
      <s:c r="O45" s="119">
        <s:f>D45/P45</s:f>
        <s:v>1.4240174348217907</s:v>
      </s:c>
      <s:c r="P45" s="120">
        <s:f>$I$8*V45*W45/SUMPRODUCT($W$25:$W$55,$V$25:$V$55)</s:f>
        <s:v>39734.064075613642</s:v>
      </s:c>
      <s:c r="Q45" s="121">
        <s:f>$I$9*V45*W45/SUMPRODUCT($W$25:$W$55,$V$25:$V$55)</s:f>
        <s:v>10.344718582560178</s:v>
      </s:c>
      <s:c r="R45" s="121">
        <s:f>IF($I$12="","",Q45/$I$12)</s:f>
        <s:v>5.1723592912800891</s:v>
      </s:c>
      <s:c r="S45" s="120">
        <s:f>IF(W45&lt;&gt;"",IF(D45&lt;&gt;"",D45,($I$8-SUM($S$25:S44))*V45*W45/SUMPRODUCT($W45:$W$55,$V45:$V$55)),"")</s:f>
        <s:v>56582</s:v>
      </s:c>
      <s:c r="T45" s="121">
        <s:f>IF(W45&lt;&gt;"",IF(E45&lt;&gt;"",E45,($I$9-SUM($T$25:T44))*V45*W45/SUMPRODUCT($W45:$W$55,$V45:$V$55)),"")</s:f>
        <s:v>13</s:v>
      </s:c>
      <s:c r="U45" s="121">
        <s:f>IF(W45&lt;&gt;"",IF($I$12&lt;&gt;"",IF(G45&lt;&gt;"",G45,($I$9/$I$12-SUM($U$25:U44))*V45*W45/SUMPRODUCT($W45:$W$55,$V45:$V$55)),""),"")</s:f>
        <s:v>9</s:v>
      </s:c>
      <s:c r="V45" s="122">
        <s:v>1</s:v>
      </s:c>
      <s:c r="W45" s="122">
        <s:v>1</s:v>
      </s:c>
      <s:c r="X45" s="123"/>
      <s:c r="Y45" s="123"/>
      <s:c r="Z45" s="127"/>
    </s:row>
    <s:row r="46">
      <s:c r="A46" s="101">
        <s:v>22</s:v>
      </s:c>
      <s:c r="B46" s="102">
        <s:v>45712</s:v>
      </s:c>
      <s:c r="C46" s="103" t="s">
        <s:v>50</s:v>
      </s:c>
      <s:c r="D46" s="104">
        <s:v>3892</s:v>
      </s:c>
      <s:c r="E46" s="106">
        <s:v>1</s:v>
      </s:c>
      <s:c r="F46" s="106">
        <s:f>IF(AND(E46&lt;&gt;"",E46&lt;&gt;0),D46/E46,"")</s:f>
        <s:v>3892</s:v>
      </s:c>
      <s:c r="G46" s="106">
        <s:v>1</s:v>
      </s:c>
      <s:c r="H46" s="106">
        <s:f>IF(AND(G46&lt;&gt;"",G46&lt;&gt;0),D46/G46,"")</s:f>
        <s:v>3892</s:v>
      </s:c>
      <s:c r="I46" s="106">
        <s:v>5</s:v>
      </s:c>
      <s:c r="J46" s="104">
        <s:f>IF(AND(G46&lt;&gt;"",G46&lt;&gt;0),E46/G46,"")</s:f>
        <s:v>1</s:v>
      </s:c>
      <s:c r="K46" s="106"/>
      <s:c r="L46" s="106"/>
      <s:c r="M46" s="106"/>
      <s:c r="N46" s="107">
        <s:f>IF(AND(I46&lt;&gt;"",I46&lt;&gt;0),G46/I46,"")</s:f>
        <s:v>0.2</s:v>
      </s:c>
      <s:c r="O46" s="108">
        <s:f>D46/P46</s:f>
        <s:v>0.1530487792144147</s:v>
      </s:c>
      <s:c r="P46" s="109">
        <s:f>$I$8*V46*W46/SUMPRODUCT($W$25:$W$55,$V$25:$V$55)</s:f>
        <s:v>25429.801008392733</s:v>
      </s:c>
      <s:c r="Q46" s="110">
        <s:f>$I$9*V46*W46/SUMPRODUCT($W$25:$W$55,$V$25:$V$55)</s:f>
        <s:v>6.6206198928385147</s:v>
      </s:c>
      <s:c r="R46" s="110">
        <s:f>IF($I$12="","",Q46/$I$12)</s:f>
        <s:v>3.3103099464192574</s:v>
      </s:c>
      <s:c r="S46" s="109">
        <s:f>IF(W46&lt;&gt;"",IF(D46&lt;&gt;"",D46,($I$8-SUM($S$25:S45))*V46*W46/SUMPRODUCT($W46:$W$55,$V46:$V$55)),"")</s:f>
        <s:v>3892</s:v>
      </s:c>
      <s:c r="T46" s="110">
        <s:f>IF(W46&lt;&gt;"",IF(E46&lt;&gt;"",E46,($I$9-SUM($T$25:T45))*V46*W46/SUMPRODUCT($W46:$W$55,$V46:$V$55)),"")</s:f>
        <s:v>1</s:v>
      </s:c>
      <s:c r="U46" s="110">
        <s:f>IF(W46&lt;&gt;"",IF($I$12&lt;&gt;"",IF(G46&lt;&gt;"",G46,($I$9/$I$12-SUM($U$25:U45))*V46*W46/SUMPRODUCT($W46:$W$55,$V46:$V$55)),""),"")</s:f>
        <s:v>1</s:v>
      </s:c>
      <s:c r="V46" s="111">
        <s:v>0.8</s:v>
      </s:c>
      <s:c r="W46" s="111">
        <s:v>0.8</s:v>
      </s:c>
      <s:c r="X46" s="112"/>
      <s:c r="Y46" s="112"/>
      <s:c r="Z46" s="126"/>
      <s:c r="AA46" s="2"/>
      <s:c r="AB46" s="2"/>
      <s:c r="AC46" s="2"/>
      <s:c r="AD46" s="2"/>
    </s:row>
    <s:row r="47">
      <s:c r="A47" s="101">
        <s:v>23</s:v>
      </s:c>
      <s:c r="B47" s="102">
        <s:v>45713</s:v>
      </s:c>
      <s:c r="C47" s="103" t="s">
        <s:v>51</s:v>
      </s:c>
      <s:c r="D47" s="104">
        <s:v>20474</s:v>
      </s:c>
      <s:c r="E47" s="106">
        <s:v>3</s:v>
      </s:c>
      <s:c r="F47" s="106">
        <s:f>IF(AND(E47&lt;&gt;"",E47&lt;&gt;0),D47/E47,"")</s:f>
        <s:v>6824.666666666667</s:v>
      </s:c>
      <s:c r="G47" s="106">
        <s:v>1</s:v>
      </s:c>
      <s:c r="H47" s="106">
        <s:f>IF(AND(G47&lt;&gt;"",G47&lt;&gt;0),D47/G47,"")</s:f>
        <s:v>20474</s:v>
      </s:c>
      <s:c r="I47" s="106">
        <s:v>9</s:v>
      </s:c>
      <s:c r="J47" s="104">
        <s:f>IF(AND(G47&lt;&gt;"",G47&lt;&gt;0),E47/G47,"")</s:f>
        <s:v>3</s:v>
      </s:c>
      <s:c r="K47" s="106"/>
      <s:c r="L47" s="106"/>
      <s:c r="M47" s="106"/>
      <s:c r="N47" s="107">
        <s:f>IF(AND(I47&lt;&gt;"",I47&lt;&gt;0),G47/I47,"")</s:f>
        <s:v>0.1111111111111111</s:v>
      </s:c>
      <s:c r="O47" s="108">
        <s:f>D47/P47</s:f>
        <s:v>0.80511837246555162</s:v>
      </s:c>
      <s:c r="P47" s="109">
        <s:f>$I$8*V47*W47/SUMPRODUCT($W$25:$W$55,$V$25:$V$55)</s:f>
        <s:v>25429.801008392733</s:v>
      </s:c>
      <s:c r="Q47" s="110">
        <s:f>$I$9*V47*W47/SUMPRODUCT($W$25:$W$55,$V$25:$V$55)</s:f>
        <s:v>6.6206198928385147</s:v>
      </s:c>
      <s:c r="R47" s="110">
        <s:f>IF($I$12="","",Q47/$I$12)</s:f>
        <s:v>3.3103099464192574</s:v>
      </s:c>
      <s:c r="S47" s="109">
        <s:f>IF(W47&lt;&gt;"",IF(D47&lt;&gt;"",D47,($I$8-SUM($S$25:S46))*V47*W47/SUMPRODUCT($W47:$W$55,$V47:$V$55)),"")</s:f>
        <s:v>20474</s:v>
      </s:c>
      <s:c r="T47" s="110">
        <s:f>IF(W47&lt;&gt;"",IF(E47&lt;&gt;"",E47,($I$9-SUM($T$25:T46))*V47*W47/SUMPRODUCT($W47:$W$55,$V47:$V$55)),"")</s:f>
        <s:v>3</s:v>
      </s:c>
      <s:c r="U47" s="110">
        <s:f>IF(W47&lt;&gt;"",IF($I$12&lt;&gt;"",IF(G47&lt;&gt;"",G47,($I$9/$I$12-SUM($U$25:U46))*V47*W47/SUMPRODUCT($W47:$W$55,$V47:$V$55)),""),"")</s:f>
        <s:v>1</s:v>
      </s:c>
      <s:c r="V47" s="111">
        <s:v>0.8</s:v>
      </s:c>
      <s:c r="W47" s="111">
        <s:v>0.8</s:v>
      </s:c>
      <s:c r="X47" s="112"/>
      <s:c r="Y47" s="112"/>
      <s:c r="Z47" s="126"/>
      <s:c r="AA47" s="2"/>
      <s:c r="AB47" s="2"/>
      <s:c r="AC47" s="2"/>
      <s:c r="AD47" s="2"/>
    </s:row>
    <s:row r="48">
      <s:c r="A48" s="101">
        <s:v>24</s:v>
      </s:c>
      <s:c r="B48" s="102">
        <s:v>45714</s:v>
      </s:c>
      <s:c r="C48" s="103" t="s">
        <s:v>52</s:v>
      </s:c>
      <s:c r="D48" s="104">
        <s:v>6683</s:v>
      </s:c>
      <s:c r="E48" s="106">
        <s:v>2</s:v>
      </s:c>
      <s:c r="F48" s="105">
        <s:f>IF(AND(E48&lt;&gt;"",E48&lt;&gt;0),D48/E48,"")</s:f>
        <s:v>3341.5</s:v>
      </s:c>
      <s:c r="G48" s="106">
        <s:v>1</s:v>
      </s:c>
      <s:c r="H48" s="106">
        <s:f>IF(AND(G48&lt;&gt;"",G48&lt;&gt;0),D48/G48,"")</s:f>
        <s:v>6683</s:v>
      </s:c>
      <s:c r="I48" s="106">
        <s:v>4</s:v>
      </s:c>
      <s:c r="J48" s="104">
        <s:f>IF(AND(G48&lt;&gt;"",G48&lt;&gt;0),E48/G48,"")</s:f>
        <s:v>2</s:v>
      </s:c>
      <s:c r="K48" s="106"/>
      <s:c r="L48" s="106"/>
      <s:c r="M48" s="106"/>
      <s:c r="N48" s="107">
        <s:f>IF(AND(I48&lt;&gt;"",I48&lt;&gt;0),G48/I48,"")</s:f>
        <s:v>0.25</s:v>
      </s:c>
      <s:c r="O48" s="108">
        <s:f>D48/P48</s:f>
        <s:v>0.1681932154556931</s:v>
      </s:c>
      <s:c r="P48" s="109">
        <s:f>$I$8*V48*W48/SUMPRODUCT($W$25:$W$55,$V$25:$V$55)</s:f>
        <s:v>39734.064075613642</s:v>
      </s:c>
      <s:c r="Q48" s="110">
        <s:f>$I$9*V48*W48/SUMPRODUCT($W$25:$W$55,$V$25:$V$55)</s:f>
        <s:v>10.344718582560178</s:v>
      </s:c>
      <s:c r="R48" s="110">
        <s:f>IF($I$12="","",Q48/$I$12)</s:f>
        <s:v>5.1723592912800891</s:v>
      </s:c>
      <s:c r="S48" s="109">
        <s:f>IF(W48&lt;&gt;"",IF(D48&lt;&gt;"",D48,($I$8-SUM($S$25:S47))*V48*W48/SUMPRODUCT($W48:$W$55,$V48:$V$55)),"")</s:f>
        <s:v>6683</s:v>
      </s:c>
      <s:c r="T48" s="110">
        <s:f>IF(W48&lt;&gt;"",IF(E48&lt;&gt;"",E48,($I$9-SUM($T$25:T47))*V48*W48/SUMPRODUCT($W48:$W$55,$V48:$V$55)),"")</s:f>
        <s:v>2</s:v>
      </s:c>
      <s:c r="U48" s="110">
        <s:f>IF(W48&lt;&gt;"",IF($I$12&lt;&gt;"",IF(G48&lt;&gt;"",G48,($I$9/$I$12-SUM($U$25:U47))*V48*W48/SUMPRODUCT($W48:$W$55,$V48:$V$55)),""),"")</s:f>
        <s:v>1</s:v>
      </s:c>
      <s:c r="V48" s="111">
        <s:v>1</s:v>
      </s:c>
      <s:c r="W48" s="111">
        <s:v>1</s:v>
      </s:c>
      <s:c r="X48" s="112"/>
      <s:c r="Y48" s="112"/>
      <s:c r="Z48" s="126"/>
      <s:c r="AA48" s="2"/>
      <s:c r="AB48" s="2"/>
      <s:c r="AC48" s="2"/>
      <s:c r="AD48" s="2"/>
    </s:row>
    <s:row r="49">
      <s:c r="A49" s="101">
        <s:v>25</s:v>
      </s:c>
      <s:c r="B49" s="102">
        <s:v>45715</s:v>
      </s:c>
      <s:c r="C49" s="103" t="s">
        <s:v>53</s:v>
      </s:c>
      <s:c r="D49" s="104">
        <s:v>32572</s:v>
      </s:c>
      <s:c r="E49" s="106">
        <s:v>8</s:v>
      </s:c>
      <s:c r="F49" s="106">
        <s:f>IF(AND(E49&lt;&gt;"",E49&lt;&gt;0),D49/E49,"")</s:f>
        <s:v>4071.5</s:v>
      </s:c>
      <s:c r="G49" s="106">
        <s:v>3</s:v>
      </s:c>
      <s:c r="H49" s="106">
        <s:f>IF(AND(G49&lt;&gt;"",G49&lt;&gt;0),D49/G49,"")</s:f>
        <s:v>10857.333333333334</s:v>
      </s:c>
      <s:c r="I49" s="106">
        <s:v>10</s:v>
      </s:c>
      <s:c r="J49" s="104">
        <s:f>IF(AND(G49&lt;&gt;"",G49&lt;&gt;0),E49/G49,"")</s:f>
        <s:v>2.6666666666666665</s:v>
      </s:c>
      <s:c r="K49" s="106"/>
      <s:c r="L49" s="106"/>
      <s:c r="M49" s="106"/>
      <s:c r="N49" s="107">
        <s:f>IF(AND(I49&lt;&gt;"",I49&lt;&gt;0),G49/I49,"")</s:f>
        <s:v>0.3</s:v>
      </s:c>
      <s:c r="O49" s="108">
        <s:f>D49/P49</s:f>
        <s:v>0.81975002451336754</s:v>
      </s:c>
      <s:c r="P49" s="109">
        <s:f>$I$8*V49*W49/SUMPRODUCT($W$25:$W$55,$V$25:$V$55)</s:f>
        <s:v>39734.064075613642</s:v>
      </s:c>
      <s:c r="Q49" s="110">
        <s:f>$I$9*V49*W49/SUMPRODUCT($W$25:$W$55,$V$25:$V$55)</s:f>
        <s:v>10.344718582560178</s:v>
      </s:c>
      <s:c r="R49" s="110">
        <s:f>IF($I$12="","",Q49/$I$12)</s:f>
        <s:v>5.1723592912800891</s:v>
      </s:c>
      <s:c r="S49" s="109">
        <s:f>IF(W49&lt;&gt;"",IF(D49&lt;&gt;"",D49,($I$8-SUM($S$25:S48))*V49*W49/SUMPRODUCT($W49:$W$55,$V49:$V$55)),"")</s:f>
        <s:v>32572</s:v>
      </s:c>
      <s:c r="T49" s="110">
        <s:f>IF(W49&lt;&gt;"",IF(E49&lt;&gt;"",E49,($I$9-SUM($T$25:T48))*V49*W49/SUMPRODUCT($W49:$W$55,$V49:$V$55)),"")</s:f>
        <s:v>8</s:v>
      </s:c>
      <s:c r="U49" s="110">
        <s:f>IF(W49&lt;&gt;"",IF($I$12&lt;&gt;"",IF(G49&lt;&gt;"",G49,($I$9/$I$12-SUM($U$25:U48))*V49*W49/SUMPRODUCT($W49:$W$55,$V49:$V$55)),""),"")</s:f>
        <s:v>3</s:v>
      </s:c>
      <s:c r="V49" s="111">
        <s:v>1</s:v>
      </s:c>
      <s:c r="W49" s="111">
        <s:v>1</s:v>
      </s:c>
      <s:c r="X49" s="112"/>
      <s:c r="Y49" s="112"/>
      <s:c r="Z49" s="126"/>
      <s:c r="AA49" s="2"/>
      <s:c r="AB49" s="2"/>
      <s:c r="AC49" s="2"/>
      <s:c r="AD49" s="2"/>
    </s:row>
    <s:row r="50" spans="1:255" s="115" customFormat="1">
      <s:c r="A50" s="90">
        <s:v>26</s:v>
      </s:c>
      <s:c r="B50" s="91">
        <s:v>45716</s:v>
      </s:c>
      <s:c r="C50" s="92" t="s">
        <s:v>54</s:v>
      </s:c>
      <s:c r="D50" s="116">
        <s:v>20159</s:v>
      </s:c>
      <s:c r="E50" s="117">
        <s:v>5</s:v>
      </s:c>
      <s:c r="F50" s="117">
        <s:f>IF(AND(E50&lt;&gt;"",E50&lt;&gt;0),D50/E50,"")</s:f>
        <s:v>4031.8</s:v>
      </s:c>
      <s:c r="G50" s="117">
        <s:v>5</s:v>
      </s:c>
      <s:c r="H50" s="117">
        <s:f>IF(AND(G50&lt;&gt;"",G50&lt;&gt;0),D50/G50,"")</s:f>
        <s:v>4031.8</s:v>
      </s:c>
      <s:c r="I50" s="117">
        <s:v>10</s:v>
      </s:c>
      <s:c r="J50" s="116">
        <s:f>IF(AND(G50&lt;&gt;"",G50&lt;&gt;0),E50/G50,"")</s:f>
        <s:v>1</s:v>
      </s:c>
      <s:c r="K50" s="117"/>
      <s:c r="L50" s="117"/>
      <s:c r="M50" s="117"/>
      <s:c r="N50" s="118">
        <s:f>IF(AND(I50&lt;&gt;"",I50&lt;&gt;0),G50/I50,"")</s:f>
        <s:v>0.5</s:v>
      </s:c>
      <s:c r="O50" s="119">
        <s:f>D50/P50</s:f>
        <s:v>0.50734805182871723</s:v>
      </s:c>
      <s:c r="P50" s="120">
        <s:f>$I$8*V50*W50/SUMPRODUCT($W$25:$W$55,$V$25:$V$55)</s:f>
        <s:v>39734.064075613642</s:v>
      </s:c>
      <s:c r="Q50" s="121">
        <s:f>$I$9*V50*W50/SUMPRODUCT($W$25:$W$55,$V$25:$V$55)</s:f>
        <s:v>10.344718582560178</s:v>
      </s:c>
      <s:c r="R50" s="121">
        <s:f>IF($I$12="","",Q50/$I$12)</s:f>
        <s:v>5.1723592912800891</s:v>
      </s:c>
      <s:c r="S50" s="120">
        <s:f>IF(W50&lt;&gt;"",IF(D50&lt;&gt;"",D50,($I$8-SUM($S$25:S49))*V50*W50/SUMPRODUCT($W50:$W$55,$V50:$V$55)),"")</s:f>
        <s:v>20159</s:v>
      </s:c>
      <s:c r="T50" s="121">
        <s:f>IF(W50&lt;&gt;"",IF(E50&lt;&gt;"",E50,($I$9-SUM($T$25:T49))*V50*W50/SUMPRODUCT($W50:$W$55,$V50:$V$55)),"")</s:f>
        <s:v>5</s:v>
      </s:c>
      <s:c r="U50" s="121">
        <s:f>IF(W50&lt;&gt;"",IF($I$12&lt;&gt;"",IF(G50&lt;&gt;"",G50,($I$9/$I$12-SUM($U$25:U49))*V50*W50/SUMPRODUCT($W50:$W$55,$V50:$V$55)),""),"")</s:f>
        <s:v>5</s:v>
      </s:c>
      <s:c r="V50" s="122">
        <s:v>1</s:v>
      </s:c>
      <s:c r="W50" s="122">
        <s:v>1</s:v>
      </s:c>
      <s:c r="X50" s="123"/>
      <s:c r="Y50" s="123"/>
      <s:c r="Z50" s="127"/>
      <s:c r="AA50" s="124"/>
      <s:c r="AB50" s="124"/>
      <s:c r="AC50" s="124"/>
      <s:c r="AD50" s="124"/>
      <s:c r="AE50" s="124"/>
      <s:c r="AF50" s="124"/>
      <s:c r="AG50" s="124"/>
      <s:c r="AH50" s="124"/>
      <s:c r="AI50" s="124"/>
      <s:c r="AJ50" s="124"/>
      <s:c r="AK50" s="124"/>
      <s:c r="AL50" s="124"/>
      <s:c r="AM50" s="124"/>
      <s:c r="AN50" s="124"/>
      <s:c r="AO50" s="124"/>
      <s:c r="AP50" s="124"/>
      <s:c r="AQ50" s="124"/>
      <s:c r="AR50" s="124"/>
      <s:c r="AS50" s="124"/>
      <s:c r="AT50" s="124"/>
      <s:c r="AU50" s="124"/>
      <s:c r="AV50" s="124"/>
      <s:c r="AW50" s="124"/>
      <s:c r="AX50" s="124"/>
      <s:c r="AY50" s="124"/>
      <s:c r="AZ50" s="124"/>
      <s:c r="BA50" s="124"/>
      <s:c r="BB50" s="124"/>
      <s:c r="BC50" s="124"/>
      <s:c r="BD50" s="124"/>
      <s:c r="BE50" s="124"/>
      <s:c r="BF50" s="124"/>
      <s:c r="BG50" s="124"/>
      <s:c r="BH50" s="124"/>
      <s:c r="BI50" s="124"/>
      <s:c r="BJ50" s="124"/>
      <s:c r="BK50" s="124"/>
      <s:c r="BL50" s="124"/>
      <s:c r="BM50" s="124"/>
      <s:c r="BN50" s="124"/>
      <s:c r="BO50" s="124"/>
      <s:c r="BP50" s="124"/>
      <s:c r="BQ50" s="124"/>
      <s:c r="BR50" s="124"/>
      <s:c r="BS50" s="124"/>
      <s:c r="BT50" s="124"/>
      <s:c r="BU50" s="124"/>
      <s:c r="BV50" s="124"/>
      <s:c r="BW50" s="124"/>
      <s:c r="BX50" s="124"/>
      <s:c r="BY50" s="124"/>
      <s:c r="BZ50" s="124"/>
      <s:c r="CA50" s="124"/>
      <s:c r="CB50" s="124"/>
      <s:c r="CC50" s="124"/>
      <s:c r="CD50" s="124"/>
      <s:c r="CE50" s="124"/>
      <s:c r="CF50" s="124"/>
      <s:c r="CG50" s="124"/>
      <s:c r="CH50" s="124"/>
      <s:c r="CI50" s="124"/>
      <s:c r="CJ50" s="124"/>
      <s:c r="CK50" s="124"/>
      <s:c r="CL50" s="124"/>
      <s:c r="CM50" s="124"/>
      <s:c r="CN50" s="124"/>
      <s:c r="CO50" s="124"/>
      <s:c r="CP50" s="124"/>
      <s:c r="CQ50" s="124"/>
      <s:c r="CR50" s="124"/>
      <s:c r="CS50" s="124"/>
      <s:c r="CT50" s="124"/>
      <s:c r="CU50" s="124"/>
      <s:c r="CV50" s="124"/>
      <s:c r="CW50" s="124"/>
      <s:c r="CX50" s="124"/>
      <s:c r="CY50" s="124"/>
      <s:c r="CZ50" s="124"/>
      <s:c r="DA50" s="124"/>
      <s:c r="DB50" s="124"/>
      <s:c r="DC50" s="124"/>
      <s:c r="DD50" s="124"/>
      <s:c r="DE50" s="124"/>
      <s:c r="DF50" s="124"/>
      <s:c r="DG50" s="124"/>
      <s:c r="DH50" s="124"/>
      <s:c r="DI50" s="124"/>
      <s:c r="DJ50" s="124"/>
      <s:c r="DK50" s="124"/>
      <s:c r="DL50" s="124"/>
      <s:c r="DM50" s="124"/>
      <s:c r="DN50" s="124"/>
      <s:c r="DO50" s="124"/>
      <s:c r="DP50" s="124"/>
      <s:c r="DQ50" s="124"/>
      <s:c r="DR50" s="124"/>
      <s:c r="DS50" s="124"/>
      <s:c r="DT50" s="124"/>
      <s:c r="DU50" s="124"/>
      <s:c r="DV50" s="124"/>
      <s:c r="DW50" s="124"/>
      <s:c r="DX50" s="124"/>
      <s:c r="DY50" s="124"/>
      <s:c r="DZ50" s="124"/>
      <s:c r="EA50" s="124"/>
      <s:c r="EB50" s="124"/>
      <s:c r="EC50" s="124"/>
      <s:c r="ED50" s="124"/>
      <s:c r="EE50" s="124"/>
      <s:c r="EF50" s="124"/>
      <s:c r="EG50" s="124"/>
      <s:c r="EH50" s="124"/>
      <s:c r="EI50" s="124"/>
      <s:c r="EJ50" s="124"/>
      <s:c r="EK50" s="124"/>
      <s:c r="EL50" s="124"/>
      <s:c r="EM50" s="124"/>
      <s:c r="EN50" s="124"/>
      <s:c r="EO50" s="124"/>
      <s:c r="EP50" s="124"/>
      <s:c r="EQ50" s="124"/>
      <s:c r="ER50" s="124"/>
      <s:c r="ES50" s="124"/>
      <s:c r="ET50" s="124"/>
      <s:c r="EU50" s="124"/>
      <s:c r="EV50" s="124"/>
      <s:c r="EW50" s="124"/>
      <s:c r="EX50" s="124"/>
      <s:c r="EY50" s="124"/>
      <s:c r="EZ50" s="124"/>
      <s:c r="FA50" s="124"/>
      <s:c r="FB50" s="124"/>
      <s:c r="FC50" s="124"/>
      <s:c r="FD50" s="124"/>
      <s:c r="FE50" s="124"/>
      <s:c r="FF50" s="124"/>
      <s:c r="FG50" s="124"/>
      <s:c r="FH50" s="124"/>
      <s:c r="FI50" s="124"/>
      <s:c r="FJ50" s="124"/>
      <s:c r="FK50" s="124"/>
      <s:c r="FL50" s="124"/>
      <s:c r="FM50" s="124"/>
      <s:c r="FN50" s="124"/>
      <s:c r="FO50" s="124"/>
      <s:c r="FP50" s="124"/>
      <s:c r="FQ50" s="124"/>
      <s:c r="FR50" s="124"/>
      <s:c r="FS50" s="124"/>
      <s:c r="FT50" s="124"/>
      <s:c r="FU50" s="124"/>
      <s:c r="FV50" s="124"/>
      <s:c r="FW50" s="124"/>
      <s:c r="FX50" s="124"/>
      <s:c r="FY50" s="124"/>
      <s:c r="FZ50" s="124"/>
      <s:c r="GA50" s="124"/>
      <s:c r="GB50" s="124"/>
      <s:c r="GC50" s="124"/>
      <s:c r="GD50" s="124"/>
      <s:c r="GE50" s="124"/>
      <s:c r="GF50" s="124"/>
      <s:c r="GG50" s="124"/>
      <s:c r="GH50" s="124"/>
      <s:c r="GI50" s="124"/>
      <s:c r="GJ50" s="124"/>
      <s:c r="GK50" s="124"/>
      <s:c r="GL50" s="124"/>
      <s:c r="GM50" s="124"/>
      <s:c r="GN50" s="124"/>
      <s:c r="GO50" s="124"/>
      <s:c r="GP50" s="124"/>
      <s:c r="GQ50" s="124"/>
      <s:c r="GR50" s="124"/>
      <s:c r="GS50" s="124"/>
      <s:c r="GT50" s="124"/>
      <s:c r="GU50" s="124"/>
      <s:c r="GV50" s="124"/>
      <s:c r="GW50" s="124"/>
      <s:c r="GX50" s="124"/>
      <s:c r="GY50" s="124"/>
      <s:c r="GZ50" s="124"/>
      <s:c r="HA50" s="124"/>
      <s:c r="HB50" s="124"/>
      <s:c r="HC50" s="124"/>
      <s:c r="HD50" s="124"/>
      <s:c r="HE50" s="124"/>
      <s:c r="HF50" s="124"/>
      <s:c r="HG50" s="124"/>
      <s:c r="HH50" s="124"/>
      <s:c r="HI50" s="124"/>
      <s:c r="HJ50" s="124"/>
      <s:c r="HK50" s="124"/>
      <s:c r="HL50" s="124"/>
      <s:c r="HM50" s="124"/>
      <s:c r="HN50" s="124"/>
      <s:c r="HO50" s="124"/>
      <s:c r="HP50" s="124"/>
      <s:c r="HQ50" s="124"/>
      <s:c r="HR50" s="124"/>
      <s:c r="HS50" s="124"/>
      <s:c r="HT50" s="124"/>
      <s:c r="HU50" s="124"/>
      <s:c r="HV50" s="124"/>
      <s:c r="HW50" s="124"/>
      <s:c r="HX50" s="124"/>
      <s:c r="HY50" s="124"/>
      <s:c r="HZ50" s="124"/>
      <s:c r="IA50" s="124"/>
      <s:c r="IB50" s="124"/>
      <s:c r="IC50" s="124"/>
      <s:c r="ID50" s="124"/>
      <s:c r="IE50" s="124"/>
      <s:c r="IF50" s="124"/>
      <s:c r="IG50" s="124"/>
      <s:c r="IH50" s="124"/>
      <s:c r="II50" s="124"/>
      <s:c r="IJ50" s="124"/>
      <s:c r="IK50" s="124"/>
      <s:c r="IL50" s="124"/>
      <s:c r="IM50" s="124"/>
      <s:c r="IN50" s="124"/>
      <s:c r="IO50" s="124"/>
      <s:c r="IP50" s="124"/>
      <s:c r="IQ50" s="124"/>
      <s:c r="IR50" s="124"/>
      <s:c r="IS50" s="124"/>
      <s:c r="IT50" s="124"/>
      <s:c r="IU50" s="124"/>
    </s:row>
    <s:row r="51" spans="1:255" ht="15" customHeight="1">
      <s:c r="B51" s="557" t="s">
        <s:v>55</s:v>
      </s:c>
      <s:c r="C51" s="557"/>
      <s:c r="D51" s="134">
        <s:f>SUM(D25:D50)</s:f>
        <s:v>723113</s:v>
      </s:c>
      <s:c r="E51" s="134">
        <s:f>SUM(E25:E50)</s:f>
        <s:v>167</s:v>
      </s:c>
      <s:c r="F51" s="134">
        <s:f>IF(AND(E51&lt;&gt;"",E51&lt;&gt;0),D51/E51,"")</s:f>
        <s:v>4330.0179640718561</s:v>
      </s:c>
      <s:c r="G51" s="134">
        <s:f>SUM(G25:G50)</s:f>
        <s:v>92</s:v>
      </s:c>
      <s:c r="H51" s="134">
        <s:f>IF(AND(G51&lt;&gt;"",G51&lt;&gt;0),D51/G51,"")</s:f>
        <s:v>7859.923913043478</s:v>
      </s:c>
      <s:c r="I51" s="134">
        <s:f>SUM(I25:I50)</s:f>
        <s:v>299</s:v>
      </s:c>
      <s:c r="J51" s="133">
        <s:f>IF(AND(G51&lt;&gt;"",G51&lt;&gt;0),E51/G51,"")</s:f>
        <s:v>1.8152173913043479</s:v>
      </s:c>
      <s:c r="K51" s="134">
        <s:f>SUM(K25:K48)</s:f>
        <s:v>0</s:v>
      </s:c>
      <s:c r="L51" s="134">
        <s:f>SUM(L25:L48)</s:f>
        <s:v>0</s:v>
      </s:c>
      <s:c r="M51" s="134">
        <s:f>SUM(M25:M48)</s:f>
        <s:v>0</s:v>
      </s:c>
      <s:c r="N51" s="135">
        <s:f>IF(AND(I51&lt;&gt;"",I51&lt;&gt;0),G51/I51,"")</s:f>
        <s:v>0.30769230769230771</s:v>
      </s:c>
      <s:c r="O51" s="136">
        <s:f>D51/P51</s:f>
        <s:v>0.75388641205896822</s:v>
      </s:c>
      <s:c r="P51" s="137">
        <s:f>SUM(P25:P49)</s:f>
        <s:v>959180.30678531295</s:v>
      </s:c>
      <s:c r="Q51" s="137">
        <s:f>SUM(Q25:Q49)</s:f>
        <s:v>249.72150658300262</s:v>
      </s:c>
      <s:c r="R51" s="137">
        <s:f>SUM(R25:R49)</s:f>
        <s:v>124.86075329150131</s:v>
      </s:c>
      <s:c r="S51" s="137">
        <s:f>SUM(S25:S49)</s:f>
        <s:v>809066.27332227677</s:v>
      </s:c>
      <s:c r="T51" s="137">
        <s:f>SUM(T25:T49)</s:f>
        <s:v>160</s:v>
      </s:c>
      <s:c r="U51" s="137">
        <s:f>SUM(U25:U49)</s:f>
        <s:v>87</s:v>
      </s:c>
      <s:c r="V51" s="138"/>
      <s:c r="W51" s="138"/>
    </s:row>
    <s:row r="52">
      <s:c r="B52" s="130"/>
      <s:c r="C52" s="140"/>
      <s:c r="D52" s="141">
        <s:f>SUMIF(D25:D48,"",P25:P48)+D51</s:f>
        <s:v>820064.11634449731</s:v>
      </s:c>
      <s:c r="E52" s="142"/>
      <s:c r="F52" s="140"/>
      <s:c r="G52" s="140"/>
      <s:c r="H52" s="143"/>
      <s:c r="I52" s="218"/>
      <s:c r="J52" s="143"/>
      <s:c r="L52" s="145"/>
      <s:c r="M52" s="142"/>
      <s:c r="N52" s="145"/>
      <s:c r="O52" s="145"/>
      <s:c r="P52" s="145"/>
      <s:c r="Q52" s="146"/>
    </s:row>
    <s:row r="53">
      <s:c r="D53" s="147"/>
    </s:row>
    <s:row r="54">
      <s:c r="D54" s="147"/>
    </s:row>
    <s:row r="55">
      <s:c r="D55" s="205"/>
    </s:row>
    <s:row r="56">
      <s:c r="D56" s="205"/>
    </s:row>
  </s:sheetData>
  <s:mergeCells count="27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P22:W22"/>
    <s:mergeCell ref="F15:H15"/>
    <s:mergeCell ref="F16:H16"/>
    <s:mergeCell ref="S16:S17"/>
    <s:mergeCell ref="F17:H17"/>
    <s:mergeCell ref="F18:H18"/>
    <s:mergeCell ref="B51:C51"/>
    <s:mergeCell ref="F19:H19"/>
    <s:mergeCell ref="F20:H20"/>
    <s:mergeCell ref="B22:N22"/>
    <s:mergeCell ref="O22:O24"/>
  </s:mergeCells>
  <s:conditionalFormatting sqref="J16">
    <s:cfRule type="cellIs" dxfId="148" priority="1269" operator="lessThan">
      <s:formula>0</s:formula>
    </s:cfRule>
    <s:cfRule type="cellIs" dxfId="147" priority="1270" operator="greaterThan">
      <s:formula>0</s:formula>
    </s:cfRule>
  </s:conditionalFormatting>
  <s:conditionalFormatting sqref="J25">
    <s:cfRule type="cellIs" dxfId="146" priority="220" operator="greaterThan">
      <s:formula>$I$12</s:formula>
    </s:cfRule>
    <s:cfRule type="cellIs" dxfId="145" priority="219" operator="lessThan">
      <s:formula>$I$12</s:formula>
    </s:cfRule>
  </s:conditionalFormatting>
  <s:conditionalFormatting sqref="J25:J26">
    <s:cfRule type="cellIs" dxfId="144" priority="221" operator="lessThan">
      <s:formula>$I$12</s:formula>
    </s:cfRule>
  </s:conditionalFormatting>
  <s:conditionalFormatting sqref="J26">
    <s:cfRule type="cellIs" dxfId="143" priority="1436" operator="lessThan">
      <s:formula>$I$12</s:formula>
    </s:cfRule>
    <s:cfRule type="cellIs" dxfId="142" priority="223" operator="greaterThan">
      <s:formula>$I$12</s:formula>
    </s:cfRule>
  </s:conditionalFormatting>
  <s:conditionalFormatting sqref="J27:J50">
    <s:cfRule type="cellIs" dxfId="141" priority="10" operator="lessThan">
      <s:formula>$I$12</s:formula>
    </s:cfRule>
    <s:cfRule type="cellIs" dxfId="140" priority="11" operator="greaterThan">
      <s:formula>$I$12</s:formula>
    </s:cfRule>
  </s:conditionalFormatting>
  <s:conditionalFormatting sqref="K10:K12 K15">
    <s:cfRule type="cellIs" dxfId="139" priority="1268" operator="greaterThan">
      <s:formula>1</s:formula>
    </s:cfRule>
    <s:cfRule type="cellIs" dxfId="138" priority="1267" operator="lessThan">
      <s:formula>1</s:formula>
    </s:cfRule>
  </s:conditionalFormatting>
  <s:conditionalFormatting sqref="K13">
    <s:cfRule type="cellIs" dxfId="137" priority="918" operator="greaterThan">
      <s:formula>$K$14</s:formula>
    </s:cfRule>
    <s:cfRule type="cellIs" dxfId="136" priority="917" operator="lessThan">
      <s:formula>$K$14</s:formula>
    </s:cfRule>
  </s:conditionalFormatting>
  <s:conditionalFormatting sqref="M8:M15">
    <s:cfRule type="cellIs" dxfId="135" priority="1285" operator="lessThan">
      <s:formula>1</s:formula>
    </s:cfRule>
    <s:cfRule type="cellIs" dxfId="134" priority="1266" operator="greaterThan">
      <s:formula>1</s:formula>
    </s:cfRule>
  </s:conditionalFormatting>
  <s:conditionalFormatting sqref="N25:N50">
    <s:cfRule type="cellIs" dxfId="133" priority="7" operator="between">
      <s:formula>0.2</s:formula>
      <s:formula>0.25</s:formula>
    </s:cfRule>
    <s:cfRule type="cellIs" dxfId="132" priority="8" operator="greaterThanOrEqual">
      <s:formula>0.25</s:formula>
    </s:cfRule>
    <s:cfRule type="cellIs" dxfId="131" priority="9" operator="lessThan">
      <s:formula>0.2</s:formula>
    </s:cfRule>
  </s:conditionalFormatting>
  <s:conditionalFormatting sqref="N26">
    <s:cfRule type="cellIs" dxfId="130" priority="1439" operator="between">
      <s:formula>0.2</s:formula>
      <s:formula>0.25</s:formula>
    </s:cfRule>
  </s:conditionalFormatting>
  <s:conditionalFormatting sqref="O25:O50">
    <s:cfRule type="cellIs" dxfId="129" priority="6" operator="between">
      <s:formula>0.01</s:formula>
      <s:formula>0.99</s:formula>
    </s:cfRule>
    <s:cfRule type="cellIs" dxfId="128" priority="5" operator="between">
      <s:formula>0.85</s:formula>
      <s:formula>1</s:formula>
    </s:cfRule>
    <s:cfRule type="cellIs" dxfId="127" priority="4" operator="greaterThan">
      <s:formula>100</s:formula>
    </s:cfRule>
    <s:cfRule type="cellIs" dxfId="126" priority="1" operator="between">
      <s:formula>0.9001</s:formula>
      <s:formula>0.9999</s:formula>
    </s:cfRule>
    <s:cfRule type="cellIs" dxfId="125" priority="3" operator="greaterThan">
      <s:formula>1</s:formula>
    </s:cfRule>
    <s:cfRule type="cellIs" dxfId="124" priority="2" operator="lessThan">
      <s:formula>0.9</s:formula>
    </s:cfRule>
  </s:conditionalFormatting>
  <s:conditionalFormatting sqref="O26">
    <s:cfRule type="cellIs" dxfId="123" priority="1445" operator="between">
      <s:formula>0.9001</s:formula>
      <s:formula>0.9999</s:formula>
    </s:cfRule>
    <s:cfRule type="cellIs" dxfId="122" priority="1441" operator="between">
      <s:formula>0.85</s:formula>
      <s:formula>1</s:formula>
    </s:cfRule>
    <s:cfRule type="cellIs" dxfId="121" priority="1444" operator="lessThan">
      <s:formula>0.9</s:formula>
    </s:cfRule>
  </s:conditionalFormatting>
  <s:conditionalFormatting sqref="P10:Q10">
    <s:cfRule type="cellIs" dxfId="120" priority="1281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400-000000000000}">
  <s:sheetPr>
    <s:pageSetUpPr fitToPage="1"/>
  </s:sheetPr>
  <s:dimension ref="A1:IU55"/>
  <s:sheetViews>
    <s:sheetView showZeros="0" tabSelected="0" topLeftCell="A29" zoomScale="90" workbookViewId="0">
      <s:pane xSplit="2" topLeftCell="C1" activePane="topRight" state="frozen"/>
      <s:selection activeCell="L17" sqref="L17"/>
      <s:selection pane="topRight"/>
    </s:sheetView>
  </s:sheetViews>
  <s:sheetFormatPr baseColWidth="10" defaultColWidth="9.164" defaultRowHeight="15"/>
  <s:cols>
    <s:col min="1" max="1" width="4.164" style="219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3" ht="15.75" customHeight="1">
      <s:c r="B1" s="619">
        <s:f ca="1">TODAY()-1</s:f>
        <s:v>46080</s:v>
      </s:c>
      <s:c r="C1" s="619"/>
      <s:c r="D1" s="11"/>
      <s:c r="E1" s="11"/>
      <s:c r="F1" s="12"/>
      <s:c r="G1" s="12"/>
      <s:c r="H1" s="12"/>
      <s:c r="I1" s="12"/>
      <s:c r="J1" s="177"/>
      <s:c r="K1" s="177"/>
      <s:c r="L1" s="177"/>
      <s:c r="M1" s="177"/>
      <s:c r="N1" s="177"/>
      <s:c r="O1" s="177"/>
      <s:c r="P1" s="177"/>
      <s:c r="Q1" s="620"/>
      <s:c r="R1" s="620"/>
      <s:c r="S1" s="620"/>
      <s:c r="T1" s="620"/>
      <s:c r="U1" s="12"/>
      <s:c r="V1" s="12"/>
      <s:c r="W1" s="12"/>
    </s:row>
    <s:row r="2" spans="2:23" ht="21.75" customHeight="1">
      <s:c r="B2" s="621" t="s">
        <s:v>0</s:v>
      </s:c>
      <s:c r="C2" s="621"/>
      <s:c r="D2" s="11"/>
      <s:c r="E2" s="11"/>
      <s:c r="F2" s="12"/>
      <s:c r="G2" s="12"/>
      <s:c r="H2" s="12"/>
      <s:c r="I2" s="12"/>
      <s:c r="J2" s="622" t="s">
        <s:v>61</s:v>
      </s:c>
      <s:c r="K2" s="622"/>
      <s:c r="L2" s="622"/>
      <s:c r="M2" s="622"/>
      <s:c r="N2" s="622"/>
      <s:c r="O2" s="622"/>
      <s:c r="P2" s="622"/>
      <s:c r="Q2" s="620"/>
      <s:c r="R2" s="620"/>
      <s:c r="S2" s="620"/>
      <s:c r="T2" s="62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23">
        <s:f>График!B30</s:f>
        <s:v>0</s:v>
      </s:c>
      <s:c r="K3" s="624"/>
      <s:c r="L3" s="624"/>
      <s:c r="M3" s="624"/>
      <s:c r="N3" s="625"/>
      <s:c r="O3" s="177"/>
      <s:c r="P3" s="178"/>
      <s:c r="Q3" s="620"/>
      <s:c r="R3" s="620"/>
      <s:c r="S3" s="620"/>
      <s:c r="T3" s="620"/>
      <s:c r="U3" s="12"/>
      <s:c r="V3" s="12"/>
      <s:c r="W3" s="12"/>
    </s:row>
    <s:row r="4" spans="2:23" ht="15" customHeight="1">
      <s:c r="B4" s="11"/>
      <s:c r="C4" s="629">
        <s:f>I8-D50</s:f>
        <s:v>0</s:v>
      </s:c>
      <s:c r="D4" s="630"/>
      <s:c r="E4" s="179">
        <s:f>IF(I8&lt;&gt;0, C4/I8, 0)</s:f>
        <s:v>0</s:v>
      </s:c>
      <s:c r="F4" s="12"/>
      <s:c r="G4" s="12"/>
      <s:c r="H4" s="12"/>
      <s:c r="I4" s="12"/>
      <s:c r="J4" s="626"/>
      <s:c r="K4" s="627"/>
      <s:c r="L4" s="627"/>
      <s:c r="M4" s="627"/>
      <s:c r="N4" s="628"/>
      <s:c r="O4" s="12"/>
      <s:c r="P4" s="12"/>
      <s:c r="Q4" s="620"/>
      <s:c r="R4" s="620"/>
      <s:c r="S4" s="620"/>
      <s:c r="T4" s="62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80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80"/>
      <s:c r="C7" s="12"/>
      <s:c r="D7" s="12"/>
      <s:c r="E7" s="12"/>
      <s:c r="F7" s="571" t="s">
        <s:v>3</s:v>
      </s:c>
      <s:c r="G7" s="572"/>
      <s:c r="H7" s="573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74" t="s">
        <s:v>11</s:v>
      </s:c>
      <s:c r="Q7" s="575"/>
      <s:c r="R7" s="20"/>
      <s:c r="S7" s="20"/>
      <s:c r="T7" s="12"/>
      <s:c r="U7" s="12"/>
      <s:c r="V7" s="12"/>
      <s:c r="W7" s="12"/>
    </s:row>
    <s:row r="8" spans="2:23" ht="15.75" customHeight="1">
      <s:c r="B8" s="180"/>
      <s:c r="C8" s="12"/>
      <s:c r="D8" s="12"/>
      <s:c r="E8" s="12"/>
      <s:c r="F8" s="567" t="s">
        <s:v>12</s:v>
      </s:c>
      <s:c r="G8" s="568"/>
      <s:c r="H8" s="569"/>
      <s:c r="I8" s="181">
        <s:f>'Ялта, Ленина, 18'!I8/График!AJ31*График!AJ30</s:f>
        <s:v>0</s:v>
      </s:c>
      <s:c r="J8" s="182">
        <s:f>D50</s:f>
        <s:v>0</s:v>
      </s:c>
      <s:c r="K8" s="220" t="e">
        <s:f>J8/I8</s:f>
        <s:v>#DIV/0!</s:v>
      </s:c>
      <s:c r="L8" s="184">
        <s:f>IF(SUMIF($D$25:$D$49,"&gt;=0",$P$25:$P$49)&lt;&gt;0,I8*D50/SUMIF($D$25:$D$49,"&gt;=0",$P$25:$P$49),0)</s:f>
        <s:v>0</s:v>
      </s:c>
      <s:c r="M8" s="40" t="str">
        <s:f>IF(AND(I8&lt;&gt;"",I8&lt;&gt;0,L8&lt;&gt;"",L8&lt;&gt;0),L8/I8,"")</s:f>
        <s:v/>
      </s:c>
      <s:c r="N8" s="32" t="str">
        <s:f>IF(AND(J8&lt;&gt;0, J8&lt;&gt;"", I8&lt;&gt;0, I8&lt;&gt;""), L8-I8, "")</s:f>
        <s:v/>
      </s:c>
      <s:c r="O8" s="33"/>
      <s:c r="P8" s="32" t="str">
        <s:f>IF(AND(O8&lt;&gt;"", O8&lt;&gt;0, L8&lt;&gt;"", L8&lt;&gt;0), -O8+L8, "")</s:f>
        <s:v/>
      </s:c>
      <s:c r="Q8" s="34" t="str">
        <s:f>IF(AND(P8&lt;&gt;"", P8&lt;&gt;0, O8&lt;&gt;0, O8&lt;&gt;""), P8/O8, "")</s:f>
        <s:v/>
      </s:c>
      <s:c r="R8" s="20"/>
      <s:c r="S8" s="35"/>
      <s:c r="T8" s="12"/>
      <s:c r="U8" s="12"/>
      <s:c r="V8" s="12"/>
      <s:c r="W8" s="12"/>
    </s:row>
    <s:row r="9" spans="2:23" ht="15.75" customHeight="1">
      <s:c r="B9" s="180"/>
      <s:c r="C9" s="12"/>
      <s:c r="D9" s="12"/>
      <s:c r="E9" s="12"/>
      <s:c r="F9" s="559" t="s">
        <s:v>13</s:v>
      </s:c>
      <s:c r="G9" s="560"/>
      <s:c r="H9" s="561"/>
      <s:c r="I9" s="36">
        <s:f>I8/I11</s:f>
        <s:v>0</s:v>
      </s:c>
      <s:c r="J9" s="37">
        <s:f>E50</s:f>
        <s:v>0</s:v>
      </s:c>
      <s:c r="K9" s="38" t="str">
        <s:f>IF(AND(I9&lt;&gt;"", I9&lt;&gt;0, J9&lt;&gt;""), J9/I9, "")</s:f>
        <s:v/>
      </s:c>
      <s:c r="L9" s="187">
        <s:f>J9</s:f>
        <s:v>0</s:v>
      </s:c>
      <s:c r="M9" s="40" t="str">
        <s:f>IF(AND(I9&lt;&gt;"",I9&lt;&gt;0,L9&lt;&gt;"",L9&lt;&gt;0),L9/I9,"")</s:f>
        <s:v/>
      </s:c>
      <s:c r="N9" s="41" t="str">
        <s:f>IF(AND(J9&lt;&gt;0, J9&lt;&gt;"", I9&lt;&gt;0, I9&lt;&gt;""), L9-I9, "")</s:f>
        <s:v/>
      </s:c>
      <s:c r="O9" s="42" t="e">
        <s:f>O8/O11</s:f>
        <s:v>#DIV/0!</s:v>
      </s:c>
      <s:c r="P9" s="41" t="e">
        <s:f>IF(AND(O9&lt;&gt;"", O9&lt;&gt;0, L9&lt;&gt;"", L9&lt;&gt;0), -O9+L9, "")</s:f>
        <s:v>#DIV/0!</s:v>
      </s:c>
      <s:c r="Q9" s="43" t="e">
        <s:f>IF(AND(P9&lt;&gt;"", P9&lt;&gt;0, O9&lt;&gt;0, O9&lt;&gt;""), P9/O9, "")</s:f>
        <s:v>#DIV/0!</s:v>
      </s:c>
      <s:c r="R9" s="20"/>
      <s:c r="S9" s="35"/>
      <s:c r="T9" s="12"/>
      <s:c r="U9" s="12"/>
      <s:c r="V9" s="12"/>
      <s:c r="W9" s="12"/>
    </s:row>
    <s:row r="10" spans="2:23" ht="15.75" customHeight="1">
      <s:c r="B10" s="180"/>
      <s:c r="C10" s="12"/>
      <s:c r="D10" s="12"/>
      <s:c r="E10" s="12"/>
      <s:c r="F10" s="567" t="s">
        <s:v>14</s:v>
      </s:c>
      <s:c r="G10" s="568"/>
      <s:c r="H10" s="569"/>
      <s:c r="I10" s="48">
        <s:f>I11*I12</s:f>
        <s:v>7682</s:v>
      </s:c>
      <s:c r="J10" s="189" t="str">
        <s:f>H50</s:f>
        <s:v/>
      </s:c>
      <s:c r="K10" s="45" t="str">
        <s:f>IF(AND(I10&lt;&gt;"", I10&lt;&gt;0, J10&lt;&gt;""), J10/I10, "")</s:f>
        <s:v/>
      </s:c>
      <s:c r="L10" s="187" t="str">
        <s:f>J10</s:f>
        <s:v/>
      </s:c>
      <s:c r="M10" s="46" t="str">
        <s:f>IF(AND(I10&lt;&gt;"",I10&lt;&gt;0,L10&lt;&gt;"",L10&lt;&gt;0),L10/I10,"")</s:f>
        <s:v/>
      </s:c>
      <s:c r="N10" s="47" t="str">
        <s:f>IF(AND(J10&lt;&gt;0, J10&lt;&gt;"", I10&lt;&gt;0, I10&lt;&gt;""), L10-I10, "")</s:f>
        <s:v/>
      </s:c>
      <s:c r="O10" s="48">
        <s:f>O11*O12</s:f>
        <s:v>0</s:v>
      </s:c>
      <s:c r="P10" s="47" t="str">
        <s:f>IF(AND(O10&lt;&gt;"", O10&lt;&gt;0, L10&lt;&gt;"", L10&lt;&gt;0), -O10+L10, "")</s:f>
        <s:v/>
      </s:c>
      <s:c r="Q10" s="49" t="str">
        <s:f>IF(AND(P10&lt;&gt;"", P10&lt;&gt;0, O10&lt;&gt;0, O10&lt;&gt;""), P10/O10, "")</s:f>
        <s:v/>
      </s:c>
      <s:c r="R10" s="20"/>
      <s:c r="S10" s="35"/>
      <s:c r="T10" s="12"/>
      <s:c r="U10" s="12"/>
      <s:c r="V10" s="12"/>
      <s:c r="W10" s="12"/>
    </s:row>
    <s:row r="11" spans="2:23" ht="15.75" customHeight="1">
      <s:c r="B11" s="180"/>
      <s:c r="C11" s="12"/>
      <s:c r="D11" s="12"/>
      <s:c r="E11" s="12"/>
      <s:c r="F11" s="559" t="s">
        <s:v>15</s:v>
      </s:c>
      <s:c r="G11" s="560"/>
      <s:c r="H11" s="561"/>
      <s:c r="I11" s="50">
        <s:f>'Ялта, Ленина, 18'!I11</s:f>
        <s:v>3841</s:v>
      </s:c>
      <s:c r="J11" s="37" t="str">
        <s:f>F50</s:f>
        <s:v/>
      </s:c>
      <s:c r="K11" s="38" t="str">
        <s:f>IF(AND(I11&lt;&gt;"", I11&lt;&gt;0, J11&lt;&gt;""), J11/I11, "")</s:f>
        <s:v/>
      </s:c>
      <s:c r="L11" s="187" t="str">
        <s:f>J11</s:f>
        <s:v/>
      </s:c>
      <s:c r="M11" s="40" t="str">
        <s:f>IF(AND(I11&lt;&gt;"",I11&lt;&gt;0,L11&lt;&gt;"",L11&lt;&gt;0),L11/I11,"")</s:f>
        <s:v/>
      </s:c>
      <s:c r="N11" s="41" t="str">
        <s:f>IF(AND(J11&lt;&gt;0, J11&lt;&gt;"", I11&lt;&gt;0, I11&lt;&gt;""), L11-I11, "")</s:f>
        <s:v/>
      </s:c>
      <s:c r="O11" s="51"/>
      <s:c r="P11" s="41" t="str">
        <s:f>IF(AND(O11&lt;&gt;"", O11&lt;&gt;0, L11&lt;&gt;"", L11&lt;&gt;0), -O11+L11, "")</s:f>
        <s:v/>
      </s:c>
      <s:c r="Q11" s="43" t="str">
        <s:f>IF(AND(P11&lt;&gt;"", P11&lt;&gt;0, O11&lt;&gt;0, O11&lt;&gt;""), P11/O11, "")</s:f>
        <s:v/>
      </s:c>
      <s:c r="R11" s="20"/>
      <s:c r="S11" s="52"/>
      <s:c r="T11" s="12"/>
      <s:c r="U11" s="12"/>
      <s:c r="V11" s="12"/>
      <s:c r="W11" s="12"/>
    </s:row>
    <s:row r="12" spans="2:23" ht="15.75" customHeight="1">
      <s:c r="B12" s="180"/>
      <s:c r="C12" s="12"/>
      <s:c r="D12" s="12"/>
      <s:c r="E12" s="12"/>
      <s:c r="F12" s="559" t="s">
        <s:v>16</s:v>
      </s:c>
      <s:c r="G12" s="560"/>
      <s:c r="H12" s="561"/>
      <s:c r="I12" s="53">
        <s:f>'Ялта, Ленина, 18'!I12</s:f>
        <s:v>2</s:v>
      </s:c>
      <s:c r="J12" s="54" t="str">
        <s:f>J50</s:f>
        <s:v/>
      </s:c>
      <s:c r="K12" s="38" t="str">
        <s:f>IF(AND(I12&lt;&gt;"", I12&lt;&gt;0, J12&lt;&gt;""), J12/I12, "")</s:f>
        <s:v/>
      </s:c>
      <s:c r="L12" s="193" t="str">
        <s:f>J12</s:f>
        <s:v/>
      </s:c>
      <s:c r="M12" s="40" t="str">
        <s:f>IF(AND(I12&lt;&gt;"",I12&lt;&gt;0,L12&lt;&gt;"",L12&lt;&gt;0),L12/I12,"")</s:f>
        <s:v/>
      </s:c>
      <s:c r="N12" s="55" t="str">
        <s:f>IF(AND(J12&lt;&gt;0, J12&lt;&gt;"", I12&lt;&gt;0, I12&lt;&gt;""), L12-I12, "")</s:f>
        <s:v/>
      </s:c>
      <s:c r="O12" s="56"/>
      <s:c r="P12" s="41" t="str">
        <s:f>IF(AND(O12&lt;&gt;"", O12&lt;&gt;0, L12&lt;&gt;"", L12&lt;&gt;0), -O12+L12, "")</s:f>
        <s:v/>
      </s:c>
      <s:c r="Q12" s="43" t="str">
        <s:f>IF(AND(P12&lt;&gt;"", P12&lt;&gt;0, O12&lt;&gt;0, O12&lt;&gt;""), P12/O12, "")</s:f>
        <s:v/>
      </s:c>
      <s:c r="R12" s="20"/>
      <s:c r="S12" s="52"/>
      <s:c r="T12" s="12"/>
      <s:c r="U12" s="12"/>
      <s:c r="V12" s="12"/>
      <s:c r="W12" s="12"/>
    </s:row>
    <s:row r="13" spans="2:23" ht="15.75" customHeight="1">
      <s:c r="B13" s="180"/>
      <s:c r="C13" s="12"/>
      <s:c r="D13" s="12"/>
      <s:c r="E13" s="12"/>
      <s:c r="F13" s="559" t="s">
        <s:v>17</s:v>
      </s:c>
      <s:c r="G13" s="560"/>
      <s:c r="H13" s="561"/>
      <s:c r="I13" s="36">
        <s:f>IF(I12&lt;&gt;0, I9/I12, "")</s:f>
        <s:v>0</s:v>
      </s:c>
      <s:c r="J13" s="37">
        <s:f>G50</s:f>
        <s:v>0</s:v>
      </s:c>
      <s:c r="K13" s="38" t="str">
        <s:f>IF(AND(I13&lt;&gt;"", I13&lt;&gt;0, J13&lt;&gt;""), J13/I13, "")</s:f>
        <s:v/>
      </s:c>
      <s:c r="L13" s="187">
        <s:f>J13</s:f>
        <s:v>0</s:v>
      </s:c>
      <s:c r="M13" s="40" t="str">
        <s:f>IF(AND(I13&lt;&gt;"",I13&lt;&gt;0,L13&lt;&gt;"",L13&lt;&gt;0),L13/I13,"")</s:f>
        <s:v/>
      </s:c>
      <s:c r="N13" s="55" t="str">
        <s:f>IF(AND(J13&lt;&gt;0, J13&lt;&gt;"", I13&lt;&gt;0, I13&lt;&gt;""), L13-I13, "")</s:f>
        <s:v/>
      </s:c>
      <s:c r="O13" s="57"/>
      <s:c r="P13" s="41" t="str">
        <s:f>IF(AND(O13&lt;&gt;"", O13&lt;&gt;0, L13&lt;&gt;"", L13&lt;&gt;0), -O13+L13, "")</s:f>
        <s:v/>
      </s:c>
      <s:c r="Q13" s="43" t="str">
        <s:f>IF(AND(P13&lt;&gt;"", P13&lt;&gt;0, O13&lt;&gt;0, O13&lt;&gt;""), P13/O13, "")</s:f>
        <s:v/>
      </s:c>
      <s:c r="R13" s="20"/>
      <s:c r="S13" s="52"/>
      <s:c r="T13" s="12"/>
      <s:c r="U13" s="12"/>
      <s:c r="V13" s="12"/>
      <s:c r="W13" s="12"/>
    </s:row>
    <s:row r="14" spans="2:23" ht="15.75" customHeight="1">
      <s:c r="B14" s="180"/>
      <s:c r="C14" s="12"/>
      <s:c r="D14" s="12"/>
      <s:c r="E14" s="12"/>
      <s:c r="F14" s="559" t="s">
        <s:v>59</s:v>
      </s:c>
      <s:c r="G14" s="560"/>
      <s:c r="H14" s="561"/>
      <s:c r="I14" s="50">
        <s:f>График!AI30</s:f>
        <s:v>0</s:v>
      </s:c>
      <s:c r="J14" s="58"/>
      <s:c r="K14" s="38" t="str">
        <s:f>IF(AND(I14&lt;&gt;"", I14&lt;&gt;0, J14&lt;&gt;""), J14/I14, "")</s:f>
        <s:v/>
      </s:c>
      <s:c r="L14" s="187">
        <s:f>J14</s:f>
        <s:v>0</s:v>
      </s:c>
      <s:c r="M14" s="40" t="str">
        <s:f>IF(AND(I14&lt;&gt;"",I14&lt;&gt;0,L14&lt;&gt;"",L14&lt;&gt;0),L14/I14,"")</s:f>
        <s:v/>
      </s:c>
      <s:c r="N14" s="41" t="str">
        <s:f>IF(AND(J14&lt;&gt;0, J14&lt;&gt;"", I14&lt;&gt;0, I14&lt;&gt;""), L14-I14, "")</s:f>
        <s:v/>
      </s:c>
      <s:c r="O14" s="57"/>
      <s:c r="P14" s="41" t="str">
        <s:f>IF(AND(O14&lt;&gt;"", O14&lt;&gt;0, L14&lt;&gt;"", L14&lt;&gt;0), -O14+L14, "")</s:f>
        <s:v/>
      </s:c>
      <s:c r="Q14" s="43" t="str">
        <s:f>IF(AND(P14&lt;&gt;"", P14&lt;&gt;0, O14&lt;&gt;0, O14&lt;&gt;""), P14/O14, "")</s:f>
        <s:v/>
      </s:c>
      <s:c r="R14" s="20"/>
      <s:c r="S14" s="59"/>
      <s:c r="T14" s="12"/>
      <s:c r="U14" s="12"/>
      <s:c r="V14" s="12"/>
      <s:c r="W14" s="12"/>
    </s:row>
    <s:row r="15" spans="2:23" ht="15.75" customHeight="1">
      <s:c r="B15" s="180"/>
      <s:c r="C15" s="12"/>
      <s:c r="D15" s="12"/>
      <s:c r="E15" s="12"/>
      <s:c r="F15" s="559" t="s">
        <s:v>19</s:v>
      </s:c>
      <s:c r="G15" s="560"/>
      <s:c r="H15" s="561"/>
      <s:c r="I15" s="69">
        <s:f>'Ялта, Ленина, 18'!I15</s:f>
        <s:v>39178.199999999997</s:v>
      </s:c>
      <s:c r="J15" s="61" t="e">
        <s:f>J8/J14</s:f>
        <s:v>#DIV/0!</s:v>
      </s:c>
      <s:c r="K15" s="62" t="e">
        <s:f>IF(AND(I15&lt;&gt;"", I15&lt;&gt;0, J15&lt;&gt;""), J15/I15, "")</s:f>
        <s:v>#DIV/0!</s:v>
      </s:c>
      <s:c r="L15" s="187" t="e">
        <s:f>J15</s:f>
        <s:v>#DIV/0!</s:v>
      </s:c>
      <s:c r="M15" s="64" t="e">
        <s:f>IF(AND(I15&lt;&gt;"",I15&lt;&gt;0,L15&lt;&gt;"",L15&lt;&gt;0),L15/I15,"")</s:f>
        <s:v>#DIV/0!</s:v>
      </s:c>
      <s:c r="N15" s="41" t="e">
        <s:f>IF(AND(J15&lt;&gt;0, J15&lt;&gt;"", I15&lt;&gt;0, I15&lt;&gt;""), L15-I15, "")</s:f>
        <s:v>#DIV/0!</s:v>
      </s:c>
      <s:c r="O15" s="65"/>
      <s:c r="P15" s="41" t="e">
        <s:f>IF(AND(O15&lt;&gt;"", O15&lt;&gt;0, L15&lt;&gt;"", L15&lt;&gt;0), -O15+L15, "")</s:f>
        <s:v>#DIV/0!</s:v>
      </s:c>
      <s:c r="Q15" s="43" t="e">
        <s:f>IF(AND(P15&lt;&gt;"", P15&lt;&gt;0, O15&lt;&gt;0, O15&lt;&gt;""), P15/O15, "")</s:f>
        <s:v>#DIV/0!</s:v>
      </s:c>
      <s:c r="R15" s="20"/>
      <s:c r="S15" s="35"/>
      <s:c r="T15" s="12"/>
      <s:c r="U15" s="12"/>
      <s:c r="V15" s="12"/>
      <s:c r="W15" s="12"/>
    </s:row>
    <s:row r="16" spans="2:23" ht="15.75" customHeight="1">
      <s:c r="B16" s="180"/>
      <s:c r="C16" s="12"/>
      <s:c r="D16" s="12"/>
      <s:c r="E16" s="12"/>
      <s:c r="F16" s="559" t="s">
        <s:v>20</s:v>
      </s:c>
      <s:c r="G16" s="560"/>
      <s:c r="H16" s="561"/>
      <s:c r="I16" s="69"/>
      <s:c r="J16" s="61">
        <s:f>J8-I15*J14</s:f>
        <s:v>0</s:v>
      </s:c>
      <s:c r="K16" s="62" t="str">
        <s:f>IF(AND(I16&lt;&gt;"", I16&lt;&gt;0, J16&lt;&gt;""), J16/I16, "")</s:f>
        <s:v/>
      </s:c>
      <s:c r="L16" s="70">
        <s:f>J16</s:f>
        <s:v>0</s:v>
      </s:c>
      <s:c r="M16" s="67" t="str">
        <s:f>IF(AND(I16&lt;&gt;"",I16&lt;&gt;0,L16&lt;&gt;"",L16&lt;&gt;0),L16/I16,"")</s:f>
        <s:v/>
      </s:c>
      <s:c r="N16" s="41" t="str">
        <s:f>IF(AND(J16&lt;&gt;0, J16&lt;&gt;"", I16&lt;&gt;0, I16&lt;&gt;""), L16-I16, "")</s:f>
        <s:v/>
      </s:c>
      <s:c r="O16" s="65"/>
      <s:c r="P16" s="41" t="str">
        <s:f>IF(AND(O16&lt;&gt;"", O16&lt;&gt;0, L16&lt;&gt;"", L16&lt;&gt;0), -O16+L16, "")</s:f>
        <s:v/>
      </s:c>
      <s:c r="Q16" s="43" t="str">
        <s:f>IF(AND(P16&lt;&gt;"", P16&lt;&gt;0, O16&lt;&gt;0, O16&lt;&gt;""), P16/O16, "")</s:f>
        <s:v/>
      </s:c>
      <s:c r="R16" s="20"/>
      <s:c r="S16" s="566" t="s">
        <s:v>21</s:v>
      </s:c>
      <s:c r="T16" s="12"/>
      <s:c r="U16" s="12"/>
      <s:c r="V16" s="12"/>
      <s:c r="W16" s="12"/>
    </s:row>
    <s:row r="17" spans="1:255" ht="15.75" customHeight="1">
      <s:c r="B17" s="180"/>
      <s:c r="C17" s="12"/>
      <s:c r="D17" s="194"/>
      <s:c r="E17" s="12"/>
      <s:c r="F17" s="559" t="s">
        <s:v>22</s:v>
      </s:c>
      <s:c r="G17" s="560"/>
      <s:c r="H17" s="561"/>
      <s:c r="I17" s="69">
        <s:f>'Ялта, Ленина, 18'!I17/График!AJ31*График!AJ30</s:f>
        <s:v>0</s:v>
      </s:c>
      <s:c r="J17" s="61">
        <s:f>I50</s:f>
        <s:v>0</s:v>
      </s:c>
      <s:c r="K17" s="62" t="str">
        <s:f>IF(AND(I17&lt;&gt;"", I17&lt;&gt;0, J17&lt;&gt;""), J17/I17, "")</s:f>
        <s:v/>
      </s:c>
      <s:c r="L17" s="66" t="e">
        <s:f>J17/J14*I14</s:f>
        <s:v>#DIV/0!</s:v>
      </s:c>
      <s:c r="M17" s="67" t="e">
        <s:f>IF(AND(I17&lt;&gt;"",I17&lt;&gt;0,L17&lt;&gt;"",L17&lt;&gt;0),L17/I17,"")</s:f>
        <s:v>#DIV/0!</s:v>
      </s:c>
      <s:c r="N17" s="41" t="str">
        <s:f>IF(AND(J17&lt;&gt;0, J17&lt;&gt;"", I17&lt;&gt;0, I17&lt;&gt;""), L17-I17, "")</s:f>
        <s:v/>
      </s:c>
      <s:c r="O17" s="65"/>
      <s:c r="P17" s="41" t="e">
        <s:f>IF(AND(O17&lt;&gt;"", O17&lt;&gt;0, L17&lt;&gt;"", L17&lt;&gt;0), -O17+L17, "")</s:f>
        <s:v>#DIV/0!</s:v>
      </s:c>
      <s:c r="Q17" s="43" t="e">
        <s:f>IF(AND(P17&lt;&gt;"", P17&lt;&gt;0, O17&lt;&gt;0, O17&lt;&gt;""), P17/O17, "")</s:f>
        <s:v>#DIV/0!</s:v>
      </s:c>
      <s:c r="R17" s="20"/>
      <s:c r="S17" s="566"/>
      <s:c r="T17" s="12"/>
      <s:c r="U17" s="12"/>
      <s:c r="V17" s="12"/>
      <s:c r="W17" s="12"/>
    </s:row>
    <s:row r="18" spans="1:255" ht="15.75" customHeight="1">
      <s:c r="B18" s="180"/>
      <s:c r="C18" s="12"/>
      <s:c r="D18" s="12"/>
      <s:c r="E18" s="12"/>
      <s:c r="F18" s="559"/>
      <s:c r="G18" s="560"/>
      <s:c r="H18" s="561"/>
      <s:c r="I18" s="71"/>
      <s:c r="J18" s="61"/>
      <s:c r="K18" s="62" t="str">
        <s:f>IF(AND(I18&lt;&gt;"", I18&lt;&gt;0, J18&lt;&gt;""), J18/I18, "")</s:f>
        <s:v/>
      </s:c>
      <s:c r="L18" s="70">
        <s:f>J18</s:f>
        <s:v>0</s:v>
      </s:c>
      <s:c r="M18" s="67" t="str">
        <s:f>IF(AND(I18&lt;&gt;"",I18&lt;&gt;0,L18&lt;&gt;"",L18&lt;&gt;0),L18/I18,"")</s:f>
        <s:v/>
      </s:c>
      <s:c r="N18" s="41" t="str">
        <s:f>IF(AND(J18&lt;&gt;0, J18&lt;&gt;"", I18&lt;&gt;0, I18&lt;&gt;""), L18-I18, "")</s:f>
        <s:v/>
      </s:c>
      <s:c r="O18" s="72">
        <s:v>0</s:v>
      </s:c>
      <s:c r="P18" s="41" t="str">
        <s:f>IF(AND(O18&lt;&gt;"", O18&lt;&gt;0, L18&lt;&gt;"", L18&lt;&gt;0), -O18+L18, "")</s:f>
        <s:v/>
      </s:c>
      <s:c r="Q18" s="43" t="str">
        <s:f>IF(AND(P18&lt;&gt;"", P18&lt;&gt;0, O18&lt;&gt;0, O18&lt;&gt;""), P18/O18, "")</s:f>
        <s:v/>
      </s:c>
      <s:c r="R18" s="20"/>
      <s:c r="S18" s="73">
        <s:v>3000</s:v>
      </s:c>
      <s:c r="T18" s="12"/>
      <s:c r="U18" s="12"/>
      <s:c r="V18" s="12"/>
      <s:c r="W18" s="12"/>
    </s:row>
    <s:row r="19" spans="1:255" ht="15.75" customHeight="1">
      <s:c r="B19" s="180"/>
      <s:c r="C19" s="12"/>
      <s:c r="D19" s="12"/>
      <s:c r="E19" s="12"/>
      <s:c r="F19" s="559"/>
      <s:c r="G19" s="560"/>
      <s:c r="H19" s="561"/>
      <s:c r="I19" s="71"/>
      <s:c r="J19" s="61">
        <s:f>M50</s:f>
        <s:v>0</s:v>
      </s:c>
      <s:c r="K19" s="62" t="str">
        <s:f>IF(AND(I19&lt;&gt;"", I19&lt;&gt;0, J19&lt;&gt;""), J19/I19, "")</s:f>
        <s:v/>
      </s:c>
      <s:c r="L19" s="70">
        <s:f>J19</s:f>
        <s:v>0</s:v>
      </s:c>
      <s:c r="M19" s="67" t="str">
        <s:f>IF(AND(I19&lt;&gt;"",I19&lt;&gt;0,L19&lt;&gt;"",L19&lt;&gt;0),L19/I19,"")</s:f>
        <s:v/>
      </s:c>
      <s:c r="N19" s="41" t="str">
        <s:f>IF(AND(J19&lt;&gt;0, J19&lt;&gt;"", I19&lt;&gt;0, I19&lt;&gt;""), L19-I19, "")</s:f>
        <s:v/>
      </s:c>
      <s:c r="O19" s="65">
        <s:v>0</s:v>
      </s:c>
      <s:c r="P19" s="41" t="str">
        <s:f>IF(AND(O19&lt;&gt;"", O19&lt;&gt;0, L19&lt;&gt;"", L19&lt;&gt;0), -O19+L19, "")</s:f>
        <s:v/>
      </s:c>
      <s:c r="Q19" s="43" t="str">
        <s:f>IF(AND(P19&lt;&gt;"", P19&lt;&gt;0, O19&lt;&gt;0, O19&lt;&gt;""), P19/O19, "")</s:f>
        <s:v/>
      </s:c>
      <s:c r="R19" s="20"/>
      <s:c r="S19" s="74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80"/>
      <s:c r="C20" s="12"/>
      <s:c r="D20" s="12"/>
      <s:c r="E20" s="12"/>
      <s:c r="F20" s="562" t="s">
        <s:v>23</s:v>
      </s:c>
      <s:c r="G20" s="562"/>
      <s:c r="H20" s="562"/>
      <s:c r="I20" s="198">
        <s:f>'Ялта, Ленина, 18'!I20</s:f>
        <s:v>0.3</s:v>
      </s:c>
      <s:c r="J20" s="199" t="str">
        <s:f>N50</s:f>
        <s:v/>
      </s:c>
      <s:c r="K20" s="199" t="e">
        <s:f>J20/I20</s:f>
        <s:v>#VALUE!</s:v>
      </s:c>
      <s:c r="L20" s="201" t="e">
        <s:f>IF(AND(K8&lt;&gt;0,I14&lt;&gt;0,I50&lt;&gt;0),(I50*N50+(I50/K8-I50)*I20)/(I50/K8),0)</s:f>
        <s:v>#DIV/0!</s:v>
      </s:c>
      <s:c r="M20" s="77" t="e">
        <s:f>IF(AND(I20&lt;&gt;"",I20&lt;&gt;0,L20&lt;&gt;"",L20&lt;&gt;0),L20/I20,"")</s:f>
        <s:v>#DIV/0!</s:v>
      </s:c>
      <s:c r="N20" s="78" t="str">
        <s:f>IF(AND(J20&lt;&gt;0, J20&lt;&gt;"", I20&lt;&gt;0, I20&lt;&gt;""), L20-I20, "")</s:f>
        <s:v/>
      </s:c>
      <s:c r="O20" s="79"/>
      <s:c r="P20" s="80" t="e">
        <s:f>IF(AND(O20&lt;&gt;"", O20&lt;&gt;0, L20&lt;&gt;"", L20&lt;&gt;0), -O20+L20, "")</s:f>
        <s:v>#DIV/0!</s:v>
      </s:c>
      <s:c r="Q20" s="81" t="e">
        <s:f>IF(AND(P20&lt;&gt;"", P20&lt;&gt;0, O20&lt;&gt;0, O20&lt;&gt;""), P20/O20, "")</s:f>
        <s:v>#DIV/0!</s:v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8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16" t="s">
        <s:v>24</s:v>
      </s:c>
      <s:c r="C22" s="616"/>
      <s:c r="D22" s="616"/>
      <s:c r="E22" s="616"/>
      <s:c r="F22" s="616"/>
      <s:c r="G22" s="616"/>
      <s:c r="H22" s="616"/>
      <s:c r="I22" s="616"/>
      <s:c r="J22" s="616"/>
      <s:c r="K22" s="616"/>
      <s:c r="L22" s="616"/>
      <s:c r="M22" s="616"/>
      <s:c r="N22" s="616"/>
      <s:c r="O22" s="617" t="s">
        <s:v>25</s:v>
      </s:c>
      <s:c r="P22" s="616" t="s">
        <s:v>26</s:v>
      </s:c>
      <s:c r="Q22" s="616"/>
      <s:c r="R22" s="616"/>
      <s:c r="S22" s="616"/>
      <s:c r="T22" s="616"/>
      <s:c r="U22" s="616"/>
      <s:c r="V22" s="616"/>
      <s:c r="W22" s="616"/>
    </s:row>
    <s:row r="23" ht="36">
      <s:c r="B23" s="202" t="s">
        <s:v>28</s:v>
      </s:c>
      <s:c r="C23" s="202" t="s">
        <s:v>29</s:v>
      </s:c>
      <s:c r="D23" s="202" t="s">
        <s:v>30</s:v>
      </s:c>
      <s:c r="E23" s="202" t="s">
        <s:v>31</s:v>
      </s:c>
      <s:c r="F23" s="202" t="s">
        <s:v>32</s:v>
      </s:c>
      <s:c r="G23" s="202" t="s">
        <s:v>33</s:v>
      </s:c>
      <s:c r="H23" s="202" t="s">
        <s:v>34</s:v>
      </s:c>
      <s:c r="I23" s="202" t="s">
        <s:v>22</s:v>
      </s:c>
      <s:c r="J23" s="202" t="s">
        <s:v>35</s:v>
      </s:c>
      <s:c r="K23" s="203" t="s">
        <s:v>36</s:v>
      </s:c>
      <s:c r="L23" s="203" t="s">
        <s:v>36</s:v>
      </s:c>
      <s:c r="M23" s="203" t="s">
        <s:v>36</s:v>
      </s:c>
      <s:c r="N23" s="202" t="s">
        <s:v>37</s:v>
      </s:c>
      <s:c r="O23" s="617"/>
      <s:c r="P23" s="202" t="s">
        <s:v>38</s:v>
      </s:c>
      <s:c r="Q23" s="202" t="s">
        <s:v>39</s:v>
      </s:c>
      <s:c r="R23" s="202" t="s">
        <s:v>40</s:v>
      </s:c>
      <s:c r="S23" s="202" t="s">
        <s:v>41</s:v>
      </s:c>
      <s:c r="T23" s="202" t="s">
        <s:v>42</s:v>
      </s:c>
      <s:c r="U23" s="202" t="s">
        <s:v>43</s:v>
      </s:c>
      <s:c r="V23" s="204" t="s">
        <s:v>44</s:v>
      </s:c>
      <s:c r="W23" s="204" t="s">
        <s:v>45</s:v>
      </s:c>
      <s:c r="X23" s="205"/>
    </s:row>
    <s:row r="24">
      <s:c r="B24" s="206">
        <s:v>1</s:v>
      </s:c>
      <s:c r="C24" s="206">
        <s:v>2</s:v>
      </s:c>
      <s:c r="D24" s="206">
        <s:v>3</s:v>
      </s:c>
      <s:c r="E24" s="206" t="s">
        <s:v>62</s:v>
      </s:c>
      <s:c r="F24" s="206">
        <s:v>5</s:v>
      </s:c>
      <s:c r="G24" s="206">
        <s:v>6</s:v>
      </s:c>
      <s:c r="H24" s="206">
        <s:v>7</s:v>
      </s:c>
      <s:c r="I24" s="206">
        <s:v>8</s:v>
      </s:c>
      <s:c r="J24" s="206">
        <s:v>9</s:v>
      </s:c>
      <s:c r="K24" s="206">
        <s:v>10</s:v>
      </s:c>
      <s:c r="L24" s="206">
        <s:v>11</s:v>
      </s:c>
      <s:c r="M24" s="206">
        <s:v>12</s:v>
      </s:c>
      <s:c r="N24" s="206">
        <s:v>13</s:v>
      </s:c>
      <s:c r="O24" s="617"/>
      <s:c r="P24" s="208">
        <s:v>1</s:v>
      </s:c>
      <s:c r="Q24" s="208">
        <s:v>2</s:v>
      </s:c>
      <s:c r="R24" s="208">
        <s:v>3</s:v>
      </s:c>
      <s:c r="S24" s="208">
        <s:v>4</s:v>
      </s:c>
      <s:c r="T24" s="208">
        <s:v>5</s:v>
      </s:c>
      <s:c r="U24" s="208">
        <s:v>6</s:v>
      </s:c>
      <s:c r="V24" s="208">
        <s:v>10</s:v>
      </s:c>
      <s:c r="W24" s="208">
        <s:v>11</s:v>
      </s:c>
    </s:row>
    <s:row r="25" spans="1:255" s="221" customFormat="1">
      <s:c r="A25" s="101">
        <s:v>1</s:v>
      </s:c>
      <s:c r="B25" s="102"/>
      <s:c r="C25" s="103"/>
      <s:c r="D25" s="222"/>
      <s:c r="E25" s="223"/>
      <s:c r="F25" s="223" t="str">
        <s:f>IF(AND(E25&lt;&gt;"",E25&lt;&gt;0),D25/E25,"")</s:f>
        <s:v/>
      </s:c>
      <s:c r="G25" s="223"/>
      <s:c r="H25" s="223" t="str">
        <s:f>IF(AND(G25&lt;&gt;"",G25&lt;&gt;0),D25/G25,"")</s:f>
        <s:v/>
      </s:c>
      <s:c r="I25" s="224"/>
      <s:c r="J25" s="222" t="str">
        <s:f>IF(AND(G25&lt;&gt;"",G25&lt;&gt;0),E25/G25,"")</s:f>
        <s:v/>
      </s:c>
      <s:c r="K25" s="224"/>
      <s:c r="L25" s="223"/>
      <s:c r="M25" s="224"/>
      <s:c r="N25" s="225" t="str">
        <s:f>IF(AND(I25&lt;&gt;"",I25&lt;&gt;0),G25/I25,"")</s:f>
        <s:v/>
      </s:c>
      <s:c r="O25" s="226" t="e">
        <s:f>D25/P25</s:f>
        <s:v>#DIV/0!</s:v>
      </s:c>
      <s:c r="P25" s="227">
        <s:f>$I$8*V25*W25/SUMPRODUCT($W$25:$W$60,$V$25:$V$60)</s:f>
        <s:v>0</s:v>
      </s:c>
      <s:c r="Q25" s="228">
        <s:f>$I$9*V25*W25/SUMPRODUCT($W$25:$W$60,$V$25:$V$60)</s:f>
        <s:v>0</s:v>
      </s:c>
      <s:c r="R25" s="228">
        <s:f>IF($I$12="","",Q25/$I$12)</s:f>
        <s:v>0</s:v>
      </s:c>
      <s:c r="S25" s="227" t="e">
        <s:f ca="1">IF(W25&lt;&gt;"",IF(D25&lt;&gt;"",D25,($I$8-SUM($S24:S$25))*V25*W25/SUMPRODUCT($W25:$W$60,$V25:$V$60)),"")</s:f>
        <s:v>#REF!</s:v>
      </s:c>
      <s:c r="T25" s="228" t="e">
        <s:f ca="1">IF(W25&lt;&gt;"",IF(E25&lt;&gt;"",E25,($I$9-SUM($T24:T$25))*V25*W25/SUMPRODUCT($W25:$W$60,$V25:$V$60)),"")</s:f>
        <s:v>#REF!</s:v>
      </s:c>
      <s:c r="U25" s="228" t="e">
        <s:f ca="1">IF(W25&lt;&gt;"",IF($I$12&lt;&gt;"",IF(G25&lt;&gt;"",G25,($I$9/$I$12-SUM($U24:U$25))*V25*W25/SUMPRODUCT($W25:$W$60,$V25:$V$60)),""),"")</s:f>
        <s:v>#REF!</s:v>
      </s:c>
      <s:c r="V25" s="229">
        <s:v>1</s:v>
      </s:c>
      <s:c r="W25" s="229">
        <s:v>1</s:v>
      </s:c>
      <s:c r="X25" s="230"/>
      <s:c r="Y25" s="230"/>
      <s:c r="Z25" s="231"/>
      <s:c r="AA25" s="232"/>
      <s:c r="AB25" s="232"/>
      <s:c r="AC25" s="232"/>
      <s:c r="AD25" s="232"/>
      <s:c r="AE25" s="232"/>
      <s:c r="AF25" s="232"/>
      <s:c r="AG25" s="232"/>
      <s:c r="AH25" s="232"/>
      <s:c r="AI25" s="232"/>
      <s:c r="AJ25" s="232"/>
      <s:c r="AK25" s="232"/>
      <s:c r="AL25" s="232"/>
      <s:c r="AM25" s="232"/>
      <s:c r="AN25" s="232"/>
      <s:c r="AO25" s="232"/>
      <s:c r="AP25" s="232"/>
      <s:c r="AQ25" s="232"/>
      <s:c r="AR25" s="232"/>
      <s:c r="AS25" s="232"/>
      <s:c r="AT25" s="232"/>
      <s:c r="AU25" s="232"/>
      <s:c r="AV25" s="232"/>
      <s:c r="AW25" s="232"/>
      <s:c r="AX25" s="232"/>
      <s:c r="AY25" s="232"/>
      <s:c r="AZ25" s="232"/>
      <s:c r="BA25" s="232"/>
      <s:c r="BB25" s="232"/>
      <s:c r="BC25" s="232"/>
      <s:c r="BD25" s="232"/>
      <s:c r="BE25" s="232"/>
      <s:c r="BF25" s="232"/>
      <s:c r="BG25" s="232"/>
      <s:c r="BH25" s="232"/>
      <s:c r="BI25" s="232"/>
      <s:c r="BJ25" s="232"/>
      <s:c r="BK25" s="232"/>
      <s:c r="BL25" s="232"/>
      <s:c r="BM25" s="232"/>
      <s:c r="BN25" s="232"/>
      <s:c r="BO25" s="232"/>
      <s:c r="BP25" s="232"/>
      <s:c r="BQ25" s="232"/>
      <s:c r="BR25" s="232"/>
      <s:c r="BS25" s="232"/>
      <s:c r="BT25" s="232"/>
      <s:c r="BU25" s="232"/>
      <s:c r="BV25" s="232"/>
      <s:c r="BW25" s="232"/>
      <s:c r="BX25" s="232"/>
      <s:c r="BY25" s="232"/>
      <s:c r="BZ25" s="232"/>
      <s:c r="CA25" s="232"/>
      <s:c r="CB25" s="232"/>
      <s:c r="CC25" s="232"/>
      <s:c r="CD25" s="232"/>
      <s:c r="CE25" s="232"/>
      <s:c r="CF25" s="232"/>
      <s:c r="CG25" s="232"/>
      <s:c r="CH25" s="232"/>
      <s:c r="CI25" s="232"/>
      <s:c r="CJ25" s="232"/>
      <s:c r="CK25" s="232"/>
      <s:c r="CL25" s="232"/>
      <s:c r="CM25" s="232"/>
      <s:c r="CN25" s="232"/>
      <s:c r="CO25" s="232"/>
      <s:c r="CP25" s="232"/>
      <s:c r="CQ25" s="232"/>
      <s:c r="CR25" s="232"/>
      <s:c r="CS25" s="232"/>
      <s:c r="CT25" s="232"/>
      <s:c r="CU25" s="232"/>
      <s:c r="CV25" s="232"/>
      <s:c r="CW25" s="232"/>
      <s:c r="CX25" s="232"/>
      <s:c r="CY25" s="232"/>
      <s:c r="CZ25" s="232"/>
      <s:c r="DA25" s="232"/>
      <s:c r="DB25" s="232"/>
      <s:c r="DC25" s="232"/>
      <s:c r="DD25" s="232"/>
      <s:c r="DE25" s="232"/>
      <s:c r="DF25" s="232"/>
      <s:c r="DG25" s="232"/>
      <s:c r="DH25" s="232"/>
      <s:c r="DI25" s="232"/>
      <s:c r="DJ25" s="232"/>
      <s:c r="DK25" s="232"/>
      <s:c r="DL25" s="232"/>
      <s:c r="DM25" s="232"/>
      <s:c r="DN25" s="232"/>
      <s:c r="DO25" s="232"/>
      <s:c r="DP25" s="232"/>
      <s:c r="DQ25" s="232"/>
      <s:c r="DR25" s="232"/>
      <s:c r="DS25" s="232"/>
      <s:c r="DT25" s="232"/>
      <s:c r="DU25" s="232"/>
      <s:c r="DV25" s="232"/>
      <s:c r="DW25" s="232"/>
      <s:c r="DX25" s="232"/>
      <s:c r="DY25" s="232"/>
      <s:c r="DZ25" s="232"/>
      <s:c r="EA25" s="232"/>
      <s:c r="EB25" s="232"/>
      <s:c r="EC25" s="232"/>
      <s:c r="ED25" s="232"/>
      <s:c r="EE25" s="232"/>
      <s:c r="EF25" s="232"/>
      <s:c r="EG25" s="232"/>
      <s:c r="EH25" s="232"/>
      <s:c r="EI25" s="232"/>
      <s:c r="EJ25" s="232"/>
      <s:c r="EK25" s="232"/>
      <s:c r="EL25" s="232"/>
      <s:c r="EM25" s="232"/>
      <s:c r="EN25" s="232"/>
      <s:c r="EO25" s="232"/>
      <s:c r="EP25" s="232"/>
      <s:c r="EQ25" s="232"/>
      <s:c r="ER25" s="232"/>
      <s:c r="ES25" s="232"/>
      <s:c r="ET25" s="232"/>
      <s:c r="EU25" s="232"/>
      <s:c r="EV25" s="232"/>
      <s:c r="EW25" s="232"/>
      <s:c r="EX25" s="232"/>
      <s:c r="EY25" s="232"/>
      <s:c r="EZ25" s="232"/>
      <s:c r="FA25" s="232"/>
      <s:c r="FB25" s="232"/>
      <s:c r="FC25" s="232"/>
      <s:c r="FD25" s="232"/>
      <s:c r="FE25" s="232"/>
      <s:c r="FF25" s="232"/>
      <s:c r="FG25" s="232"/>
      <s:c r="FH25" s="232"/>
      <s:c r="FI25" s="232"/>
      <s:c r="FJ25" s="232"/>
      <s:c r="FK25" s="232"/>
      <s:c r="FL25" s="232"/>
      <s:c r="FM25" s="232"/>
      <s:c r="FN25" s="232"/>
      <s:c r="FO25" s="232"/>
      <s:c r="FP25" s="232"/>
      <s:c r="FQ25" s="232"/>
      <s:c r="FR25" s="232"/>
      <s:c r="FS25" s="232"/>
      <s:c r="FT25" s="232"/>
      <s:c r="FU25" s="232"/>
      <s:c r="FV25" s="232"/>
      <s:c r="FW25" s="232"/>
      <s:c r="FX25" s="232"/>
      <s:c r="FY25" s="232"/>
      <s:c r="FZ25" s="232"/>
      <s:c r="GA25" s="232"/>
      <s:c r="GB25" s="232"/>
      <s:c r="GC25" s="232"/>
      <s:c r="GD25" s="232"/>
      <s:c r="GE25" s="232"/>
      <s:c r="GF25" s="232"/>
      <s:c r="GG25" s="232"/>
      <s:c r="GH25" s="232"/>
      <s:c r="GI25" s="232"/>
      <s:c r="GJ25" s="232"/>
      <s:c r="GK25" s="232"/>
      <s:c r="GL25" s="232"/>
      <s:c r="GM25" s="232"/>
      <s:c r="GN25" s="232"/>
      <s:c r="GO25" s="232"/>
      <s:c r="GP25" s="232"/>
      <s:c r="GQ25" s="232"/>
      <s:c r="GR25" s="232"/>
      <s:c r="GS25" s="232"/>
      <s:c r="GT25" s="232"/>
      <s:c r="GU25" s="232"/>
      <s:c r="GV25" s="232"/>
      <s:c r="GW25" s="232"/>
      <s:c r="GX25" s="232"/>
      <s:c r="GY25" s="232"/>
      <s:c r="GZ25" s="232"/>
      <s:c r="HA25" s="232"/>
      <s:c r="HB25" s="232"/>
      <s:c r="HC25" s="232"/>
      <s:c r="HD25" s="232"/>
      <s:c r="HE25" s="232"/>
      <s:c r="HF25" s="232"/>
      <s:c r="HG25" s="232"/>
      <s:c r="HH25" s="232"/>
      <s:c r="HI25" s="232"/>
      <s:c r="HJ25" s="232"/>
      <s:c r="HK25" s="232"/>
      <s:c r="HL25" s="232"/>
      <s:c r="HM25" s="232"/>
      <s:c r="HN25" s="232"/>
      <s:c r="HO25" s="232"/>
      <s:c r="HP25" s="232"/>
      <s:c r="HQ25" s="232"/>
      <s:c r="HR25" s="232"/>
      <s:c r="HS25" s="232"/>
      <s:c r="HT25" s="232"/>
      <s:c r="HU25" s="232"/>
      <s:c r="HV25" s="232"/>
      <s:c r="HW25" s="232"/>
      <s:c r="HX25" s="232"/>
      <s:c r="HY25" s="232"/>
      <s:c r="HZ25" s="232"/>
      <s:c r="IA25" s="232"/>
      <s:c r="IB25" s="232"/>
      <s:c r="IC25" s="232"/>
      <s:c r="ID25" s="232"/>
      <s:c r="IE25" s="232"/>
      <s:c r="IF25" s="232"/>
      <s:c r="IG25" s="232"/>
      <s:c r="IH25" s="232"/>
      <s:c r="II25" s="232"/>
      <s:c r="IJ25" s="232"/>
      <s:c r="IK25" s="232"/>
      <s:c r="IL25" s="232"/>
      <s:c r="IM25" s="232"/>
      <s:c r="IN25" s="232"/>
      <s:c r="IO25" s="232"/>
      <s:c r="IP25" s="232"/>
      <s:c r="IQ25" s="232"/>
      <s:c r="IR25" s="232"/>
      <s:c r="IS25" s="232"/>
      <s:c r="IT25" s="232"/>
      <s:c r="IU25" s="232"/>
    </s:row>
    <s:row r="26" spans="1:255" s="221" customFormat="1">
      <s:c r="A26" s="101">
        <s:v>2</s:v>
      </s:c>
      <s:c r="B26" s="129"/>
      <s:c r="C26" s="215"/>
      <s:c r="D26" s="104"/>
      <s:c r="E26" s="105"/>
      <s:c r="F26" s="106" t="str">
        <s:f>IF(AND(E26&lt;&gt;"",E26&lt;&gt;0),D26/E26,"")</s:f>
        <s:v/>
      </s:c>
      <s:c r="G26" s="105"/>
      <s:c r="H26" s="106" t="str">
        <s:f>IF(AND(G26&lt;&gt;"",G26&lt;&gt;0),D26/G26,"")</s:f>
        <s:v/>
      </s:c>
      <s:c r="I26" s="223"/>
      <s:c r="J26" s="233" t="str">
        <s:f>IF(AND(G26&lt;&gt;"",G26&lt;&gt;0),E26/G26,"")</s:f>
        <s:v/>
      </s:c>
      <s:c r="K26" s="223"/>
      <s:c r="L26" s="224"/>
      <s:c r="M26" s="223"/>
      <s:c r="N26" s="234" t="str">
        <s:f>IF(AND(I26&lt;&gt;"",I26&lt;&gt;0),G26/I26,"")</s:f>
        <s:v/>
      </s:c>
      <s:c r="O26" s="235" t="e">
        <s:f>D26/P26</s:f>
        <s:v>#DIV/0!</s:v>
      </s:c>
      <s:c r="P26" s="227">
        <s:f>$I$8*V26*W26/SUMPRODUCT($W$25:$W$60,$V$25:$V$60)</s:f>
        <s:v>0</s:v>
      </s:c>
      <s:c r="Q26" s="228">
        <s:f>$I$9*V26*W26/SUMPRODUCT($W$25:$W$60,$V$25:$V$60)</s:f>
        <s:v>0</s:v>
      </s:c>
      <s:c r="R26" s="228">
        <s:f>IF($I$12="","",Q26/$I$12)</s:f>
        <s:v>0</s:v>
      </s:c>
      <s:c r="S26" s="227" t="e">
        <s:f ca="1">IF(W26&lt;&gt;"",IF(D26&lt;&gt;"",D26,($I$8-SUM($S$25:S25))*V26*W26/SUMPRODUCT($W26:$W$60,$V26:$V$60)),"")</s:f>
        <s:v>#REF!</s:v>
      </s:c>
      <s:c r="T26" s="228" t="e">
        <s:f ca="1">IF(W26&lt;&gt;"",IF(E26&lt;&gt;"",E26,($I$9-SUM($T$25:T25))*V26*W26/SUMPRODUCT($W26:$W$60,$V26:$V$60)),"")</s:f>
        <s:v>#REF!</s:v>
      </s:c>
      <s:c r="U26" s="228" t="e">
        <s:f ca="1">IF(W26&lt;&gt;"",IF($I$12&lt;&gt;"",IF(G26&lt;&gt;"",G26,($I$9/$I$12-SUM($U$25:U25))*V26*W26/SUMPRODUCT($W26:$W$60,$V26:$V$60)),""),"")</s:f>
        <s:v>#REF!</s:v>
      </s:c>
      <s:c r="V26" s="229">
        <s:v>1</s:v>
      </s:c>
      <s:c r="W26" s="229">
        <s:v>1</s:v>
      </s:c>
      <s:c r="X26" s="230"/>
      <s:c r="Y26" s="230"/>
      <s:c r="Z26" s="231"/>
      <s:c r="AA26" s="232"/>
      <s:c r="AB26" s="232"/>
      <s:c r="AC26" s="232"/>
      <s:c r="AD26" s="232"/>
      <s:c r="AE26" s="232"/>
      <s:c r="AF26" s="232"/>
      <s:c r="AG26" s="232"/>
      <s:c r="AH26" s="232"/>
      <s:c r="AI26" s="232"/>
      <s:c r="AJ26" s="232"/>
      <s:c r="AK26" s="232"/>
      <s:c r="AL26" s="232"/>
      <s:c r="AM26" s="232"/>
      <s:c r="AN26" s="232"/>
      <s:c r="AO26" s="232"/>
      <s:c r="AP26" s="232"/>
      <s:c r="AQ26" s="232"/>
      <s:c r="AR26" s="232"/>
      <s:c r="AS26" s="232"/>
      <s:c r="AT26" s="232"/>
      <s:c r="AU26" s="232"/>
      <s:c r="AV26" s="232"/>
      <s:c r="AW26" s="232"/>
      <s:c r="AX26" s="232"/>
      <s:c r="AY26" s="232"/>
      <s:c r="AZ26" s="232"/>
      <s:c r="BA26" s="232"/>
      <s:c r="BB26" s="232"/>
      <s:c r="BC26" s="232"/>
      <s:c r="BD26" s="232"/>
      <s:c r="BE26" s="232"/>
      <s:c r="BF26" s="232"/>
      <s:c r="BG26" s="232"/>
      <s:c r="BH26" s="232"/>
      <s:c r="BI26" s="232"/>
      <s:c r="BJ26" s="232"/>
      <s:c r="BK26" s="232"/>
      <s:c r="BL26" s="232"/>
      <s:c r="BM26" s="232"/>
      <s:c r="BN26" s="232"/>
      <s:c r="BO26" s="232"/>
      <s:c r="BP26" s="232"/>
      <s:c r="BQ26" s="232"/>
      <s:c r="BR26" s="232"/>
      <s:c r="BS26" s="232"/>
      <s:c r="BT26" s="232"/>
      <s:c r="BU26" s="232"/>
      <s:c r="BV26" s="232"/>
      <s:c r="BW26" s="232"/>
      <s:c r="BX26" s="232"/>
      <s:c r="BY26" s="232"/>
      <s:c r="BZ26" s="232"/>
      <s:c r="CA26" s="232"/>
      <s:c r="CB26" s="232"/>
      <s:c r="CC26" s="232"/>
      <s:c r="CD26" s="232"/>
      <s:c r="CE26" s="232"/>
      <s:c r="CF26" s="232"/>
      <s:c r="CG26" s="232"/>
      <s:c r="CH26" s="232"/>
      <s:c r="CI26" s="232"/>
      <s:c r="CJ26" s="232"/>
      <s:c r="CK26" s="232"/>
      <s:c r="CL26" s="232"/>
      <s:c r="CM26" s="232"/>
      <s:c r="CN26" s="232"/>
      <s:c r="CO26" s="232"/>
      <s:c r="CP26" s="232"/>
      <s:c r="CQ26" s="232"/>
      <s:c r="CR26" s="232"/>
      <s:c r="CS26" s="232"/>
      <s:c r="CT26" s="232"/>
      <s:c r="CU26" s="232"/>
      <s:c r="CV26" s="232"/>
      <s:c r="CW26" s="232"/>
      <s:c r="CX26" s="232"/>
      <s:c r="CY26" s="232"/>
      <s:c r="CZ26" s="232"/>
      <s:c r="DA26" s="232"/>
      <s:c r="DB26" s="232"/>
      <s:c r="DC26" s="232"/>
      <s:c r="DD26" s="232"/>
      <s:c r="DE26" s="232"/>
      <s:c r="DF26" s="232"/>
      <s:c r="DG26" s="232"/>
      <s:c r="DH26" s="232"/>
      <s:c r="DI26" s="232"/>
      <s:c r="DJ26" s="232"/>
      <s:c r="DK26" s="232"/>
      <s:c r="DL26" s="232"/>
      <s:c r="DM26" s="232"/>
      <s:c r="DN26" s="232"/>
      <s:c r="DO26" s="232"/>
      <s:c r="DP26" s="232"/>
      <s:c r="DQ26" s="232"/>
      <s:c r="DR26" s="232"/>
      <s:c r="DS26" s="232"/>
      <s:c r="DT26" s="232"/>
      <s:c r="DU26" s="232"/>
      <s:c r="DV26" s="232"/>
      <s:c r="DW26" s="232"/>
      <s:c r="DX26" s="232"/>
      <s:c r="DY26" s="232"/>
      <s:c r="DZ26" s="232"/>
      <s:c r="EA26" s="232"/>
      <s:c r="EB26" s="232"/>
      <s:c r="EC26" s="232"/>
      <s:c r="ED26" s="232"/>
      <s:c r="EE26" s="232"/>
      <s:c r="EF26" s="232"/>
      <s:c r="EG26" s="232"/>
      <s:c r="EH26" s="232"/>
      <s:c r="EI26" s="232"/>
      <s:c r="EJ26" s="232"/>
      <s:c r="EK26" s="232"/>
      <s:c r="EL26" s="232"/>
      <s:c r="EM26" s="232"/>
      <s:c r="EN26" s="232"/>
      <s:c r="EO26" s="232"/>
      <s:c r="EP26" s="232"/>
      <s:c r="EQ26" s="232"/>
      <s:c r="ER26" s="232"/>
      <s:c r="ES26" s="232"/>
      <s:c r="ET26" s="232"/>
      <s:c r="EU26" s="232"/>
      <s:c r="EV26" s="232"/>
      <s:c r="EW26" s="232"/>
      <s:c r="EX26" s="232"/>
      <s:c r="EY26" s="232"/>
      <s:c r="EZ26" s="232"/>
      <s:c r="FA26" s="232"/>
      <s:c r="FB26" s="232"/>
      <s:c r="FC26" s="232"/>
      <s:c r="FD26" s="232"/>
      <s:c r="FE26" s="232"/>
      <s:c r="FF26" s="232"/>
      <s:c r="FG26" s="232"/>
      <s:c r="FH26" s="232"/>
      <s:c r="FI26" s="232"/>
      <s:c r="FJ26" s="232"/>
      <s:c r="FK26" s="232"/>
      <s:c r="FL26" s="232"/>
      <s:c r="FM26" s="232"/>
      <s:c r="FN26" s="232"/>
      <s:c r="FO26" s="232"/>
      <s:c r="FP26" s="232"/>
      <s:c r="FQ26" s="232"/>
      <s:c r="FR26" s="232"/>
      <s:c r="FS26" s="232"/>
      <s:c r="FT26" s="232"/>
      <s:c r="FU26" s="232"/>
      <s:c r="FV26" s="232"/>
      <s:c r="FW26" s="232"/>
      <s:c r="FX26" s="232"/>
      <s:c r="FY26" s="232"/>
      <s:c r="FZ26" s="232"/>
      <s:c r="GA26" s="232"/>
      <s:c r="GB26" s="232"/>
      <s:c r="GC26" s="232"/>
      <s:c r="GD26" s="232"/>
      <s:c r="GE26" s="232"/>
      <s:c r="GF26" s="232"/>
      <s:c r="GG26" s="232"/>
      <s:c r="GH26" s="232"/>
      <s:c r="GI26" s="232"/>
      <s:c r="GJ26" s="232"/>
      <s:c r="GK26" s="232"/>
      <s:c r="GL26" s="232"/>
      <s:c r="GM26" s="232"/>
      <s:c r="GN26" s="232"/>
      <s:c r="GO26" s="232"/>
      <s:c r="GP26" s="232"/>
      <s:c r="GQ26" s="232"/>
      <s:c r="GR26" s="232"/>
      <s:c r="GS26" s="232"/>
      <s:c r="GT26" s="232"/>
      <s:c r="GU26" s="232"/>
      <s:c r="GV26" s="232"/>
      <s:c r="GW26" s="232"/>
      <s:c r="GX26" s="232"/>
      <s:c r="GY26" s="232"/>
      <s:c r="GZ26" s="232"/>
      <s:c r="HA26" s="232"/>
      <s:c r="HB26" s="232"/>
      <s:c r="HC26" s="232"/>
      <s:c r="HD26" s="232"/>
      <s:c r="HE26" s="232"/>
      <s:c r="HF26" s="232"/>
      <s:c r="HG26" s="232"/>
      <s:c r="HH26" s="232"/>
      <s:c r="HI26" s="232"/>
      <s:c r="HJ26" s="232"/>
      <s:c r="HK26" s="232"/>
      <s:c r="HL26" s="232"/>
      <s:c r="HM26" s="232"/>
      <s:c r="HN26" s="232"/>
      <s:c r="HO26" s="232"/>
      <s:c r="HP26" s="232"/>
      <s:c r="HQ26" s="232"/>
      <s:c r="HR26" s="232"/>
      <s:c r="HS26" s="232"/>
      <s:c r="HT26" s="232"/>
      <s:c r="HU26" s="232"/>
      <s:c r="HV26" s="232"/>
      <s:c r="HW26" s="232"/>
      <s:c r="HX26" s="232"/>
      <s:c r="HY26" s="232"/>
      <s:c r="HZ26" s="232"/>
      <s:c r="IA26" s="232"/>
      <s:c r="IB26" s="232"/>
      <s:c r="IC26" s="232"/>
      <s:c r="ID26" s="232"/>
      <s:c r="IE26" s="232"/>
      <s:c r="IF26" s="232"/>
      <s:c r="IG26" s="232"/>
      <s:c r="IH26" s="232"/>
      <s:c r="II26" s="232"/>
      <s:c r="IJ26" s="232"/>
      <s:c r="IK26" s="232"/>
      <s:c r="IL26" s="232"/>
      <s:c r="IM26" s="232"/>
      <s:c r="IN26" s="232"/>
      <s:c r="IO26" s="232"/>
      <s:c r="IP26" s="232"/>
      <s:c r="IQ26" s="232"/>
      <s:c r="IR26" s="232"/>
      <s:c r="IS26" s="232"/>
      <s:c r="IT26" s="232"/>
      <s:c r="IU26" s="232"/>
    </s:row>
    <s:row r="27" spans="1:255" s="221" customFormat="1">
      <s:c r="A27" s="101">
        <s:v>3</s:v>
      </s:c>
      <s:c r="B27" s="129"/>
      <s:c r="C27" s="215"/>
      <s:c r="D27" s="104"/>
      <s:c r="E27" s="106"/>
      <s:c r="F27" s="106" t="str">
        <s:f>IF(AND(E27&lt;&gt;"",E27&lt;&gt;0),D27/E27,"")</s:f>
        <s:v/>
      </s:c>
      <s:c r="G27" s="106"/>
      <s:c r="H27" s="106" t="str">
        <s:f>IF(AND(G27&lt;&gt;"",G27&lt;&gt;0),D27/G27,"")</s:f>
        <s:v/>
      </s:c>
      <s:c r="I27" s="224"/>
      <s:c r="J27" s="222" t="str">
        <s:f>IF(AND(G27&lt;&gt;"",G27&lt;&gt;0),E27/G27,"")</s:f>
        <s:v/>
      </s:c>
      <s:c r="K27" s="223"/>
      <s:c r="L27" s="223"/>
      <s:c r="M27" s="223"/>
      <s:c r="N27" s="225" t="str">
        <s:f>IF(AND(I27&lt;&gt;"",I27&lt;&gt;0),G27/I27,"")</s:f>
        <s:v/>
      </s:c>
      <s:c r="O27" s="235" t="e">
        <s:f>D27/P27</s:f>
        <s:v>#DIV/0!</s:v>
      </s:c>
      <s:c r="P27" s="227">
        <s:f>$I$8*V27*W27/SUMPRODUCT($W$25:$W$60,$V$25:$V$60)</s:f>
        <s:v>0</s:v>
      </s:c>
      <s:c r="Q27" s="228">
        <s:f>$I$9*V27*W27/SUMPRODUCT($W$25:$W$60,$V$25:$V$60)</s:f>
        <s:v>0</s:v>
      </s:c>
      <s:c r="R27" s="228">
        <s:f>IF($I$12="","",Q27/$I$12)</s:f>
        <s:v>0</s:v>
      </s:c>
      <s:c r="S27" s="227" t="e">
        <s:f ca="1">IF(W27&lt;&gt;"",IF(D27&lt;&gt;"",D27,($I$8-SUM($S$25:S26))*V27*W27/SUMPRODUCT($W27:$W$60,$V27:$V$60)),"")</s:f>
        <s:v>#REF!</s:v>
      </s:c>
      <s:c r="T27" s="228" t="e">
        <s:f ca="1">IF(W27&lt;&gt;"",IF(E27&lt;&gt;"",E27,($I$9-SUM($T$25:T26))*V27*W27/SUMPRODUCT($W27:$W$60,$V27:$V$60)),"")</s:f>
        <s:v>#REF!</s:v>
      </s:c>
      <s:c r="U27" s="228" t="e">
        <s:f ca="1">IF(W27&lt;&gt;"",IF($I$12&lt;&gt;"",IF(G27&lt;&gt;"",G27,($I$9/$I$12-SUM($U$25:U26))*V27*W27/SUMPRODUCT($W27:$W$60,$V27:$V$60)),""),"")</s:f>
        <s:v>#REF!</s:v>
      </s:c>
      <s:c r="V27" s="229">
        <s:v>1</s:v>
      </s:c>
      <s:c r="W27" s="229">
        <s:v>1</s:v>
      </s:c>
      <s:c r="X27" s="230"/>
      <s:c r="Y27" s="230"/>
      <s:c r="Z27" s="231"/>
      <s:c r="AA27" s="232"/>
      <s:c r="AB27" s="232"/>
      <s:c r="AC27" s="232"/>
      <s:c r="AD27" s="232"/>
      <s:c r="AE27" s="232"/>
      <s:c r="AF27" s="232"/>
      <s:c r="AG27" s="232"/>
      <s:c r="AH27" s="232"/>
      <s:c r="AI27" s="232"/>
      <s:c r="AJ27" s="232"/>
      <s:c r="AK27" s="232"/>
      <s:c r="AL27" s="232"/>
      <s:c r="AM27" s="232"/>
      <s:c r="AN27" s="232"/>
      <s:c r="AO27" s="232"/>
      <s:c r="AP27" s="232"/>
      <s:c r="AQ27" s="232"/>
      <s:c r="AR27" s="232"/>
      <s:c r="AS27" s="232"/>
      <s:c r="AT27" s="232"/>
      <s:c r="AU27" s="232"/>
      <s:c r="AV27" s="232"/>
      <s:c r="AW27" s="232"/>
      <s:c r="AX27" s="232"/>
      <s:c r="AY27" s="232"/>
      <s:c r="AZ27" s="232"/>
      <s:c r="BA27" s="232"/>
      <s:c r="BB27" s="232"/>
      <s:c r="BC27" s="232"/>
      <s:c r="BD27" s="232"/>
      <s:c r="BE27" s="232"/>
      <s:c r="BF27" s="232"/>
      <s:c r="BG27" s="232"/>
      <s:c r="BH27" s="232"/>
      <s:c r="BI27" s="232"/>
      <s:c r="BJ27" s="232"/>
      <s:c r="BK27" s="232"/>
      <s:c r="BL27" s="232"/>
      <s:c r="BM27" s="232"/>
      <s:c r="BN27" s="232"/>
      <s:c r="BO27" s="232"/>
      <s:c r="BP27" s="232"/>
      <s:c r="BQ27" s="232"/>
      <s:c r="BR27" s="232"/>
      <s:c r="BS27" s="232"/>
      <s:c r="BT27" s="232"/>
      <s:c r="BU27" s="232"/>
      <s:c r="BV27" s="232"/>
      <s:c r="BW27" s="232"/>
      <s:c r="BX27" s="232"/>
      <s:c r="BY27" s="232"/>
      <s:c r="BZ27" s="232"/>
      <s:c r="CA27" s="232"/>
      <s:c r="CB27" s="232"/>
      <s:c r="CC27" s="232"/>
      <s:c r="CD27" s="232"/>
      <s:c r="CE27" s="232"/>
      <s:c r="CF27" s="232"/>
      <s:c r="CG27" s="232"/>
      <s:c r="CH27" s="232"/>
      <s:c r="CI27" s="232"/>
      <s:c r="CJ27" s="232"/>
      <s:c r="CK27" s="232"/>
      <s:c r="CL27" s="232"/>
      <s:c r="CM27" s="232"/>
      <s:c r="CN27" s="232"/>
      <s:c r="CO27" s="232"/>
      <s:c r="CP27" s="232"/>
      <s:c r="CQ27" s="232"/>
      <s:c r="CR27" s="232"/>
      <s:c r="CS27" s="232"/>
      <s:c r="CT27" s="232"/>
      <s:c r="CU27" s="232"/>
      <s:c r="CV27" s="232"/>
      <s:c r="CW27" s="232"/>
      <s:c r="CX27" s="232"/>
      <s:c r="CY27" s="232"/>
      <s:c r="CZ27" s="232"/>
      <s:c r="DA27" s="232"/>
      <s:c r="DB27" s="232"/>
      <s:c r="DC27" s="232"/>
      <s:c r="DD27" s="232"/>
      <s:c r="DE27" s="232"/>
      <s:c r="DF27" s="232"/>
      <s:c r="DG27" s="232"/>
      <s:c r="DH27" s="232"/>
      <s:c r="DI27" s="232"/>
      <s:c r="DJ27" s="232"/>
      <s:c r="DK27" s="232"/>
      <s:c r="DL27" s="232"/>
      <s:c r="DM27" s="232"/>
      <s:c r="DN27" s="232"/>
      <s:c r="DO27" s="232"/>
      <s:c r="DP27" s="232"/>
      <s:c r="DQ27" s="232"/>
      <s:c r="DR27" s="232"/>
      <s:c r="DS27" s="232"/>
      <s:c r="DT27" s="232"/>
      <s:c r="DU27" s="232"/>
      <s:c r="DV27" s="232"/>
      <s:c r="DW27" s="232"/>
      <s:c r="DX27" s="232"/>
      <s:c r="DY27" s="232"/>
      <s:c r="DZ27" s="232"/>
      <s:c r="EA27" s="232"/>
      <s:c r="EB27" s="232"/>
      <s:c r="EC27" s="232"/>
      <s:c r="ED27" s="232"/>
      <s:c r="EE27" s="232"/>
      <s:c r="EF27" s="232"/>
      <s:c r="EG27" s="232"/>
      <s:c r="EH27" s="232"/>
      <s:c r="EI27" s="232"/>
      <s:c r="EJ27" s="232"/>
      <s:c r="EK27" s="232"/>
      <s:c r="EL27" s="232"/>
      <s:c r="EM27" s="232"/>
      <s:c r="EN27" s="232"/>
      <s:c r="EO27" s="232"/>
      <s:c r="EP27" s="232"/>
      <s:c r="EQ27" s="232"/>
      <s:c r="ER27" s="232"/>
      <s:c r="ES27" s="232"/>
      <s:c r="ET27" s="232"/>
      <s:c r="EU27" s="232"/>
      <s:c r="EV27" s="232"/>
      <s:c r="EW27" s="232"/>
      <s:c r="EX27" s="232"/>
      <s:c r="EY27" s="232"/>
      <s:c r="EZ27" s="232"/>
      <s:c r="FA27" s="232"/>
      <s:c r="FB27" s="232"/>
      <s:c r="FC27" s="232"/>
      <s:c r="FD27" s="232"/>
      <s:c r="FE27" s="232"/>
      <s:c r="FF27" s="232"/>
      <s:c r="FG27" s="232"/>
      <s:c r="FH27" s="232"/>
      <s:c r="FI27" s="232"/>
      <s:c r="FJ27" s="232"/>
      <s:c r="FK27" s="232"/>
      <s:c r="FL27" s="232"/>
      <s:c r="FM27" s="232"/>
      <s:c r="FN27" s="232"/>
      <s:c r="FO27" s="232"/>
      <s:c r="FP27" s="232"/>
      <s:c r="FQ27" s="232"/>
      <s:c r="FR27" s="232"/>
      <s:c r="FS27" s="232"/>
      <s:c r="FT27" s="232"/>
      <s:c r="FU27" s="232"/>
      <s:c r="FV27" s="232"/>
      <s:c r="FW27" s="232"/>
      <s:c r="FX27" s="232"/>
      <s:c r="FY27" s="232"/>
      <s:c r="FZ27" s="232"/>
      <s:c r="GA27" s="232"/>
      <s:c r="GB27" s="232"/>
      <s:c r="GC27" s="232"/>
      <s:c r="GD27" s="232"/>
      <s:c r="GE27" s="232"/>
      <s:c r="GF27" s="232"/>
      <s:c r="GG27" s="232"/>
      <s:c r="GH27" s="232"/>
      <s:c r="GI27" s="232"/>
      <s:c r="GJ27" s="232"/>
      <s:c r="GK27" s="232"/>
      <s:c r="GL27" s="232"/>
      <s:c r="GM27" s="232"/>
      <s:c r="GN27" s="232"/>
      <s:c r="GO27" s="232"/>
      <s:c r="GP27" s="232"/>
      <s:c r="GQ27" s="232"/>
      <s:c r="GR27" s="232"/>
      <s:c r="GS27" s="232"/>
      <s:c r="GT27" s="232"/>
      <s:c r="GU27" s="232"/>
      <s:c r="GV27" s="232"/>
      <s:c r="GW27" s="232"/>
      <s:c r="GX27" s="232"/>
      <s:c r="GY27" s="232"/>
      <s:c r="GZ27" s="232"/>
      <s:c r="HA27" s="232"/>
      <s:c r="HB27" s="232"/>
      <s:c r="HC27" s="232"/>
      <s:c r="HD27" s="232"/>
      <s:c r="HE27" s="232"/>
      <s:c r="HF27" s="232"/>
      <s:c r="HG27" s="232"/>
      <s:c r="HH27" s="232"/>
      <s:c r="HI27" s="232"/>
      <s:c r="HJ27" s="232"/>
      <s:c r="HK27" s="232"/>
      <s:c r="HL27" s="232"/>
      <s:c r="HM27" s="232"/>
      <s:c r="HN27" s="232"/>
      <s:c r="HO27" s="232"/>
      <s:c r="HP27" s="232"/>
      <s:c r="HQ27" s="232"/>
      <s:c r="HR27" s="232"/>
      <s:c r="HS27" s="232"/>
      <s:c r="HT27" s="232"/>
      <s:c r="HU27" s="232"/>
      <s:c r="HV27" s="232"/>
      <s:c r="HW27" s="232"/>
      <s:c r="HX27" s="232"/>
      <s:c r="HY27" s="232"/>
      <s:c r="HZ27" s="232"/>
      <s:c r="IA27" s="232"/>
      <s:c r="IB27" s="232"/>
      <s:c r="IC27" s="232"/>
      <s:c r="ID27" s="232"/>
      <s:c r="IE27" s="232"/>
      <s:c r="IF27" s="232"/>
      <s:c r="IG27" s="232"/>
      <s:c r="IH27" s="232"/>
      <s:c r="II27" s="232"/>
      <s:c r="IJ27" s="232"/>
      <s:c r="IK27" s="232"/>
      <s:c r="IL27" s="232"/>
      <s:c r="IM27" s="232"/>
      <s:c r="IN27" s="232"/>
      <s:c r="IO27" s="232"/>
      <s:c r="IP27" s="232"/>
      <s:c r="IQ27" s="232"/>
      <s:c r="IR27" s="232"/>
      <s:c r="IS27" s="232"/>
      <s:c r="IT27" s="232"/>
      <s:c r="IU27" s="232"/>
    </s:row>
    <s:row r="28" spans="1:255" s="221" customFormat="1">
      <s:c r="A28" s="101">
        <s:v>4</s:v>
      </s:c>
      <s:c r="B28" s="129"/>
      <s:c r="C28" s="215"/>
      <s:c r="D28" s="104"/>
      <s:c r="E28" s="106"/>
      <s:c r="F28" s="106" t="str">
        <s:f>IF(AND(E28&lt;&gt;"",E28&lt;&gt;0),D28/E28,"")</s:f>
        <s:v/>
      </s:c>
      <s:c r="G28" s="106"/>
      <s:c r="H28" s="106" t="str">
        <s:f>IF(AND(G28&lt;&gt;"",G28&lt;&gt;0),D28/G28,"")</s:f>
        <s:v/>
      </s:c>
      <s:c r="I28" s="223"/>
      <s:c r="J28" s="222" t="str">
        <s:f>IF(AND(G28&lt;&gt;"",G28&lt;&gt;0),E28/G28,"")</s:f>
        <s:v/>
      </s:c>
      <s:c r="K28" s="223"/>
      <s:c r="L28" s="223"/>
      <s:c r="M28" s="223"/>
      <s:c r="N28" s="225" t="str">
        <s:f>IF(AND(I28&lt;&gt;"",I28&lt;&gt;0),G28/I28,"")</s:f>
        <s:v/>
      </s:c>
      <s:c r="O28" s="235" t="e">
        <s:f>D28/P28</s:f>
        <s:v>#DIV/0!</s:v>
      </s:c>
      <s:c r="P28" s="227">
        <s:f>$I$8*V28*W28/SUMPRODUCT($W$25:$W$60,$V$25:$V$60)</s:f>
        <s:v>0</s:v>
      </s:c>
      <s:c r="Q28" s="228">
        <s:f>$I$9*V28*W28/SUMPRODUCT($W$25:$W$60,$V$25:$V$60)</s:f>
        <s:v>0</s:v>
      </s:c>
      <s:c r="R28" s="228">
        <s:f>IF($I$12="","",Q28/$I$12)</s:f>
        <s:v>0</s:v>
      </s:c>
      <s:c r="S28" s="227" t="e">
        <s:f ca="1">IF(W28&lt;&gt;"",IF(D28&lt;&gt;"",D28,($I$8-SUM($S$25:S27))*V28*W28/SUMPRODUCT($W28:$W$60,$V28:$V$60)),"")</s:f>
        <s:v>#REF!</s:v>
      </s:c>
      <s:c r="T28" s="228" t="e">
        <s:f ca="1">IF(W28&lt;&gt;"",IF(E28&lt;&gt;"",E28,($I$9-SUM($T$25:T27))*V28*W28/SUMPRODUCT($W28:$W$60,$V28:$V$60)),"")</s:f>
        <s:v>#REF!</s:v>
      </s:c>
      <s:c r="U28" s="228" t="e">
        <s:f ca="1">IF(W28&lt;&gt;"",IF($I$12&lt;&gt;"",IF(G28&lt;&gt;"",G28,($I$9/$I$12-SUM($U$25:U27))*V28*W28/SUMPRODUCT($W28:$W$60,$V28:$V$60)),""),"")</s:f>
        <s:v>#REF!</s:v>
      </s:c>
      <s:c r="V28" s="229">
        <s:v>1</s:v>
      </s:c>
      <s:c r="W28" s="229">
        <s:v>1</s:v>
      </s:c>
      <s:c r="X28" s="230"/>
      <s:c r="Y28" s="230"/>
      <s:c r="Z28" s="232"/>
      <s:c r="AA28" s="232"/>
      <s:c r="AB28" s="232"/>
      <s:c r="AC28" s="232"/>
      <s:c r="AD28" s="232"/>
      <s:c r="AE28" s="232"/>
      <s:c r="AF28" s="232"/>
      <s:c r="AG28" s="232"/>
      <s:c r="AH28" s="232"/>
      <s:c r="AI28" s="232"/>
      <s:c r="AJ28" s="232"/>
      <s:c r="AK28" s="232"/>
      <s:c r="AL28" s="232"/>
      <s:c r="AM28" s="232"/>
      <s:c r="AN28" s="232"/>
      <s:c r="AO28" s="232"/>
      <s:c r="AP28" s="232"/>
      <s:c r="AQ28" s="232"/>
      <s:c r="AR28" s="232"/>
      <s:c r="AS28" s="232"/>
      <s:c r="AT28" s="232"/>
      <s:c r="AU28" s="232"/>
      <s:c r="AV28" s="232"/>
      <s:c r="AW28" s="232"/>
      <s:c r="AX28" s="232"/>
      <s:c r="AY28" s="232"/>
      <s:c r="AZ28" s="232"/>
      <s:c r="BA28" s="232"/>
      <s:c r="BB28" s="232"/>
      <s:c r="BC28" s="232"/>
      <s:c r="BD28" s="232"/>
      <s:c r="BE28" s="232"/>
      <s:c r="BF28" s="232"/>
      <s:c r="BG28" s="232"/>
      <s:c r="BH28" s="232"/>
      <s:c r="BI28" s="232"/>
      <s:c r="BJ28" s="232"/>
      <s:c r="BK28" s="232"/>
      <s:c r="BL28" s="232"/>
      <s:c r="BM28" s="232"/>
      <s:c r="BN28" s="232"/>
      <s:c r="BO28" s="232"/>
      <s:c r="BP28" s="232"/>
      <s:c r="BQ28" s="232"/>
      <s:c r="BR28" s="232"/>
      <s:c r="BS28" s="232"/>
      <s:c r="BT28" s="232"/>
      <s:c r="BU28" s="232"/>
      <s:c r="BV28" s="232"/>
      <s:c r="BW28" s="232"/>
      <s:c r="BX28" s="232"/>
      <s:c r="BY28" s="232"/>
      <s:c r="BZ28" s="232"/>
      <s:c r="CA28" s="232"/>
      <s:c r="CB28" s="232"/>
      <s:c r="CC28" s="232"/>
      <s:c r="CD28" s="232"/>
      <s:c r="CE28" s="232"/>
      <s:c r="CF28" s="232"/>
      <s:c r="CG28" s="232"/>
      <s:c r="CH28" s="232"/>
      <s:c r="CI28" s="232"/>
      <s:c r="CJ28" s="232"/>
      <s:c r="CK28" s="232"/>
      <s:c r="CL28" s="232"/>
      <s:c r="CM28" s="232"/>
      <s:c r="CN28" s="232"/>
      <s:c r="CO28" s="232"/>
      <s:c r="CP28" s="232"/>
      <s:c r="CQ28" s="232"/>
      <s:c r="CR28" s="232"/>
      <s:c r="CS28" s="232"/>
      <s:c r="CT28" s="232"/>
      <s:c r="CU28" s="232"/>
      <s:c r="CV28" s="232"/>
      <s:c r="CW28" s="232"/>
      <s:c r="CX28" s="232"/>
      <s:c r="CY28" s="232"/>
      <s:c r="CZ28" s="232"/>
      <s:c r="DA28" s="232"/>
      <s:c r="DB28" s="232"/>
      <s:c r="DC28" s="232"/>
      <s:c r="DD28" s="232"/>
      <s:c r="DE28" s="232"/>
      <s:c r="DF28" s="232"/>
      <s:c r="DG28" s="232"/>
      <s:c r="DH28" s="232"/>
      <s:c r="DI28" s="232"/>
      <s:c r="DJ28" s="232"/>
      <s:c r="DK28" s="232"/>
      <s:c r="DL28" s="232"/>
      <s:c r="DM28" s="232"/>
      <s:c r="DN28" s="232"/>
      <s:c r="DO28" s="232"/>
      <s:c r="DP28" s="232"/>
      <s:c r="DQ28" s="232"/>
      <s:c r="DR28" s="232"/>
      <s:c r="DS28" s="232"/>
      <s:c r="DT28" s="232"/>
      <s:c r="DU28" s="232"/>
      <s:c r="DV28" s="232"/>
      <s:c r="DW28" s="232"/>
      <s:c r="DX28" s="232"/>
      <s:c r="DY28" s="232"/>
      <s:c r="DZ28" s="232"/>
      <s:c r="EA28" s="232"/>
      <s:c r="EB28" s="232"/>
      <s:c r="EC28" s="232"/>
      <s:c r="ED28" s="232"/>
      <s:c r="EE28" s="232"/>
      <s:c r="EF28" s="232"/>
      <s:c r="EG28" s="232"/>
      <s:c r="EH28" s="232"/>
      <s:c r="EI28" s="232"/>
      <s:c r="EJ28" s="232"/>
      <s:c r="EK28" s="232"/>
      <s:c r="EL28" s="232"/>
      <s:c r="EM28" s="232"/>
      <s:c r="EN28" s="232"/>
      <s:c r="EO28" s="232"/>
      <s:c r="EP28" s="232"/>
      <s:c r="EQ28" s="232"/>
      <s:c r="ER28" s="232"/>
      <s:c r="ES28" s="232"/>
      <s:c r="ET28" s="232"/>
      <s:c r="EU28" s="232"/>
      <s:c r="EV28" s="232"/>
      <s:c r="EW28" s="232"/>
      <s:c r="EX28" s="232"/>
      <s:c r="EY28" s="232"/>
      <s:c r="EZ28" s="232"/>
      <s:c r="FA28" s="232"/>
      <s:c r="FB28" s="232"/>
      <s:c r="FC28" s="232"/>
      <s:c r="FD28" s="232"/>
      <s:c r="FE28" s="232"/>
      <s:c r="FF28" s="232"/>
      <s:c r="FG28" s="232"/>
      <s:c r="FH28" s="232"/>
      <s:c r="FI28" s="232"/>
      <s:c r="FJ28" s="232"/>
      <s:c r="FK28" s="232"/>
      <s:c r="FL28" s="232"/>
      <s:c r="FM28" s="232"/>
      <s:c r="FN28" s="232"/>
      <s:c r="FO28" s="232"/>
      <s:c r="FP28" s="232"/>
      <s:c r="FQ28" s="232"/>
      <s:c r="FR28" s="232"/>
      <s:c r="FS28" s="232"/>
      <s:c r="FT28" s="232"/>
      <s:c r="FU28" s="232"/>
      <s:c r="FV28" s="232"/>
      <s:c r="FW28" s="232"/>
      <s:c r="FX28" s="232"/>
      <s:c r="FY28" s="232"/>
      <s:c r="FZ28" s="232"/>
      <s:c r="GA28" s="232"/>
      <s:c r="GB28" s="232"/>
      <s:c r="GC28" s="232"/>
      <s:c r="GD28" s="232"/>
      <s:c r="GE28" s="232"/>
      <s:c r="GF28" s="232"/>
      <s:c r="GG28" s="232"/>
      <s:c r="GH28" s="232"/>
      <s:c r="GI28" s="232"/>
      <s:c r="GJ28" s="232"/>
      <s:c r="GK28" s="232"/>
      <s:c r="GL28" s="232"/>
      <s:c r="GM28" s="232"/>
      <s:c r="GN28" s="232"/>
      <s:c r="GO28" s="232"/>
      <s:c r="GP28" s="232"/>
      <s:c r="GQ28" s="232"/>
      <s:c r="GR28" s="232"/>
      <s:c r="GS28" s="232"/>
      <s:c r="GT28" s="232"/>
      <s:c r="GU28" s="232"/>
      <s:c r="GV28" s="232"/>
      <s:c r="GW28" s="232"/>
      <s:c r="GX28" s="232"/>
      <s:c r="GY28" s="232"/>
      <s:c r="GZ28" s="232"/>
      <s:c r="HA28" s="232"/>
      <s:c r="HB28" s="232"/>
      <s:c r="HC28" s="232"/>
      <s:c r="HD28" s="232"/>
      <s:c r="HE28" s="232"/>
      <s:c r="HF28" s="232"/>
      <s:c r="HG28" s="232"/>
      <s:c r="HH28" s="232"/>
      <s:c r="HI28" s="232"/>
      <s:c r="HJ28" s="232"/>
      <s:c r="HK28" s="232"/>
      <s:c r="HL28" s="232"/>
      <s:c r="HM28" s="232"/>
      <s:c r="HN28" s="232"/>
      <s:c r="HO28" s="232"/>
      <s:c r="HP28" s="232"/>
      <s:c r="HQ28" s="232"/>
      <s:c r="HR28" s="232"/>
      <s:c r="HS28" s="232"/>
      <s:c r="HT28" s="232"/>
      <s:c r="HU28" s="232"/>
      <s:c r="HV28" s="232"/>
      <s:c r="HW28" s="232"/>
      <s:c r="HX28" s="232"/>
      <s:c r="HY28" s="232"/>
      <s:c r="HZ28" s="232"/>
      <s:c r="IA28" s="232"/>
      <s:c r="IB28" s="232"/>
      <s:c r="IC28" s="232"/>
      <s:c r="ID28" s="232"/>
      <s:c r="IE28" s="232"/>
      <s:c r="IF28" s="232"/>
      <s:c r="IG28" s="232"/>
      <s:c r="IH28" s="232"/>
      <s:c r="II28" s="232"/>
      <s:c r="IJ28" s="232"/>
      <s:c r="IK28" s="232"/>
      <s:c r="IL28" s="232"/>
      <s:c r="IM28" s="232"/>
      <s:c r="IN28" s="232"/>
      <s:c r="IO28" s="232"/>
      <s:c r="IP28" s="232"/>
      <s:c r="IQ28" s="232"/>
      <s:c r="IR28" s="232"/>
      <s:c r="IS28" s="232"/>
      <s:c r="IT28" s="232"/>
      <s:c r="IU28" s="232"/>
    </s:row>
    <s:row r="29" spans="1:255" s="221" customFormat="1">
      <s:c r="A29" s="101">
        <s:v>4</s:v>
      </s:c>
      <s:c r="B29" s="129"/>
      <s:c r="C29" s="215"/>
      <s:c r="D29" s="104"/>
      <s:c r="E29" s="106"/>
      <s:c r="F29" s="106" t="str">
        <s:f>IF(AND(E29&lt;&gt;"",E29&lt;&gt;0),D29/E29,"")</s:f>
        <s:v/>
      </s:c>
      <s:c r="G29" s="106"/>
      <s:c r="H29" s="106" t="str">
        <s:f>IF(AND(G29&lt;&gt;"",G29&lt;&gt;0),D29/G29,"")</s:f>
        <s:v/>
      </s:c>
      <s:c r="I29" s="223"/>
      <s:c r="J29" s="222" t="str">
        <s:f>IF(AND(G29&lt;&gt;"",G29&lt;&gt;0),E29/G29,"")</s:f>
        <s:v/>
      </s:c>
      <s:c r="K29" s="223"/>
      <s:c r="L29" s="223"/>
      <s:c r="M29" s="223"/>
      <s:c r="N29" s="225" t="str">
        <s:f>IF(AND(I29&lt;&gt;"",I29&lt;&gt;0),G29/I29,"")</s:f>
        <s:v/>
      </s:c>
      <s:c r="O29" s="235" t="e">
        <s:f>D29/P29</s:f>
        <s:v>#DIV/0!</s:v>
      </s:c>
      <s:c r="P29" s="227">
        <s:f>$I$8*V29*W29/SUMPRODUCT($W$25:$W$60,$V$25:$V$60)</s:f>
        <s:v>0</s:v>
      </s:c>
      <s:c r="Q29" s="228">
        <s:f>$I$9*V29*W29/SUMPRODUCT($W$25:$W$60,$V$25:$V$60)</s:f>
        <s:v>0</s:v>
      </s:c>
      <s:c r="R29" s="228">
        <s:f>IF($I$12="","",Q29/$I$12)</s:f>
        <s:v>0</s:v>
      </s:c>
      <s:c r="S29" s="227" t="e">
        <s:f ca="1">IF(W29&lt;&gt;"",IF(D29&lt;&gt;"",D29,($I$8-SUM($S$25:S28))*V29*W29/SUMPRODUCT($W29:$W$60,$V29:$V$60)),"")</s:f>
        <s:v>#REF!</s:v>
      </s:c>
      <s:c r="T29" s="228" t="e">
        <s:f ca="1">IF(W29&lt;&gt;"",IF(E29&lt;&gt;"",E29,($I$9-SUM($T$25:T28))*V29*W29/SUMPRODUCT($W29:$W$60,$V29:$V$60)),"")</s:f>
        <s:v>#REF!</s:v>
      </s:c>
      <s:c r="U29" s="228" t="e">
        <s:f ca="1">IF(W29&lt;&gt;"",IF($I$12&lt;&gt;"",IF(G29&lt;&gt;"",G29,($I$9/$I$12-SUM($U$25:U28))*V29*W29/SUMPRODUCT($W29:$W$60,$V29:$V$60)),""),"")</s:f>
        <s:v>#REF!</s:v>
      </s:c>
      <s:c r="V29" s="229">
        <s:v>1</s:v>
      </s:c>
      <s:c r="W29" s="229">
        <s:v>1</s:v>
      </s:c>
      <s:c r="X29" s="230"/>
      <s:c r="Y29" s="230"/>
      <s:c r="Z29" s="232"/>
      <s:c r="AA29" s="232"/>
      <s:c r="AB29" s="232"/>
      <s:c r="AC29" s="232"/>
      <s:c r="AD29" s="232"/>
      <s:c r="AE29" s="232"/>
      <s:c r="AF29" s="232"/>
      <s:c r="AG29" s="232"/>
      <s:c r="AH29" s="232"/>
      <s:c r="AI29" s="232"/>
      <s:c r="AJ29" s="232"/>
      <s:c r="AK29" s="232"/>
      <s:c r="AL29" s="232"/>
      <s:c r="AM29" s="232"/>
      <s:c r="AN29" s="232"/>
      <s:c r="AO29" s="232"/>
      <s:c r="AP29" s="232"/>
      <s:c r="AQ29" s="232"/>
      <s:c r="AR29" s="232"/>
      <s:c r="AS29" s="232"/>
      <s:c r="AT29" s="232"/>
      <s:c r="AU29" s="232"/>
      <s:c r="AV29" s="232"/>
      <s:c r="AW29" s="232"/>
      <s:c r="AX29" s="232"/>
      <s:c r="AY29" s="232"/>
      <s:c r="AZ29" s="232"/>
      <s:c r="BA29" s="232"/>
      <s:c r="BB29" s="232"/>
      <s:c r="BC29" s="232"/>
      <s:c r="BD29" s="232"/>
      <s:c r="BE29" s="232"/>
      <s:c r="BF29" s="232"/>
      <s:c r="BG29" s="232"/>
      <s:c r="BH29" s="232"/>
      <s:c r="BI29" s="232"/>
      <s:c r="BJ29" s="232"/>
      <s:c r="BK29" s="232"/>
      <s:c r="BL29" s="232"/>
      <s:c r="BM29" s="232"/>
      <s:c r="BN29" s="232"/>
      <s:c r="BO29" s="232"/>
      <s:c r="BP29" s="232"/>
      <s:c r="BQ29" s="232"/>
      <s:c r="BR29" s="232"/>
      <s:c r="BS29" s="232"/>
      <s:c r="BT29" s="232"/>
      <s:c r="BU29" s="232"/>
      <s:c r="BV29" s="232"/>
      <s:c r="BW29" s="232"/>
      <s:c r="BX29" s="232"/>
      <s:c r="BY29" s="232"/>
      <s:c r="BZ29" s="232"/>
      <s:c r="CA29" s="232"/>
      <s:c r="CB29" s="232"/>
      <s:c r="CC29" s="232"/>
      <s:c r="CD29" s="232"/>
      <s:c r="CE29" s="232"/>
      <s:c r="CF29" s="232"/>
      <s:c r="CG29" s="232"/>
      <s:c r="CH29" s="232"/>
      <s:c r="CI29" s="232"/>
      <s:c r="CJ29" s="232"/>
      <s:c r="CK29" s="232"/>
      <s:c r="CL29" s="232"/>
      <s:c r="CM29" s="232"/>
      <s:c r="CN29" s="232"/>
      <s:c r="CO29" s="232"/>
      <s:c r="CP29" s="232"/>
      <s:c r="CQ29" s="232"/>
      <s:c r="CR29" s="232"/>
      <s:c r="CS29" s="232"/>
      <s:c r="CT29" s="232"/>
      <s:c r="CU29" s="232"/>
      <s:c r="CV29" s="232"/>
      <s:c r="CW29" s="232"/>
      <s:c r="CX29" s="232"/>
      <s:c r="CY29" s="232"/>
      <s:c r="CZ29" s="232"/>
      <s:c r="DA29" s="232"/>
      <s:c r="DB29" s="232"/>
      <s:c r="DC29" s="232"/>
      <s:c r="DD29" s="232"/>
      <s:c r="DE29" s="232"/>
      <s:c r="DF29" s="232"/>
      <s:c r="DG29" s="232"/>
      <s:c r="DH29" s="232"/>
      <s:c r="DI29" s="232"/>
      <s:c r="DJ29" s="232"/>
      <s:c r="DK29" s="232"/>
      <s:c r="DL29" s="232"/>
      <s:c r="DM29" s="232"/>
      <s:c r="DN29" s="232"/>
      <s:c r="DO29" s="232"/>
      <s:c r="DP29" s="232"/>
      <s:c r="DQ29" s="232"/>
      <s:c r="DR29" s="232"/>
      <s:c r="DS29" s="232"/>
      <s:c r="DT29" s="232"/>
      <s:c r="DU29" s="232"/>
      <s:c r="DV29" s="232"/>
      <s:c r="DW29" s="232"/>
      <s:c r="DX29" s="232"/>
      <s:c r="DY29" s="232"/>
      <s:c r="DZ29" s="232"/>
      <s:c r="EA29" s="232"/>
      <s:c r="EB29" s="232"/>
      <s:c r="EC29" s="232"/>
      <s:c r="ED29" s="232"/>
      <s:c r="EE29" s="232"/>
      <s:c r="EF29" s="232"/>
      <s:c r="EG29" s="232"/>
      <s:c r="EH29" s="232"/>
      <s:c r="EI29" s="232"/>
      <s:c r="EJ29" s="232"/>
      <s:c r="EK29" s="232"/>
      <s:c r="EL29" s="232"/>
      <s:c r="EM29" s="232"/>
      <s:c r="EN29" s="232"/>
      <s:c r="EO29" s="232"/>
      <s:c r="EP29" s="232"/>
      <s:c r="EQ29" s="232"/>
      <s:c r="ER29" s="232"/>
      <s:c r="ES29" s="232"/>
      <s:c r="ET29" s="232"/>
      <s:c r="EU29" s="232"/>
      <s:c r="EV29" s="232"/>
      <s:c r="EW29" s="232"/>
      <s:c r="EX29" s="232"/>
      <s:c r="EY29" s="232"/>
      <s:c r="EZ29" s="232"/>
      <s:c r="FA29" s="232"/>
      <s:c r="FB29" s="232"/>
      <s:c r="FC29" s="232"/>
      <s:c r="FD29" s="232"/>
      <s:c r="FE29" s="232"/>
      <s:c r="FF29" s="232"/>
      <s:c r="FG29" s="232"/>
      <s:c r="FH29" s="232"/>
      <s:c r="FI29" s="232"/>
      <s:c r="FJ29" s="232"/>
      <s:c r="FK29" s="232"/>
      <s:c r="FL29" s="232"/>
      <s:c r="FM29" s="232"/>
      <s:c r="FN29" s="232"/>
      <s:c r="FO29" s="232"/>
      <s:c r="FP29" s="232"/>
      <s:c r="FQ29" s="232"/>
      <s:c r="FR29" s="232"/>
      <s:c r="FS29" s="232"/>
      <s:c r="FT29" s="232"/>
      <s:c r="FU29" s="232"/>
      <s:c r="FV29" s="232"/>
      <s:c r="FW29" s="232"/>
      <s:c r="FX29" s="232"/>
      <s:c r="FY29" s="232"/>
      <s:c r="FZ29" s="232"/>
      <s:c r="GA29" s="232"/>
      <s:c r="GB29" s="232"/>
      <s:c r="GC29" s="232"/>
      <s:c r="GD29" s="232"/>
      <s:c r="GE29" s="232"/>
      <s:c r="GF29" s="232"/>
      <s:c r="GG29" s="232"/>
      <s:c r="GH29" s="232"/>
      <s:c r="GI29" s="232"/>
      <s:c r="GJ29" s="232"/>
      <s:c r="GK29" s="232"/>
      <s:c r="GL29" s="232"/>
      <s:c r="GM29" s="232"/>
      <s:c r="GN29" s="232"/>
      <s:c r="GO29" s="232"/>
      <s:c r="GP29" s="232"/>
      <s:c r="GQ29" s="232"/>
      <s:c r="GR29" s="232"/>
      <s:c r="GS29" s="232"/>
      <s:c r="GT29" s="232"/>
      <s:c r="GU29" s="232"/>
      <s:c r="GV29" s="232"/>
      <s:c r="GW29" s="232"/>
      <s:c r="GX29" s="232"/>
      <s:c r="GY29" s="232"/>
      <s:c r="GZ29" s="232"/>
      <s:c r="HA29" s="232"/>
      <s:c r="HB29" s="232"/>
      <s:c r="HC29" s="232"/>
      <s:c r="HD29" s="232"/>
      <s:c r="HE29" s="232"/>
      <s:c r="HF29" s="232"/>
      <s:c r="HG29" s="232"/>
      <s:c r="HH29" s="232"/>
      <s:c r="HI29" s="232"/>
      <s:c r="HJ29" s="232"/>
      <s:c r="HK29" s="232"/>
      <s:c r="HL29" s="232"/>
      <s:c r="HM29" s="232"/>
      <s:c r="HN29" s="232"/>
      <s:c r="HO29" s="232"/>
      <s:c r="HP29" s="232"/>
      <s:c r="HQ29" s="232"/>
      <s:c r="HR29" s="232"/>
      <s:c r="HS29" s="232"/>
      <s:c r="HT29" s="232"/>
      <s:c r="HU29" s="232"/>
      <s:c r="HV29" s="232"/>
      <s:c r="HW29" s="232"/>
      <s:c r="HX29" s="232"/>
      <s:c r="HY29" s="232"/>
      <s:c r="HZ29" s="232"/>
      <s:c r="IA29" s="232"/>
      <s:c r="IB29" s="232"/>
      <s:c r="IC29" s="232"/>
      <s:c r="ID29" s="232"/>
      <s:c r="IE29" s="232"/>
      <s:c r="IF29" s="232"/>
      <s:c r="IG29" s="232"/>
      <s:c r="IH29" s="232"/>
      <s:c r="II29" s="232"/>
      <s:c r="IJ29" s="232"/>
      <s:c r="IK29" s="232"/>
      <s:c r="IL29" s="232"/>
      <s:c r="IM29" s="232"/>
      <s:c r="IN29" s="232"/>
      <s:c r="IO29" s="232"/>
      <s:c r="IP29" s="232"/>
      <s:c r="IQ29" s="232"/>
      <s:c r="IR29" s="232"/>
      <s:c r="IS29" s="232"/>
      <s:c r="IT29" s="232"/>
      <s:c r="IU29" s="232"/>
    </s:row>
    <s:row r="30" spans="1:255" s="221" customFormat="1">
      <s:c r="A30" s="101">
        <s:v>4</s:v>
      </s:c>
      <s:c r="B30" s="129"/>
      <s:c r="C30" s="215"/>
      <s:c r="D30" s="104"/>
      <s:c r="E30" s="106"/>
      <s:c r="F30" s="106" t="str">
        <s:f>IF(AND(E30&lt;&gt;"",E30&lt;&gt;0),D30/E30,"")</s:f>
        <s:v/>
      </s:c>
      <s:c r="G30" s="106"/>
      <s:c r="H30" s="106" t="str">
        <s:f>IF(AND(G30&lt;&gt;"",G30&lt;&gt;0),D30/G30,"")</s:f>
        <s:v/>
      </s:c>
      <s:c r="I30" s="223"/>
      <s:c r="J30" s="222" t="str">
        <s:f>IF(AND(G30&lt;&gt;"",G30&lt;&gt;0),E30/G30,"")</s:f>
        <s:v/>
      </s:c>
      <s:c r="K30" s="223"/>
      <s:c r="L30" s="223"/>
      <s:c r="M30" s="223"/>
      <s:c r="N30" s="225" t="str">
        <s:f>IF(AND(I30&lt;&gt;"",I30&lt;&gt;0),G30/I30,"")</s:f>
        <s:v/>
      </s:c>
      <s:c r="O30" s="235" t="e">
        <s:f>D30/P30</s:f>
        <s:v>#DIV/0!</s:v>
      </s:c>
      <s:c r="P30" s="227">
        <s:f>$I$8*V30*W30/SUMPRODUCT($W$25:$W$60,$V$25:$V$60)</s:f>
        <s:v>0</s:v>
      </s:c>
      <s:c r="Q30" s="228">
        <s:f>$I$9*V30*W30/SUMPRODUCT($W$25:$W$60,$V$25:$V$60)</s:f>
        <s:v>0</s:v>
      </s:c>
      <s:c r="R30" s="228">
        <s:f>IF($I$12="","",Q30/$I$12)</s:f>
        <s:v>0</s:v>
      </s:c>
      <s:c r="S30" s="227" t="e">
        <s:f ca="1">IF(W30&lt;&gt;"",IF(D30&lt;&gt;"",D30,($I$8-SUM($S$25:S29))*V30*W30/SUMPRODUCT($W30:$W$60,$V30:$V$60)),"")</s:f>
        <s:v>#REF!</s:v>
      </s:c>
      <s:c r="T30" s="228" t="e">
        <s:f ca="1">IF(W30&lt;&gt;"",IF(E30&lt;&gt;"",E30,($I$9-SUM($T$25:T29))*V30*W30/SUMPRODUCT($W30:$W$60,$V30:$V$60)),"")</s:f>
        <s:v>#REF!</s:v>
      </s:c>
      <s:c r="U30" s="228" t="e">
        <s:f ca="1">IF(W30&lt;&gt;"",IF($I$12&lt;&gt;"",IF(G30&lt;&gt;"",G30,($I$9/$I$12-SUM($U$25:U29))*V30*W30/SUMPRODUCT($W30:$W$60,$V30:$V$60)),""),"")</s:f>
        <s:v>#REF!</s:v>
      </s:c>
      <s:c r="V30" s="229">
        <s:v>1</s:v>
      </s:c>
      <s:c r="W30" s="229">
        <s:v>1</s:v>
      </s:c>
      <s:c r="X30" s="230"/>
      <s:c r="Y30" s="230"/>
      <s:c r="Z30" s="232"/>
      <s:c r="AA30" s="232"/>
      <s:c r="AB30" s="232"/>
      <s:c r="AC30" s="232"/>
      <s:c r="AD30" s="232"/>
      <s:c r="AE30" s="232"/>
      <s:c r="AF30" s="232"/>
      <s:c r="AG30" s="232"/>
      <s:c r="AH30" s="232"/>
      <s:c r="AI30" s="232"/>
      <s:c r="AJ30" s="232"/>
      <s:c r="AK30" s="232"/>
      <s:c r="AL30" s="232"/>
      <s:c r="AM30" s="232"/>
      <s:c r="AN30" s="232"/>
      <s:c r="AO30" s="232"/>
      <s:c r="AP30" s="232"/>
      <s:c r="AQ30" s="232"/>
      <s:c r="AR30" s="232"/>
      <s:c r="AS30" s="232"/>
      <s:c r="AT30" s="232"/>
      <s:c r="AU30" s="232"/>
      <s:c r="AV30" s="232"/>
      <s:c r="AW30" s="232"/>
      <s:c r="AX30" s="232"/>
      <s:c r="AY30" s="232"/>
      <s:c r="AZ30" s="232"/>
      <s:c r="BA30" s="232"/>
      <s:c r="BB30" s="232"/>
      <s:c r="BC30" s="232"/>
      <s:c r="BD30" s="232"/>
      <s:c r="BE30" s="232"/>
      <s:c r="BF30" s="232"/>
      <s:c r="BG30" s="232"/>
      <s:c r="BH30" s="232"/>
      <s:c r="BI30" s="232"/>
      <s:c r="BJ30" s="232"/>
      <s:c r="BK30" s="232"/>
      <s:c r="BL30" s="232"/>
      <s:c r="BM30" s="232"/>
      <s:c r="BN30" s="232"/>
      <s:c r="BO30" s="232"/>
      <s:c r="BP30" s="232"/>
      <s:c r="BQ30" s="232"/>
      <s:c r="BR30" s="232"/>
      <s:c r="BS30" s="232"/>
      <s:c r="BT30" s="232"/>
      <s:c r="BU30" s="232"/>
      <s:c r="BV30" s="232"/>
      <s:c r="BW30" s="232"/>
      <s:c r="BX30" s="232"/>
      <s:c r="BY30" s="232"/>
      <s:c r="BZ30" s="232"/>
      <s:c r="CA30" s="232"/>
      <s:c r="CB30" s="232"/>
      <s:c r="CC30" s="232"/>
      <s:c r="CD30" s="232"/>
      <s:c r="CE30" s="232"/>
      <s:c r="CF30" s="232"/>
      <s:c r="CG30" s="232"/>
      <s:c r="CH30" s="232"/>
      <s:c r="CI30" s="232"/>
      <s:c r="CJ30" s="232"/>
      <s:c r="CK30" s="232"/>
      <s:c r="CL30" s="232"/>
      <s:c r="CM30" s="232"/>
      <s:c r="CN30" s="232"/>
      <s:c r="CO30" s="232"/>
      <s:c r="CP30" s="232"/>
      <s:c r="CQ30" s="232"/>
      <s:c r="CR30" s="232"/>
      <s:c r="CS30" s="232"/>
      <s:c r="CT30" s="232"/>
      <s:c r="CU30" s="232"/>
      <s:c r="CV30" s="232"/>
      <s:c r="CW30" s="232"/>
      <s:c r="CX30" s="232"/>
      <s:c r="CY30" s="232"/>
      <s:c r="CZ30" s="232"/>
      <s:c r="DA30" s="232"/>
      <s:c r="DB30" s="232"/>
      <s:c r="DC30" s="232"/>
      <s:c r="DD30" s="232"/>
      <s:c r="DE30" s="232"/>
      <s:c r="DF30" s="232"/>
      <s:c r="DG30" s="232"/>
      <s:c r="DH30" s="232"/>
      <s:c r="DI30" s="232"/>
      <s:c r="DJ30" s="232"/>
      <s:c r="DK30" s="232"/>
      <s:c r="DL30" s="232"/>
      <s:c r="DM30" s="232"/>
      <s:c r="DN30" s="232"/>
      <s:c r="DO30" s="232"/>
      <s:c r="DP30" s="232"/>
      <s:c r="DQ30" s="232"/>
      <s:c r="DR30" s="232"/>
      <s:c r="DS30" s="232"/>
      <s:c r="DT30" s="232"/>
      <s:c r="DU30" s="232"/>
      <s:c r="DV30" s="232"/>
      <s:c r="DW30" s="232"/>
      <s:c r="DX30" s="232"/>
      <s:c r="DY30" s="232"/>
      <s:c r="DZ30" s="232"/>
      <s:c r="EA30" s="232"/>
      <s:c r="EB30" s="232"/>
      <s:c r="EC30" s="232"/>
      <s:c r="ED30" s="232"/>
      <s:c r="EE30" s="232"/>
      <s:c r="EF30" s="232"/>
      <s:c r="EG30" s="232"/>
      <s:c r="EH30" s="232"/>
      <s:c r="EI30" s="232"/>
      <s:c r="EJ30" s="232"/>
      <s:c r="EK30" s="232"/>
      <s:c r="EL30" s="232"/>
      <s:c r="EM30" s="232"/>
      <s:c r="EN30" s="232"/>
      <s:c r="EO30" s="232"/>
      <s:c r="EP30" s="232"/>
      <s:c r="EQ30" s="232"/>
      <s:c r="ER30" s="232"/>
      <s:c r="ES30" s="232"/>
      <s:c r="ET30" s="232"/>
      <s:c r="EU30" s="232"/>
      <s:c r="EV30" s="232"/>
      <s:c r="EW30" s="232"/>
      <s:c r="EX30" s="232"/>
      <s:c r="EY30" s="232"/>
      <s:c r="EZ30" s="232"/>
      <s:c r="FA30" s="232"/>
      <s:c r="FB30" s="232"/>
      <s:c r="FC30" s="232"/>
      <s:c r="FD30" s="232"/>
      <s:c r="FE30" s="232"/>
      <s:c r="FF30" s="232"/>
      <s:c r="FG30" s="232"/>
      <s:c r="FH30" s="232"/>
      <s:c r="FI30" s="232"/>
      <s:c r="FJ30" s="232"/>
      <s:c r="FK30" s="232"/>
      <s:c r="FL30" s="232"/>
      <s:c r="FM30" s="232"/>
      <s:c r="FN30" s="232"/>
      <s:c r="FO30" s="232"/>
      <s:c r="FP30" s="232"/>
      <s:c r="FQ30" s="232"/>
      <s:c r="FR30" s="232"/>
      <s:c r="FS30" s="232"/>
      <s:c r="FT30" s="232"/>
      <s:c r="FU30" s="232"/>
      <s:c r="FV30" s="232"/>
      <s:c r="FW30" s="232"/>
      <s:c r="FX30" s="232"/>
      <s:c r="FY30" s="232"/>
      <s:c r="FZ30" s="232"/>
      <s:c r="GA30" s="232"/>
      <s:c r="GB30" s="232"/>
      <s:c r="GC30" s="232"/>
      <s:c r="GD30" s="232"/>
      <s:c r="GE30" s="232"/>
      <s:c r="GF30" s="232"/>
      <s:c r="GG30" s="232"/>
      <s:c r="GH30" s="232"/>
      <s:c r="GI30" s="232"/>
      <s:c r="GJ30" s="232"/>
      <s:c r="GK30" s="232"/>
      <s:c r="GL30" s="232"/>
      <s:c r="GM30" s="232"/>
      <s:c r="GN30" s="232"/>
      <s:c r="GO30" s="232"/>
      <s:c r="GP30" s="232"/>
      <s:c r="GQ30" s="232"/>
      <s:c r="GR30" s="232"/>
      <s:c r="GS30" s="232"/>
      <s:c r="GT30" s="232"/>
      <s:c r="GU30" s="232"/>
      <s:c r="GV30" s="232"/>
      <s:c r="GW30" s="232"/>
      <s:c r="GX30" s="232"/>
      <s:c r="GY30" s="232"/>
      <s:c r="GZ30" s="232"/>
      <s:c r="HA30" s="232"/>
      <s:c r="HB30" s="232"/>
      <s:c r="HC30" s="232"/>
      <s:c r="HD30" s="232"/>
      <s:c r="HE30" s="232"/>
      <s:c r="HF30" s="232"/>
      <s:c r="HG30" s="232"/>
      <s:c r="HH30" s="232"/>
      <s:c r="HI30" s="232"/>
      <s:c r="HJ30" s="232"/>
      <s:c r="HK30" s="232"/>
      <s:c r="HL30" s="232"/>
      <s:c r="HM30" s="232"/>
      <s:c r="HN30" s="232"/>
      <s:c r="HO30" s="232"/>
      <s:c r="HP30" s="232"/>
      <s:c r="HQ30" s="232"/>
      <s:c r="HR30" s="232"/>
      <s:c r="HS30" s="232"/>
      <s:c r="HT30" s="232"/>
      <s:c r="HU30" s="232"/>
      <s:c r="HV30" s="232"/>
      <s:c r="HW30" s="232"/>
      <s:c r="HX30" s="232"/>
      <s:c r="HY30" s="232"/>
      <s:c r="HZ30" s="232"/>
      <s:c r="IA30" s="232"/>
      <s:c r="IB30" s="232"/>
      <s:c r="IC30" s="232"/>
      <s:c r="ID30" s="232"/>
      <s:c r="IE30" s="232"/>
      <s:c r="IF30" s="232"/>
      <s:c r="IG30" s="232"/>
      <s:c r="IH30" s="232"/>
      <s:c r="II30" s="232"/>
      <s:c r="IJ30" s="232"/>
      <s:c r="IK30" s="232"/>
      <s:c r="IL30" s="232"/>
      <s:c r="IM30" s="232"/>
      <s:c r="IN30" s="232"/>
      <s:c r="IO30" s="232"/>
      <s:c r="IP30" s="232"/>
      <s:c r="IQ30" s="232"/>
      <s:c r="IR30" s="232"/>
      <s:c r="IS30" s="232"/>
      <s:c r="IT30" s="232"/>
      <s:c r="IU30" s="232"/>
    </s:row>
    <s:row r="31" spans="1:255" s="221" customFormat="1">
      <s:c r="A31" s="101">
        <s:v>4</s:v>
      </s:c>
      <s:c r="B31" s="129"/>
      <s:c r="C31" s="215"/>
      <s:c r="D31" s="104"/>
      <s:c r="E31" s="106"/>
      <s:c r="F31" s="106" t="str">
        <s:f>IF(AND(E31&lt;&gt;"",E31&lt;&gt;0),D31/E31,"")</s:f>
        <s:v/>
      </s:c>
      <s:c r="G31" s="106"/>
      <s:c r="H31" s="106" t="str">
        <s:f>IF(AND(G31&lt;&gt;"",G31&lt;&gt;0),D31/G31,"")</s:f>
        <s:v/>
      </s:c>
      <s:c r="I31" s="223"/>
      <s:c r="J31" s="222" t="str">
        <s:f>IF(AND(G31&lt;&gt;"",G31&lt;&gt;0),E31/G31,"")</s:f>
        <s:v/>
      </s:c>
      <s:c r="K31" s="223"/>
      <s:c r="L31" s="223"/>
      <s:c r="M31" s="223"/>
      <s:c r="N31" s="225" t="str">
        <s:f>IF(AND(I31&lt;&gt;"",I31&lt;&gt;0),G31/I31,"")</s:f>
        <s:v/>
      </s:c>
      <s:c r="O31" s="235" t="e">
        <s:f>D31/P31</s:f>
        <s:v>#DIV/0!</s:v>
      </s:c>
      <s:c r="P31" s="227">
        <s:f>$I$8*V31*W31/SUMPRODUCT($W$25:$W$60,$V$25:$V$60)</s:f>
        <s:v>0</s:v>
      </s:c>
      <s:c r="Q31" s="228">
        <s:f>$I$9*V31*W31/SUMPRODUCT($W$25:$W$60,$V$25:$V$60)</s:f>
        <s:v>0</s:v>
      </s:c>
      <s:c r="R31" s="228">
        <s:f>IF($I$12="","",Q31/$I$12)</s:f>
        <s:v>0</s:v>
      </s:c>
      <s:c r="S31" s="227" t="e">
        <s:f ca="1">IF(W31&lt;&gt;"",IF(D31&lt;&gt;"",D31,($I$8-SUM($S$25:S30))*V31*W31/SUMPRODUCT($W31:$W$60,$V31:$V$60)),"")</s:f>
        <s:v>#REF!</s:v>
      </s:c>
      <s:c r="T31" s="228" t="e">
        <s:f ca="1">IF(W31&lt;&gt;"",IF(E31&lt;&gt;"",E31,($I$9-SUM($T$25:T30))*V31*W31/SUMPRODUCT($W31:$W$60,$V31:$V$60)),"")</s:f>
        <s:v>#REF!</s:v>
      </s:c>
      <s:c r="U31" s="228" t="e">
        <s:f ca="1">IF(W31&lt;&gt;"",IF($I$12&lt;&gt;"",IF(G31&lt;&gt;"",G31,($I$9/$I$12-SUM($U$25:U30))*V31*W31/SUMPRODUCT($W31:$W$60,$V31:$V$60)),""),"")</s:f>
        <s:v>#REF!</s:v>
      </s:c>
      <s:c r="V31" s="229">
        <s:v>1</s:v>
      </s:c>
      <s:c r="W31" s="229">
        <s:v>1</s:v>
      </s:c>
      <s:c r="X31" s="230"/>
      <s:c r="Y31" s="230"/>
      <s:c r="Z31" s="232"/>
      <s:c r="AA31" s="232"/>
      <s:c r="AB31" s="232"/>
      <s:c r="AC31" s="232"/>
      <s:c r="AD31" s="232"/>
      <s:c r="AE31" s="232"/>
      <s:c r="AF31" s="232"/>
      <s:c r="AG31" s="232"/>
      <s:c r="AH31" s="232"/>
      <s:c r="AI31" s="232"/>
      <s:c r="AJ31" s="232"/>
      <s:c r="AK31" s="232"/>
      <s:c r="AL31" s="232"/>
      <s:c r="AM31" s="232"/>
      <s:c r="AN31" s="232"/>
      <s:c r="AO31" s="232"/>
      <s:c r="AP31" s="232"/>
      <s:c r="AQ31" s="232"/>
      <s:c r="AR31" s="232"/>
      <s:c r="AS31" s="232"/>
      <s:c r="AT31" s="232"/>
      <s:c r="AU31" s="232"/>
      <s:c r="AV31" s="232"/>
      <s:c r="AW31" s="232"/>
      <s:c r="AX31" s="232"/>
      <s:c r="AY31" s="232"/>
      <s:c r="AZ31" s="232"/>
      <s:c r="BA31" s="232"/>
      <s:c r="BB31" s="232"/>
      <s:c r="BC31" s="232"/>
      <s:c r="BD31" s="232"/>
      <s:c r="BE31" s="232"/>
      <s:c r="BF31" s="232"/>
      <s:c r="BG31" s="232"/>
      <s:c r="BH31" s="232"/>
      <s:c r="BI31" s="232"/>
      <s:c r="BJ31" s="232"/>
      <s:c r="BK31" s="232"/>
      <s:c r="BL31" s="232"/>
      <s:c r="BM31" s="232"/>
      <s:c r="BN31" s="232"/>
      <s:c r="BO31" s="232"/>
      <s:c r="BP31" s="232"/>
      <s:c r="BQ31" s="232"/>
      <s:c r="BR31" s="232"/>
      <s:c r="BS31" s="232"/>
      <s:c r="BT31" s="232"/>
      <s:c r="BU31" s="232"/>
      <s:c r="BV31" s="232"/>
      <s:c r="BW31" s="232"/>
      <s:c r="BX31" s="232"/>
      <s:c r="BY31" s="232"/>
      <s:c r="BZ31" s="232"/>
      <s:c r="CA31" s="232"/>
      <s:c r="CB31" s="232"/>
      <s:c r="CC31" s="232"/>
      <s:c r="CD31" s="232"/>
      <s:c r="CE31" s="232"/>
      <s:c r="CF31" s="232"/>
      <s:c r="CG31" s="232"/>
      <s:c r="CH31" s="232"/>
      <s:c r="CI31" s="232"/>
      <s:c r="CJ31" s="232"/>
      <s:c r="CK31" s="232"/>
      <s:c r="CL31" s="232"/>
      <s:c r="CM31" s="232"/>
      <s:c r="CN31" s="232"/>
      <s:c r="CO31" s="232"/>
      <s:c r="CP31" s="232"/>
      <s:c r="CQ31" s="232"/>
      <s:c r="CR31" s="232"/>
      <s:c r="CS31" s="232"/>
      <s:c r="CT31" s="232"/>
      <s:c r="CU31" s="232"/>
      <s:c r="CV31" s="232"/>
      <s:c r="CW31" s="232"/>
      <s:c r="CX31" s="232"/>
      <s:c r="CY31" s="232"/>
      <s:c r="CZ31" s="232"/>
      <s:c r="DA31" s="232"/>
      <s:c r="DB31" s="232"/>
      <s:c r="DC31" s="232"/>
      <s:c r="DD31" s="232"/>
      <s:c r="DE31" s="232"/>
      <s:c r="DF31" s="232"/>
      <s:c r="DG31" s="232"/>
      <s:c r="DH31" s="232"/>
      <s:c r="DI31" s="232"/>
      <s:c r="DJ31" s="232"/>
      <s:c r="DK31" s="232"/>
      <s:c r="DL31" s="232"/>
      <s:c r="DM31" s="232"/>
      <s:c r="DN31" s="232"/>
      <s:c r="DO31" s="232"/>
      <s:c r="DP31" s="232"/>
      <s:c r="DQ31" s="232"/>
      <s:c r="DR31" s="232"/>
      <s:c r="DS31" s="232"/>
      <s:c r="DT31" s="232"/>
      <s:c r="DU31" s="232"/>
      <s:c r="DV31" s="232"/>
      <s:c r="DW31" s="232"/>
      <s:c r="DX31" s="232"/>
      <s:c r="DY31" s="232"/>
      <s:c r="DZ31" s="232"/>
      <s:c r="EA31" s="232"/>
      <s:c r="EB31" s="232"/>
      <s:c r="EC31" s="232"/>
      <s:c r="ED31" s="232"/>
      <s:c r="EE31" s="232"/>
      <s:c r="EF31" s="232"/>
      <s:c r="EG31" s="232"/>
      <s:c r="EH31" s="232"/>
      <s:c r="EI31" s="232"/>
      <s:c r="EJ31" s="232"/>
      <s:c r="EK31" s="232"/>
      <s:c r="EL31" s="232"/>
      <s:c r="EM31" s="232"/>
      <s:c r="EN31" s="232"/>
      <s:c r="EO31" s="232"/>
      <s:c r="EP31" s="232"/>
      <s:c r="EQ31" s="232"/>
      <s:c r="ER31" s="232"/>
      <s:c r="ES31" s="232"/>
      <s:c r="ET31" s="232"/>
      <s:c r="EU31" s="232"/>
      <s:c r="EV31" s="232"/>
      <s:c r="EW31" s="232"/>
      <s:c r="EX31" s="232"/>
      <s:c r="EY31" s="232"/>
      <s:c r="EZ31" s="232"/>
      <s:c r="FA31" s="232"/>
      <s:c r="FB31" s="232"/>
      <s:c r="FC31" s="232"/>
      <s:c r="FD31" s="232"/>
      <s:c r="FE31" s="232"/>
      <s:c r="FF31" s="232"/>
      <s:c r="FG31" s="232"/>
      <s:c r="FH31" s="232"/>
      <s:c r="FI31" s="232"/>
      <s:c r="FJ31" s="232"/>
      <s:c r="FK31" s="232"/>
      <s:c r="FL31" s="232"/>
      <s:c r="FM31" s="232"/>
      <s:c r="FN31" s="232"/>
      <s:c r="FO31" s="232"/>
      <s:c r="FP31" s="232"/>
      <s:c r="FQ31" s="232"/>
      <s:c r="FR31" s="232"/>
      <s:c r="FS31" s="232"/>
      <s:c r="FT31" s="232"/>
      <s:c r="FU31" s="232"/>
      <s:c r="FV31" s="232"/>
      <s:c r="FW31" s="232"/>
      <s:c r="FX31" s="232"/>
      <s:c r="FY31" s="232"/>
      <s:c r="FZ31" s="232"/>
      <s:c r="GA31" s="232"/>
      <s:c r="GB31" s="232"/>
      <s:c r="GC31" s="232"/>
      <s:c r="GD31" s="232"/>
      <s:c r="GE31" s="232"/>
      <s:c r="GF31" s="232"/>
      <s:c r="GG31" s="232"/>
      <s:c r="GH31" s="232"/>
      <s:c r="GI31" s="232"/>
      <s:c r="GJ31" s="232"/>
      <s:c r="GK31" s="232"/>
      <s:c r="GL31" s="232"/>
      <s:c r="GM31" s="232"/>
      <s:c r="GN31" s="232"/>
      <s:c r="GO31" s="232"/>
      <s:c r="GP31" s="232"/>
      <s:c r="GQ31" s="232"/>
      <s:c r="GR31" s="232"/>
      <s:c r="GS31" s="232"/>
      <s:c r="GT31" s="232"/>
      <s:c r="GU31" s="232"/>
      <s:c r="GV31" s="232"/>
      <s:c r="GW31" s="232"/>
      <s:c r="GX31" s="232"/>
      <s:c r="GY31" s="232"/>
      <s:c r="GZ31" s="232"/>
      <s:c r="HA31" s="232"/>
      <s:c r="HB31" s="232"/>
      <s:c r="HC31" s="232"/>
      <s:c r="HD31" s="232"/>
      <s:c r="HE31" s="232"/>
      <s:c r="HF31" s="232"/>
      <s:c r="HG31" s="232"/>
      <s:c r="HH31" s="232"/>
      <s:c r="HI31" s="232"/>
      <s:c r="HJ31" s="232"/>
      <s:c r="HK31" s="232"/>
      <s:c r="HL31" s="232"/>
      <s:c r="HM31" s="232"/>
      <s:c r="HN31" s="232"/>
      <s:c r="HO31" s="232"/>
      <s:c r="HP31" s="232"/>
      <s:c r="HQ31" s="232"/>
      <s:c r="HR31" s="232"/>
      <s:c r="HS31" s="232"/>
      <s:c r="HT31" s="232"/>
      <s:c r="HU31" s="232"/>
      <s:c r="HV31" s="232"/>
      <s:c r="HW31" s="232"/>
      <s:c r="HX31" s="232"/>
      <s:c r="HY31" s="232"/>
      <s:c r="HZ31" s="232"/>
      <s:c r="IA31" s="232"/>
      <s:c r="IB31" s="232"/>
      <s:c r="IC31" s="232"/>
      <s:c r="ID31" s="232"/>
      <s:c r="IE31" s="232"/>
      <s:c r="IF31" s="232"/>
      <s:c r="IG31" s="232"/>
      <s:c r="IH31" s="232"/>
      <s:c r="II31" s="232"/>
      <s:c r="IJ31" s="232"/>
      <s:c r="IK31" s="232"/>
      <s:c r="IL31" s="232"/>
      <s:c r="IM31" s="232"/>
      <s:c r="IN31" s="232"/>
      <s:c r="IO31" s="232"/>
      <s:c r="IP31" s="232"/>
      <s:c r="IQ31" s="232"/>
      <s:c r="IR31" s="232"/>
      <s:c r="IS31" s="232"/>
      <s:c r="IT31" s="232"/>
      <s:c r="IU31" s="232"/>
    </s:row>
    <s:row r="32">
      <s:c r="A32" s="128">
        <s:v>8</s:v>
      </s:c>
      <s:c r="B32" s="129"/>
      <s:c r="C32" s="131"/>
      <s:c r="D32" s="104"/>
      <s:c r="E32" s="215"/>
      <s:c r="F32" s="106" t="str">
        <s:f>IF(AND(E32&lt;&gt;"",E32&lt;&gt;0),D32/E32,"")</s:f>
        <s:v/>
      </s:c>
      <s:c r="G32" s="106"/>
      <s:c r="H32" s="106" t="str">
        <s:f>IF(AND(G32&lt;&gt;"",G32&lt;&gt;0),D32/G32,"")</s:f>
        <s:v/>
      </s:c>
      <s:c r="I32" s="106"/>
      <s:c r="J32" s="222" t="str">
        <s:f>IF(AND(G32&lt;&gt;"",G32&lt;&gt;0),E32/G32,"")</s:f>
        <s:v/>
      </s:c>
      <s:c r="K32" s="106"/>
      <s:c r="L32" s="106"/>
      <s:c r="M32" s="106"/>
      <s:c r="N32" s="107" t="str">
        <s:f>IF(AND(I32&lt;&gt;"",I32&lt;&gt;0),G32/I32,"")</s:f>
        <s:v/>
      </s:c>
      <s:c r="O32" s="108" t="e">
        <s:f>D32/P32</s:f>
        <s:v>#DIV/0!</s:v>
      </s:c>
      <s:c r="P32" s="109">
        <s:f>$I$8*V32*W32/SUMPRODUCT($W$25:$W$55,$V$25:$V$55)</s:f>
        <s:v>0</s:v>
      </s:c>
      <s:c r="Q32" s="110">
        <s:f>$I$9*V32*W32/SUMPRODUCT($W$25:$W$55,$V$25:$V$55)</s:f>
        <s:v>0</s:v>
      </s:c>
      <s:c r="R32" s="110">
        <s:f>IF($I$12="","",Q32/$I$12)</s:f>
        <s:v>0</s:v>
      </s:c>
      <s:c r="S32" s="109" t="e">
        <s:f ca="1">IF(W32&lt;&gt;"",IF(D32&lt;&gt;"",D32,($I$8-SUM($S$25:S31))*V32*W32/SUMPRODUCT($W32:$W$55,$V32:$V$55)),"")</s:f>
        <s:v>#REF!</s:v>
      </s:c>
      <s:c r="T32" s="110" t="e">
        <s:f ca="1">IF(W32&lt;&gt;"",IF(E31&lt;&gt;"",E31,($I$9-SUM($T$25:T31))*V32*W32/SUMPRODUCT($W32:$W$55,$V32:$V$55)),"")</s:f>
        <s:v>#REF!</s:v>
      </s:c>
      <s:c r="U32" s="110" t="e">
        <s:f ca="1">IF(W32&lt;&gt;"",IF($I$12&lt;&gt;"",IF(G32&lt;&gt;"",G32,($I$9/$I$12-SUM($U$25:U31))*V32*W32/SUMPRODUCT($W32:$W$55,$V32:$V$55)),""),"")</s:f>
        <s:v>#REF!</s:v>
      </s:c>
      <s:c r="V32" s="229">
        <s:v>1</s:v>
      </s:c>
      <s:c r="W32" s="229">
        <s:v>1</s:v>
      </s:c>
      <s:c r="X32" s="112"/>
      <s:c r="Y32" s="112"/>
      <s:c r="Z32" s="2"/>
      <s:c r="AA32" s="2"/>
      <s:c r="AB32" s="2"/>
      <s:c r="AC32" s="2"/>
      <s:c r="AD32" s="2"/>
      <s:c r="AE32" s="2"/>
      <s:c r="AF32" s="2"/>
      <s:c r="AG32" s="2"/>
    </s:row>
    <s:row r="33">
      <s:c r="A33" s="128">
        <s:v>9</s:v>
      </s:c>
      <s:c r="B33" s="129"/>
      <s:c r="C33" s="131"/>
      <s:c r="D33" s="104"/>
      <s:c r="E33" s="106"/>
      <s:c r="F33" s="106" t="str">
        <s:f>IF(AND(E33&lt;&gt;"",E33&lt;&gt;0),D33/E33,"")</s:f>
        <s:v/>
      </s:c>
      <s:c r="G33" s="106"/>
      <s:c r="H33" s="106" t="str">
        <s:f>IF(AND(G33&lt;&gt;"",G33&lt;&gt;0),D33/G33,"")</s:f>
        <s:v/>
      </s:c>
      <s:c r="I33" s="106"/>
      <s:c r="J33" s="222" t="str">
        <s:f>IF(AND(G33&lt;&gt;"",G33&lt;&gt;0),E33/G33,"")</s:f>
        <s:v/>
      </s:c>
      <s:c r="K33" s="106"/>
      <s:c r="L33" s="106"/>
      <s:c r="M33" s="106"/>
      <s:c r="N33" s="107" t="str">
        <s:f>IF(AND(I33&lt;&gt;"",I33&lt;&gt;0),G33/I33,"")</s:f>
        <s:v/>
      </s:c>
      <s:c r="O33" s="108" t="e">
        <s:f>D33/P33</s:f>
        <s:v>#DIV/0!</s:v>
      </s:c>
      <s:c r="P33" s="109">
        <s:f>$I$8*V33*W33/SUMPRODUCT($W$25:$W$55,$V$25:$V$55)</s:f>
        <s:v>0</s:v>
      </s:c>
      <s:c r="Q33" s="110">
        <s:f>$I$9*V33*W33/SUMPRODUCT($W$25:$W$55,$V$25:$V$55)</s:f>
        <s:v>0</s:v>
      </s:c>
      <s:c r="R33" s="110">
        <s:f>IF($I$12="","",Q33/$I$12)</s:f>
        <s:v>0</s:v>
      </s:c>
      <s:c r="S33" s="109" t="e">
        <s:f ca="1">IF(W33&lt;&gt;"",IF(D33&lt;&gt;"",D33,($I$8-SUM($S$25:S32))*V33*W33/SUMPRODUCT($W33:$W$55,$V33:$V$55)),"")</s:f>
        <s:v>#REF!</s:v>
      </s:c>
      <s:c r="T33" s="110" t="e">
        <s:f ca="1">IF(W33&lt;&gt;"",IF(E33&lt;&gt;"",E33,($I$9-SUM($T$25:T32))*V33*W33/SUMPRODUCT($W33:$W$55,$V33:$V$55)),"")</s:f>
        <s:v>#REF!</s:v>
      </s:c>
      <s:c r="U33" s="110" t="e">
        <s:f ca="1">IF(W33&lt;&gt;"",IF($I$12&lt;&gt;"",IF(G33&lt;&gt;"",G33,($I$9/$I$12-SUM($U$25:U32))*V33*W33/SUMPRODUCT($W33:$W$55,$V33:$V$55)),""),"")</s:f>
        <s:v>#REF!</s:v>
      </s:c>
      <s:c r="V33" s="229">
        <s:v>1</s:v>
      </s:c>
      <s:c r="W33" s="229">
        <s:v>1</s:v>
      </s:c>
      <s:c r="X33" s="112"/>
      <s:c r="Y33" s="112"/>
      <s:c r="Z33" s="2"/>
      <s:c r="AA33" s="2"/>
      <s:c r="AB33" s="2"/>
      <s:c r="AC33" s="2"/>
      <s:c r="AD33" s="2"/>
      <s:c r="AE33" s="2"/>
      <s:c r="AF33" s="2"/>
      <s:c r="AG33" s="2"/>
    </s:row>
    <s:row r="34" spans="1:33" s="221" customFormat="1">
      <s:c r="A34" s="101">
        <s:v>10</s:v>
      </s:c>
      <s:c r="B34" s="102"/>
      <s:c r="C34" s="103"/>
      <s:c r="D34" s="222"/>
      <s:c r="E34" s="223"/>
      <s:c r="F34" s="106" t="str">
        <s:f>IF(AND(E34&lt;&gt;"",E34&lt;&gt;0),D34/E34,"")</s:f>
        <s:v/>
      </s:c>
      <s:c r="G34" s="223"/>
      <s:c r="H34" s="106" t="str">
        <s:f>IF(AND(G34&lt;&gt;"",G34&lt;&gt;0),D34/G34,"")</s:f>
        <s:v/>
      </s:c>
      <s:c r="I34" s="223"/>
      <s:c r="J34" s="222" t="str">
        <s:f>IF(AND(G34&lt;&gt;"",G34&lt;&gt;0),E34/G34,"")</s:f>
        <s:v/>
      </s:c>
      <s:c r="K34" s="223"/>
      <s:c r="L34" s="223"/>
      <s:c r="M34" s="223"/>
      <s:c r="N34" s="225" t="str">
        <s:f>IF(AND(I34&lt;&gt;"",I34&lt;&gt;0),G34/I34,"")</s:f>
        <s:v/>
      </s:c>
      <s:c r="O34" s="235" t="e">
        <s:f>D34/P34</s:f>
        <s:v>#DIV/0!</s:v>
      </s:c>
      <s:c r="P34" s="227">
        <s:f>$I$8*V34*W34/SUMPRODUCT($W$25:$W$60,$V$25:$V$60)</s:f>
        <s:v>0</s:v>
      </s:c>
      <s:c r="Q34" s="228">
        <s:f>$I$9*V34*W34/SUMPRODUCT($W$25:$W$60,$V$25:$V$60)</s:f>
        <s:v>0</s:v>
      </s:c>
      <s:c r="R34" s="228">
        <s:f>IF($I$12="","",Q34/$I$12)</s:f>
        <s:v>0</s:v>
      </s:c>
      <s:c r="S34" s="227" t="e">
        <s:f ca="1">IF(W34&lt;&gt;"",IF(D34&lt;&gt;"",D34,($I$8-SUM($S$25:S33))*V34*W34/SUMPRODUCT($W34:$W$60,$V34:$V$60)),"")</s:f>
        <s:v>#REF!</s:v>
      </s:c>
      <s:c r="T34" s="228" t="e">
        <s:f ca="1">IF(W34&lt;&gt;"",IF(E34&lt;&gt;"",E34,($I$9-SUM($T$25:T33))*V34*W34/SUMPRODUCT($W34:$W$60,$V34:$V$60)),"")</s:f>
        <s:v>#REF!</s:v>
      </s:c>
      <s:c r="U34" s="228" t="e">
        <s:f ca="1">IF(W34&lt;&gt;"",IF($I$12&lt;&gt;"",IF(G34&lt;&gt;"",G34,($I$9/$I$12-SUM($U$25:U33))*V34*W34/SUMPRODUCT($W34:$W$60,$V34:$V$60)),""),"")</s:f>
        <s:v>#REF!</s:v>
      </s:c>
      <s:c r="V34" s="229">
        <s:v>1</s:v>
      </s:c>
      <s:c r="W34" s="229">
        <s:v>1</s:v>
      </s:c>
      <s:c r="X34" s="230"/>
      <s:c r="Y34" s="230"/>
      <s:c r="Z34" s="232"/>
      <s:c r="AA34" s="232"/>
      <s:c r="AB34" s="232"/>
      <s:c r="AC34" s="232"/>
      <s:c r="AD34" s="232"/>
      <s:c r="AE34" s="232"/>
      <s:c r="AF34" s="232"/>
      <s:c r="AG34" s="232"/>
    </s:row>
    <s:row r="35">
      <s:c r="A35" s="128">
        <s:v>11</s:v>
      </s:c>
      <s:c r="B35" s="129"/>
      <s:c r="C35" s="131"/>
      <s:c r="D35" s="104"/>
      <s:c r="E35" s="106"/>
      <s:c r="F35" s="106" t="str">
        <s:f>IF(AND(E35&lt;&gt;"",E35&lt;&gt;0),D35/E35,"")</s:f>
        <s:v/>
      </s:c>
      <s:c r="G35" s="106"/>
      <s:c r="H35" s="106" t="str">
        <s:f>IF(AND(G35&lt;&gt;"",G35&lt;&gt;0),D35/G35,"")</s:f>
        <s:v/>
      </s:c>
      <s:c r="I35" s="106"/>
      <s:c r="J35" s="222" t="str">
        <s:f>IF(AND(G35&lt;&gt;"",G35&lt;&gt;0),E35/G35,"")</s:f>
        <s:v/>
      </s:c>
      <s:c r="K35" s="106"/>
      <s:c r="L35" s="106"/>
      <s:c r="M35" s="106"/>
      <s:c r="N35" s="107" t="str">
        <s:f>IF(AND(I35&lt;&gt;"",I35&lt;&gt;0),G35/I35,"")</s:f>
        <s:v/>
      </s:c>
      <s:c r="O35" s="108" t="e">
        <s:f>D35/P35</s:f>
        <s:v>#DIV/0!</s:v>
      </s:c>
      <s:c r="P35" s="109">
        <s:f>$I$8*V35*W35/SUMPRODUCT($W$25:$W$55,$V$25:$V$55)</s:f>
        <s:v>0</s:v>
      </s:c>
      <s:c r="Q35" s="110">
        <s:f>$I$9*V35*W35/SUMPRODUCT($W$25:$W$55,$V$25:$V$55)</s:f>
        <s:v>0</s:v>
      </s:c>
      <s:c r="R35" s="110">
        <s:f>IF($I$12="","",Q35/$I$12)</s:f>
        <s:v>0</s:v>
      </s:c>
      <s:c r="S35" s="109" t="e">
        <s:f ca="1">IF(W35&lt;&gt;"",IF(D35&lt;&gt;"",D35,($I$8-SUM($S$25:S34))*V35*W35/SUMPRODUCT($W35:$W$55,$V35:$V$55)),"")</s:f>
        <s:v>#REF!</s:v>
      </s:c>
      <s:c r="T35" s="110" t="e">
        <s:f ca="1">IF(W35&lt;&gt;"",IF(E35&lt;&gt;"",E35,($I$9-SUM($T$25:T34))*V35*W35/SUMPRODUCT($W35:$W$55,$V35:$V$55)),"")</s:f>
        <s:v>#REF!</s:v>
      </s:c>
      <s:c r="U35" s="110" t="e">
        <s:f ca="1">IF(W35&lt;&gt;"",IF($I$12&lt;&gt;"",IF(G35&lt;&gt;"",G35,($I$9/$I$12-SUM($U$25:U34))*V35*W35/SUMPRODUCT($W35:$W$55,$V35:$V$55)),""),"")</s:f>
        <s:v>#REF!</s:v>
      </s:c>
      <s:c r="V35" s="229">
        <s:v>1</s:v>
      </s:c>
      <s:c r="W35" s="229">
        <s:v>1</s:v>
      </s:c>
      <s:c r="X35" s="112"/>
      <s:c r="Y35" s="112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28">
        <s:v>12</s:v>
      </s:c>
      <s:c r="B36" s="129"/>
      <s:c r="C36" s="215"/>
      <s:c r="D36" s="104"/>
      <s:c r="E36" s="106"/>
      <s:c r="F36" s="106" t="str">
        <s:f>IF(AND(E36&lt;&gt;"",E36&lt;&gt;0),D36/E36,"")</s:f>
        <s:v/>
      </s:c>
      <s:c r="G36" s="106"/>
      <s:c r="H36" s="106" t="str">
        <s:f>IF(AND(G36&lt;&gt;"",G36&lt;&gt;0),D36/G36,"")</s:f>
        <s:v/>
      </s:c>
      <s:c r="I36" s="106"/>
      <s:c r="J36" s="222" t="str">
        <s:f>IF(AND(G36&lt;&gt;"",G36&lt;&gt;0),E36/G36,"")</s:f>
        <s:v/>
      </s:c>
      <s:c r="K36" s="106"/>
      <s:c r="L36" s="106"/>
      <s:c r="M36" s="106"/>
      <s:c r="N36" s="107" t="str">
        <s:f>IF(AND(I36&lt;&gt;"",I36&lt;&gt;0),G36/I36,"")</s:f>
        <s:v/>
      </s:c>
      <s:c r="O36" s="108" t="e">
        <s:f>D36/P36</s:f>
        <s:v>#DIV/0!</s:v>
      </s:c>
      <s:c r="P36" s="109">
        <s:f>$I$8*V36*W36/SUMPRODUCT($W$25:$W$55,$V$25:$V$55)</s:f>
        <s:v>0</s:v>
      </s:c>
      <s:c r="Q36" s="110">
        <s:f>$I$9*V36*W36/SUMPRODUCT($W$25:$W$55,$V$25:$V$55)</s:f>
        <s:v>0</s:v>
      </s:c>
      <s:c r="R36" s="110">
        <s:f>IF($I$12="","",Q36/$I$12)</s:f>
        <s:v>0</s:v>
      </s:c>
      <s:c r="S36" s="109" t="e">
        <s:f ca="1">IF(W36&lt;&gt;"",IF(D36&lt;&gt;"",D36,($I$8-SUM($S$25:S35))*V36*W36/SUMPRODUCT($W36:$W$55,$V36:$V$55)),"")</s:f>
        <s:v>#REF!</s:v>
      </s:c>
      <s:c r="T36" s="110" t="e">
        <s:f ca="1">IF(W36&lt;&gt;"",IF(E36&lt;&gt;"",E36,($I$9-SUM($T$25:T35))*V36*W36/SUMPRODUCT($W36:$W$55,$V36:$V$55)),"")</s:f>
        <s:v>#REF!</s:v>
      </s:c>
      <s:c r="U36" s="110" t="e">
        <s:f ca="1">IF(W36&lt;&gt;"",IF($I$12&lt;&gt;"",IF(G36&lt;&gt;"",G36,($I$9/$I$12-SUM($U$25:U35))*V36*W36/SUMPRODUCT($W36:$W$55,$V36:$V$55)),""),"")</s:f>
        <s:v>#REF!</s:v>
      </s:c>
      <s:c r="V36" s="229">
        <s:v>1</s:v>
      </s:c>
      <s:c r="W36" s="229">
        <s:v>1</s:v>
      </s:c>
      <s:c r="X36" s="112"/>
      <s:c r="Y36" s="112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128">
        <s:v>13</s:v>
      </s:c>
      <s:c r="B37" s="129"/>
      <s:c r="C37" s="131"/>
      <s:c r="D37" s="104"/>
      <s:c r="E37" s="106"/>
      <s:c r="F37" s="106" t="str">
        <s:f>IF(AND(E37&lt;&gt;"",E37&lt;&gt;0),D37/E37,"")</s:f>
        <s:v/>
      </s:c>
      <s:c r="G37" s="106"/>
      <s:c r="H37" s="106" t="str">
        <s:f>IF(AND(G37&lt;&gt;"",G37&lt;&gt;0),D37/G37,"")</s:f>
        <s:v/>
      </s:c>
      <s:c r="I37" s="106"/>
      <s:c r="J37" s="222" t="str">
        <s:f>IF(AND(G37&lt;&gt;"",G37&lt;&gt;0),E37/G37,"")</s:f>
        <s:v/>
      </s:c>
      <s:c r="K37" s="106"/>
      <s:c r="L37" s="106"/>
      <s:c r="M37" s="106"/>
      <s:c r="N37" s="107" t="str">
        <s:f>IF(AND(I37&lt;&gt;"",I37&lt;&gt;0),G37/I37,"")</s:f>
        <s:v/>
      </s:c>
      <s:c r="O37" s="108" t="e">
        <s:f>D37/P37</s:f>
        <s:v>#DIV/0!</s:v>
      </s:c>
      <s:c r="P37" s="109">
        <s:f>$I$8*V37*W37/SUMPRODUCT($W$25:$W$55,$V$25:$V$55)</s:f>
        <s:v>0</s:v>
      </s:c>
      <s:c r="Q37" s="110">
        <s:f>$I$9*V37*W37/SUMPRODUCT($W$25:$W$55,$V$25:$V$55)</s:f>
        <s:v>0</s:v>
      </s:c>
      <s:c r="R37" s="110">
        <s:f>IF($I$12="","",Q37/$I$12)</s:f>
        <s:v>0</s:v>
      </s:c>
      <s:c r="S37" s="109" t="e">
        <s:f ca="1">IF(W37&lt;&gt;"",IF(D37&lt;&gt;"",D37,($I$8-SUM($S$25:S36))*V37*W37/SUMPRODUCT($W37:$W$55,$V37:$V$55)),"")</s:f>
        <s:v>#REF!</s:v>
      </s:c>
      <s:c r="T37" s="110" t="e">
        <s:f ca="1">IF(W37&lt;&gt;"",IF(E37&lt;&gt;"",E37,($I$9-SUM($T$25:T36))*V37*W37/SUMPRODUCT($W37:$W$55,$V37:$V$55)),"")</s:f>
        <s:v>#REF!</s:v>
      </s:c>
      <s:c r="U37" s="110" t="e">
        <s:f ca="1">IF(W37&lt;&gt;"",IF($I$12&lt;&gt;"",IF(G37&lt;&gt;"",G37,($I$9/$I$12-SUM($U$25:U36))*V37*W37/SUMPRODUCT($W37:$W$55,$V37:$V$55)),""),"")</s:f>
        <s:v>#REF!</s:v>
      </s:c>
      <s:c r="V37" s="229">
        <s:v>1</s:v>
      </s:c>
      <s:c r="W37" s="229">
        <s:v>1</s:v>
      </s:c>
      <s:c r="X37" s="112"/>
      <s:c r="Y37" s="112"/>
      <s:c r="Z37" s="126"/>
      <s:c r="AA37" s="2"/>
      <s:c r="AB37" s="2"/>
      <s:c r="AC37" s="2"/>
      <s:c r="AD37" s="2"/>
      <s:c r="AE37" s="2"/>
      <s:c r="AF37" s="2"/>
      <s:c r="AG37" s="2"/>
    </s:row>
    <s:row r="38">
      <s:c r="A38" s="128">
        <s:v>14</s:v>
      </s:c>
      <s:c r="B38" s="129"/>
      <s:c r="C38" s="130"/>
      <s:c r="D38" s="104"/>
      <s:c r="E38" s="106"/>
      <s:c r="F38" s="106" t="str">
        <s:f>IF(AND(E38&lt;&gt;"",E38&lt;&gt;0),D38/E38,"")</s:f>
        <s:v/>
      </s:c>
      <s:c r="G38" s="106"/>
      <s:c r="H38" s="106" t="str">
        <s:f>IF(AND(G38&lt;&gt;"",G38&lt;&gt;0),D38/G38,"")</s:f>
        <s:v/>
      </s:c>
      <s:c r="I38" s="106"/>
      <s:c r="J38" s="222" t="str">
        <s:f>IF(AND(G38&lt;&gt;"",G38&lt;&gt;0),E38/G38,"")</s:f>
        <s:v/>
      </s:c>
      <s:c r="K38" s="106"/>
      <s:c r="L38" s="106"/>
      <s:c r="M38" s="106"/>
      <s:c r="N38" s="107" t="str">
        <s:f>IF(AND(I38&lt;&gt;"",I38&lt;&gt;0),G38/I38,"")</s:f>
        <s:v/>
      </s:c>
      <s:c r="O38" s="108" t="e">
        <s:f>D38/P38</s:f>
        <s:v>#DIV/0!</s:v>
      </s:c>
      <s:c r="P38" s="109">
        <s:f>$I$8*V38*W38/SUMPRODUCT($W$25:$W$55,$V$25:$V$55)</s:f>
        <s:v>0</s:v>
      </s:c>
      <s:c r="Q38" s="110">
        <s:f>$I$9*V38*W38/SUMPRODUCT($W$25:$W$55,$V$25:$V$55)</s:f>
        <s:v>0</s:v>
      </s:c>
      <s:c r="R38" s="110">
        <s:f>IF($I$12="","",Q38/$I$12)</s:f>
        <s:v>0</s:v>
      </s:c>
      <s:c r="S38" s="109" t="e">
        <s:f ca="1">IF(W38&lt;&gt;"",IF(D38&lt;&gt;"",D38,($I$8-SUM($S$25:S37))*V38*W38/SUMPRODUCT($W38:$W$55,$V38:$V$55)),"")</s:f>
        <s:v>#REF!</s:v>
      </s:c>
      <s:c r="T38" s="110" t="e">
        <s:f ca="1">IF(W38&lt;&gt;"",IF(E38&lt;&gt;"",E38,($I$9-SUM($T$25:T37))*V38*W38/SUMPRODUCT($W38:$W$55,$V38:$V$55)),"")</s:f>
        <s:v>#REF!</s:v>
      </s:c>
      <s:c r="U38" s="110" t="e">
        <s:f ca="1">IF(W38&lt;&gt;"",IF($I$12&lt;&gt;"",IF(G38&lt;&gt;"",G38,($I$9/$I$12-SUM($U$25:U37))*V38*W38/SUMPRODUCT($W38:$W$55,$V38:$V$55)),""),"")</s:f>
        <s:v>#REF!</s:v>
      </s:c>
      <s:c r="V38" s="229">
        <s:v>1</s:v>
      </s:c>
      <s:c r="W38" s="229">
        <s:v>1</s:v>
      </s:c>
      <s:c r="X38" s="112"/>
      <s:c r="Y38" s="112"/>
      <s:c r="Z38" s="126"/>
      <s:c r="AA38" s="2"/>
      <s:c r="AB38" s="2"/>
      <s:c r="AC38" s="2"/>
      <s:c r="AD38" s="2"/>
      <s:c r="AE38" s="2"/>
      <s:c r="AF38" s="2"/>
      <s:c r="AG38" s="2"/>
    </s:row>
    <s:row r="39" spans="1:33" s="221" customFormat="1">
      <s:c r="A39" s="101">
        <s:v>15</s:v>
      </s:c>
      <s:c r="B39" s="102"/>
      <s:c r="C39" s="103"/>
      <s:c r="D39" s="222"/>
      <s:c r="E39" s="224"/>
      <s:c r="F39" s="106" t="str">
        <s:f>IF(AND(E39&lt;&gt;"",E39&lt;&gt;0),D39/E39,"")</s:f>
        <s:v/>
      </s:c>
      <s:c r="G39" s="224"/>
      <s:c r="H39" s="106" t="str">
        <s:f>IF(AND(G39&lt;&gt;"",G39&lt;&gt;0),D39/G39,"")</s:f>
        <s:v/>
      </s:c>
      <s:c r="I39" s="224"/>
      <s:c r="J39" s="222" t="str">
        <s:f>IF(AND(G39&lt;&gt;"",G39&lt;&gt;0),E39/G39,"")</s:f>
        <s:v/>
      </s:c>
      <s:c r="K39" s="223"/>
      <s:c r="L39" s="223"/>
      <s:c r="M39" s="223"/>
      <s:c r="N39" s="225" t="str">
        <s:f>IF(AND(I39&lt;&gt;"",I39&lt;&gt;0),G39/I39,"")</s:f>
        <s:v/>
      </s:c>
      <s:c r="O39" s="235" t="e">
        <s:f>D39/P39</s:f>
        <s:v>#DIV/0!</s:v>
      </s:c>
      <s:c r="P39" s="227">
        <s:f>$I$8*V39*W39/SUMPRODUCT($W$25:$W$60,$V$25:$V$60)</s:f>
        <s:v>0</s:v>
      </s:c>
      <s:c r="Q39" s="228">
        <s:f>$I$9*V39*W39/SUMPRODUCT($W$25:$W$60,$V$25:$V$60)</s:f>
        <s:v>0</s:v>
      </s:c>
      <s:c r="R39" s="228">
        <s:f>IF($I$12="","",Q39/$I$12)</s:f>
        <s:v>0</s:v>
      </s:c>
      <s:c r="S39" s="227" t="e">
        <s:f ca="1">IF(W39&lt;&gt;"",IF(D39&lt;&gt;"",D39,($I$8-SUM($S$25:S38))*V39*W39/SUMPRODUCT($W39:$W$60,$V39:$V$60)),"")</s:f>
        <s:v>#REF!</s:v>
      </s:c>
      <s:c r="T39" s="228" t="e">
        <s:f ca="1">IF(W39&lt;&gt;"",IF(E39&lt;&gt;"",E39,($I$9-SUM($T$25:T38))*V39*W39/SUMPRODUCT($W39:$W$60,$V39:$V$60)),"")</s:f>
        <s:v>#REF!</s:v>
      </s:c>
      <s:c r="U39" s="228" t="e">
        <s:f ca="1">IF(W39&lt;&gt;"",IF($I$12&lt;&gt;"",IF(G39&lt;&gt;"",G39,($I$9/$I$12-SUM($U$25:U38))*V39*W39/SUMPRODUCT($W39:$W$60,$V39:$V$60)),""),"")</s:f>
        <s:v>#REF!</s:v>
      </s:c>
      <s:c r="V39" s="229">
        <s:v>1</s:v>
      </s:c>
      <s:c r="W39" s="229">
        <s:v>1</s:v>
      </s:c>
      <s:c r="X39" s="230"/>
      <s:c r="Y39" s="230"/>
      <s:c r="Z39" s="231"/>
      <s:c r="AA39" s="232"/>
      <s:c r="AB39" s="232"/>
      <s:c r="AC39" s="232"/>
      <s:c r="AD39" s="232"/>
      <s:c r="AE39" s="232"/>
      <s:c r="AF39" s="232"/>
      <s:c r="AG39" s="232"/>
    </s:row>
    <s:row r="40" spans="1:33" s="221" customFormat="1">
      <s:c r="A40" s="101">
        <s:v>16</s:v>
      </s:c>
      <s:c r="B40" s="102"/>
      <s:c r="C40" s="236"/>
      <s:c r="D40" s="222"/>
      <s:c r="E40" s="223"/>
      <s:c r="F40" s="106" t="str">
        <s:f>IF(AND(E40&lt;&gt;"",E40&lt;&gt;0),D40/E40,"")</s:f>
        <s:v/>
      </s:c>
      <s:c r="G40" s="223"/>
      <s:c r="H40" s="106" t="str">
        <s:f>IF(AND(G40&lt;&gt;"",G40&lt;&gt;0),D40/G40,"")</s:f>
        <s:v/>
      </s:c>
      <s:c r="I40" s="223"/>
      <s:c r="J40" s="222" t="str">
        <s:f>IF(AND(G40&lt;&gt;"",G40&lt;&gt;0),E40/G40,"")</s:f>
        <s:v/>
      </s:c>
      <s:c r="K40" s="223"/>
      <s:c r="L40" s="223"/>
      <s:c r="M40" s="223"/>
      <s:c r="N40" s="225" t="str">
        <s:f>IF(AND(I40&lt;&gt;"",I40&lt;&gt;0),G40/I40,"")</s:f>
        <s:v/>
      </s:c>
      <s:c r="O40" s="235" t="e">
        <s:f>D40/P40</s:f>
        <s:v>#DIV/0!</s:v>
      </s:c>
      <s:c r="P40" s="227">
        <s:f>$I$8*V40*W40/SUMPRODUCT($W$25:$W$60,$V$25:$V$60)</s:f>
        <s:v>0</s:v>
      </s:c>
      <s:c r="Q40" s="228">
        <s:f>$I$9*V40*W40/SUMPRODUCT($W$25:$W$60,$V$25:$V$60)</s:f>
        <s:v>0</s:v>
      </s:c>
      <s:c r="R40" s="228">
        <s:f>IF($I$12="","",Q40/$I$12)</s:f>
        <s:v>0</s:v>
      </s:c>
      <s:c r="S40" s="227" t="e">
        <s:f ca="1">IF(W40&lt;&gt;"",IF(D40&lt;&gt;"",D40,($I$8-SUM($S$25:S39))*V40*W40/SUMPRODUCT($W40:$W$60,$V40:$V$60)),"")</s:f>
        <s:v>#REF!</s:v>
      </s:c>
      <s:c r="T40" s="228" t="e">
        <s:f ca="1">IF(W40&lt;&gt;"",IF(E40&lt;&gt;"",E40,($I$9-SUM($T$25:T39))*V40*W40/SUMPRODUCT($W40:$W$60,$V40:$V$60)),"")</s:f>
        <s:v>#REF!</s:v>
      </s:c>
      <s:c r="U40" s="228" t="e">
        <s:f ca="1">IF(W40&lt;&gt;"",IF($I$12&lt;&gt;"",IF(G40&lt;&gt;"",G40,($I$9/$I$12-SUM($U$25:U39))*V40*W40/SUMPRODUCT($W40:$W$60,$V40:$V$60)),""),"")</s:f>
        <s:v>#REF!</s:v>
      </s:c>
      <s:c r="V40" s="229">
        <s:v>1</s:v>
      </s:c>
      <s:c r="W40" s="229">
        <s:v>1</s:v>
      </s:c>
      <s:c r="X40" s="230"/>
      <s:c r="Y40" s="230"/>
      <s:c r="Z40" s="231"/>
      <s:c r="AA40" s="232"/>
      <s:c r="AB40" s="232"/>
      <s:c r="AC40" s="232"/>
      <s:c r="AD40" s="232"/>
      <s:c r="AE40" s="232"/>
      <s:c r="AF40" s="232"/>
      <s:c r="AG40" s="232"/>
    </s:row>
    <s:row r="41" spans="1:33" s="221" customFormat="1">
      <s:c r="A41" s="101">
        <s:v>17</s:v>
      </s:c>
      <s:c r="B41" s="102"/>
      <s:c r="C41" s="103"/>
      <s:c r="D41" s="233"/>
      <s:c r="E41" s="223"/>
      <s:c r="F41" s="106" t="str">
        <s:f>IF(AND(E41&lt;&gt;"",E41&lt;&gt;0),D41/E41,"")</s:f>
        <s:v/>
      </s:c>
      <s:c r="G41" s="224"/>
      <s:c r="H41" s="106" t="str">
        <s:f>IF(AND(G41&lt;&gt;"",G41&lt;&gt;0),D41/G41,"")</s:f>
        <s:v/>
      </s:c>
      <s:c r="I41" s="224"/>
      <s:c r="J41" s="222" t="str">
        <s:f>IF(AND(G41&lt;&gt;"",G41&lt;&gt;0),E41/G41,"")</s:f>
        <s:v/>
      </s:c>
      <s:c r="K41" s="223"/>
      <s:c r="L41" s="223"/>
      <s:c r="M41" s="223"/>
      <s:c r="N41" s="225" t="str">
        <s:f>IF(AND(I41&lt;&gt;"",I41&lt;&gt;0),G41/I41,"")</s:f>
        <s:v/>
      </s:c>
      <s:c r="O41" s="235" t="e">
        <s:f>D41/P41</s:f>
        <s:v>#DIV/0!</s:v>
      </s:c>
      <s:c r="P41" s="227">
        <s:f>$I$8*V41*W41/SUMPRODUCT($W$25:$W$60,$V$25:$V$60)</s:f>
        <s:v>0</s:v>
      </s:c>
      <s:c r="Q41" s="228">
        <s:f>$I$9*V41*W41/SUMPRODUCT($W$25:$W$60,$V$25:$V$60)</s:f>
        <s:v>0</s:v>
      </s:c>
      <s:c r="R41" s="228">
        <s:f>IF($I$12="","",Q41/$I$12)</s:f>
        <s:v>0</s:v>
      </s:c>
      <s:c r="S41" s="227" t="e">
        <s:f ca="1">IF(W41&lt;&gt;"",IF(D41&lt;&gt;"",D41,($I$8-SUM($S$25:S40))*V41*W41/SUMPRODUCT($W41:$W$60,$V41:$V$60)),"")</s:f>
        <s:v>#REF!</s:v>
      </s:c>
      <s:c r="T41" s="228" t="e">
        <s:f ca="1">IF(W41&lt;&gt;"",IF(E41&lt;&gt;"",E41,($I$9-SUM($T$25:T40))*V41*W41/SUMPRODUCT($W41:$W$60,$V41:$V$60)),"")</s:f>
        <s:v>#REF!</s:v>
      </s:c>
      <s:c r="U41" s="228" t="e">
        <s:f ca="1">IF(W41&lt;&gt;"",IF($I$12&lt;&gt;"",IF(G41&lt;&gt;"",G41,($I$9/$I$12-SUM($U$25:U40))*V41*W41/SUMPRODUCT($W41:$W$60,$V41:$V$60)),""),"")</s:f>
        <s:v>#REF!</s:v>
      </s:c>
      <s:c r="V41" s="229">
        <s:v>1</s:v>
      </s:c>
      <s:c r="W41" s="229">
        <s:v>1</s:v>
      </s:c>
      <s:c r="X41" s="230"/>
      <s:c r="Y41" s="230"/>
      <s:c r="Z41" s="231"/>
      <s:c r="AA41" s="232"/>
      <s:c r="AB41" s="232"/>
      <s:c r="AC41" s="232"/>
      <s:c r="AD41" s="232"/>
      <s:c r="AE41" s="232"/>
      <s:c r="AF41" s="232"/>
      <s:c r="AG41" s="232"/>
    </s:row>
    <s:row r="42" spans="1:33" s="221" customFormat="1">
      <s:c r="A42" s="101">
        <s:v>18</s:v>
      </s:c>
      <s:c r="B42" s="102"/>
      <s:c r="C42" s="103"/>
      <s:c r="D42" s="237"/>
      <s:c r="E42" s="224"/>
      <s:c r="F42" s="223" t="str">
        <s:f>IF(AND(E42&lt;&gt;"",E42&lt;&gt;0),D42/E42,"")</s:f>
        <s:v/>
      </s:c>
      <s:c r="G42" s="223"/>
      <s:c r="H42" s="224" t="str">
        <s:f>IF(AND(G42&lt;&gt;"",G42&lt;&gt;0),D42/G42,"")</s:f>
        <s:v/>
      </s:c>
      <s:c r="I42" s="223"/>
      <s:c r="J42" s="222" t="str">
        <s:f>IF(AND(G42&lt;&gt;"",G42&lt;&gt;0),E42/G42,"")</s:f>
        <s:v/>
      </s:c>
      <s:c r="K42" s="223"/>
      <s:c r="L42" s="223"/>
      <s:c r="M42" s="223"/>
      <s:c r="N42" s="225" t="str">
        <s:f>IF(AND(I42&lt;&gt;"",I42&lt;&gt;0),G42/I42,"")</s:f>
        <s:v/>
      </s:c>
      <s:c r="O42" s="235" t="e">
        <s:f>D42/P42</s:f>
        <s:v>#DIV/0!</s:v>
      </s:c>
      <s:c r="P42" s="227">
        <s:f>$I$8*V42*W42/SUMPRODUCT($W$25:$W$60,$V$25:$V$60)</s:f>
        <s:v>0</s:v>
      </s:c>
      <s:c r="Q42" s="228">
        <s:f>$I$9*V42*W42/SUMPRODUCT($W$25:$W$60,$V$25:$V$60)</s:f>
        <s:v>0</s:v>
      </s:c>
      <s:c r="R42" s="228">
        <s:f>IF($I$12="","",Q42/$I$12)</s:f>
        <s:v>0</s:v>
      </s:c>
      <s:c r="S42" s="227" t="e">
        <s:f ca="1">IF(W42&lt;&gt;"",IF(D42&lt;&gt;"",D42,($I$8-SUM($S$25:S41))*V42*W42/SUMPRODUCT($W42:$W$60,$V42:$V$60)),"")</s:f>
        <s:v>#REF!</s:v>
      </s:c>
      <s:c r="T42" s="228" t="e">
        <s:f ca="1">IF(W42&lt;&gt;"",IF(E42&lt;&gt;"",E42,($I$9-SUM($T$25:T41))*V42*W42/SUMPRODUCT($W42:$W$60,$V42:$V$60)),"")</s:f>
        <s:v>#REF!</s:v>
      </s:c>
      <s:c r="U42" s="228" t="e">
        <s:f ca="1">IF(W42&lt;&gt;"",IF($I$12&lt;&gt;"",IF(G42&lt;&gt;"",G42,($I$9/$I$12-SUM($U$25:U41))*V42*W42/SUMPRODUCT($W42:$W$60,$V42:$V$60)),""),"")</s:f>
        <s:v>#REF!</s:v>
      </s:c>
      <s:c r="V42" s="229">
        <s:v>1</s:v>
      </s:c>
      <s:c r="W42" s="229">
        <s:v>1</s:v>
      </s:c>
      <s:c r="X42" s="230"/>
      <s:c r="Y42" s="230"/>
      <s:c r="Z42" s="232"/>
      <s:c r="AA42" s="232"/>
      <s:c r="AB42" s="232"/>
      <s:c r="AC42" s="232"/>
      <s:c r="AD42" s="232"/>
      <s:c r="AE42" s="232"/>
      <s:c r="AF42" s="232"/>
      <s:c r="AG42" s="232"/>
    </s:row>
    <s:row r="43" spans="1:33" s="221" customFormat="1" ht="15" customHeight="1">
      <s:c r="A43" s="101">
        <s:v>19</s:v>
      </s:c>
      <s:c r="B43" s="102"/>
      <s:c r="C43" s="103"/>
      <s:c r="D43" s="233"/>
      <s:c r="E43" s="238"/>
      <s:c r="F43" s="224" t="str">
        <s:f>IF(AND(E43&lt;&gt;"",E43&lt;&gt;0),D43/E43,"")</s:f>
        <s:v/>
      </s:c>
      <s:c r="G43" s="238"/>
      <s:c r="H43" s="238" t="str">
        <s:f>IF(AND(G43&lt;&gt;"",G43&lt;&gt;0),D43/G43,"")</s:f>
        <s:v/>
      </s:c>
      <s:c r="I43" s="238"/>
      <s:c r="J43" s="239" t="str">
        <s:f>IF(AND(G43&lt;&gt;"",G43&lt;&gt;0),E43/G43,"")</s:f>
        <s:v/>
      </s:c>
      <s:c r="K43" s="238"/>
      <s:c r="L43" s="238"/>
      <s:c r="M43" s="238"/>
      <s:c r="N43" s="240" t="str">
        <s:f>IF(AND(I43&lt;&gt;"",I43&lt;&gt;0),G43/I43,"")</s:f>
        <s:v/>
      </s:c>
      <s:c r="O43" s="241" t="e">
        <s:f>D43/P43</s:f>
        <s:v>#DIV/0!</s:v>
      </s:c>
      <s:c r="P43" s="242">
        <s:f>$I$8*V43*W43/SUMPRODUCT($W$25:$W$60,$V$25:$V$60)</s:f>
        <s:v>0</s:v>
      </s:c>
      <s:c r="Q43" s="243">
        <s:f>$I$9*V43*W43/SUMPRODUCT($W$25:$W$60,$V$25:$V$60)</s:f>
        <s:v>0</s:v>
      </s:c>
      <s:c r="R43" s="243">
        <s:f>IF($I$12="","",Q43/$I$12)</s:f>
        <s:v>0</s:v>
      </s:c>
      <s:c r="S43" s="242" t="e">
        <s:f ca="1">IF(W43&lt;&gt;"",IF(D43&lt;&gt;"",D43,($I$8-SUM($S$25:S42))*V43*W43/SUMPRODUCT($W43:$W$60,$V43:$V$60)),"")</s:f>
        <s:v>#REF!</s:v>
      </s:c>
      <s:c r="T43" s="243" t="e">
        <s:f ca="1">IF(W43&lt;&gt;"",IF(E43&lt;&gt;"",E43,($I$9-SUM($T$25:T42))*V43*W43/SUMPRODUCT($W43:$W$60,$V43:$V$60)),"")</s:f>
        <s:v>#REF!</s:v>
      </s:c>
      <s:c r="U43" s="243" t="e">
        <s:f ca="1">IF(W43&lt;&gt;"",IF($I$12&lt;&gt;"",IF(G43&lt;&gt;"",G43,($I$9/$I$12-SUM($U$25:U42))*V43*W43/SUMPRODUCT($W43:$W$60,$V43:$V$60)),""),"")</s:f>
        <s:v>#REF!</s:v>
      </s:c>
      <s:c r="V43" s="229">
        <s:v>1</s:v>
      </s:c>
      <s:c r="W43" s="229">
        <s:v>1</s:v>
      </s:c>
      <s:c r="X43" s="230"/>
      <s:c r="Y43" s="230"/>
      <s:c r="Z43" s="231"/>
      <s:c r="AA43" s="232"/>
      <s:c r="AB43" s="232"/>
      <s:c r="AC43" s="232"/>
      <s:c r="AD43" s="232"/>
      <s:c r="AE43" s="232"/>
      <s:c r="AF43" s="232"/>
      <s:c r="AG43" s="232"/>
    </s:row>
    <s:row r="44" spans="1:33" s="221" customFormat="1" ht="15" customHeight="1">
      <s:c r="A44" s="101">
        <s:v>20</s:v>
      </s:c>
      <s:c r="B44" s="102"/>
      <s:c r="C44" s="103"/>
      <s:c r="D44" s="244"/>
      <s:c r="E44" s="245"/>
      <s:c r="F44" s="245" t="str">
        <s:f>IF(AND(E44&lt;&gt;"",E44&lt;&gt;0),D44/E44,"")</s:f>
        <s:v/>
      </s:c>
      <s:c r="G44" s="245"/>
      <s:c r="H44" s="245" t="str">
        <s:f>IF(AND(G44&lt;&gt;"",G44&lt;&gt;0),D44/G44,"")</s:f>
        <s:v/>
      </s:c>
      <s:c r="I44" s="245"/>
      <s:c r="J44" s="246" t="str">
        <s:f>IF(AND(G44&lt;&gt;"",G44&lt;&gt;0),E44/G44,"")</s:f>
        <s:v/>
      </s:c>
      <s:c r="K44" s="245"/>
      <s:c r="L44" s="245"/>
      <s:c r="M44" s="245"/>
      <s:c r="N44" s="247" t="str">
        <s:f>IF(AND(I44&lt;&gt;"",I44&lt;&gt;0),G44/I44,"")</s:f>
        <s:v/>
      </s:c>
      <s:c r="O44" s="248" t="e">
        <s:f>D44/P44</s:f>
        <s:v>#DIV/0!</s:v>
      </s:c>
      <s:c r="P44" s="249">
        <s:f>$I$8*V44*W44/SUMPRODUCT($W$25:$W$60,$V$25:$V$60)</s:f>
        <s:v>0</s:v>
      </s:c>
      <s:c r="Q44" s="250">
        <s:f>$I$9*V44*W44/SUMPRODUCT($W$25:$W$60,$V$25:$V$60)</s:f>
        <s:v>0</s:v>
      </s:c>
      <s:c r="R44" s="250">
        <s:f>IF($I$12="","",Q44/$I$12)</s:f>
        <s:v>0</s:v>
      </s:c>
      <s:c r="S44" s="249" t="e">
        <s:f ca="1">IF(W44&lt;&gt;"",IF(D44&lt;&gt;"",D44,($I$8-SUM($S$25:S43))*V44*W44/SUMPRODUCT($W44:$W$60,$V44:$V$60)),"")</s:f>
        <s:v>#REF!</s:v>
      </s:c>
      <s:c r="T44" s="250" t="e">
        <s:f ca="1">IF(W44&lt;&gt;"",IF(E44&lt;&gt;"",E44,($I$9-SUM($T$25:T43))*V44*W44/SUMPRODUCT($W44:$W$60,$V44:$V$60)),"")</s:f>
        <s:v>#REF!</s:v>
      </s:c>
      <s:c r="U44" s="250" t="e">
        <s:f ca="1">IF(W44&lt;&gt;"",IF($I$12&lt;&gt;"",IF(G44&lt;&gt;"",G44,($I$9/$I$12-SUM($U$25:U43))*V44*W44/SUMPRODUCT($W44:$W$60,$V44:$V$60)),""),"")</s:f>
        <s:v>#REF!</s:v>
      </s:c>
      <s:c r="V44" s="229">
        <s:v>1</s:v>
      </s:c>
      <s:c r="W44" s="229">
        <s:v>1</s:v>
      </s:c>
      <s:c r="X44" s="230"/>
      <s:c r="Y44" s="230"/>
      <s:c r="Z44" s="231"/>
      <s:c r="AA44" s="232"/>
      <s:c r="AB44" s="232"/>
      <s:c r="AC44" s="232"/>
      <s:c r="AD44" s="232"/>
      <s:c r="AE44" s="232"/>
      <s:c r="AF44" s="232"/>
      <s:c r="AG44" s="232"/>
    </s:row>
    <s:row r="45" spans="1:33" s="221" customFormat="1" ht="15" customHeight="1">
      <s:c r="A45" s="101">
        <s:v>21</s:v>
      </s:c>
      <s:c r="B45" s="102"/>
      <s:c r="C45" s="236"/>
      <s:c r="D45" s="246"/>
      <s:c r="E45" s="245"/>
      <s:c r="F45" s="245" t="str">
        <s:f>IF(AND(E45&lt;&gt;"",E45&lt;&gt;0),D45/E45,"")</s:f>
        <s:v/>
      </s:c>
      <s:c r="G45" s="245"/>
      <s:c r="H45" s="245" t="str">
        <s:f>IF(AND(G45&lt;&gt;"",G45&lt;&gt;0),D45/G45,"")</s:f>
        <s:v/>
      </s:c>
      <s:c r="I45" s="245"/>
      <s:c r="J45" s="246" t="str">
        <s:f>IF(AND(G45&lt;&gt;"",G45&lt;&gt;0),E45/G45,"")</s:f>
        <s:v/>
      </s:c>
      <s:c r="K45" s="245"/>
      <s:c r="L45" s="245"/>
      <s:c r="M45" s="245"/>
      <s:c r="N45" s="247" t="str">
        <s:f>IF(AND(I45&lt;&gt;"",I45&lt;&gt;0),G45/I45,"")</s:f>
        <s:v/>
      </s:c>
      <s:c r="O45" s="248" t="e">
        <s:f>D45/P45</s:f>
        <s:v>#DIV/0!</s:v>
      </s:c>
      <s:c r="P45" s="249">
        <s:f>$I$8*V45*W45/SUMPRODUCT($W$25:$W$60,$V$25:$V$60)</s:f>
        <s:v>0</s:v>
      </s:c>
      <s:c r="Q45" s="250">
        <s:f>$I$9*V45*W45/SUMPRODUCT($W$25:$W$60,$V$25:$V$60)</s:f>
        <s:v>0</s:v>
      </s:c>
      <s:c r="R45" s="250">
        <s:f>IF($I$12="","",Q45/$I$12)</s:f>
        <s:v>0</s:v>
      </s:c>
      <s:c r="S45" s="249" t="e">
        <s:f ca="1">IF(W45&lt;&gt;"",IF(D45&lt;&gt;"",D45,($I$8-SUM($S$25:S44))*V45*W45/SUMPRODUCT($W45:$W$60,$V45:$V$60)),"")</s:f>
        <s:v>#REF!</s:v>
      </s:c>
      <s:c r="T45" s="250" t="e">
        <s:f ca="1">IF(W45&lt;&gt;"",IF(E45&lt;&gt;"",E45,($I$9-SUM($T$25:T44))*V45*W45/SUMPRODUCT($W45:$W$60,$V45:$V$60)),"")</s:f>
        <s:v>#REF!</s:v>
      </s:c>
      <s:c r="U45" s="250" t="e">
        <s:f ca="1">IF(W45&lt;&gt;"",IF($I$12&lt;&gt;"",IF(G45&lt;&gt;"",G45,($I$9/$I$12-SUM($U$25:U44))*V45*W45/SUMPRODUCT($W45:$W$60,$V45:$V$60)),""),"")</s:f>
        <s:v>#REF!</s:v>
      </s:c>
      <s:c r="V45" s="229">
        <s:v>1</s:v>
      </s:c>
      <s:c r="W45" s="229">
        <s:v>1</s:v>
      </s:c>
      <s:c r="X45" s="230"/>
      <s:c r="Y45" s="230"/>
      <s:c r="Z45" s="231"/>
      <s:c r="AA45" s="232"/>
      <s:c r="AB45" s="232"/>
      <s:c r="AC45" s="232"/>
      <s:c r="AD45" s="232"/>
      <s:c r="AE45" s="232"/>
      <s:c r="AF45" s="232"/>
      <s:c r="AG45" s="232"/>
    </s:row>
    <s:row r="46" spans="1:33" s="221" customFormat="1" ht="15" customHeight="1">
      <s:c r="A46" s="101">
        <s:v>22</s:v>
      </s:c>
      <s:c r="B46" s="102"/>
      <s:c r="C46" s="251"/>
      <s:c r="D46" s="246"/>
      <s:c r="E46" s="245"/>
      <s:c r="F46" s="245" t="str">
        <s:f>IF(AND(E46&lt;&gt;"",E46&lt;&gt;0),D46/E46,"")</s:f>
        <s:v/>
      </s:c>
      <s:c r="G46" s="245"/>
      <s:c r="H46" s="245" t="str">
        <s:f>IF(AND(G46&lt;&gt;"",G46&lt;&gt;0),D46/G46,"")</s:f>
        <s:v/>
      </s:c>
      <s:c r="I46" s="245"/>
      <s:c r="J46" s="246" t="str">
        <s:f>IF(AND(G46&lt;&gt;"",G46&lt;&gt;0),E46/G46,"")</s:f>
        <s:v/>
      </s:c>
      <s:c r="K46" s="245"/>
      <s:c r="L46" s="245"/>
      <s:c r="M46" s="245"/>
      <s:c r="N46" s="247" t="str">
        <s:f>IF(AND(I46&lt;&gt;"",I46&lt;&gt;0),G46/I46,"")</s:f>
        <s:v/>
      </s:c>
      <s:c r="O46" s="248" t="e">
        <s:f>D46/P46</s:f>
        <s:v>#DIV/0!</s:v>
      </s:c>
      <s:c r="P46" s="249">
        <s:f>$I$8*V46*W46/SUMPRODUCT($W$25:$W$60,$V$25:$V$60)</s:f>
        <s:v>0</s:v>
      </s:c>
      <s:c r="Q46" s="250">
        <s:f>$I$9*V46*W46/SUMPRODUCT($W$25:$W$60,$V$25:$V$60)</s:f>
        <s:v>0</s:v>
      </s:c>
      <s:c r="R46" s="250">
        <s:f>IF($I$12="","",Q46/$I$12)</s:f>
        <s:v>0</s:v>
      </s:c>
      <s:c r="S46" s="249" t="e">
        <s:f ca="1">IF(W46&lt;&gt;"",IF(D46&lt;&gt;"",D46,($I$8-SUM($S$25:S45))*V46*W46/SUMPRODUCT($W46:$W$60,$V46:$V$60)),"")</s:f>
        <s:v>#REF!</s:v>
      </s:c>
      <s:c r="T46" s="250" t="e">
        <s:f ca="1">IF(W46&lt;&gt;"",IF(E46&lt;&gt;"",E46,($I$9-SUM($T$25:T45))*V46*W46/SUMPRODUCT($W46:$W$60,$V46:$V$60)),"")</s:f>
        <s:v>#REF!</s:v>
      </s:c>
      <s:c r="U46" s="250" t="e">
        <s:f ca="1">IF(W46&lt;&gt;"",IF($I$12&lt;&gt;"",IF(G46&lt;&gt;"",G46,($I$9/$I$12-SUM($U$25:U45))*V46*W46/SUMPRODUCT($W46:$W$60,$V46:$V$60)),""),"")</s:f>
        <s:v>#REF!</s:v>
      </s:c>
      <s:c r="V46" s="229">
        <s:v>1</s:v>
      </s:c>
      <s:c r="W46" s="229">
        <s:v>1</s:v>
      </s:c>
      <s:c r="X46" s="230"/>
      <s:c r="Y46" s="230"/>
      <s:c r="Z46" s="231"/>
      <s:c r="AA46" s="232"/>
      <s:c r="AB46" s="232"/>
      <s:c r="AC46" s="232"/>
      <s:c r="AD46" s="232"/>
      <s:c r="AE46" s="232"/>
      <s:c r="AF46" s="232"/>
      <s:c r="AG46" s="232"/>
    </s:row>
    <s:row r="47" spans="1:33" s="221" customFormat="1" ht="15" customHeight="1">
      <s:c r="A47" s="101">
        <s:v>23</s:v>
      </s:c>
      <s:c r="B47" s="102"/>
      <s:c r="C47" s="236"/>
      <s:c r="D47" s="246"/>
      <s:c r="E47" s="245"/>
      <s:c r="F47" s="245" t="str">
        <s:f>IF(AND(E47&lt;&gt;"",E47&lt;&gt;0),D47/E47,"")</s:f>
        <s:v/>
      </s:c>
      <s:c r="G47" s="245"/>
      <s:c r="H47" s="245" t="str">
        <s:f>IF(AND(G47&lt;&gt;"",G47&lt;&gt;0),D47/G47,"")</s:f>
        <s:v/>
      </s:c>
      <s:c r="I47" s="245"/>
      <s:c r="J47" s="246" t="str">
        <s:f>IF(AND(G47&lt;&gt;"",G47&lt;&gt;0),E47/G47,"")</s:f>
        <s:v/>
      </s:c>
      <s:c r="K47" s="245"/>
      <s:c r="L47" s="245"/>
      <s:c r="M47" s="245"/>
      <s:c r="N47" s="247" t="str">
        <s:f>IF(AND(I47&lt;&gt;"",I47&lt;&gt;0),G47/I47,"")</s:f>
        <s:v/>
      </s:c>
      <s:c r="O47" s="248" t="e">
        <s:f>D47/P47</s:f>
        <s:v>#DIV/0!</s:v>
      </s:c>
      <s:c r="P47" s="249">
        <s:f>$I$8*V47*W47/SUMPRODUCT($W$25:$W$60,$V$25:$V$60)</s:f>
        <s:v>0</s:v>
      </s:c>
      <s:c r="Q47" s="250">
        <s:f>$I$9*V47*W47/SUMPRODUCT($W$25:$W$60,$V$25:$V$60)</s:f>
        <s:v>0</s:v>
      </s:c>
      <s:c r="R47" s="250">
        <s:f>IF($I$12="","",Q47/$I$12)</s:f>
        <s:v>0</s:v>
      </s:c>
      <s:c r="S47" s="249" t="e">
        <s:f ca="1">IF(W47&lt;&gt;"",IF(D47&lt;&gt;"",D47,($I$8-SUM($S$25:S46))*V47*W47/SUMPRODUCT($W47:$W$60,$V47:$V$60)),"")</s:f>
        <s:v>#REF!</s:v>
      </s:c>
      <s:c r="T47" s="250" t="e">
        <s:f ca="1">IF(W47&lt;&gt;"",IF(E47&lt;&gt;"",E47,($I$9-SUM($T$25:T46))*V47*W47/SUMPRODUCT($W47:$W$60,$V47:$V$60)),"")</s:f>
        <s:v>#REF!</s:v>
      </s:c>
      <s:c r="U47" s="250" t="e">
        <s:f ca="1">IF(W47&lt;&gt;"",IF($I$12&lt;&gt;"",IF(G47&lt;&gt;"",G47,($I$9/$I$12-SUM($U$25:U46))*V47*W47/SUMPRODUCT($W47:$W$60,$V47:$V$60)),""),"")</s:f>
        <s:v>#REF!</s:v>
      </s:c>
      <s:c r="V47" s="229">
        <s:v>1</s:v>
      </s:c>
      <s:c r="W47" s="252">
        <s:v>1</s:v>
      </s:c>
      <s:c r="X47" s="230"/>
      <s:c r="Y47" s="230"/>
      <s:c r="Z47" s="231"/>
      <s:c r="AA47" s="232"/>
      <s:c r="AB47" s="232"/>
      <s:c r="AC47" s="232"/>
      <s:c r="AD47" s="232"/>
      <s:c r="AE47" s="232"/>
      <s:c r="AF47" s="232"/>
      <s:c r="AG47" s="232"/>
    </s:row>
    <s:row r="48" spans="1:33" s="221" customFormat="1" ht="15" customHeight="1">
      <s:c r="A48" s="101">
        <s:v>24</s:v>
      </s:c>
      <s:c r="B48" s="102"/>
      <s:c r="C48" s="253"/>
      <s:c r="D48" s="246"/>
      <s:c r="E48" s="245"/>
      <s:c r="F48" s="245" t="str">
        <s:f>IF(AND(E48&lt;&gt;"",E48&lt;&gt;0),D48/E48,"")</s:f>
        <s:v/>
      </s:c>
      <s:c r="G48" s="245"/>
      <s:c r="H48" s="245" t="str">
        <s:f>IF(AND(G48&lt;&gt;"",G48&lt;&gt;0),D48/G48,"")</s:f>
        <s:v/>
      </s:c>
      <s:c r="I48" s="245"/>
      <s:c r="J48" s="246" t="str">
        <s:f>IF(AND(G48&lt;&gt;"",G48&lt;&gt;0),E48/G48,"")</s:f>
        <s:v/>
      </s:c>
      <s:c r="K48" s="245"/>
      <s:c r="L48" s="245"/>
      <s:c r="M48" s="245"/>
      <s:c r="N48" s="247" t="str">
        <s:f>IF(AND(I48&lt;&gt;"",I48&lt;&gt;0),G48/I48,"")</s:f>
        <s:v/>
      </s:c>
      <s:c r="O48" s="248" t="e">
        <s:f>D48/P48</s:f>
        <s:v>#DIV/0!</s:v>
      </s:c>
      <s:c r="P48" s="249">
        <s:f>$I$8*V48*W48/SUMPRODUCT($W$25:$W$60,$V$25:$V$60)</s:f>
        <s:v>0</s:v>
      </s:c>
      <s:c r="Q48" s="250">
        <s:f>$I$9*V48*W48/SUMPRODUCT($W$25:$W$60,$V$25:$V$60)</s:f>
        <s:v>0</s:v>
      </s:c>
      <s:c r="R48" s="250">
        <s:f>IF($I$12="","",Q48/$I$12)</s:f>
        <s:v>0</s:v>
      </s:c>
      <s:c r="S48" s="249" t="e">
        <s:f ca="1">IF(W48&lt;&gt;"",IF(D48&lt;&gt;"",D48,($I$8-SUM($S$25:S47))*V48*W48/SUMPRODUCT($W48:$W$60,$V48:$V$60)),"")</s:f>
        <s:v>#REF!</s:v>
      </s:c>
      <s:c r="T48" s="250" t="e">
        <s:f ca="1">IF(W48&lt;&gt;"",IF(E48&lt;&gt;"",E48,($I$9-SUM($T$25:T47))*V48*W48/SUMPRODUCT($W48:$W$60,$V48:$V$60)),"")</s:f>
        <s:v>#REF!</s:v>
      </s:c>
      <s:c r="U48" s="250" t="e">
        <s:f ca="1">IF(W48&lt;&gt;"",IF($I$12&lt;&gt;"",IF(G48&lt;&gt;"",G48,($I$9/$I$12-SUM($U$25:U47))*V48*W48/SUMPRODUCT($W48:$W$60,$V48:$V$60)),""),"")</s:f>
        <s:v>#REF!</s:v>
      </s:c>
      <s:c r="V48" s="229">
        <s:v>1</s:v>
      </s:c>
      <s:c r="W48" s="252">
        <s:v>1</s:v>
      </s:c>
      <s:c r="X48" s="230"/>
      <s:c r="Y48" s="230"/>
      <s:c r="Z48" s="231"/>
      <s:c r="AA48" s="232"/>
      <s:c r="AB48" s="232"/>
      <s:c r="AC48" s="232"/>
      <s:c r="AD48" s="232"/>
      <s:c r="AE48" s="232"/>
      <s:c r="AF48" s="232"/>
      <s:c r="AG48" s="232"/>
    </s:row>
    <s:row r="49" spans="1:33" s="221" customFormat="1" ht="15" customHeight="1">
      <s:c r="A49" s="101">
        <s:v>25</s:v>
      </s:c>
      <s:c r="B49" s="102"/>
      <s:c r="C49" s="253"/>
      <s:c r="D49" s="246"/>
      <s:c r="E49" s="245"/>
      <s:c r="F49" s="245" t="str">
        <s:f>IF(AND(E49&lt;&gt;"",E49&lt;&gt;0),D49/E49,"")</s:f>
        <s:v/>
      </s:c>
      <s:c r="G49" s="245"/>
      <s:c r="H49" s="245" t="str">
        <s:f>IF(AND(G49&lt;&gt;"",G49&lt;&gt;0),D49/G49,"")</s:f>
        <s:v/>
      </s:c>
      <s:c r="I49" s="245"/>
      <s:c r="J49" s="246" t="str">
        <s:f>IF(AND(G49&lt;&gt;"",G49&lt;&gt;0),E49/G49,"")</s:f>
        <s:v/>
      </s:c>
      <s:c r="K49" s="245"/>
      <s:c r="L49" s="245"/>
      <s:c r="M49" s="245"/>
      <s:c r="N49" s="247" t="str">
        <s:f>IF(AND(I49&lt;&gt;"",I49&lt;&gt;0),G49/I49,"")</s:f>
        <s:v/>
      </s:c>
      <s:c r="O49" s="248" t="e">
        <s:f>D49/P49</s:f>
        <s:v>#DIV/0!</s:v>
      </s:c>
      <s:c r="P49" s="249">
        <s:f>$I$8*V49*W49/SUMPRODUCT($W$25:$W$60,$V$25:$V$60)</s:f>
        <s:v>0</s:v>
      </s:c>
      <s:c r="Q49" s="250">
        <s:f>$I$9*V49*W49/SUMPRODUCT($W$25:$W$60,$V$25:$V$60)</s:f>
        <s:v>0</s:v>
      </s:c>
      <s:c r="R49" s="250">
        <s:f>IF($I$12="","",Q49/$I$12)</s:f>
        <s:v>0</s:v>
      </s:c>
      <s:c r="S49" s="249" t="e">
        <s:f ca="1">IF(W49&lt;&gt;"",IF(D49&lt;&gt;"",D49,($I$8-SUM($S$25:S48))*V49*W49/SUMPRODUCT($W49:$W$60,$V49:$V$60)),"")</s:f>
        <s:v>#REF!</s:v>
      </s:c>
      <s:c r="T49" s="250" t="e">
        <s:f ca="1">IF(W49&lt;&gt;"",IF(E49&lt;&gt;"",E49,($I$9-SUM($T$25:T48))*V49*W49/SUMPRODUCT($W49:$W$60,$V49:$V$60)),"")</s:f>
        <s:v>#REF!</s:v>
      </s:c>
      <s:c r="U49" s="250" t="e">
        <s:f ca="1">IF(W49&lt;&gt;"",IF($I$12&lt;&gt;"",IF(G49&lt;&gt;"",G49,($I$9/$I$12-SUM($U$25:U48))*V49*W49/SUMPRODUCT($W49:$W$60,$V49:$V$60)),""),"")</s:f>
        <s:v>#REF!</s:v>
      </s:c>
      <s:c r="V49" s="254">
        <s:v>1</s:v>
      </s:c>
      <s:c r="W49" s="252">
        <s:v>1</s:v>
      </s:c>
      <s:c r="X49" s="230"/>
      <s:c r="Y49" s="230"/>
      <s:c r="Z49" s="231"/>
      <s:c r="AA49" s="232"/>
      <s:c r="AB49" s="232"/>
      <s:c r="AC49" s="232"/>
      <s:c r="AD49" s="232"/>
      <s:c r="AE49" s="232"/>
      <s:c r="AF49" s="232"/>
      <s:c r="AG49" s="232"/>
    </s:row>
    <s:row r="50" spans="1:33" ht="15" customHeight="1">
      <s:c r="B50" s="557" t="s">
        <s:v>55</s:v>
      </s:c>
      <s:c r="C50" s="557"/>
      <s:c r="D50" s="134">
        <s:f>SUM(D25:D49)</s:f>
        <s:v>0</s:v>
      </s:c>
      <s:c r="E50" s="134">
        <s:f>SUM(E25:E49)</s:f>
        <s:v>0</s:v>
      </s:c>
      <s:c r="F50" s="134" t="str">
        <s:f>IF(AND(E50&lt;&gt;"",E50&lt;&gt;0),D50/E50,"")</s:f>
        <s:v/>
      </s:c>
      <s:c r="G50" s="134">
        <s:f>SUM(G25:G49)</s:f>
        <s:v>0</s:v>
      </s:c>
      <s:c r="H50" s="134" t="str">
        <s:f>IF(AND(G50&lt;&gt;"",G50&lt;&gt;0),D50/G50,"")</s:f>
        <s:v/>
      </s:c>
      <s:c r="I50" s="134">
        <s:f>SUM(I25:I49)</s:f>
        <s:v>0</s:v>
      </s:c>
      <s:c r="J50" s="133" t="str">
        <s:f>IF(AND(G50&lt;&gt;"",G50&lt;&gt;0),E50/G50,"")</s:f>
        <s:v/>
      </s:c>
      <s:c r="K50" s="134">
        <s:f>SUM(K25:K49)</s:f>
        <s:v>0</s:v>
      </s:c>
      <s:c r="L50" s="134">
        <s:f>SUM(L25:L49)</s:f>
        <s:v>0</s:v>
      </s:c>
      <s:c r="M50" s="134">
        <s:f>SUM(M25:M49)</s:f>
        <s:v>0</s:v>
      </s:c>
      <s:c r="N50" s="135" t="str">
        <s:f>IF(AND(I50&lt;&gt;"",I50&lt;&gt;0),G50/I50,"")</s:f>
        <s:v/>
      </s:c>
      <s:c r="O50" s="136" t="e">
        <s:f>D50/P50</s:f>
        <s:v>#DIV/0!</s:v>
      </s:c>
      <s:c r="P50" s="137">
        <s:f>SUM(P25:P49)</s:f>
        <s:v>0</s:v>
      </s:c>
      <s:c r="Q50" s="137">
        <s:f>SUM(Q25:Q49)</s:f>
        <s:v>0</s:v>
      </s:c>
      <s:c r="R50" s="137">
        <s:f>SUM(R25:R49)</s:f>
        <s:v>0</s:v>
      </s:c>
      <s:c r="S50" s="137" t="e">
        <s:f ca="1">SUM(S25:S49)</s:f>
        <s:v>#REF!</s:v>
      </s:c>
      <s:c r="T50" s="137" t="e">
        <s:f ca="1">SUM(T25:T49)</s:f>
        <s:v>#REF!</s:v>
      </s:c>
      <s:c r="U50" s="137" t="e">
        <s:f ca="1">SUM(U25:U49)</s:f>
        <s:v>#REF!</s:v>
      </s:c>
      <s:c r="V50" s="138"/>
      <s:c r="W50" s="138"/>
    </s:row>
    <s:row r="51">
      <s:c r="B51" s="130"/>
      <s:c r="C51" s="140"/>
      <s:c r="D51" s="141">
        <s:f>SUMIF(D25:D49,"",P25:P49)+D50</s:f>
        <s:v>0</s:v>
      </s:c>
      <s:c r="E51" s="142"/>
      <s:c r="F51" s="140"/>
      <s:c r="G51" s="140"/>
      <s:c r="H51" s="143"/>
      <s:c r="I51" s="218"/>
      <s:c r="J51" s="143"/>
      <s:c r="L51" s="145"/>
      <s:c r="M51" s="142"/>
      <s:c r="N51" s="145"/>
      <s:c r="O51" s="145"/>
      <s:c r="P51" s="145"/>
      <s:c r="Q51" s="146"/>
    </s:row>
    <s:row r="52">
      <s:c r="D52" s="205"/>
    </s:row>
    <s:row r="54">
      <s:c r="D54" s="205"/>
    </s:row>
    <s:row r="55">
      <s:c r="D55" s="205"/>
    </s:row>
  </s:sheetData>
  <s:mergeCells count="27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P22:W22"/>
    <s:mergeCell ref="F15:H15"/>
    <s:mergeCell ref="F16:H16"/>
    <s:mergeCell ref="S16:S17"/>
    <s:mergeCell ref="F17:H17"/>
    <s:mergeCell ref="F18:H18"/>
    <s:mergeCell ref="B50:C50"/>
    <s:mergeCell ref="F19:H19"/>
    <s:mergeCell ref="F20:H20"/>
    <s:mergeCell ref="B22:N22"/>
    <s:mergeCell ref="O22:O24"/>
  </s:mergeCells>
  <s:conditionalFormatting sqref="J16">
    <s:cfRule type="cellIs" dxfId="119" priority="143" operator="greaterThan">
      <s:formula>0</s:formula>
    </s:cfRule>
    <s:cfRule type="cellIs" dxfId="118" priority="145" operator="lessThan">
      <s:formula>0</s:formula>
    </s:cfRule>
  </s:conditionalFormatting>
  <s:conditionalFormatting sqref="J25">
    <s:cfRule type="cellIs" dxfId="117" priority="87" operator="lessThan">
      <s:formula>$I$12</s:formula>
    </s:cfRule>
  </s:conditionalFormatting>
  <s:conditionalFormatting sqref="J25:J26">
    <s:cfRule type="cellIs" dxfId="116" priority="166" operator="lessThan">
      <s:formula>$I$12</s:formula>
    </s:cfRule>
    <s:cfRule type="cellIs" dxfId="115" priority="160" operator="greaterThan">
      <s:formula>$I$12</s:formula>
    </s:cfRule>
    <s:cfRule type="cellIs" dxfId="114" priority="88" operator="greaterThan">
      <s:formula>$I$12</s:formula>
    </s:cfRule>
  </s:conditionalFormatting>
  <s:conditionalFormatting sqref="J25:J27">
    <s:cfRule type="cellIs" dxfId="113" priority="171" operator="lessThan">
      <s:formula>$I$12</s:formula>
    </s:cfRule>
    <s:cfRule type="cellIs" dxfId="112" priority="169" operator="greaterThan">
      <s:formula>$I$12</s:formula>
    </s:cfRule>
    <s:cfRule type="cellIs" dxfId="111" priority="147" operator="lessThan">
      <s:formula>$I$12</s:formula>
    </s:cfRule>
  </s:conditionalFormatting>
  <s:conditionalFormatting sqref="J28:J43">
    <s:cfRule type="cellIs" dxfId="110" priority="76" operator="lessThan">
      <s:formula>$I$12</s:formula>
    </s:cfRule>
  </s:conditionalFormatting>
  <s:conditionalFormatting sqref="J28:J49">
    <s:cfRule type="cellIs" dxfId="109" priority="77" operator="greaterThan">
      <s:formula>$I$12</s:formula>
    </s:cfRule>
  </s:conditionalFormatting>
  <s:conditionalFormatting sqref="J44:J49">
    <s:cfRule type="cellIs" dxfId="108" priority="152" operator="lessThan">
      <s:formula>$I$12</s:formula>
    </s:cfRule>
  </s:conditionalFormatting>
  <s:conditionalFormatting sqref="K10:K12 K15">
    <s:cfRule type="cellIs" dxfId="107" priority="142" operator="greaterThan">
      <s:formula>1</s:formula>
    </s:cfRule>
    <s:cfRule type="cellIs" dxfId="106" priority="146" operator="lessThan">
      <s:formula>1</s:formula>
    </s:cfRule>
  </s:conditionalFormatting>
  <s:conditionalFormatting sqref="K13">
    <s:cfRule type="cellIs" dxfId="105" priority="138" operator="lessThan">
      <s:formula>$K$14</s:formula>
    </s:cfRule>
    <s:cfRule type="cellIs" dxfId="104" priority="139" operator="greaterThan">
      <s:formula>$K$14</s:formula>
    </s:cfRule>
  </s:conditionalFormatting>
  <s:conditionalFormatting sqref="M8:M15">
    <s:cfRule type="cellIs" dxfId="103" priority="140" operator="lessThan">
      <s:formula>1</s:formula>
    </s:cfRule>
    <s:cfRule type="cellIs" dxfId="102" priority="141" operator="greaterThan">
      <s:formula>1</s:formula>
    </s:cfRule>
  </s:conditionalFormatting>
  <s:conditionalFormatting sqref="N25:N26">
    <s:cfRule type="cellIs" dxfId="101" priority="175" operator="between">
      <s:formula>0.2</s:formula>
      <s:formula>0.25</s:formula>
    </s:cfRule>
  </s:conditionalFormatting>
  <s:conditionalFormatting sqref="N25:N43">
    <s:cfRule type="cellIs" dxfId="100" priority="7" operator="between">
      <s:formula>0.2</s:formula>
      <s:formula>0.25</s:formula>
    </s:cfRule>
  </s:conditionalFormatting>
  <s:conditionalFormatting sqref="N25:N49">
    <s:cfRule type="cellIs" dxfId="99" priority="8" operator="greaterThanOrEqual">
      <s:formula>0.25</s:formula>
    </s:cfRule>
    <s:cfRule type="cellIs" dxfId="98" priority="9" operator="lessThan">
      <s:formula>0.2</s:formula>
    </s:cfRule>
  </s:conditionalFormatting>
  <s:conditionalFormatting sqref="N44:N49">
    <s:cfRule type="cellIs" dxfId="97" priority="153" operator="between">
      <s:formula>0.2</s:formula>
      <s:formula>0.25</s:formula>
    </s:cfRule>
  </s:conditionalFormatting>
  <s:conditionalFormatting sqref="O25:O26">
    <s:cfRule type="cellIs" dxfId="96" priority="181" operator="between">
      <s:formula>0.9001</s:formula>
      <s:formula>0.9999</s:formula>
    </s:cfRule>
    <s:cfRule type="cellIs" dxfId="95" priority="177" operator="between">
      <s:formula>0.85</s:formula>
      <s:formula>1</s:formula>
    </s:cfRule>
    <s:cfRule type="cellIs" dxfId="94" priority="180" operator="lessThan">
      <s:formula>0.9</s:formula>
    </s:cfRule>
  </s:conditionalFormatting>
  <s:conditionalFormatting sqref="O25:O43">
    <s:cfRule type="cellIs" dxfId="93" priority="5" operator="between">
      <s:formula>0.85</s:formula>
      <s:formula>1</s:formula>
    </s:cfRule>
    <s:cfRule type="cellIs" dxfId="92" priority="2" operator="lessThan">
      <s:formula>0.9</s:formula>
    </s:cfRule>
    <s:cfRule type="cellIs" dxfId="91" priority="1" operator="between">
      <s:formula>0.9001</s:formula>
      <s:formula>0.9999</s:formula>
    </s:cfRule>
  </s:conditionalFormatting>
  <s:conditionalFormatting sqref="O25:O49">
    <s:cfRule type="cellIs" dxfId="90" priority="6" operator="between">
      <s:formula>0.01</s:formula>
      <s:formula>0.99</s:formula>
    </s:cfRule>
    <s:cfRule type="cellIs" dxfId="89" priority="4" operator="greaterThan">
      <s:formula>100</s:formula>
    </s:cfRule>
    <s:cfRule type="cellIs" dxfId="88" priority="3" operator="greaterThan">
      <s:formula>1</s:formula>
    </s:cfRule>
  </s:conditionalFormatting>
  <s:conditionalFormatting sqref="O44:O49">
    <s:cfRule type="cellIs" dxfId="87" priority="154" operator="between">
      <s:formula>0.85</s:formula>
      <s:formula>1</s:formula>
    </s:cfRule>
    <s:cfRule type="cellIs" dxfId="86" priority="155" operator="lessThan">
      <s:formula>0.9</s:formula>
    </s:cfRule>
    <s:cfRule type="cellIs" dxfId="85" priority="156" operator="between">
      <s:formula>0.9001</s:formula>
      <s:formula>0.9999</s:formula>
    </s:cfRule>
  </s:conditionalFormatting>
  <s:conditionalFormatting sqref="P10:Q10">
    <s:cfRule type="cellIs" dxfId="84" priority="144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500-000000000000}">
  <s:sheetPr>
    <s:pageSetUpPr fitToPage="1"/>
  </s:sheetPr>
  <s:dimension ref="A1:IU53"/>
  <s:sheetViews>
    <s:sheetView showZeros="0" tabSelected="0" topLeftCell="A5" zoomScale="75" workbookViewId="0">
      <s:pane xSplit="3" topLeftCell="D1" activePane="topRight" state="frozen"/>
      <s:selection activeCell="L17" sqref="L17"/>
      <s:selection pane="topRight" activeCell="A3" sqref="A3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19">
        <s:f ca="1">TODAY()-1</s:f>
        <s:v>46080</s:v>
      </s:c>
      <s:c r="C1" s="619"/>
      <s:c r="D1" s="11"/>
      <s:c r="E1" s="11"/>
      <s:c r="F1" s="12"/>
      <s:c r="G1" s="12"/>
      <s:c r="H1" s="12"/>
      <s:c r="I1" s="12"/>
      <s:c r="J1" s="177"/>
      <s:c r="K1" s="177"/>
      <s:c r="L1" s="177"/>
      <s:c r="M1" s="177"/>
      <s:c r="N1" s="177"/>
      <s:c r="O1" s="177"/>
      <s:c r="P1" s="177"/>
      <s:c r="Q1" s="620"/>
      <s:c r="R1" s="620"/>
      <s:c r="S1" s="620"/>
      <s:c r="T1" s="620"/>
      <s:c r="U1" s="12"/>
      <s:c r="V1" s="12"/>
      <s:c r="W1" s="12"/>
    </s:row>
    <s:row r="2" spans="2:23" ht="21.75" customHeight="1">
      <s:c r="B2" s="621" t="s">
        <s:v>0</s:v>
      </s:c>
      <s:c r="C2" s="621"/>
      <s:c r="D2" s="11"/>
      <s:c r="E2" s="11"/>
      <s:c r="F2" s="12"/>
      <s:c r="G2" s="12"/>
      <s:c r="H2" s="12"/>
      <s:c r="I2" s="12"/>
      <s:c r="J2" s="622" t="s">
        <s:v>61</s:v>
      </s:c>
      <s:c r="K2" s="622"/>
      <s:c r="L2" s="622"/>
      <s:c r="M2" s="622"/>
      <s:c r="N2" s="622"/>
      <s:c r="O2" s="622"/>
      <s:c r="P2" s="622"/>
      <s:c r="Q2" s="620"/>
      <s:c r="R2" s="620"/>
      <s:c r="S2" s="620"/>
      <s:c r="T2" s="620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23" t="str">
        <s:f>График!B29</s:f>
        <s:v>Рогалевич Ирина</s:v>
      </s:c>
      <s:c r="K3" s="624"/>
      <s:c r="L3" s="624"/>
      <s:c r="M3" s="624"/>
      <s:c r="N3" s="625"/>
      <s:c r="O3" s="177"/>
      <s:c r="P3" s="178"/>
      <s:c r="Q3" s="620"/>
      <s:c r="R3" s="620"/>
      <s:c r="S3" s="620"/>
      <s:c r="T3" s="620"/>
      <s:c r="U3" s="12"/>
      <s:c r="V3" s="12"/>
      <s:c r="W3" s="12"/>
    </s:row>
    <s:row r="4" spans="2:23" ht="15" customHeight="1">
      <s:c r="B4" s="11"/>
      <s:c r="C4" s="629">
        <s:f>I8-D48</s:f>
        <s:v>998914.37086092704</s:v>
      </s:c>
      <s:c r="D4" s="630"/>
      <s:c r="E4" s="179">
        <s:f>IF(I8&lt;&gt;0,C4/I8,0)</s:f>
        <s:v>1</s:v>
      </s:c>
      <s:c r="F4" s="12"/>
      <s:c r="G4" s="12"/>
      <s:c r="H4" s="12"/>
      <s:c r="I4" s="12"/>
      <s:c r="J4" s="626"/>
      <s:c r="K4" s="627"/>
      <s:c r="L4" s="627"/>
      <s:c r="M4" s="627"/>
      <s:c r="N4" s="628"/>
      <s:c r="O4" s="12"/>
      <s:c r="P4" s="12"/>
      <s:c r="Q4" s="620"/>
      <s:c r="R4" s="620"/>
      <s:c r="S4" s="620"/>
      <s:c r="T4" s="620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80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80"/>
      <s:c r="C7" s="12"/>
      <s:c r="D7" s="12"/>
      <s:c r="E7" s="12"/>
      <s:c r="F7" s="571" t="s">
        <s:v>3</s:v>
      </s:c>
      <s:c r="G7" s="572"/>
      <s:c r="H7" s="573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74" t="s">
        <s:v>11</s:v>
      </s:c>
      <s:c r="Q7" s="575"/>
      <s:c r="R7" s="20"/>
      <s:c r="S7" s="20"/>
      <s:c r="T7" s="12"/>
      <s:c r="U7" s="12"/>
      <s:c r="V7" s="12"/>
      <s:c r="W7" s="12"/>
    </s:row>
    <s:row r="8" spans="2:23" ht="15.75" customHeight="1">
      <s:c r="B8" s="180"/>
      <s:c r="C8" s="12"/>
      <s:c r="D8" s="12"/>
      <s:c r="E8" s="12"/>
      <s:c r="F8" s="567" t="s">
        <s:v>12</s:v>
      </s:c>
      <s:c r="G8" s="568"/>
      <s:c r="H8" s="569"/>
      <s:c r="I8" s="181">
        <s:f>'Ялта, Ленина, 18'!I8/График!AJ31*График!AJ29</s:f>
        <s:v>998914.37086092704</s:v>
      </s:c>
      <s:c r="J8" s="182">
        <s:f>D48</s:f>
        <s:v>0</s:v>
      </s:c>
      <s:c r="K8" s="220">
        <s:f>IF(AND(I8&lt;&gt;"",I8&lt;&gt;0,J8&lt;&gt;""),J8/I8,"")</s:f>
        <s:v>0</s:v>
      </s:c>
      <s:c r="L8" s="184">
        <s:f>IF(SUMIF($D$25:$D$47,"&gt;=0",$P$25:$P$47)&lt;&gt;0,I8*D48/SUMIF($D$25:$D$47,"&gt;=0",$P$25:$P$47),0)</s:f>
        <s:v>0</s:v>
      </s:c>
      <s:c r="M8" s="31" t="str">
        <s:f>IF(AND(I8&lt;&gt;"",I8&lt;&gt;0,L8&lt;&gt;"",L8&lt;&gt;0),L8/I8,"")</s:f>
        <s:v/>
      </s:c>
      <s:c r="N8" s="32" t="str">
        <s:f>IF(AND(J8&lt;&gt;0,J8&lt;&gt;"",I8&lt;&gt;0,I8&lt;&gt;""),L8-I8,"")</s:f>
        <s:v/>
      </s:c>
      <s:c r="O8" s="33"/>
      <s:c r="P8" s="32" t="str">
        <s:f>IF(AND(O8&lt;&gt;"",O8&lt;&gt;0,L8&lt;&gt;"",L8&lt;&gt;0),-O8+L8,"")</s:f>
        <s:v/>
      </s:c>
      <s:c r="Q8" s="34" t="str">
        <s:f>IF(AND(P8&lt;&gt;"",P8&lt;&gt;0,O8&lt;&gt;0,O8&lt;&gt;""),P8/O8,"")</s:f>
        <s:v/>
      </s:c>
      <s:c r="R8" s="20"/>
      <s:c r="S8" s="35"/>
      <s:c r="T8" s="12"/>
      <s:c r="U8" s="12"/>
      <s:c r="V8" s="12"/>
      <s:c r="W8" s="12"/>
    </s:row>
    <s:row r="9" spans="2:23" ht="15.75" customHeight="1">
      <s:c r="B9" s="180"/>
      <s:c r="C9" s="12"/>
      <s:c r="D9" s="12"/>
      <s:c r="E9" s="12"/>
      <s:c r="F9" s="559" t="s">
        <s:v>13</s:v>
      </s:c>
      <s:c r="G9" s="560"/>
      <s:c r="H9" s="561"/>
      <s:c r="I9" s="36">
        <s:f>I8/I11</s:f>
        <s:v>260.06622516556291</s:v>
      </s:c>
      <s:c r="J9" s="37">
        <s:f>E48</s:f>
        <s:v>0</s:v>
      </s:c>
      <s:c r="K9" s="38">
        <s:f>IF(AND(I9&lt;&gt;"",I9&lt;&gt;0,J9&lt;&gt;""),J9/I9,"")</s:f>
        <s:v>0</s:v>
      </s:c>
      <s:c r="L9" s="187">
        <s:f>IF(SUMIF($E$25:$E$47,"&gt;=0",$Q$25:$Q$47)&lt;&gt;0,I9*E48/SUMIF($E$25:$E$47,"&gt;=0",$Q$25:$Q$47),0)</s:f>
        <s:v>0</s:v>
      </s:c>
      <s:c r="M9" s="40" t="str">
        <s:f>IF(AND(I9&lt;&gt;"",I9&lt;&gt;0,L9&lt;&gt;"",L9&lt;&gt;0),L9/I9,"")</s:f>
        <s:v/>
      </s:c>
      <s:c r="N9" s="41" t="str">
        <s:f>IF(AND(J9&lt;&gt;0,J9&lt;&gt;"",I9&lt;&gt;0,I9&lt;&gt;""),L9-I9,"")</s:f>
        <s:v/>
      </s:c>
      <s:c r="O9" s="42" t="e">
        <s:f>O8/O11</s:f>
        <s:v>#DIV/0!</s:v>
      </s:c>
      <s:c r="P9" s="41" t="e">
        <s:f>IF(AND(O9&lt;&gt;"",O9&lt;&gt;0,L9&lt;&gt;"",L9&lt;&gt;0),-O9+L9,"")</s:f>
        <s:v>#DIV/0!</s:v>
      </s:c>
      <s:c r="Q9" s="43" t="e">
        <s:f>IF(AND(P9&lt;&gt;"",P9&lt;&gt;0,O9&lt;&gt;0,O9&lt;&gt;""),P9/O9,"")</s:f>
        <s:v>#DIV/0!</s:v>
      </s:c>
      <s:c r="R9" s="20"/>
      <s:c r="S9" s="35"/>
      <s:c r="T9" s="12"/>
      <s:c r="U9" s="12"/>
      <s:c r="V9" s="12"/>
      <s:c r="W9" s="12"/>
    </s:row>
    <s:row r="10" spans="2:23" ht="15.75" customHeight="1">
      <s:c r="B10" s="180"/>
      <s:c r="C10" s="12"/>
      <s:c r="D10" s="12"/>
      <s:c r="E10" s="12"/>
      <s:c r="F10" s="567" t="s">
        <s:v>14</s:v>
      </s:c>
      <s:c r="G10" s="568"/>
      <s:c r="H10" s="569"/>
      <s:c r="I10" s="48">
        <s:f>I11*I12</s:f>
        <s:v>7682</s:v>
      </s:c>
      <s:c r="J10" s="189" t="str">
        <s:f>H48</s:f>
        <s:v/>
      </s:c>
      <s:c r="K10" s="255" t="str">
        <s:f>IF(AND(I10&lt;&gt;"",I10&lt;&gt;0,J10&lt;&gt;""),J10/I10,"")</s:f>
        <s:v/>
      </s:c>
      <s:c r="L10" s="187" t="str">
        <s:f>J10</s:f>
        <s:v/>
      </s:c>
      <s:c r="M10" s="46" t="str">
        <s:f>IF(AND(I10&lt;&gt;"",I10&lt;&gt;0,L10&lt;&gt;"",L10&lt;&gt;0),L10/I10,"")</s:f>
        <s:v/>
      </s:c>
      <s:c r="N10" s="47" t="str">
        <s:f>IF(AND(J10&lt;&gt;0,J10&lt;&gt;"",I10&lt;&gt;0,I10&lt;&gt;""),L10-I10,"")</s:f>
        <s:v/>
      </s:c>
      <s:c r="O10" s="48">
        <s:f>O11*O12</s:f>
        <s:v>0</s:v>
      </s:c>
      <s:c r="P10" s="47" t="str">
        <s:f>IF(AND(O10&lt;&gt;"",O10&lt;&gt;0,L10&lt;&gt;"",L10&lt;&gt;0),-O10+L10,"")</s:f>
        <s:v/>
      </s:c>
      <s:c r="Q10" s="49" t="str">
        <s:f>IF(AND(P10&lt;&gt;"",P10&lt;&gt;0,O10&lt;&gt;0,O10&lt;&gt;""),P10/O10,"")</s:f>
        <s:v/>
      </s:c>
      <s:c r="R10" s="20"/>
      <s:c r="S10" s="35"/>
      <s:c r="T10" s="12"/>
      <s:c r="U10" s="12"/>
      <s:c r="V10" s="12"/>
      <s:c r="W10" s="12"/>
    </s:row>
    <s:row r="11" spans="2:23" ht="15.75" customHeight="1">
      <s:c r="B11" s="180"/>
      <s:c r="C11" s="12"/>
      <s:c r="D11" s="12"/>
      <s:c r="E11" s="12"/>
      <s:c r="F11" s="559" t="s">
        <s:v>15</s:v>
      </s:c>
      <s:c r="G11" s="560"/>
      <s:c r="H11" s="561"/>
      <s:c r="I11" s="50">
        <s:f>'Ялта, Ленина, 18'!I11</s:f>
        <s:v>3841</s:v>
      </s:c>
      <s:c r="J11" s="37" t="str">
        <s:f>F48</s:f>
        <s:v/>
      </s:c>
      <s:c r="K11" s="256" t="str">
        <s:f>IF(AND(I11&lt;&gt;"",I11&lt;&gt;0,J11&lt;&gt;""),J11/I11,"")</s:f>
        <s:v/>
      </s:c>
      <s:c r="L11" s="187" t="str">
        <s:f>IF(L9&gt;0,L8/L9,"")</s:f>
        <s:v/>
      </s:c>
      <s:c r="M11" s="40" t="str">
        <s:f>IF(AND(I11&lt;&gt;"",I11&lt;&gt;0,L11&lt;&gt;"",L11&lt;&gt;0),L11/I11,"")</s:f>
        <s:v/>
      </s:c>
      <s:c r="N11" s="41" t="str">
        <s:f>IF(AND(J11&lt;&gt;0,J11&lt;&gt;"",I11&lt;&gt;0,I11&lt;&gt;""),L11-I11,"")</s:f>
        <s:v/>
      </s:c>
      <s:c r="O11" s="51"/>
      <s:c r="P11" s="41" t="str">
        <s:f>IF(AND(O11&lt;&gt;"",O11&lt;&gt;0,L11&lt;&gt;"",L11&lt;&gt;0),-O11+L11,"")</s:f>
        <s:v/>
      </s:c>
      <s:c r="Q11" s="43" t="str">
        <s:f>IF(AND(P11&lt;&gt;"",P11&lt;&gt;0,O11&lt;&gt;0,O11&lt;&gt;""),P11/O11,"")</s:f>
        <s:v/>
      </s:c>
      <s:c r="R11" s="20"/>
      <s:c r="S11" s="52"/>
      <s:c r="T11" s="12"/>
      <s:c r="U11" s="12"/>
      <s:c r="V11" s="12"/>
      <s:c r="W11" s="12"/>
    </s:row>
    <s:row r="12" spans="2:23" ht="15.75" customHeight="1">
      <s:c r="B12" s="180"/>
      <s:c r="C12" s="12"/>
      <s:c r="D12" s="12"/>
      <s:c r="E12" s="12"/>
      <s:c r="F12" s="559" t="s">
        <s:v>16</s:v>
      </s:c>
      <s:c r="G12" s="560"/>
      <s:c r="H12" s="561"/>
      <s:c r="I12" s="53">
        <s:f>'Ялта, Ленина, 18'!I12</s:f>
        <s:v>2</s:v>
      </s:c>
      <s:c r="J12" s="54" t="str">
        <s:f>J48</s:f>
        <s:v/>
      </s:c>
      <s:c r="K12" s="256" t="str">
        <s:f>IF(AND(I12&lt;&gt;"",I12&lt;&gt;0,J12&lt;&gt;""),J12/I12,"")</s:f>
        <s:v/>
      </s:c>
      <s:c r="L12" s="193" t="str">
        <s:f>J12</s:f>
        <s:v/>
      </s:c>
      <s:c r="M12" s="40" t="str">
        <s:f>IF(AND(I12&lt;&gt;"",I12&lt;&gt;0,L12&lt;&gt;"",L12&lt;&gt;0),L12/I12,"")</s:f>
        <s:v/>
      </s:c>
      <s:c r="N12" s="55" t="str">
        <s:f>IF(AND(J12&lt;&gt;0,J12&lt;&gt;"",I12&lt;&gt;0,I12&lt;&gt;""),L12-I12,"")</s:f>
        <s:v/>
      </s:c>
      <s:c r="O12" s="56"/>
      <s:c r="P12" s="41" t="str">
        <s:f>IF(AND(O12&lt;&gt;"",O12&lt;&gt;0,L12&lt;&gt;"",L12&lt;&gt;0),-O12+L12,"")</s:f>
        <s:v/>
      </s:c>
      <s:c r="Q12" s="43" t="str">
        <s:f>IF(AND(P12&lt;&gt;"",P12&lt;&gt;0,O12&lt;&gt;0,O12&lt;&gt;""),P12/O12,"")</s:f>
        <s:v/>
      </s:c>
      <s:c r="R12" s="20"/>
      <s:c r="S12" s="52"/>
      <s:c r="T12" s="12"/>
      <s:c r="U12" s="12"/>
      <s:c r="V12" s="12"/>
      <s:c r="W12" s="12"/>
    </s:row>
    <s:row r="13" spans="2:23" ht="15.75" customHeight="1">
      <s:c r="B13" s="180"/>
      <s:c r="C13" s="12"/>
      <s:c r="D13" s="12"/>
      <s:c r="E13" s="12"/>
      <s:c r="F13" s="559" t="s">
        <s:v>17</s:v>
      </s:c>
      <s:c r="G13" s="560"/>
      <s:c r="H13" s="561"/>
      <s:c r="I13" s="36">
        <s:f>IF(I12&lt;&gt;0,I9/I12,"")</s:f>
        <s:v>130.03311258278146</s:v>
      </s:c>
      <s:c r="J13" s="37">
        <s:f>G48</s:f>
        <s:v>0</s:v>
      </s:c>
      <s:c r="K13" s="38">
        <s:f>IF(AND(I13&lt;&gt;"",I13&lt;&gt;0,J13&lt;&gt;""),J13/I13,"")</s:f>
        <s:v>0</s:v>
      </s:c>
      <s:c r="L13" s="187" t="e">
        <s:f>IF(SUMIF($G$25:$G$47,"&gt;=0",$R$25:$R$47)&lt;&gt;0,I13*G48/SUMIF($G$25:$G$47,"&gt;=0",$R$25:$R$47),"")</s:f>
        <s:v>#DIV/0!</s:v>
      </s:c>
      <s:c r="M13" s="40" t="e">
        <s:f>IF(AND(I13&lt;&gt;"",I13&lt;&gt;0,L13&lt;&gt;"",L13&lt;&gt;0),L13/I13,"")</s:f>
        <s:v>#DIV/0!</s:v>
      </s:c>
      <s:c r="N13" s="55" t="str">
        <s:f>IF(AND(J13&lt;&gt;0,J13&lt;&gt;"",I13&lt;&gt;0,I13&lt;&gt;""),L13-I13,"")</s:f>
        <s:v/>
      </s:c>
      <s:c r="O13" s="57"/>
      <s:c r="P13" s="41" t="e">
        <s:f>IF(AND(O13&lt;&gt;"",O13&lt;&gt;0,L13&lt;&gt;"",L13&lt;&gt;0),-O13+L13,"")</s:f>
        <s:v>#DIV/0!</s:v>
      </s:c>
      <s:c r="Q13" s="43" t="e">
        <s:f>IF(AND(P13&lt;&gt;"",P13&lt;&gt;0,O13&lt;&gt;0,O13&lt;&gt;""),P13/O13,"")</s:f>
        <s:v>#DIV/0!</s:v>
      </s:c>
      <s:c r="R13" s="20"/>
      <s:c r="S13" s="52"/>
      <s:c r="T13" s="12"/>
      <s:c r="U13" s="12"/>
      <s:c r="V13" s="12"/>
      <s:c r="W13" s="12"/>
    </s:row>
    <s:row r="14" spans="2:23" ht="15.75" customHeight="1">
      <s:c r="B14" s="180"/>
      <s:c r="C14" s="12"/>
      <s:c r="D14" s="194"/>
      <s:c r="E14" s="12"/>
      <s:c r="F14" s="559" t="s">
        <s:v>59</s:v>
      </s:c>
      <s:c r="G14" s="560"/>
      <s:c r="H14" s="561"/>
      <s:c r="I14" s="50">
        <s:f>График!AI29</s:f>
        <s:v>26</s:v>
      </s:c>
      <s:c r="J14" s="58"/>
      <s:c r="K14" s="38" t="str">
        <s:f>IF(AND(I14&lt;&gt;"",I14&lt;&gt;0,J14&lt;&gt;""),J14/I14,"")</s:f>
        <s:v/>
      </s:c>
      <s:c r="L14" s="187" t="str">
        <s:f>IF(SUMIF($D$25:$D$47,"&gt;=0",$P$25:$P$47),I48*I8/SUMIF($D$25:$D$47,"&gt;=0",$P$25:$P$47),"")</s:f>
        <s:v/>
      </s:c>
      <s:c r="M14" s="40" t="str">
        <s:f>IF(AND(I14&lt;&gt;"",I14&lt;&gt;0,L14&lt;&gt;"",L14&lt;&gt;0),L14/I14,"")</s:f>
        <s:v/>
      </s:c>
      <s:c r="N14" s="41" t="str">
        <s:f>IF(AND(J14&lt;&gt;0,J14&lt;&gt;"",I14&lt;&gt;0,I14&lt;&gt;""),L14-I14,"")</s:f>
        <s:v/>
      </s:c>
      <s:c r="O14" s="57"/>
      <s:c r="P14" s="41" t="str">
        <s:f>IF(AND(O14&lt;&gt;"",O14&lt;&gt;0,L14&lt;&gt;"",L14&lt;&gt;0),-O14+L14,"")</s:f>
        <s:v/>
      </s:c>
      <s:c r="Q14" s="43" t="str">
        <s:f>IF(AND(P14&lt;&gt;"",P14&lt;&gt;0,O14&lt;&gt;0,O14&lt;&gt;""),P14/O14,"")</s:f>
        <s:v/>
      </s:c>
      <s:c r="R14" s="20"/>
      <s:c r="S14" s="59"/>
      <s:c r="T14" s="12"/>
      <s:c r="U14" s="12"/>
      <s:c r="V14" s="12"/>
      <s:c r="W14" s="12"/>
    </s:row>
    <s:row r="15" spans="2:23" ht="15.75" customHeight="1">
      <s:c r="B15" s="180"/>
      <s:c r="C15" s="12"/>
      <s:c r="D15" s="12"/>
      <s:c r="E15" s="12"/>
      <s:c r="F15" s="559" t="s">
        <s:v>19</s:v>
      </s:c>
      <s:c r="G15" s="560"/>
      <s:c r="H15" s="561"/>
      <s:c r="I15" s="69">
        <s:f>'Ялта, Ленина, 18'!I15</s:f>
        <s:v>39178.199999999997</s:v>
      </s:c>
      <s:c r="J15" s="61" t="e">
        <s:f>J8/J14</s:f>
        <s:v>#DIV/0!</s:v>
      </s:c>
      <s:c r="K15" s="62" t="e">
        <s:f>IF(AND(I15&lt;&gt;"",I15&lt;&gt;0,J15&lt;&gt;""),J15/I15,"")</s:f>
        <s:v>#DIV/0!</s:v>
      </s:c>
      <s:c r="L15" s="70" t="e">
        <s:f>J15</s:f>
        <s:v>#DIV/0!</s:v>
      </s:c>
      <s:c r="M15" s="64" t="e">
        <s:f>IF(AND(I15&lt;&gt;"",I15&lt;&gt;0,L15&lt;&gt;"",L15&lt;&gt;0),L15/I15,"")</s:f>
        <s:v>#DIV/0!</s:v>
      </s:c>
      <s:c r="N15" s="41" t="e">
        <s:f>IF(AND(J15&lt;&gt;0,J15&lt;&gt;"",I15&lt;&gt;0,I15&lt;&gt;""),L15-I15,"")</s:f>
        <s:v>#DIV/0!</s:v>
      </s:c>
      <s:c r="O15" s="65"/>
      <s:c r="P15" s="41" t="e">
        <s:f>IF(AND(O15&lt;&gt;"",O15&lt;&gt;0,L15&lt;&gt;"",L15&lt;&gt;0),-O15+L15,"")</s:f>
        <s:v>#DIV/0!</s:v>
      </s:c>
      <s:c r="Q15" s="43" t="e">
        <s:f>IF(AND(P15&lt;&gt;"",P15&lt;&gt;0,O15&lt;&gt;0,O15&lt;&gt;""),P15/O15,"")</s:f>
        <s:v>#DIV/0!</s:v>
      </s:c>
      <s:c r="R15" s="20"/>
      <s:c r="S15" s="35"/>
      <s:c r="T15" s="12"/>
      <s:c r="U15" s="12"/>
      <s:c r="V15" s="12"/>
      <s:c r="W15" s="12"/>
    </s:row>
    <s:row r="16" spans="2:23" ht="15.75" customHeight="1">
      <s:c r="B16" s="180"/>
      <s:c r="C16" s="12"/>
      <s:c r="D16" s="12"/>
      <s:c r="E16" s="12"/>
      <s:c r="F16" s="559" t="s">
        <s:v>20</s:v>
      </s:c>
      <s:c r="G16" s="560"/>
      <s:c r="H16" s="561"/>
      <s:c r="I16" s="69"/>
      <s:c r="J16" s="61">
        <s:f>J8-I15*J14</s:f>
        <s:v>0</s:v>
      </s:c>
      <s:c r="K16" s="62" t="str">
        <s:f>IF(AND(I16&lt;&gt;"",I16&lt;&gt;0,J16&lt;&gt;""),J16/I16,"")</s:f>
        <s:v/>
      </s:c>
      <s:c r="L16" s="70">
        <s:f>J16</s:f>
        <s:v>0</s:v>
      </s:c>
      <s:c r="M16" s="67" t="str">
        <s:f>IF(AND(I16&lt;&gt;"",I16&lt;&gt;0,L16&lt;&gt;"",L16&lt;&gt;0),L16/I16,"")</s:f>
        <s:v/>
      </s:c>
      <s:c r="N16" s="41" t="str">
        <s:f>IF(AND(J16&lt;&gt;0,J16&lt;&gt;"",I16&lt;&gt;0,I16&lt;&gt;""),L16-I16,"")</s:f>
        <s:v/>
      </s:c>
      <s:c r="O16" s="65"/>
      <s:c r="P16" s="41" t="str">
        <s:f>IF(AND(O16&lt;&gt;"",O16&lt;&gt;0,L16&lt;&gt;"",L16&lt;&gt;0),-O16+L16,"")</s:f>
        <s:v/>
      </s:c>
      <s:c r="Q16" s="43" t="str">
        <s:f>IF(AND(P16&lt;&gt;"",P16&lt;&gt;0,O16&lt;&gt;0,O16&lt;&gt;""),P16/O16,"")</s:f>
        <s:v/>
      </s:c>
      <s:c r="R16" s="20"/>
      <s:c r="S16" s="566" t="s">
        <s:v>21</s:v>
      </s:c>
      <s:c r="T16" s="12"/>
      <s:c r="U16" s="12"/>
      <s:c r="V16" s="12"/>
      <s:c r="W16" s="12"/>
    </s:row>
    <s:row r="17" spans="1:255" ht="15.75" customHeight="1">
      <s:c r="B17" s="180"/>
      <s:c r="C17" s="12"/>
      <s:c r="D17" s="12"/>
      <s:c r="E17" s="12"/>
      <s:c r="F17" s="559" t="s">
        <s:v>22</s:v>
      </s:c>
      <s:c r="G17" s="560"/>
      <s:c r="H17" s="561"/>
      <s:c r="I17" s="69">
        <s:f>'Ялта, Ленина, 18'!I17/График!AJ31*График!AJ29</s:f>
        <s:v>433.44370860927154</s:v>
      </s:c>
      <s:c r="J17" s="61">
        <s:f>I48</s:f>
        <s:v>0</s:v>
      </s:c>
      <s:c r="K17" s="62">
        <s:f>IF(AND(I17&lt;&gt;"",I17&lt;&gt;0,J17&lt;&gt;""),J17/I17,"")</s:f>
        <s:v>0</s:v>
      </s:c>
      <s:c r="L17" s="66" t="e">
        <s:f>J17/J14*I14</s:f>
        <s:v>#DIV/0!</s:v>
      </s:c>
      <s:c r="M17" s="67" t="e">
        <s:f>IF(AND(I17&lt;&gt;"",I17&lt;&gt;0,L17&lt;&gt;"",L17&lt;&gt;0),L17/I17,"")</s:f>
        <s:v>#DIV/0!</s:v>
      </s:c>
      <s:c r="N17" s="41" t="str">
        <s:f>IF(AND(J17&lt;&gt;0,J17&lt;&gt;"",I17&lt;&gt;0,I17&lt;&gt;""),L17-I17,"")</s:f>
        <s:v/>
      </s:c>
      <s:c r="O17" s="65"/>
      <s:c r="P17" s="41" t="e">
        <s:f>IF(AND(O17&lt;&gt;"",O17&lt;&gt;0,L17&lt;&gt;"",L17&lt;&gt;0),-O17+L17,"")</s:f>
        <s:v>#DIV/0!</s:v>
      </s:c>
      <s:c r="Q17" s="43" t="e">
        <s:f>IF(AND(P17&lt;&gt;"",P17&lt;&gt;0,O17&lt;&gt;0,O17&lt;&gt;""),P17/O17,"")</s:f>
        <s:v>#DIV/0!</s:v>
      </s:c>
      <s:c r="R17" s="20"/>
      <s:c r="S17" s="566"/>
      <s:c r="T17" s="12"/>
      <s:c r="U17" s="12"/>
      <s:c r="V17" s="12"/>
      <s:c r="W17" s="12"/>
    </s:row>
    <s:row r="18" spans="1:255" ht="15.75" customHeight="1">
      <s:c r="B18" s="180"/>
      <s:c r="C18" s="12"/>
      <s:c r="D18" s="12"/>
      <s:c r="E18" s="12"/>
      <s:c r="F18" s="559"/>
      <s:c r="G18" s="560"/>
      <s:c r="H18" s="561"/>
      <s:c r="I18" s="71"/>
      <s:c r="J18" s="61"/>
      <s:c r="K18" s="62" t="str">
        <s:f>IF(AND(I18&lt;&gt;"",I18&lt;&gt;0,J18&lt;&gt;""),J18/I18,"")</s:f>
        <s:v/>
      </s:c>
      <s:c r="L18" s="70">
        <s:f>J18</s:f>
        <s:v>0</s:v>
      </s:c>
      <s:c r="M18" s="67" t="str">
        <s:f>IF(AND(I18&lt;&gt;"",I18&lt;&gt;0,L18&lt;&gt;"",L18&lt;&gt;0),L18/I18,"")</s:f>
        <s:v/>
      </s:c>
      <s:c r="N18" s="41" t="str">
        <s:f>IF(AND(J18&lt;&gt;0,J18&lt;&gt;"",I18&lt;&gt;0,I18&lt;&gt;""),L18-I18,"")</s:f>
        <s:v/>
      </s:c>
      <s:c r="O18" s="72">
        <s:v>0</s:v>
      </s:c>
      <s:c r="P18" s="41" t="str">
        <s:f>IF(AND(O18&lt;&gt;"",O18&lt;&gt;0,L18&lt;&gt;"",L18&lt;&gt;0),-O18+L18,"")</s:f>
        <s:v/>
      </s:c>
      <s:c r="Q18" s="43" t="str">
        <s:f>IF(AND(P18&lt;&gt;"",P18&lt;&gt;0,O18&lt;&gt;0,O18&lt;&gt;""),P18/O18,"")</s:f>
        <s:v/>
      </s:c>
      <s:c r="R18" s="20"/>
      <s:c r="S18" s="73"/>
      <s:c r="T18" s="12"/>
      <s:c r="U18" s="12"/>
      <s:c r="V18" s="12"/>
      <s:c r="W18" s="12"/>
    </s:row>
    <s:row r="19" spans="1:255" ht="15.75" customHeight="1">
      <s:c r="B19" s="180"/>
      <s:c r="C19" s="12"/>
      <s:c r="D19" s="12"/>
      <s:c r="E19" s="12"/>
      <s:c r="F19" s="559"/>
      <s:c r="G19" s="560"/>
      <s:c r="H19" s="561"/>
      <s:c r="I19" s="71"/>
      <s:c r="J19" s="61">
        <s:f>M48</s:f>
        <s:v>0</s:v>
      </s:c>
      <s:c r="K19" s="62" t="str">
        <s:f>IF(AND(I19&lt;&gt;"",I19&lt;&gt;0,J19&lt;&gt;""),J19/I19,"")</s:f>
        <s:v/>
      </s:c>
      <s:c r="L19" s="70">
        <s:f>J19</s:f>
        <s:v>0</s:v>
      </s:c>
      <s:c r="M19" s="67" t="str">
        <s:f>IF(AND(I19&lt;&gt;"",I19&lt;&gt;0,L19&lt;&gt;"",L19&lt;&gt;0),L19/I19,"")</s:f>
        <s:v/>
      </s:c>
      <s:c r="N19" s="41" t="str">
        <s:f>IF(AND(J19&lt;&gt;0,J19&lt;&gt;"",I19&lt;&gt;0,I19&lt;&gt;""),L19-I19,"")</s:f>
        <s:v/>
      </s:c>
      <s:c r="O19" s="65">
        <s:v>0</s:v>
      </s:c>
      <s:c r="P19" s="41" t="str">
        <s:f>IF(AND(O19&lt;&gt;"",O19&lt;&gt;0,L19&lt;&gt;"",L19&lt;&gt;0),-O19+L19,"")</s:f>
        <s:v/>
      </s:c>
      <s:c r="Q19" s="43" t="str">
        <s:f>IF(AND(P19&lt;&gt;"",P19&lt;&gt;0,O19&lt;&gt;0,O19&lt;&gt;""),P19/O19,"")</s:f>
        <s:v/>
      </s:c>
      <s:c r="R19" s="20"/>
      <s:c r="S19" s="74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80"/>
      <s:c r="C20" s="12"/>
      <s:c r="D20" s="12"/>
      <s:c r="E20" s="12"/>
      <s:c r="F20" s="562" t="s">
        <s:v>23</s:v>
      </s:c>
      <s:c r="G20" s="562"/>
      <s:c r="H20" s="562"/>
      <s:c r="I20" s="198">
        <s:f>'Ялта, Ленина, 18'!I20</s:f>
        <s:v>0.3</s:v>
      </s:c>
      <s:c r="J20" s="199" t="str">
        <s:f>N48</s:f>
        <s:v/>
      </s:c>
      <s:c r="K20" s="199" t="e">
        <s:f>J20/I20</s:f>
        <s:v>#VALUE!</s:v>
      </s:c>
      <s:c r="L20" s="201">
        <s:f>IF(AND(K8&lt;&gt;0,I14&lt;&gt;0,I48&lt;&gt;0),(I48*N48+(I48/K8-I48)*I20)/(I48/K8),0)</s:f>
        <s:v>0</s:v>
      </s:c>
      <s:c r="M20" s="77" t="str">
        <s:f>IF(AND(I20&lt;&gt;"",I20&lt;&gt;0,L20&lt;&gt;"",L20&lt;&gt;0),L20/I20,"")</s:f>
        <s:v/>
      </s:c>
      <s:c r="N20" s="78" t="str">
        <s:f>IF(AND(J20&lt;&gt;0,J20&lt;&gt;"",I20&lt;&gt;0,I20&lt;&gt;""),L20-I20,"")</s:f>
        <s:v/>
      </s:c>
      <s:c r="O20" s="79"/>
      <s:c r="P20" s="80" t="str">
        <s:f>IF(AND(O20&lt;&gt;"",O20&lt;&gt;0,L20&lt;&gt;"",L20&lt;&gt;0),-O20+L20,"")</s:f>
        <s:v/>
      </s:c>
      <s:c r="Q20" s="81" t="str">
        <s:f>IF(AND(P20&lt;&gt;"",P20&lt;&gt;0,O20&lt;&gt;0,O20&lt;&gt;""),P20/O20,"")</s:f>
        <s:v/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8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16" t="s">
        <s:v>24</s:v>
      </s:c>
      <s:c r="C22" s="616"/>
      <s:c r="D22" s="616"/>
      <s:c r="E22" s="616"/>
      <s:c r="F22" s="616"/>
      <s:c r="G22" s="616"/>
      <s:c r="H22" s="616"/>
      <s:c r="I22" s="616"/>
      <s:c r="J22" s="616"/>
      <s:c r="K22" s="616"/>
      <s:c r="L22" s="616"/>
      <s:c r="M22" s="616"/>
      <s:c r="N22" s="616"/>
      <s:c r="O22" s="617" t="s">
        <s:v>25</s:v>
      </s:c>
      <s:c r="P22" s="616" t="s">
        <s:v>26</s:v>
      </s:c>
      <s:c r="Q22" s="616"/>
      <s:c r="R22" s="616"/>
      <s:c r="S22" s="616"/>
      <s:c r="T22" s="616"/>
      <s:c r="U22" s="616"/>
      <s:c r="V22" s="616"/>
      <s:c r="W22" s="616"/>
    </s:row>
    <s:row r="23" ht="36">
      <s:c r="B23" s="202" t="s">
        <s:v>28</s:v>
      </s:c>
      <s:c r="C23" s="202" t="s">
        <s:v>29</s:v>
      </s:c>
      <s:c r="D23" s="202" t="s">
        <s:v>30</s:v>
      </s:c>
      <s:c r="E23" s="202" t="s">
        <s:v>31</s:v>
      </s:c>
      <s:c r="F23" s="202" t="s">
        <s:v>32</s:v>
      </s:c>
      <s:c r="G23" s="202" t="s">
        <s:v>33</s:v>
      </s:c>
      <s:c r="H23" s="202" t="s">
        <s:v>34</s:v>
      </s:c>
      <s:c r="I23" s="202" t="s">
        <s:v>22</s:v>
      </s:c>
      <s:c r="J23" s="202" t="s">
        <s:v>35</s:v>
      </s:c>
      <s:c r="K23" s="203" t="s">
        <s:v>36</s:v>
      </s:c>
      <s:c r="L23" s="203" t="s">
        <s:v>36</s:v>
      </s:c>
      <s:c r="M23" s="203" t="s">
        <s:v>36</s:v>
      </s:c>
      <s:c r="N23" s="202" t="s">
        <s:v>37</s:v>
      </s:c>
      <s:c r="O23" s="617"/>
      <s:c r="P23" s="202" t="s">
        <s:v>38</s:v>
      </s:c>
      <s:c r="Q23" s="202" t="s">
        <s:v>39</s:v>
      </s:c>
      <s:c r="R23" s="202" t="s">
        <s:v>40</s:v>
      </s:c>
      <s:c r="S23" s="202" t="s">
        <s:v>41</s:v>
      </s:c>
      <s:c r="T23" s="202" t="s">
        <s:v>42</s:v>
      </s:c>
      <s:c r="U23" s="202" t="s">
        <s:v>43</s:v>
      </s:c>
      <s:c r="V23" s="204" t="s">
        <s:v>44</s:v>
      </s:c>
      <s:c r="W23" s="204" t="s">
        <s:v>45</s:v>
      </s:c>
      <s:c r="X23" s="205"/>
    </s:row>
    <s:row r="24">
      <s:c r="B24" s="206">
        <s:v>1</s:v>
      </s:c>
      <s:c r="C24" s="207">
        <s:v>2</s:v>
      </s:c>
      <s:c r="D24" s="206">
        <s:v>3</s:v>
      </s:c>
      <s:c r="E24" s="206">
        <s:v>4</s:v>
      </s:c>
      <s:c r="F24" s="206">
        <s:v>5</s:v>
      </s:c>
      <s:c r="G24" s="206">
        <s:v>6</s:v>
      </s:c>
      <s:c r="H24" s="206">
        <s:v>7</s:v>
      </s:c>
      <s:c r="I24" s="206">
        <s:v>8</s:v>
      </s:c>
      <s:c r="J24" s="206">
        <s:v>9</s:v>
      </s:c>
      <s:c r="K24" s="206">
        <s:v>10</s:v>
      </s:c>
      <s:c r="L24" s="206">
        <s:v>11</s:v>
      </s:c>
      <s:c r="M24" s="206">
        <s:v>12</s:v>
      </s:c>
      <s:c r="N24" s="206">
        <s:v>13</s:v>
      </s:c>
      <s:c r="O24" s="617"/>
      <s:c r="P24" s="208">
        <s:v>1</s:v>
      </s:c>
      <s:c r="Q24" s="208">
        <s:v>2</s:v>
      </s:c>
      <s:c r="R24" s="208">
        <s:v>3</s:v>
      </s:c>
      <s:c r="S24" s="208">
        <s:v>4</s:v>
      </s:c>
      <s:c r="T24" s="208">
        <s:v>5</s:v>
      </s:c>
      <s:c r="U24" s="208">
        <s:v>6</s:v>
      </s:c>
      <s:c r="V24" s="208">
        <s:v>10</s:v>
      </s:c>
      <s:c r="W24" s="208">
        <s:v>11</s:v>
      </s:c>
    </s:row>
    <s:row r="25" spans="1:255" s="221" customFormat="1">
      <s:c r="A25" s="101">
        <s:v>1</s:v>
      </s:c>
      <s:c r="B25" s="257"/>
      <s:c r="C25" s="258"/>
      <s:c r="D25" s="259"/>
      <s:c r="E25" s="260"/>
      <s:c r="F25" s="261" t="str">
        <s:f>IF(AND(E25&lt;&gt;"",E25&lt;&gt;0),D25/E25,"")</s:f>
        <s:v/>
      </s:c>
      <s:c r="G25" s="260"/>
      <s:c r="H25" s="261" t="str">
        <s:f>IF(AND(G25&lt;&gt;"",G25&lt;&gt;0),D25/G25,"")</s:f>
        <s:v/>
      </s:c>
      <s:c r="I25" s="262"/>
      <s:c r="J25" s="263" t="str">
        <s:f>IF(AND(G25&lt;&gt;"",G25&lt;&gt;0),E25/G25,"")</s:f>
        <s:v/>
      </s:c>
      <s:c r="K25" s="223"/>
      <s:c r="L25" s="223"/>
      <s:c r="M25" s="223"/>
      <s:c r="N25" s="225" t="str">
        <s:f>IF(AND(I25&lt;&gt;"",I25&lt;&gt;0),G25/I25,"")</s:f>
        <s:v/>
      </s:c>
      <s:c r="O25" s="235" t="e">
        <s:f>D25/P25</s:f>
        <s:v>#DIV/0!</s:v>
      </s:c>
      <s:c r="P25" s="227" t="e">
        <s:f>$I$8*V25*W25/SUMPRODUCT($W$25:$W$55,$V$25:$V$55)</s:f>
        <s:v>#DIV/0!</s:v>
      </s:c>
      <s:c r="Q25" s="228" t="e">
        <s:f>$I$9*V25*W25/SUMPRODUCT($W$25:$W$55,$V$25:$V$55)</s:f>
        <s:v>#DIV/0!</s:v>
      </s:c>
      <s:c r="R25" s="228" t="e">
        <s:f>IF($I$12="","",Q25/$I$12)</s:f>
        <s:v>#DIV/0!</s:v>
      </s:c>
      <s:c r="S25" s="227" t="e">
        <s:f>IF(D25&lt;&gt;"",D25,P25)</s:f>
        <s:v>#DIV/0!</s:v>
      </s:c>
      <s:c r="T25" s="228" t="e">
        <s:f>IF(E25&lt;&gt;"",E25,Q25)</s:f>
        <s:v>#DIV/0!</s:v>
      </s:c>
      <s:c r="U25" s="228" t="e">
        <s:f>IF(G25&lt;&gt;"",G25,R25)</s:f>
        <s:v>#DIV/0!</s:v>
      </s:c>
      <s:c r="V25" s="229"/>
      <s:c r="W25" s="229"/>
      <s:c r="X25" s="232"/>
      <s:c r="Y25" s="230"/>
      <s:c r="Z25" s="232"/>
      <s:c r="AA25" s="232"/>
      <s:c r="AB25" s="232"/>
      <s:c r="AC25" s="232"/>
      <s:c r="AD25" s="232"/>
    </s:row>
    <s:row r="26" spans="1:255" s="264" customFormat="1">
      <s:c r="A26" s="101">
        <s:v>2</s:v>
      </s:c>
      <s:c r="B26" s="102"/>
      <s:c r="C26" s="103"/>
      <s:c r="D26" s="233"/>
      <s:c r="E26" s="223"/>
      <s:c r="F26" s="224" t="str">
        <s:f>IF(AND(E26&lt;&gt;"",E26&lt;&gt;0),D26/E26,"")</s:f>
        <s:v/>
      </s:c>
      <s:c r="G26" s="223">
        <s:v>0</s:v>
      </s:c>
      <s:c r="H26" s="224" t="str">
        <s:f>IF(AND(G26&lt;&gt;"",G26&lt;&gt;0),D26/G26,"")</s:f>
        <s:v/>
      </s:c>
      <s:c r="I26" s="223"/>
      <s:c r="J26" s="222" t="str">
        <s:f>IF(AND(G26&lt;&gt;"",G26&lt;&gt;0),E26/G26,"")</s:f>
        <s:v/>
      </s:c>
      <s:c r="K26" s="223"/>
      <s:c r="L26" s="223"/>
      <s:c r="M26" s="223"/>
      <s:c r="N26" s="225" t="str">
        <s:f>IF(AND(I26&lt;&gt;"",I26&lt;&gt;0),G26/I26,"")</s:f>
        <s:v/>
      </s:c>
      <s:c r="O26" s="235" t="e">
        <s:f>D26/P26</s:f>
        <s:v>#DIV/0!</s:v>
      </s:c>
      <s:c r="P26" s="227" t="e">
        <s:f>$I$8*V26*W26/SUMPRODUCT($W$25:$W$55,$V$25:$V$55)</s:f>
        <s:v>#DIV/0!</s:v>
      </s:c>
      <s:c r="Q26" s="228" t="e">
        <s:f>$I$9*V26*W26/SUMPRODUCT($W$25:$W$55,$V$25:$V$55)</s:f>
        <s:v>#DIV/0!</s:v>
      </s:c>
      <s:c r="R26" s="228" t="e">
        <s:f>IF($I$12="","",Q26/$I$12)</s:f>
        <s:v>#DIV/0!</s:v>
      </s:c>
      <s:c r="S26" s="227" t="str">
        <s:f>IF(W26&lt;&gt;"",IF(D26&lt;&gt;"",D26,($I$8-SUM($S$25:S25))*V26*W26/SUMPRODUCT($W26:$W$55,$V26:$V$55)),"")</s:f>
        <s:v/>
      </s:c>
      <s:c r="T26" s="228" t="str">
        <s:f>IF(W26&lt;&gt;"",IF(E26&lt;&gt;"",E26,($I$9-SUM($T$25:T25))*V26*W26/SUMPRODUCT($W26:$W$55,$V26:$V$55)),"")</s:f>
        <s:v/>
      </s:c>
      <s:c r="U26" s="228" t="str">
        <s:f>IF(W26&lt;&gt;"",IF($I$12&lt;&gt;"",IF(G26&lt;&gt;"",G26,($I$9/$I$12-SUM($U$25:U25))*V26*W26/SUMPRODUCT($W26:$W$55,$V26:$V$55)),""),"")</s:f>
        <s:v/>
      </s:c>
      <s:c r="V26" s="229"/>
      <s:c r="W26" s="229"/>
      <s:c r="X26" s="230"/>
      <s:c r="Y26" s="230"/>
      <s:c r="Z26" s="232"/>
      <s:c r="AA26" s="232"/>
      <s:c r="AB26" s="232"/>
      <s:c r="AC26" s="232"/>
      <s:c r="AD26" s="232"/>
      <s:c r="AE26" s="232"/>
      <s:c r="AF26" s="232"/>
      <s:c r="AG26" s="232"/>
      <s:c r="AH26" s="232"/>
      <s:c r="AI26" s="232"/>
      <s:c r="AJ26" s="232"/>
      <s:c r="AK26" s="232"/>
      <s:c r="AL26" s="232"/>
      <s:c r="AM26" s="232"/>
      <s:c r="AN26" s="232"/>
      <s:c r="AO26" s="232"/>
      <s:c r="AP26" s="232"/>
      <s:c r="AQ26" s="232"/>
      <s:c r="AR26" s="232"/>
      <s:c r="AS26" s="232"/>
      <s:c r="AT26" s="232"/>
      <s:c r="AU26" s="232"/>
      <s:c r="AV26" s="232"/>
      <s:c r="AW26" s="232"/>
      <s:c r="AX26" s="232"/>
      <s:c r="AY26" s="232"/>
      <s:c r="AZ26" s="232"/>
      <s:c r="BA26" s="232"/>
      <s:c r="BB26" s="232"/>
      <s:c r="BC26" s="232"/>
      <s:c r="BD26" s="232"/>
      <s:c r="BE26" s="232"/>
      <s:c r="BF26" s="232"/>
      <s:c r="BG26" s="232"/>
      <s:c r="BH26" s="232"/>
      <s:c r="BI26" s="232"/>
      <s:c r="BJ26" s="232"/>
      <s:c r="BK26" s="232"/>
      <s:c r="BL26" s="232"/>
      <s:c r="BM26" s="232"/>
      <s:c r="BN26" s="232"/>
      <s:c r="BO26" s="232"/>
      <s:c r="BP26" s="232"/>
      <s:c r="BQ26" s="232"/>
      <s:c r="BR26" s="232"/>
      <s:c r="BS26" s="232"/>
      <s:c r="BT26" s="232"/>
      <s:c r="BU26" s="232"/>
      <s:c r="BV26" s="232"/>
      <s:c r="BW26" s="232"/>
      <s:c r="BX26" s="232"/>
      <s:c r="BY26" s="232"/>
      <s:c r="BZ26" s="232"/>
      <s:c r="CA26" s="232"/>
      <s:c r="CB26" s="232"/>
      <s:c r="CC26" s="232"/>
      <s:c r="CD26" s="232"/>
      <s:c r="CE26" s="232"/>
      <s:c r="CF26" s="232"/>
      <s:c r="CG26" s="232"/>
      <s:c r="CH26" s="232"/>
      <s:c r="CI26" s="232"/>
      <s:c r="CJ26" s="232"/>
      <s:c r="CK26" s="232"/>
      <s:c r="CL26" s="232"/>
      <s:c r="CM26" s="232"/>
      <s:c r="CN26" s="232"/>
      <s:c r="CO26" s="232"/>
      <s:c r="CP26" s="232"/>
      <s:c r="CQ26" s="232"/>
      <s:c r="CR26" s="232"/>
      <s:c r="CS26" s="232"/>
      <s:c r="CT26" s="232"/>
      <s:c r="CU26" s="232"/>
      <s:c r="CV26" s="232"/>
      <s:c r="CW26" s="232"/>
      <s:c r="CX26" s="232"/>
      <s:c r="CY26" s="232"/>
      <s:c r="CZ26" s="232"/>
      <s:c r="DA26" s="232"/>
      <s:c r="DB26" s="232"/>
      <s:c r="DC26" s="232"/>
      <s:c r="DD26" s="232"/>
      <s:c r="DE26" s="232"/>
      <s:c r="DF26" s="232"/>
      <s:c r="DG26" s="232"/>
      <s:c r="DH26" s="232"/>
      <s:c r="DI26" s="232"/>
      <s:c r="DJ26" s="232"/>
      <s:c r="DK26" s="232"/>
      <s:c r="DL26" s="232"/>
      <s:c r="DM26" s="232"/>
      <s:c r="DN26" s="232"/>
      <s:c r="DO26" s="232"/>
      <s:c r="DP26" s="232"/>
      <s:c r="DQ26" s="232"/>
      <s:c r="DR26" s="232"/>
      <s:c r="DS26" s="232"/>
      <s:c r="DT26" s="232"/>
      <s:c r="DU26" s="232"/>
      <s:c r="DV26" s="232"/>
      <s:c r="DW26" s="232"/>
      <s:c r="DX26" s="232"/>
      <s:c r="DY26" s="232"/>
      <s:c r="DZ26" s="232"/>
      <s:c r="EA26" s="232"/>
      <s:c r="EB26" s="232"/>
      <s:c r="EC26" s="232"/>
      <s:c r="ED26" s="232"/>
      <s:c r="EE26" s="232"/>
      <s:c r="EF26" s="232"/>
      <s:c r="EG26" s="232"/>
      <s:c r="EH26" s="232"/>
      <s:c r="EI26" s="232"/>
      <s:c r="EJ26" s="232"/>
      <s:c r="EK26" s="232"/>
      <s:c r="EL26" s="232"/>
      <s:c r="EM26" s="232"/>
      <s:c r="EN26" s="232"/>
      <s:c r="EO26" s="232"/>
      <s:c r="EP26" s="232"/>
      <s:c r="EQ26" s="232"/>
      <s:c r="ER26" s="232"/>
      <s:c r="ES26" s="232"/>
      <s:c r="ET26" s="232"/>
      <s:c r="EU26" s="232"/>
      <s:c r="EV26" s="232"/>
      <s:c r="EW26" s="232"/>
      <s:c r="EX26" s="232"/>
      <s:c r="EY26" s="232"/>
      <s:c r="EZ26" s="232"/>
      <s:c r="FA26" s="232"/>
      <s:c r="FB26" s="232"/>
      <s:c r="FC26" s="232"/>
      <s:c r="FD26" s="232"/>
      <s:c r="FE26" s="232"/>
      <s:c r="FF26" s="232"/>
      <s:c r="FG26" s="232"/>
      <s:c r="FH26" s="232"/>
      <s:c r="FI26" s="232"/>
      <s:c r="FJ26" s="232"/>
      <s:c r="FK26" s="232"/>
      <s:c r="FL26" s="232"/>
      <s:c r="FM26" s="232"/>
      <s:c r="FN26" s="232"/>
      <s:c r="FO26" s="232"/>
      <s:c r="FP26" s="232"/>
      <s:c r="FQ26" s="232"/>
      <s:c r="FR26" s="232"/>
      <s:c r="FS26" s="232"/>
      <s:c r="FT26" s="232"/>
      <s:c r="FU26" s="232"/>
      <s:c r="FV26" s="232"/>
      <s:c r="FW26" s="232"/>
      <s:c r="FX26" s="232"/>
      <s:c r="FY26" s="232"/>
      <s:c r="FZ26" s="232"/>
      <s:c r="GA26" s="232"/>
      <s:c r="GB26" s="232"/>
      <s:c r="GC26" s="232"/>
      <s:c r="GD26" s="232"/>
      <s:c r="GE26" s="232"/>
      <s:c r="GF26" s="232"/>
      <s:c r="GG26" s="232"/>
      <s:c r="GH26" s="232"/>
      <s:c r="GI26" s="232"/>
      <s:c r="GJ26" s="232"/>
      <s:c r="GK26" s="232"/>
      <s:c r="GL26" s="232"/>
      <s:c r="GM26" s="232"/>
      <s:c r="GN26" s="232"/>
      <s:c r="GO26" s="232"/>
      <s:c r="GP26" s="232"/>
      <s:c r="GQ26" s="232"/>
      <s:c r="GR26" s="232"/>
      <s:c r="GS26" s="232"/>
      <s:c r="GT26" s="232"/>
      <s:c r="GU26" s="232"/>
      <s:c r="GV26" s="232"/>
      <s:c r="GW26" s="232"/>
      <s:c r="GX26" s="232"/>
      <s:c r="GY26" s="232"/>
      <s:c r="GZ26" s="232"/>
      <s:c r="HA26" s="232"/>
      <s:c r="HB26" s="232"/>
      <s:c r="HC26" s="232"/>
      <s:c r="HD26" s="232"/>
      <s:c r="HE26" s="232"/>
      <s:c r="HF26" s="232"/>
      <s:c r="HG26" s="232"/>
      <s:c r="HH26" s="232"/>
      <s:c r="HI26" s="232"/>
      <s:c r="HJ26" s="232"/>
      <s:c r="HK26" s="232"/>
      <s:c r="HL26" s="232"/>
      <s:c r="HM26" s="232"/>
      <s:c r="HN26" s="232"/>
      <s:c r="HO26" s="232"/>
      <s:c r="HP26" s="232"/>
      <s:c r="HQ26" s="232"/>
      <s:c r="HR26" s="232"/>
      <s:c r="HS26" s="232"/>
      <s:c r="HT26" s="232"/>
      <s:c r="HU26" s="232"/>
      <s:c r="HV26" s="232"/>
      <s:c r="HW26" s="232"/>
      <s:c r="HX26" s="232"/>
      <s:c r="HY26" s="232"/>
      <s:c r="HZ26" s="232"/>
      <s:c r="IA26" s="232"/>
      <s:c r="IB26" s="232"/>
      <s:c r="IC26" s="232"/>
      <s:c r="ID26" s="232"/>
      <s:c r="IE26" s="232"/>
      <s:c r="IF26" s="232"/>
      <s:c r="IG26" s="232"/>
      <s:c r="IH26" s="232"/>
      <s:c r="II26" s="232"/>
      <s:c r="IJ26" s="232"/>
      <s:c r="IK26" s="232"/>
      <s:c r="IL26" s="232"/>
      <s:c r="IM26" s="232"/>
      <s:c r="IN26" s="232"/>
      <s:c r="IO26" s="232"/>
      <s:c r="IP26" s="232"/>
      <s:c r="IQ26" s="232"/>
      <s:c r="IR26" s="232"/>
      <s:c r="IS26" s="232"/>
      <s:c r="IT26" s="232"/>
      <s:c r="IU26" s="232"/>
    </s:row>
    <s:row r="27" spans="1:255" s="221" customFormat="1">
      <s:c r="A27" s="101">
        <s:v>3</s:v>
      </s:c>
      <s:c r="B27" s="102"/>
      <s:c r="C27" s="103"/>
      <s:c r="D27" s="222"/>
      <s:c r="E27" s="209"/>
      <s:c r="F27" s="223" t="str">
        <s:f>IF(AND(E27&lt;&gt;"",E27&lt;&gt;0),D27/E27,"")</s:f>
        <s:v/>
      </s:c>
      <s:c r="G27" s="224"/>
      <s:c r="H27" s="223" t="str">
        <s:f>IF(AND(G27&lt;&gt;"",G27&lt;&gt;0),D27/G27,"")</s:f>
        <s:v/>
      </s:c>
      <s:c r="I27" s="224"/>
      <s:c r="J27" s="222" t="str">
        <s:f>IF(AND(G27&lt;&gt;"",G27&lt;&gt;0),E27/G27,"")</s:f>
        <s:v/>
      </s:c>
      <s:c r="K27" s="223"/>
      <s:c r="L27" s="223"/>
      <s:c r="M27" s="223"/>
      <s:c r="N27" s="225" t="str">
        <s:f>IF(AND(I27&lt;&gt;"",I27&lt;&gt;0),G27/I27,"")</s:f>
        <s:v/>
      </s:c>
      <s:c r="O27" s="235" t="e">
        <s:f>D27/P27</s:f>
        <s:v>#DIV/0!</s:v>
      </s:c>
      <s:c r="P27" s="227" t="e">
        <s:f>$I$8*V27*W27/SUMPRODUCT($W$25:$W$55,$V$25:$V$55)</s:f>
        <s:v>#DIV/0!</s:v>
      </s:c>
      <s:c r="Q27" s="228" t="e">
        <s:f>$I$9*V27*W27/SUMPRODUCT($W$25:$W$55,$V$25:$V$55)</s:f>
        <s:v>#DIV/0!</s:v>
      </s:c>
      <s:c r="R27" s="228" t="e">
        <s:f>IF($I$12="","",Q27/$I$12)</s:f>
        <s:v>#DIV/0!</s:v>
      </s:c>
      <s:c r="S27" s="227" t="str">
        <s:f>IF(W27&lt;&gt;"",IF(D27&lt;&gt;"",D27,($I$8-SUM($S$25:S26))*V27*W27/SUMPRODUCT($W27:$W$55,$V27:$V$55)),"")</s:f>
        <s:v/>
      </s:c>
      <s:c r="T27" s="228" t="str">
        <s:f>IF(W27&lt;&gt;"",IF(E27&lt;&gt;"",E27,($I$9-SUM($T$25:T26))*V27*W27/SUMPRODUCT($W27:$W$55,$V27:$V$55)),"")</s:f>
        <s:v/>
      </s:c>
      <s:c r="U27" s="228" t="str">
        <s:f>IF(W27&lt;&gt;"",IF($I$12&lt;&gt;"",IF(G27&lt;&gt;"",G27,($I$9/$I$12-SUM($U$25:U26))*V27*W27/SUMPRODUCT($W27:$W$55,$V27:$V$55)),""),"")</s:f>
        <s:v/>
      </s:c>
      <s:c r="V27" s="229"/>
      <s:c r="W27" s="229"/>
      <s:c r="X27" s="230"/>
      <s:c r="Y27" s="230"/>
      <s:c r="Z27" s="232"/>
      <s:c r="AA27" s="232"/>
      <s:c r="AB27" s="232"/>
      <s:c r="AC27" s="232"/>
      <s:c r="AD27" s="232"/>
      <s:c r="AE27" s="232"/>
      <s:c r="AF27" s="232"/>
      <s:c r="AG27" s="232"/>
      <s:c r="AH27" s="232"/>
      <s:c r="AI27" s="232"/>
      <s:c r="AJ27" s="232"/>
      <s:c r="AK27" s="232"/>
      <s:c r="AL27" s="232"/>
      <s:c r="AM27" s="232"/>
      <s:c r="AN27" s="232"/>
      <s:c r="AO27" s="232"/>
      <s:c r="AP27" s="232"/>
      <s:c r="AQ27" s="232"/>
      <s:c r="AR27" s="232"/>
      <s:c r="AS27" s="232"/>
      <s:c r="AT27" s="232"/>
      <s:c r="AU27" s="232"/>
      <s:c r="AV27" s="232"/>
      <s:c r="AW27" s="232"/>
      <s:c r="AX27" s="232"/>
      <s:c r="AY27" s="232"/>
      <s:c r="AZ27" s="232"/>
      <s:c r="BA27" s="232"/>
      <s:c r="BB27" s="232"/>
      <s:c r="BC27" s="232"/>
      <s:c r="BD27" s="232"/>
      <s:c r="BE27" s="232"/>
      <s:c r="BF27" s="232"/>
      <s:c r="BG27" s="232"/>
      <s:c r="BH27" s="232"/>
      <s:c r="BI27" s="232"/>
      <s:c r="BJ27" s="232"/>
      <s:c r="BK27" s="232"/>
      <s:c r="BL27" s="232"/>
      <s:c r="BM27" s="232"/>
      <s:c r="BN27" s="232"/>
      <s:c r="BO27" s="232"/>
      <s:c r="BP27" s="232"/>
      <s:c r="BQ27" s="232"/>
      <s:c r="BR27" s="232"/>
      <s:c r="BS27" s="232"/>
      <s:c r="BT27" s="232"/>
      <s:c r="BU27" s="232"/>
      <s:c r="BV27" s="232"/>
      <s:c r="BW27" s="232"/>
      <s:c r="BX27" s="232"/>
      <s:c r="BY27" s="232"/>
      <s:c r="BZ27" s="232"/>
      <s:c r="CA27" s="232"/>
      <s:c r="CB27" s="232"/>
      <s:c r="CC27" s="232"/>
      <s:c r="CD27" s="232"/>
      <s:c r="CE27" s="232"/>
      <s:c r="CF27" s="232"/>
      <s:c r="CG27" s="232"/>
      <s:c r="CH27" s="232"/>
      <s:c r="CI27" s="232"/>
      <s:c r="CJ27" s="232"/>
      <s:c r="CK27" s="232"/>
      <s:c r="CL27" s="232"/>
      <s:c r="CM27" s="232"/>
      <s:c r="CN27" s="232"/>
      <s:c r="CO27" s="232"/>
      <s:c r="CP27" s="232"/>
      <s:c r="CQ27" s="232"/>
      <s:c r="CR27" s="232"/>
      <s:c r="CS27" s="232"/>
      <s:c r="CT27" s="232"/>
      <s:c r="CU27" s="232"/>
      <s:c r="CV27" s="232"/>
      <s:c r="CW27" s="232"/>
      <s:c r="CX27" s="232"/>
      <s:c r="CY27" s="232"/>
      <s:c r="CZ27" s="232"/>
      <s:c r="DA27" s="232"/>
      <s:c r="DB27" s="232"/>
      <s:c r="DC27" s="232"/>
      <s:c r="DD27" s="232"/>
      <s:c r="DE27" s="232"/>
      <s:c r="DF27" s="232"/>
      <s:c r="DG27" s="232"/>
      <s:c r="DH27" s="232"/>
      <s:c r="DI27" s="232"/>
      <s:c r="DJ27" s="232"/>
      <s:c r="DK27" s="232"/>
      <s:c r="DL27" s="232"/>
      <s:c r="DM27" s="232"/>
      <s:c r="DN27" s="232"/>
      <s:c r="DO27" s="232"/>
      <s:c r="DP27" s="232"/>
      <s:c r="DQ27" s="232"/>
      <s:c r="DR27" s="232"/>
      <s:c r="DS27" s="232"/>
      <s:c r="DT27" s="232"/>
      <s:c r="DU27" s="232"/>
      <s:c r="DV27" s="232"/>
      <s:c r="DW27" s="232"/>
      <s:c r="DX27" s="232"/>
      <s:c r="DY27" s="232"/>
      <s:c r="DZ27" s="232"/>
      <s:c r="EA27" s="232"/>
      <s:c r="EB27" s="232"/>
      <s:c r="EC27" s="232"/>
      <s:c r="ED27" s="232"/>
      <s:c r="EE27" s="232"/>
      <s:c r="EF27" s="232"/>
      <s:c r="EG27" s="232"/>
      <s:c r="EH27" s="232"/>
      <s:c r="EI27" s="232"/>
      <s:c r="EJ27" s="232"/>
      <s:c r="EK27" s="232"/>
      <s:c r="EL27" s="232"/>
      <s:c r="EM27" s="232"/>
      <s:c r="EN27" s="232"/>
      <s:c r="EO27" s="232"/>
      <s:c r="EP27" s="232"/>
      <s:c r="EQ27" s="232"/>
      <s:c r="ER27" s="232"/>
      <s:c r="ES27" s="232"/>
      <s:c r="ET27" s="232"/>
      <s:c r="EU27" s="232"/>
      <s:c r="EV27" s="232"/>
      <s:c r="EW27" s="232"/>
      <s:c r="EX27" s="232"/>
      <s:c r="EY27" s="232"/>
      <s:c r="EZ27" s="232"/>
      <s:c r="FA27" s="232"/>
      <s:c r="FB27" s="232"/>
      <s:c r="FC27" s="232"/>
      <s:c r="FD27" s="232"/>
      <s:c r="FE27" s="232"/>
      <s:c r="FF27" s="232"/>
      <s:c r="FG27" s="232"/>
      <s:c r="FH27" s="232"/>
      <s:c r="FI27" s="232"/>
      <s:c r="FJ27" s="232"/>
      <s:c r="FK27" s="232"/>
      <s:c r="FL27" s="232"/>
      <s:c r="FM27" s="232"/>
      <s:c r="FN27" s="232"/>
      <s:c r="FO27" s="232"/>
      <s:c r="FP27" s="232"/>
      <s:c r="FQ27" s="232"/>
      <s:c r="FR27" s="232"/>
      <s:c r="FS27" s="232"/>
      <s:c r="FT27" s="232"/>
      <s:c r="FU27" s="232"/>
      <s:c r="FV27" s="232"/>
      <s:c r="FW27" s="232"/>
      <s:c r="FX27" s="232"/>
      <s:c r="FY27" s="232"/>
      <s:c r="FZ27" s="232"/>
      <s:c r="GA27" s="232"/>
      <s:c r="GB27" s="232"/>
      <s:c r="GC27" s="232"/>
      <s:c r="GD27" s="232"/>
      <s:c r="GE27" s="232"/>
      <s:c r="GF27" s="232"/>
      <s:c r="GG27" s="232"/>
      <s:c r="GH27" s="232"/>
      <s:c r="GI27" s="232"/>
      <s:c r="GJ27" s="232"/>
      <s:c r="GK27" s="232"/>
      <s:c r="GL27" s="232"/>
      <s:c r="GM27" s="232"/>
      <s:c r="GN27" s="232"/>
      <s:c r="GO27" s="232"/>
      <s:c r="GP27" s="232"/>
      <s:c r="GQ27" s="232"/>
      <s:c r="GR27" s="232"/>
      <s:c r="GS27" s="232"/>
      <s:c r="GT27" s="232"/>
      <s:c r="GU27" s="232"/>
      <s:c r="GV27" s="232"/>
      <s:c r="GW27" s="232"/>
      <s:c r="GX27" s="232"/>
      <s:c r="GY27" s="232"/>
      <s:c r="GZ27" s="232"/>
      <s:c r="HA27" s="232"/>
      <s:c r="HB27" s="232"/>
      <s:c r="HC27" s="232"/>
      <s:c r="HD27" s="232"/>
      <s:c r="HE27" s="232"/>
      <s:c r="HF27" s="232"/>
      <s:c r="HG27" s="232"/>
      <s:c r="HH27" s="232"/>
      <s:c r="HI27" s="232"/>
      <s:c r="HJ27" s="232"/>
      <s:c r="HK27" s="232"/>
      <s:c r="HL27" s="232"/>
      <s:c r="HM27" s="232"/>
      <s:c r="HN27" s="232"/>
      <s:c r="HO27" s="232"/>
      <s:c r="HP27" s="232"/>
      <s:c r="HQ27" s="232"/>
      <s:c r="HR27" s="232"/>
      <s:c r="HS27" s="232"/>
      <s:c r="HT27" s="232"/>
      <s:c r="HU27" s="232"/>
      <s:c r="HV27" s="232"/>
      <s:c r="HW27" s="232"/>
      <s:c r="HX27" s="232"/>
      <s:c r="HY27" s="232"/>
      <s:c r="HZ27" s="232"/>
      <s:c r="IA27" s="232"/>
      <s:c r="IB27" s="232"/>
      <s:c r="IC27" s="232"/>
      <s:c r="ID27" s="232"/>
      <s:c r="IE27" s="232"/>
      <s:c r="IF27" s="232"/>
      <s:c r="IG27" s="232"/>
      <s:c r="IH27" s="232"/>
      <s:c r="II27" s="232"/>
      <s:c r="IJ27" s="232"/>
      <s:c r="IK27" s="232"/>
      <s:c r="IL27" s="232"/>
      <s:c r="IM27" s="232"/>
      <s:c r="IN27" s="232"/>
      <s:c r="IO27" s="232"/>
      <s:c r="IP27" s="232"/>
      <s:c r="IQ27" s="232"/>
      <s:c r="IR27" s="232"/>
      <s:c r="IS27" s="232"/>
      <s:c r="IT27" s="232"/>
      <s:c r="IU27" s="232"/>
    </s:row>
    <s:row r="28" spans="1:255" s="221" customFormat="1">
      <s:c r="A28" s="101">
        <s:v>4</s:v>
      </s:c>
      <s:c r="B28" s="102"/>
      <s:c r="C28" s="103"/>
      <s:c r="D28" s="233"/>
      <s:c r="E28" s="223"/>
      <s:c r="F28" s="224" t="str">
        <s:f>IF(AND(E28&lt;&gt;"",E28&lt;&gt;0),D28/E28,"")</s:f>
        <s:v/>
      </s:c>
      <s:c r="G28" s="223"/>
      <s:c r="H28" s="224" t="str">
        <s:f>IF(AND(G28&lt;&gt;"",G28&lt;&gt;0),D28/G28,"")</s:f>
        <s:v/>
      </s:c>
      <s:c r="I28" s="223"/>
      <s:c r="J28" s="222" t="str">
        <s:f>IF(AND(G28&lt;&gt;"",G28&lt;&gt;0),E28/G28,"")</s:f>
        <s:v/>
      </s:c>
      <s:c r="K28" s="223"/>
      <s:c r="L28" s="223"/>
      <s:c r="M28" s="223"/>
      <s:c r="N28" s="225" t="str">
        <s:f>IF(AND(I28&lt;&gt;"",I28&lt;&gt;0),G28/I28,"")</s:f>
        <s:v/>
      </s:c>
      <s:c r="O28" s="235" t="e">
        <s:f>D28/P28</s:f>
        <s:v>#DIV/0!</s:v>
      </s:c>
      <s:c r="P28" s="227" t="e">
        <s:f>$I$8*V28*W28/SUMPRODUCT($W$25:$W$55,$V$25:$V$55)</s:f>
        <s:v>#DIV/0!</s:v>
      </s:c>
      <s:c r="Q28" s="228" t="e">
        <s:f>$I$9*V28*W28/SUMPRODUCT($W$25:$W$55,$V$25:$V$55)</s:f>
        <s:v>#DIV/0!</s:v>
      </s:c>
      <s:c r="R28" s="228" t="e">
        <s:f>IF($I$12="","",Q28/$I$12)</s:f>
        <s:v>#DIV/0!</s:v>
      </s:c>
      <s:c r="S28" s="227" t="str">
        <s:f>IF(W28&lt;&gt;"",IF(D28&lt;&gt;"",D28,($I$8-SUM($S$25:S27))*V28*W28/SUMPRODUCT($W28:$W$55,$V28:$V$55)),"")</s:f>
        <s:v/>
      </s:c>
      <s:c r="T28" s="228" t="str">
        <s:f>IF(W28&lt;&gt;"",IF(E28&lt;&gt;"",E28,($I$9-SUM($T$25:T27))*V28*W28/SUMPRODUCT($W28:$W$55,$V28:$V$55)),"")</s:f>
        <s:v/>
      </s:c>
      <s:c r="U28" s="228" t="str">
        <s:f>IF(W28&lt;&gt;"",IF($I$12&lt;&gt;"",IF(G28&lt;&gt;"",G28,($I$9/$I$12-SUM($U$25:U27))*V28*W28/SUMPRODUCT($W28:$W$55,$V28:$V$55)),""),"")</s:f>
        <s:v/>
      </s:c>
      <s:c r="V28" s="229"/>
      <s:c r="W28" s="229"/>
      <s:c r="X28" s="230"/>
      <s:c r="Y28" s="230"/>
      <s:c r="Z28" s="232"/>
      <s:c r="AA28" s="232"/>
      <s:c r="AB28" s="232"/>
      <s:c r="AC28" s="232"/>
      <s:c r="AD28" s="232"/>
    </s:row>
    <s:row r="29" spans="1:255" s="221" customFormat="1">
      <s:c r="A29" s="101">
        <s:v>5</s:v>
      </s:c>
      <s:c r="B29" s="102"/>
      <s:c r="C29" s="103"/>
      <s:c r="D29" s="222"/>
      <s:c r="E29" s="224"/>
      <s:c r="F29" s="223" t="str">
        <s:f>IF(AND(E29&lt;&gt;"",E29&lt;&gt;0),D29/E29,"")</s:f>
        <s:v/>
      </s:c>
      <s:c r="G29" s="224"/>
      <s:c r="H29" s="223" t="str">
        <s:f>IF(AND(G29&lt;&gt;"",G29&lt;&gt;0),D29/G29,"")</s:f>
        <s:v/>
      </s:c>
      <s:c r="I29" s="224"/>
      <s:c r="J29" s="222" t="str">
        <s:f>IF(AND(G29&lt;&gt;"",G29&lt;&gt;0),E29/G29,"")</s:f>
        <s:v/>
      </s:c>
      <s:c r="K29" s="223"/>
      <s:c r="L29" s="223"/>
      <s:c r="M29" s="223"/>
      <s:c r="N29" s="225" t="str">
        <s:f>IF(AND(I29&lt;&gt;"",I29&lt;&gt;0),G29/I29,"")</s:f>
        <s:v/>
      </s:c>
      <s:c r="O29" s="235" t="e">
        <s:f>D29/P29</s:f>
        <s:v>#DIV/0!</s:v>
      </s:c>
      <s:c r="P29" s="227" t="e">
        <s:f>$I$8*V29*W29/SUMPRODUCT($W$25:$W$55,$V$25:$V$55)</s:f>
        <s:v>#DIV/0!</s:v>
      </s:c>
      <s:c r="Q29" s="228" t="e">
        <s:f>$I$9*V29*W29/SUMPRODUCT($W$25:$W$55,$V$25:$V$55)</s:f>
        <s:v>#DIV/0!</s:v>
      </s:c>
      <s:c r="R29" s="228" t="e">
        <s:f>IF($I$12="","",Q29/$I$12)</s:f>
        <s:v>#DIV/0!</s:v>
      </s:c>
      <s:c r="S29" s="227" t="str">
        <s:f>IF(W29&lt;&gt;"",IF(D29&lt;&gt;"",D29,($I$8-SUM($S$25:S28))*V29*W29/SUMPRODUCT($W29:$W$55,$V29:$V$55)),"")</s:f>
        <s:v/>
      </s:c>
      <s:c r="T29" s="228" t="str">
        <s:f>IF(W29&lt;&gt;"",IF(E29&lt;&gt;"",E29,($I$9-SUM($T$25:T28))*V29*W29/SUMPRODUCT($W29:$W$55,$V29:$V$55)),"")</s:f>
        <s:v/>
      </s:c>
      <s:c r="U29" s="228" t="str">
        <s:f>IF(W29&lt;&gt;"",IF($I$12&lt;&gt;"",IF(G29&lt;&gt;"",G29,($I$9/$I$12-SUM($U$25:U28))*V29*W29/SUMPRODUCT($W29:$W$55,$V29:$V$55)),""),"")</s:f>
        <s:v/>
      </s:c>
      <s:c r="V29" s="229"/>
      <s:c r="W29" s="229"/>
      <s:c r="X29" s="230"/>
      <s:c r="Y29" s="230"/>
      <s:c r="Z29" s="232"/>
      <s:c r="AA29" s="232"/>
      <s:c r="AB29" s="232"/>
      <s:c r="AC29" s="232"/>
      <s:c r="AD29" s="232"/>
    </s:row>
    <s:row r="30" spans="1:255" s="221" customFormat="1">
      <s:c r="A30" s="101">
        <s:v>6</s:v>
      </s:c>
      <s:c r="B30" s="102"/>
      <s:c r="C30" s="103"/>
      <s:c r="D30" s="233"/>
      <s:c r="E30" s="223"/>
      <s:c r="F30" s="224" t="str">
        <s:f>IF(AND(E30&lt;&gt;"",E30&lt;&gt;0),D30/E30,"")</s:f>
        <s:v/>
      </s:c>
      <s:c r="G30" s="223"/>
      <s:c r="H30" s="224" t="str">
        <s:f>IF(AND(G30&lt;&gt;"",G30&lt;&gt;0),D30/G30,"")</s:f>
        <s:v/>
      </s:c>
      <s:c r="I30" s="223"/>
      <s:c r="J30" s="233" t="str">
        <s:f>IF(AND(G30&lt;&gt;"",G30&lt;&gt;0),E30/G30,"")</s:f>
        <s:v/>
      </s:c>
      <s:c r="K30" s="223"/>
      <s:c r="L30" s="223"/>
      <s:c r="M30" s="223"/>
      <s:c r="N30" s="225" t="str">
        <s:f>IF(AND(I30&lt;&gt;"",I30&lt;&gt;0),G30/I30,"")</s:f>
        <s:v/>
      </s:c>
      <s:c r="O30" s="235" t="e">
        <s:f>D30/P30</s:f>
        <s:v>#DIV/0!</s:v>
      </s:c>
      <s:c r="P30" s="227" t="e">
        <s:f>$I$8*V30*W30/SUMPRODUCT($W$25:$W$55,$V$25:$V$55)</s:f>
        <s:v>#DIV/0!</s:v>
      </s:c>
      <s:c r="Q30" s="228" t="e">
        <s:f>$I$9*V30*W30/SUMPRODUCT($W$25:$W$55,$V$25:$V$55)</s:f>
        <s:v>#DIV/0!</s:v>
      </s:c>
      <s:c r="R30" s="228" t="e">
        <s:f>IF($I$12="","",Q30/$I$12)</s:f>
        <s:v>#DIV/0!</s:v>
      </s:c>
      <s:c r="S30" s="227" t="str">
        <s:f>IF(W30&lt;&gt;"",IF(D30&lt;&gt;"",D30,($I$8-SUM($S$25:S29))*V30*W30/SUMPRODUCT($W30:$W$55,$V30:$V$55)),"")</s:f>
        <s:v/>
      </s:c>
      <s:c r="T30" s="228" t="str">
        <s:f>IF(W30&lt;&gt;"",IF(E29&lt;&gt;"",E29,($I$9-SUM($T$25:T29))*V30*W30/SUMPRODUCT($W30:$W$55,$V30:$V$55)),"")</s:f>
        <s:v/>
      </s:c>
      <s:c r="U30" s="228" t="str">
        <s:f>IF(W30&lt;&gt;"",IF($I$12&lt;&gt;"",IF(G30&lt;&gt;"",G30,($I$9/$I$12-SUM($U$25:U29))*V30*W30/SUMPRODUCT($W30:$W$55,$V30:$V$55)),""),"")</s:f>
        <s:v/>
      </s:c>
      <s:c r="V30" s="229"/>
      <s:c r="W30" s="229"/>
      <s:c r="X30" s="230"/>
      <s:c r="Y30" s="230"/>
      <s:c r="Z30" s="232"/>
      <s:c r="AA30" s="232"/>
      <s:c r="AB30" s="232"/>
      <s:c r="AC30" s="232"/>
      <s:c r="AD30" s="232"/>
    </s:row>
    <s:row r="31" spans="1:255" s="221" customFormat="1">
      <s:c r="A31" s="101">
        <s:v>7</s:v>
      </s:c>
      <s:c r="B31" s="102"/>
      <s:c r="C31" s="103"/>
      <s:c r="D31" s="222"/>
      <s:c r="E31" s="224"/>
      <s:c r="F31" s="223" t="str">
        <s:f>IF(AND(E31&lt;&gt;"",E31&lt;&gt;0),D31/E31,"")</s:f>
        <s:v/>
      </s:c>
      <s:c r="G31" s="224"/>
      <s:c r="H31" s="223" t="str">
        <s:f>IF(AND(G31&lt;&gt;"",G31&lt;&gt;0),D31/G31,"")</s:f>
        <s:v/>
      </s:c>
      <s:c r="I31" s="224"/>
      <s:c r="J31" s="222" t="str">
        <s:f>IF(AND(G31&lt;&gt;"",G31&lt;&gt;0),E31/G31,"")</s:f>
        <s:v/>
      </s:c>
      <s:c r="K31" s="223"/>
      <s:c r="L31" s="223"/>
      <s:c r="M31" s="223"/>
      <s:c r="N31" s="225" t="str">
        <s:f>IF(AND(I31&lt;&gt;"",I31&lt;&gt;0),G31/I31,"")</s:f>
        <s:v/>
      </s:c>
      <s:c r="O31" s="235" t="e">
        <s:f>D31/P31</s:f>
        <s:v>#DIV/0!</s:v>
      </s:c>
      <s:c r="P31" s="227" t="e">
        <s:f>$I$8*V31*W31/SUMPRODUCT($W$25:$W$55,$V$25:$V$55)</s:f>
        <s:v>#DIV/0!</s:v>
      </s:c>
      <s:c r="Q31" s="228" t="e">
        <s:f>$I$9*V31*W31/SUMPRODUCT($W$25:$W$55,$V$25:$V$55)</s:f>
        <s:v>#DIV/0!</s:v>
      </s:c>
      <s:c r="R31" s="228" t="e">
        <s:f>IF($I$12="","",Q31/$I$12)</s:f>
        <s:v>#DIV/0!</s:v>
      </s:c>
      <s:c r="S31" s="227" t="str">
        <s:f>IF(W31&lt;&gt;"",IF(D31&lt;&gt;"",D31,($I$8-SUM($S$25:S30))*V31*W31/SUMPRODUCT($W31:$W$55,$V31:$V$55)),"")</s:f>
        <s:v/>
      </s:c>
      <s:c r="T31" s="228" t="str">
        <s:f>IF(W31&lt;&gt;"",IF(E31&lt;&gt;"",E31,($I$9-SUM($T$25:T30))*V31*W31/SUMPRODUCT($W31:$W$55,$V31:$V$55)),"")</s:f>
        <s:v/>
      </s:c>
      <s:c r="U31" s="228" t="str">
        <s:f>IF(W31&lt;&gt;"",IF($I$12&lt;&gt;"",IF(G31&lt;&gt;"",G31,($I$9/$I$12-SUM($U$25:U30))*V31*W31/SUMPRODUCT($W31:$W$55,$V31:$V$55)),""),"")</s:f>
        <s:v/>
      </s:c>
      <s:c r="V31" s="229"/>
      <s:c r="W31" s="229"/>
      <s:c r="X31" s="230"/>
      <s:c r="Y31" s="230"/>
      <s:c r="Z31" s="232"/>
      <s:c r="AA31" s="232"/>
      <s:c r="AB31" s="232"/>
      <s:c r="AC31" s="232"/>
      <s:c r="AD31" s="232"/>
    </s:row>
    <s:row r="32" spans="1:255" s="221" customFormat="1">
      <s:c r="A32" s="101">
        <s:v>8</s:v>
      </s:c>
      <s:c r="B32" s="102"/>
      <s:c r="C32" s="103"/>
      <s:c r="D32" s="233"/>
      <s:c r="E32" s="223"/>
      <s:c r="F32" s="224" t="str">
        <s:f>IF(AND(E32&lt;&gt;"",E32&lt;&gt;0),D32/E32,"")</s:f>
        <s:v/>
      </s:c>
      <s:c r="G32" s="223"/>
      <s:c r="H32" s="224" t="str">
        <s:f>IF(AND(G32&lt;&gt;"",G32&lt;&gt;0),D32/G32,"")</s:f>
        <s:v/>
      </s:c>
      <s:c r="I32" s="223"/>
      <s:c r="J32" s="233" t="str">
        <s:f>IF(AND(G32&lt;&gt;"",G32&lt;&gt;0),E32/G32,"")</s:f>
        <s:v/>
      </s:c>
      <s:c r="K32" s="223"/>
      <s:c r="L32" s="223"/>
      <s:c r="M32" s="223"/>
      <s:c r="N32" s="225" t="str">
        <s:f>IF(AND(I32&lt;&gt;"",I32&lt;&gt;0),G32/I32,"")</s:f>
        <s:v/>
      </s:c>
      <s:c r="O32" s="235" t="e">
        <s:f>D32/P32</s:f>
        <s:v>#DIV/0!</s:v>
      </s:c>
      <s:c r="P32" s="227" t="e">
        <s:f>$I$8*V32*W32/SUMPRODUCT($W$25:$W$55,$V$25:$V$55)</s:f>
        <s:v>#DIV/0!</s:v>
      </s:c>
      <s:c r="Q32" s="228" t="e">
        <s:f>$I$9*V32*W32/SUMPRODUCT($W$25:$W$55,$V$25:$V$55)</s:f>
        <s:v>#DIV/0!</s:v>
      </s:c>
      <s:c r="R32" s="228" t="e">
        <s:f>IF($I$12="","",Q32/$I$12)</s:f>
        <s:v>#DIV/0!</s:v>
      </s:c>
      <s:c r="S32" s="227" t="str">
        <s:f>IF(W32&lt;&gt;"",IF(D32&lt;&gt;"",D32,($I$8-SUM($S$25:S31))*V32*W32/SUMPRODUCT($W32:$W$55,$V32:$V$55)),"")</s:f>
        <s:v/>
      </s:c>
      <s:c r="T32" s="228" t="str">
        <s:f>IF(W32&lt;&gt;"",IF(E32&lt;&gt;"",E32,($I$9-SUM($T$25:T31))*V32*W32/SUMPRODUCT($W32:$W$55,$V32:$V$55)),"")</s:f>
        <s:v/>
      </s:c>
      <s:c r="U32" s="228" t="str">
        <s:f>IF(W32&lt;&gt;"",IF($I$12&lt;&gt;"",IF(G32&lt;&gt;"",G32,($I$9/$I$12-SUM($U$25:U31))*V32*W32/SUMPRODUCT($W32:$W$55,$V32:$V$55)),""),"")</s:f>
        <s:v/>
      </s:c>
      <s:c r="V32" s="229"/>
      <s:c r="W32" s="229"/>
      <s:c r="X32" s="230"/>
      <s:c r="Y32" s="230"/>
      <s:c r="Z32" s="232"/>
      <s:c r="AA32" s="232"/>
      <s:c r="AB32" s="232"/>
      <s:c r="AC32" s="232"/>
      <s:c r="AD32" s="232"/>
    </s:row>
    <s:row r="33" spans="1:30" s="221" customFormat="1">
      <s:c r="A33" s="101">
        <s:v>9</s:v>
      </s:c>
      <s:c r="B33" s="102"/>
      <s:c r="C33" s="103"/>
      <s:c r="D33" s="222"/>
      <s:c r="E33" s="223"/>
      <s:c r="F33" s="223" t="str">
        <s:f>IF(AND(E33&lt;&gt;"",E33&lt;&gt;0),D33/E33,"")</s:f>
        <s:v/>
      </s:c>
      <s:c r="G33" s="223"/>
      <s:c r="H33" s="223" t="str">
        <s:f>IF(AND(G33&lt;&gt;"",G33&lt;&gt;0),D33/G33,"")</s:f>
        <s:v/>
      </s:c>
      <s:c r="I33" s="223"/>
      <s:c r="J33" s="222" t="str">
        <s:f>IF(AND(G33&lt;&gt;"",G33&lt;&gt;0),E33/G33,"")</s:f>
        <s:v/>
      </s:c>
      <s:c r="K33" s="223"/>
      <s:c r="L33" s="223"/>
      <s:c r="M33" s="223"/>
      <s:c r="N33" s="225" t="str">
        <s:f>IF(AND(I33&lt;&gt;"",I33&lt;&gt;0),G33/I33,"")</s:f>
        <s:v/>
      </s:c>
      <s:c r="O33" s="235" t="e">
        <s:f>D33/P33</s:f>
        <s:v>#DIV/0!</s:v>
      </s:c>
      <s:c r="P33" s="227" t="e">
        <s:f>$I$8*V33*W33/SUMPRODUCT($W$25:$W$55,$V$25:$V$55)</s:f>
        <s:v>#DIV/0!</s:v>
      </s:c>
      <s:c r="Q33" s="228" t="e">
        <s:f>$I$9*V33*W33/SUMPRODUCT($W$25:$W$55,$V$25:$V$55)</s:f>
        <s:v>#DIV/0!</s:v>
      </s:c>
      <s:c r="R33" s="228" t="e">
        <s:f>IF($I$12="","",Q33/$I$12)</s:f>
        <s:v>#DIV/0!</s:v>
      </s:c>
      <s:c r="S33" s="227" t="str">
        <s:f>IF(W33&lt;&gt;"",IF(D33&lt;&gt;"",D33,($I$8-SUM($S$25:S32))*V33*W33/SUMPRODUCT($W33:$W$55,$V33:$V$55)),"")</s:f>
        <s:v/>
      </s:c>
      <s:c r="T33" s="228" t="str">
        <s:f>IF(W33&lt;&gt;"",IF(E33&lt;&gt;"",E33,($I$9-SUM($T$25:T32))*V33*W33/SUMPRODUCT($W33:$W$55,$V33:$V$55)),"")</s:f>
        <s:v/>
      </s:c>
      <s:c r="U33" s="228" t="str">
        <s:f>IF(W33&lt;&gt;"",IF($I$12&lt;&gt;"",IF(G33&lt;&gt;"",G33,($I$9/$I$12-SUM($U$25:U32))*V33*W33/SUMPRODUCT($W33:$W$55,$V33:$V$55)),""),"")</s:f>
        <s:v/>
      </s:c>
      <s:c r="V33" s="229"/>
      <s:c r="W33" s="229"/>
      <s:c r="X33" s="230"/>
      <s:c r="Y33" s="230"/>
      <s:c r="Z33" s="232"/>
      <s:c r="AA33" s="232"/>
      <s:c r="AB33" s="232"/>
      <s:c r="AC33" s="232"/>
      <s:c r="AD33" s="232"/>
    </s:row>
    <s:row r="34" spans="1:30" s="221" customFormat="1">
      <s:c r="A34" s="101">
        <s:v>10</s:v>
      </s:c>
      <s:c r="B34" s="102"/>
      <s:c r="C34" s="209"/>
      <s:c r="D34" s="222"/>
      <s:c r="E34" s="224"/>
      <s:c r="F34" s="223" t="str">
        <s:f>IF(AND(E34&lt;&gt;"",E34&lt;&gt;0),D34/E34,"")</s:f>
        <s:v/>
      </s:c>
      <s:c r="G34" s="224"/>
      <s:c r="H34" s="223" t="str">
        <s:f>IF(AND(G34&lt;&gt;"",G34&lt;&gt;0),D34/G34,"")</s:f>
        <s:v/>
      </s:c>
      <s:c r="I34" s="224"/>
      <s:c r="J34" s="222" t="str">
        <s:f>IF(AND(G34&lt;&gt;"",G34&lt;&gt;0),E34/G34,"")</s:f>
        <s:v/>
      </s:c>
      <s:c r="K34" s="223"/>
      <s:c r="L34" s="223"/>
      <s:c r="M34" s="223"/>
      <s:c r="N34" s="225" t="str">
        <s:f>IF(AND(I34&lt;&gt;"",I34&lt;&gt;0),G34/I34,"")</s:f>
        <s:v/>
      </s:c>
      <s:c r="O34" s="235" t="e">
        <s:f>D34/P34</s:f>
        <s:v>#DIV/0!</s:v>
      </s:c>
      <s:c r="P34" s="227" t="e">
        <s:f>$I$8*V34*W34/SUMPRODUCT($W$25:$W$55,$V$25:$V$55)</s:f>
        <s:v>#DIV/0!</s:v>
      </s:c>
      <s:c r="Q34" s="228" t="e">
        <s:f>$I$9*V34*W34/SUMPRODUCT($W$25:$W$55,$V$25:$V$55)</s:f>
        <s:v>#DIV/0!</s:v>
      </s:c>
      <s:c r="R34" s="228" t="e">
        <s:f>IF($I$12="","",Q34/$I$12)</s:f>
        <s:v>#DIV/0!</s:v>
      </s:c>
      <s:c r="S34" s="227" t="str">
        <s:f>IF(W34&lt;&gt;"",IF(D34&lt;&gt;"",D34,($I$8-SUM($S$25:S33))*V34*W34/SUMPRODUCT($W34:$W$55,$V34:$V$55)),"")</s:f>
        <s:v/>
      </s:c>
      <s:c r="T34" s="228" t="str">
        <s:f>IF(W34&lt;&gt;"",IF(E34&lt;&gt;"",E34,($I$9-SUM($T$25:T33))*V34*W34/SUMPRODUCT($W34:$W$55,$V34:$V$55)),"")</s:f>
        <s:v/>
      </s:c>
      <s:c r="U34" s="228" t="str">
        <s:f>IF(W34&lt;&gt;"",IF($I$12&lt;&gt;"",IF(G34&lt;&gt;"",G34,($I$9/$I$12-SUM($U$25:U33))*V34*W34/SUMPRODUCT($W34:$W$55,$V34:$V$55)),""),"")</s:f>
        <s:v/>
      </s:c>
      <s:c r="V34" s="229"/>
      <s:c r="W34" s="229"/>
      <s:c r="X34" s="230"/>
      <s:c r="Y34" s="230"/>
      <s:c r="Z34" s="231"/>
      <s:c r="AA34" s="232"/>
      <s:c r="AB34" s="232"/>
      <s:c r="AC34" s="232"/>
      <s:c r="AD34" s="232"/>
    </s:row>
    <s:row r="35" spans="1:30" s="221" customFormat="1">
      <s:c r="A35" s="101">
        <s:v>11</s:v>
      </s:c>
      <s:c r="B35" s="102"/>
      <s:c r="C35" s="103"/>
      <s:c r="D35" s="233"/>
      <s:c r="E35" s="223"/>
      <s:c r="F35" s="224" t="str">
        <s:f>IF(AND(E35&lt;&gt;"",E35&lt;&gt;0),D35/E35,"")</s:f>
        <s:v/>
      </s:c>
      <s:c r="G35" s="223"/>
      <s:c r="H35" s="224" t="str">
        <s:f>IF(AND(G35&lt;&gt;"",G35&lt;&gt;0),D35/G35,"")</s:f>
        <s:v/>
      </s:c>
      <s:c r="I35" s="223"/>
      <s:c r="J35" s="233" t="str">
        <s:f>IF(AND(G35&lt;&gt;"",G35&lt;&gt;0),E35/G35,"")</s:f>
        <s:v/>
      </s:c>
      <s:c r="K35" s="223"/>
      <s:c r="L35" s="223"/>
      <s:c r="M35" s="223"/>
      <s:c r="N35" s="225" t="str">
        <s:f>IF(AND(I35&lt;&gt;"",I35&lt;&gt;0),G35/I35,"")</s:f>
        <s:v/>
      </s:c>
      <s:c r="O35" s="235" t="e">
        <s:f>D35/P35</s:f>
        <s:v>#DIV/0!</s:v>
      </s:c>
      <s:c r="P35" s="227" t="e">
        <s:f>$I$8*V35*W35/SUMPRODUCT($W$25:$W$55,$V$25:$V$55)</s:f>
        <s:v>#DIV/0!</s:v>
      </s:c>
      <s:c r="Q35" s="228" t="e">
        <s:f>$I$9*V35*W35/SUMPRODUCT($W$25:$W$55,$V$25:$V$55)</s:f>
        <s:v>#DIV/0!</s:v>
      </s:c>
      <s:c r="R35" s="228" t="e">
        <s:f>IF($I$12="","",Q35/$I$12)</s:f>
        <s:v>#DIV/0!</s:v>
      </s:c>
      <s:c r="S35" s="227" t="str">
        <s:f>IF(W35&lt;&gt;"",IF(D35&lt;&gt;"",D35,($I$8-SUM($S$25:S34))*V35*W35/SUMPRODUCT($W35:$W$55,$V35:$V$55)),"")</s:f>
        <s:v/>
      </s:c>
      <s:c r="T35" s="228" t="str">
        <s:f>IF(W35&lt;&gt;"",IF(E35&lt;&gt;"",E35,($I$9-SUM($T$25:T34))*V35*W35/SUMPRODUCT($W35:$W$55,$V35:$V$55)),"")</s:f>
        <s:v/>
      </s:c>
      <s:c r="U35" s="228" t="str">
        <s:f>IF(W35&lt;&gt;"",IF($I$12&lt;&gt;"",IF(G35&lt;&gt;"",G35,($I$9/$I$12-SUM($U$25:U34))*V35*W35/SUMPRODUCT($W35:$W$55,$V35:$V$55)),""),"")</s:f>
        <s:v/>
      </s:c>
      <s:c r="V35" s="229"/>
      <s:c r="W35" s="229"/>
      <s:c r="X35" s="230"/>
      <s:c r="Y35" s="230"/>
      <s:c r="Z35" s="231"/>
      <s:c r="AA35" s="232"/>
      <s:c r="AB35" s="232"/>
      <s:c r="AC35" s="232"/>
      <s:c r="AD35" s="232"/>
    </s:row>
    <s:row r="36" spans="1:30" s="221" customFormat="1">
      <s:c r="A36" s="101">
        <s:v>12</s:v>
      </s:c>
      <s:c r="B36" s="102"/>
      <s:c r="C36" s="209"/>
      <s:c r="D36" s="222"/>
      <s:c r="E36" s="224"/>
      <s:c r="F36" s="223" t="str">
        <s:f>IF(AND(E36&lt;&gt;"",E36&lt;&gt;0),D36/E36,"")</s:f>
        <s:v/>
      </s:c>
      <s:c r="G36" s="223"/>
      <s:c r="H36" s="223" t="str">
        <s:f>IF(AND(G36&lt;&gt;"",G36&lt;&gt;0),D36/G36,"")</s:f>
        <s:v/>
      </s:c>
      <s:c r="I36" s="224"/>
      <s:c r="J36" s="222" t="str">
        <s:f>IF(AND(G36&lt;&gt;"",G36&lt;&gt;0),E36/G36,"")</s:f>
        <s:v/>
      </s:c>
      <s:c r="K36" s="223"/>
      <s:c r="L36" s="223"/>
      <s:c r="M36" s="223"/>
      <s:c r="N36" s="225" t="str">
        <s:f>IF(AND(I36&lt;&gt;"",I36&lt;&gt;0),G36/I36,"")</s:f>
        <s:v/>
      </s:c>
      <s:c r="O36" s="235" t="e">
        <s:f>D36/P36</s:f>
        <s:v>#DIV/0!</s:v>
      </s:c>
      <s:c r="P36" s="227" t="e">
        <s:f>$I$8*V36*W36/SUMPRODUCT($W$25:$W$55,$V$25:$V$55)</s:f>
        <s:v>#DIV/0!</s:v>
      </s:c>
      <s:c r="Q36" s="228" t="e">
        <s:f>$I$9*V36*W36/SUMPRODUCT($W$25:$W$55,$V$25:$V$55)</s:f>
        <s:v>#DIV/0!</s:v>
      </s:c>
      <s:c r="R36" s="228" t="e">
        <s:f>IF($I$12="","",Q36/$I$12)</s:f>
        <s:v>#DIV/0!</s:v>
      </s:c>
      <s:c r="S36" s="227" t="str">
        <s:f>IF(W36&lt;&gt;"",IF(D36&lt;&gt;"",D36,($I$8-SUM($S$25:S35))*V36*W36/SUMPRODUCT($W36:$W$55,$V36:$V$55)),"")</s:f>
        <s:v/>
      </s:c>
      <s:c r="T36" s="228" t="str">
        <s:f>IF(W36&lt;&gt;"",IF(E36&lt;&gt;"",E36,($I$9-SUM($T$25:T35))*V36*W36/SUMPRODUCT($W36:$W$55,$V36:$V$55)),"")</s:f>
        <s:v/>
      </s:c>
      <s:c r="U36" s="228" t="str">
        <s:f>IF(W36&lt;&gt;"",IF($I$12&lt;&gt;"",IF(G36&lt;&gt;"",G36,($I$9/$I$12-SUM($U$25:U35))*V36*W36/SUMPRODUCT($W36:$W$55,$V36:$V$55)),""),"")</s:f>
        <s:v/>
      </s:c>
      <s:c r="V36" s="229"/>
      <s:c r="W36" s="229"/>
      <s:c r="X36" s="230"/>
      <s:c r="Y36" s="230"/>
      <s:c r="Z36" s="231"/>
      <s:c r="AA36" s="232"/>
      <s:c r="AB36" s="232"/>
      <s:c r="AC36" s="232"/>
      <s:c r="AD36" s="232"/>
    </s:row>
    <s:row r="37" spans="1:30" s="221" customFormat="1">
      <s:c r="A37" s="101">
        <s:v>13</s:v>
      </s:c>
      <s:c r="B37" s="102"/>
      <s:c r="C37" s="103"/>
      <s:c r="D37" s="233"/>
      <s:c r="E37" s="223"/>
      <s:c r="F37" s="223" t="str">
        <s:f>IF(AND(E37&lt;&gt;"",E37&lt;&gt;0),D37/E37,"")</s:f>
        <s:v/>
      </s:c>
      <s:c r="G37" s="223"/>
      <s:c r="H37" s="224" t="str">
        <s:f>IF(AND(G37&lt;&gt;"",G37&lt;&gt;0),D37/G37,"")</s:f>
        <s:v/>
      </s:c>
      <s:c r="I37" s="223"/>
      <s:c r="J37" s="233" t="str">
        <s:f>IF(AND(G37&lt;&gt;"",G37&lt;&gt;0),E37/G37,"")</s:f>
        <s:v/>
      </s:c>
      <s:c r="K37" s="223"/>
      <s:c r="L37" s="223"/>
      <s:c r="M37" s="223"/>
      <s:c r="N37" s="225" t="str">
        <s:f>IF(AND(I37&lt;&gt;"",I37&lt;&gt;0),G37/I37,"")</s:f>
        <s:v/>
      </s:c>
      <s:c r="O37" s="235" t="e">
        <s:f>D37/P37</s:f>
        <s:v>#DIV/0!</s:v>
      </s:c>
      <s:c r="P37" s="227" t="e">
        <s:f>$I$8*V37*W37/SUMPRODUCT($W$25:$W$55,$V$25:$V$55)</s:f>
        <s:v>#DIV/0!</s:v>
      </s:c>
      <s:c r="Q37" s="228" t="e">
        <s:f>$I$9*V37*W37/SUMPRODUCT($W$25:$W$55,$V$25:$V$55)</s:f>
        <s:v>#DIV/0!</s:v>
      </s:c>
      <s:c r="R37" s="228" t="e">
        <s:f>IF($I$12="","",Q37/$I$12)</s:f>
        <s:v>#DIV/0!</s:v>
      </s:c>
      <s:c r="S37" s="227" t="str">
        <s:f>IF(W37&lt;&gt;"",IF(D37&lt;&gt;"",D37,($I$8-SUM($S$25:S36))*V37*W37/SUMPRODUCT($W37:$W$55,$V37:$V$55)),"")</s:f>
        <s:v/>
      </s:c>
      <s:c r="T37" s="228" t="str">
        <s:f>IF(W37&lt;&gt;"",IF(E37&lt;&gt;"",E37,($I$9-SUM($T$25:T36))*V37*W37/SUMPRODUCT($W37:$W$55,$V37:$V$55)),"")</s:f>
        <s:v/>
      </s:c>
      <s:c r="U37" s="228" t="str">
        <s:f>IF(W37&lt;&gt;"",IF($I$12&lt;&gt;"",IF(G37&lt;&gt;"",G37,($I$9/$I$12-SUM($U$25:U36))*V37*W37/SUMPRODUCT($W37:$W$55,$V37:$V$55)),""),"")</s:f>
        <s:v/>
      </s:c>
      <s:c r="V37" s="229"/>
      <s:c r="W37" s="229"/>
      <s:c r="X37" s="230"/>
      <s:c r="Y37" s="230"/>
      <s:c r="Z37" s="231"/>
      <s:c r="AA37" s="232"/>
      <s:c r="AB37" s="232"/>
      <s:c r="AC37" s="232"/>
      <s:c r="AD37" s="232"/>
    </s:row>
    <s:row r="38" spans="1:30" s="221" customFormat="1">
      <s:c r="A38" s="101">
        <s:v>14</s:v>
      </s:c>
      <s:c r="B38" s="102"/>
      <s:c r="C38" s="209"/>
      <s:c r="D38" s="222"/>
      <s:c r="E38" s="224"/>
      <s:c r="F38" s="223" t="str">
        <s:f>IF(AND(E38&lt;&gt;"",E38&lt;&gt;0),D38/E38,"")</s:f>
        <s:v/>
      </s:c>
      <s:c r="G38" s="224"/>
      <s:c r="H38" s="223" t="str">
        <s:f>IF(AND(G38&lt;&gt;"",G38&lt;&gt;0),D38/G38,"")</s:f>
        <s:v/>
      </s:c>
      <s:c r="I38" s="224"/>
      <s:c r="J38" s="222" t="str">
        <s:f>IF(AND(G38&lt;&gt;"",G38&lt;&gt;0),E38/G38,"")</s:f>
        <s:v/>
      </s:c>
      <s:c r="K38" s="224"/>
      <s:c r="L38" s="223"/>
      <s:c r="M38" s="224"/>
      <s:c r="N38" s="225" t="str">
        <s:f>IF(AND(I38&lt;&gt;"",I38&lt;&gt;0),G38/I38,"")</s:f>
        <s:v/>
      </s:c>
      <s:c r="O38" s="226" t="e">
        <s:f>D38/P38</s:f>
        <s:v>#DIV/0!</s:v>
      </s:c>
      <s:c r="P38" s="227" t="e">
        <s:f>$I$8*V38*W38/SUMPRODUCT($W$25:$W$55,$V$25:$V$55)</s:f>
        <s:v>#DIV/0!</s:v>
      </s:c>
      <s:c r="Q38" s="265" t="e">
        <s:f>$I$9*V38*W38/SUMPRODUCT($W$25:$W$55,$V$25:$V$55)</s:f>
        <s:v>#DIV/0!</s:v>
      </s:c>
      <s:c r="R38" s="228" t="e">
        <s:f>IF($I$12="","",Q38/$I$12)</s:f>
        <s:v>#DIV/0!</s:v>
      </s:c>
      <s:c r="S38" s="266" t="str">
        <s:f>IF(W38&lt;&gt;"",IF(D38&lt;&gt;"",D38,($I$8-SUM($S$25:S37))*V38*W38/SUMPRODUCT($W38:$W$55,$V38:$V$55)),"")</s:f>
        <s:v/>
      </s:c>
      <s:c r="T38" s="228" t="str">
        <s:f>IF(W38&lt;&gt;"",IF(E38&lt;&gt;"",E38,($I$9-SUM($T$25:T37))*V38*W38/SUMPRODUCT($W38:$W$55,$V38:$V$55)),"")</s:f>
        <s:v/>
      </s:c>
      <s:c r="U38" s="265" t="str">
        <s:f>IF(W38&lt;&gt;"",IF($I$12&lt;&gt;"",IF(G38&lt;&gt;"",G38,($I$9/$I$12-SUM($U$25:U37))*V38*W38/SUMPRODUCT($W38:$W$55,$V38:$V$55)),""),"")</s:f>
        <s:v/>
      </s:c>
      <s:c r="V38" s="229"/>
      <s:c r="W38" s="229"/>
      <s:c r="X38" s="230"/>
      <s:c r="Y38" s="230"/>
      <s:c r="Z38" s="231"/>
      <s:c r="AA38" s="232"/>
      <s:c r="AB38" s="232"/>
      <s:c r="AC38" s="232"/>
      <s:c r="AD38" s="232"/>
    </s:row>
    <s:row r="39" spans="1:30" s="221" customFormat="1">
      <s:c r="A39" s="101">
        <s:v>15</s:v>
      </s:c>
      <s:c r="B39" s="102"/>
      <s:c r="C39" s="103"/>
      <s:c r="D39" s="233"/>
      <s:c r="E39" s="223"/>
      <s:c r="F39" s="224" t="str">
        <s:f>IF(AND(E39&lt;&gt;"",E39&lt;&gt;0),D39/E39,"")</s:f>
        <s:v/>
      </s:c>
      <s:c r="G39" s="223"/>
      <s:c r="H39" s="224" t="str">
        <s:f>IF(AND(G39&lt;&gt;"",G39&lt;&gt;0),D39/G39,"")</s:f>
        <s:v/>
      </s:c>
      <s:c r="I39" s="223"/>
      <s:c r="J39" s="233" t="str">
        <s:f>IF(AND(G39&lt;&gt;"",G39&lt;&gt;0),E39/G39,"")</s:f>
        <s:v/>
      </s:c>
      <s:c r="K39" s="223"/>
      <s:c r="L39" s="223"/>
      <s:c r="M39" s="223"/>
      <s:c r="N39" s="225" t="str">
        <s:f>IF(AND(I39&lt;&gt;"",I39&lt;&gt;0),G39/I39,"")</s:f>
        <s:v/>
      </s:c>
      <s:c r="O39" s="235" t="e">
        <s:f>D39/P39</s:f>
        <s:v>#DIV/0!</s:v>
      </s:c>
      <s:c r="P39" s="227" t="e">
        <s:f>$I$8*V39*W39/SUMPRODUCT($W$25:$W$55,$V$25:$V$55)</s:f>
        <s:v>#DIV/0!</s:v>
      </s:c>
      <s:c r="Q39" s="228" t="e">
        <s:f>$I$9*V39*W39/SUMPRODUCT($W$25:$W$55,$V$25:$V$55)</s:f>
        <s:v>#DIV/0!</s:v>
      </s:c>
      <s:c r="R39" s="228" t="e">
        <s:f>IF($I$12="","",Q39/$I$12)</s:f>
        <s:v>#DIV/0!</s:v>
      </s:c>
      <s:c r="S39" s="227" t="str">
        <s:f>IF(W39&lt;&gt;"",IF(D39&lt;&gt;"",D39,($I$8-SUM($S$25:S38))*V39*W39/SUMPRODUCT($W39:$W$55,$V39:$V$55)),"")</s:f>
        <s:v/>
      </s:c>
      <s:c r="T39" s="228" t="str">
        <s:f>IF(W39&lt;&gt;"",IF(E39&lt;&gt;"",E39,($I$9-SUM($T$25:T38))*V39*W39/SUMPRODUCT($W39:$W$55,$V39:$V$55)),"")</s:f>
        <s:v/>
      </s:c>
      <s:c r="U39" s="228" t="str">
        <s:f>IF(W39&lt;&gt;"",IF($I$12&lt;&gt;"",IF(G39&lt;&gt;"",G39,($I$9/$I$12-SUM($U$25:U38))*V39*W39/SUMPRODUCT($W39:$W$55,$V39:$V$55)),""),"")</s:f>
        <s:v/>
      </s:c>
      <s:c r="V39" s="229"/>
      <s:c r="W39" s="229"/>
      <s:c r="X39" s="230"/>
      <s:c r="Y39" s="230"/>
      <s:c r="Z39" s="231"/>
      <s:c r="AA39" s="232"/>
      <s:c r="AB39" s="232"/>
      <s:c r="AC39" s="232"/>
      <s:c r="AD39" s="232"/>
    </s:row>
    <s:row r="40" spans="1:30" s="221" customFormat="1" ht="15" customHeight="1">
      <s:c r="A40" s="101">
        <s:v>16</s:v>
      </s:c>
      <s:c r="B40" s="102"/>
      <s:c r="C40" s="209"/>
      <s:c r="D40" s="222"/>
      <s:c r="E40" s="224"/>
      <s:c r="F40" s="223" t="str">
        <s:f>IF(AND(E40&lt;&gt;"",E40&lt;&gt;0),D40/E40,"")</s:f>
        <s:v/>
      </s:c>
      <s:c r="G40" s="224"/>
      <s:c r="H40" s="223" t="str">
        <s:f>IF(AND(G40&lt;&gt;"",G40&lt;&gt;0),D40/G40,"")</s:f>
        <s:v/>
      </s:c>
      <s:c r="I40" s="224"/>
      <s:c r="J40" s="222" t="str">
        <s:f>IF(AND(G40&lt;&gt;"",G40&lt;&gt;0),E40/G40,"")</s:f>
        <s:v/>
      </s:c>
      <s:c r="K40" s="223"/>
      <s:c r="L40" s="223"/>
      <s:c r="M40" s="223"/>
      <s:c r="N40" s="225" t="str">
        <s:f>IF(AND(I40&lt;&gt;"",I40&lt;&gt;0),G40/I40,"")</s:f>
        <s:v/>
      </s:c>
      <s:c r="O40" s="235" t="e">
        <s:f>D40/P40</s:f>
        <s:v>#DIV/0!</s:v>
      </s:c>
      <s:c r="P40" s="227" t="e">
        <s:f>$I$8*V40*W40/SUMPRODUCT($W$25:$W$55,$V$25:$V$55)</s:f>
        <s:v>#DIV/0!</s:v>
      </s:c>
      <s:c r="Q40" s="228" t="e">
        <s:f>$I$9*V40*W40/SUMPRODUCT($W$25:$W$55,$V$25:$V$55)</s:f>
        <s:v>#DIV/0!</s:v>
      </s:c>
      <s:c r="R40" s="228" t="e">
        <s:f>IF($I$12="","",Q40/$I$12)</s:f>
        <s:v>#DIV/0!</s:v>
      </s:c>
      <s:c r="S40" s="227" t="str">
        <s:f>IF(W40&lt;&gt;"",IF(D40&lt;&gt;"",D40,($I$8-SUM($S$25:S39))*V40*W40/SUMPRODUCT($W40:$W$55,$V40:$V$55)),"")</s:f>
        <s:v/>
      </s:c>
      <s:c r="T40" s="228" t="str">
        <s:f>IF(W40&lt;&gt;"",IF(E40&lt;&gt;"",E40,($I$9-SUM($T$25:T39))*V40*W40/SUMPRODUCT($W40:$W$55,$V40:$V$55)),"")</s:f>
        <s:v/>
      </s:c>
      <s:c r="U40" s="228" t="str">
        <s:f>IF(W40&lt;&gt;"",IF($I$12&lt;&gt;"",IF(G40&lt;&gt;"",G40,($I$9/$I$12-SUM($U$25:U39))*V40*W40/SUMPRODUCT($W40:$W$55,$V40:$V$55)),""),"")</s:f>
        <s:v/>
      </s:c>
      <s:c r="V40" s="229"/>
      <s:c r="W40" s="229"/>
      <s:c r="X40" s="230"/>
      <s:c r="Y40" s="230"/>
      <s:c r="Z40" s="231"/>
      <s:c r="AA40" s="232"/>
      <s:c r="AB40" s="232"/>
      <s:c r="AC40" s="232"/>
      <s:c r="AD40" s="232"/>
    </s:row>
    <s:row r="41" spans="1:30" s="221" customFormat="1">
      <s:c r="A41" s="101">
        <s:v>17</s:v>
      </s:c>
      <s:c r="B41" s="102"/>
      <s:c r="C41" s="103"/>
      <s:c r="D41" s="233"/>
      <s:c r="E41" s="223"/>
      <s:c r="F41" s="224" t="str">
        <s:f>IF(AND(E41&lt;&gt;"",E41&lt;&gt;0),D41/E41,"")</s:f>
        <s:v/>
      </s:c>
      <s:c r="G41" s="223"/>
      <s:c r="H41" s="224" t="str">
        <s:f>IF(AND(G41&lt;&gt;"",G41&lt;&gt;0),D41/G41,"")</s:f>
        <s:v/>
      </s:c>
      <s:c r="I41" s="223"/>
      <s:c r="J41" s="233" t="str">
        <s:f>IF(AND(G41&lt;&gt;"",G41&lt;&gt;0),E41/G41,"")</s:f>
        <s:v/>
      </s:c>
      <s:c r="K41" s="223"/>
      <s:c r="L41" s="223"/>
      <s:c r="M41" s="223"/>
      <s:c r="N41" s="267" t="str">
        <s:f>IF(AND(I41&lt;&gt;"",I41&lt;&gt;0),G41/I41,"")</s:f>
        <s:v/>
      </s:c>
      <s:c r="O41" s="235" t="e">
        <s:f>D41/P41</s:f>
        <s:v>#DIV/0!</s:v>
      </s:c>
      <s:c r="P41" s="227" t="e">
        <s:f>$I$8*V41*W41/SUMPRODUCT($W$25:$W$55,$V$25:$V$55)</s:f>
        <s:v>#DIV/0!</s:v>
      </s:c>
      <s:c r="Q41" s="228" t="e">
        <s:f>$I$9*V41*W41/SUMPRODUCT($W$25:$W$55,$V$25:$V$55)</s:f>
        <s:v>#DIV/0!</s:v>
      </s:c>
      <s:c r="R41" s="228" t="e">
        <s:f>IF($I$12="","",Q41/$I$12)</s:f>
        <s:v>#DIV/0!</s:v>
      </s:c>
      <s:c r="S41" s="227" t="str">
        <s:f>IF(W41&lt;&gt;"",IF(D41&lt;&gt;"",D41,($I$8-SUM($S$25:S40))*V41*W41/SUMPRODUCT($W41:$W$55,$V41:$V$55)),"")</s:f>
        <s:v/>
      </s:c>
      <s:c r="T41" s="228" t="str">
        <s:f>IF(W41&lt;&gt;"",IF(E41&lt;&gt;"",E41,($I$9-SUM($T$25:T40))*V41*W41/SUMPRODUCT($W41:$W$55,$V41:$V$55)),"")</s:f>
        <s:v/>
      </s:c>
      <s:c r="U41" s="228" t="str">
        <s:f>IF(W41&lt;&gt;"",IF($I$12&lt;&gt;"",IF(G41&lt;&gt;"",G41,($I$9/$I$12-SUM($U$25:U40))*V41*W41/SUMPRODUCT($W41:$W$55,$V41:$V$55)),""),"")</s:f>
        <s:v/>
      </s:c>
      <s:c r="V41" s="229"/>
      <s:c r="W41" s="229"/>
      <s:c r="X41" s="230"/>
      <s:c r="Y41" s="230"/>
      <s:c r="Z41" s="231"/>
      <s:c r="AA41" s="232"/>
      <s:c r="AB41" s="232"/>
      <s:c r="AC41" s="232"/>
      <s:c r="AD41" s="232"/>
    </s:row>
    <s:row r="42" spans="1:30" s="221" customFormat="1">
      <s:c r="A42" s="101">
        <s:v>18</s:v>
      </s:c>
      <s:c r="B42" s="102"/>
      <s:c r="C42" s="209"/>
      <s:c r="D42" s="222"/>
      <s:c r="E42" s="224"/>
      <s:c r="F42" s="223" t="str">
        <s:f>IF(AND(E42&lt;&gt;"",E42&lt;&gt;0),D42/E42,"")</s:f>
        <s:v/>
      </s:c>
      <s:c r="G42" s="224"/>
      <s:c r="H42" s="223" t="str">
        <s:f>IF(AND(G42&lt;&gt;"",G42&lt;&gt;0),D42/G42,"")</s:f>
        <s:v/>
      </s:c>
      <s:c r="I42" s="224"/>
      <s:c r="J42" s="222" t="str">
        <s:f>IF(AND(G42&lt;&gt;"",G42&lt;&gt;0),E42/G42,"")</s:f>
        <s:v/>
      </s:c>
      <s:c r="K42" s="223"/>
      <s:c r="L42" s="223"/>
      <s:c r="M42" s="223"/>
      <s:c r="N42" s="267" t="str">
        <s:f>IF(AND(I42&lt;&gt;"",I42&lt;&gt;0),G42/I42,"")</s:f>
        <s:v/>
      </s:c>
      <s:c r="O42" s="235" t="e">
        <s:f>D42/P42</s:f>
        <s:v>#DIV/0!</s:v>
      </s:c>
      <s:c r="P42" s="227" t="e">
        <s:f>$I$8*V42*W42/SUMPRODUCT($W$25:$W$55,$V$25:$V$55)</s:f>
        <s:v>#DIV/0!</s:v>
      </s:c>
      <s:c r="Q42" s="228" t="e">
        <s:f>$I$9*V42*W42/SUMPRODUCT($W$25:$W$55,$V$25:$V$55)</s:f>
        <s:v>#DIV/0!</s:v>
      </s:c>
      <s:c r="R42" s="228" t="e">
        <s:f>IF($I$12="","",Q42/$I$12)</s:f>
        <s:v>#DIV/0!</s:v>
      </s:c>
      <s:c r="S42" s="227" t="str">
        <s:f>IF(W42&lt;&gt;"",IF(D42&lt;&gt;"",D42,($I$8-SUM($S$25:S41))*V42*W42/SUMPRODUCT($W42:$W$55,$V42:$V$55)),"")</s:f>
        <s:v/>
      </s:c>
      <s:c r="T42" s="228" t="str">
        <s:f>IF(W42&lt;&gt;"",IF(E42&lt;&gt;"",E42,($I$9-SUM($T$25:T41))*V42*W42/SUMPRODUCT($W42:$W$55,$V42:$V$55)),"")</s:f>
        <s:v/>
      </s:c>
      <s:c r="U42" s="228" t="str">
        <s:f>IF(W42&lt;&gt;"",IF($I$12&lt;&gt;"",IF(G42&lt;&gt;"",G42,($I$9/$I$12-SUM($U$25:U41))*V42*W42/SUMPRODUCT($W42:$W$55,$V42:$V$55)),""),"")</s:f>
        <s:v/>
      </s:c>
      <s:c r="V42" s="229"/>
      <s:c r="W42" s="229"/>
      <s:c r="X42" s="230"/>
      <s:c r="Y42" s="230"/>
      <s:c r="Z42" s="231"/>
      <s:c r="AA42" s="232"/>
      <s:c r="AB42" s="232"/>
      <s:c r="AC42" s="232"/>
      <s:c r="AD42" s="232"/>
    </s:row>
    <s:row r="43" spans="1:30" s="221" customFormat="1" ht="15" customHeight="1">
      <s:c r="A43" s="101"/>
      <s:c r="B43" s="102"/>
      <s:c r="C43" s="103"/>
      <s:c r="D43" s="222"/>
      <s:c r="E43" s="223"/>
      <s:c r="F43" s="223" t="str">
        <s:f>IF(AND(E43&lt;&gt;"",E43&lt;&gt;0),D43/E43,"")</s:f>
        <s:v/>
      </s:c>
      <s:c r="G43" s="223"/>
      <s:c r="H43" s="223" t="str">
        <s:f>IF(AND(G43&lt;&gt;"",G43&lt;&gt;0),D43/G43,"")</s:f>
        <s:v/>
      </s:c>
      <s:c r="I43" s="223"/>
      <s:c r="J43" s="222" t="str">
        <s:f>IF(AND(G43&lt;&gt;"",G43&lt;&gt;0),E43/G43,"")</s:f>
        <s:v/>
      </s:c>
      <s:c r="K43" s="223"/>
      <s:c r="L43" s="223"/>
      <s:c r="M43" s="223"/>
      <s:c r="N43" s="267" t="str">
        <s:f>IF(AND(I43&lt;&gt;"",I43&lt;&gt;0),G43/I43,"")</s:f>
        <s:v/>
      </s:c>
      <s:c r="O43" s="235" t="e">
        <s:f>D43/P43</s:f>
        <s:v>#DIV/0!</s:v>
      </s:c>
      <s:c r="P43" s="227" t="e">
        <s:f>$I$8*V43*W43/SUMPRODUCT($W$25:$W$55,$V$25:$V$55)</s:f>
        <s:v>#DIV/0!</s:v>
      </s:c>
      <s:c r="Q43" s="228" t="e">
        <s:f>$I$9*V43*W43/SUMPRODUCT($W$25:$W$55,$V$25:$V$55)</s:f>
        <s:v>#DIV/0!</s:v>
      </s:c>
      <s:c r="R43" s="228" t="e">
        <s:f>IF($I$12="","",Q43/$I$12)</s:f>
        <s:v>#DIV/0!</s:v>
      </s:c>
      <s:c r="S43" s="227" t="str">
        <s:f>IF(W43&lt;&gt;"",IF(D43&lt;&gt;"",D43,($I$8-SUM($S$25:S42))*V43*W43/SUMPRODUCT($W43:$W$55,$V43:$V$55)),"")</s:f>
        <s:v/>
      </s:c>
      <s:c r="T43" s="228" t="str">
        <s:f>IF(W43&lt;&gt;"",IF(E43&lt;&gt;"",E43,($I$9-SUM($T$25:T42))*V43*W43/SUMPRODUCT($W43:$W$55,$V43:$V$55)),"")</s:f>
        <s:v/>
      </s:c>
      <s:c r="U43" s="228" t="str">
        <s:f>IF(W43&lt;&gt;"",IF($I$12&lt;&gt;"",IF(G43&lt;&gt;"",G43,($I$9/$I$12-SUM($U$25:U42))*V43*W43/SUMPRODUCT($W43:$W$55,$V43:$V$55)),""),"")</s:f>
        <s:v/>
      </s:c>
      <s:c r="V43" s="229"/>
      <s:c r="W43" s="229"/>
      <s:c r="X43" s="230"/>
      <s:c r="Y43" s="230"/>
      <s:c r="Z43" s="231"/>
      <s:c r="AA43" s="232"/>
      <s:c r="AB43" s="232"/>
      <s:c r="AC43" s="232"/>
      <s:c r="AD43" s="232"/>
    </s:row>
    <s:row r="44" spans="1:30" s="221" customFormat="1" ht="15" customHeight="1">
      <s:c r="A44" s="101"/>
      <s:c r="B44" s="102"/>
      <s:c r="C44" s="103"/>
      <s:c r="D44" s="222"/>
      <s:c r="E44" s="223"/>
      <s:c r="F44" s="223" t="str">
        <s:f>IF(AND(E44&lt;&gt;"",E44&lt;&gt;0),D44/E44,"")</s:f>
        <s:v/>
      </s:c>
      <s:c r="G44" s="223"/>
      <s:c r="H44" s="223" t="str">
        <s:f>IF(AND(G44&lt;&gt;"",G44&lt;&gt;0),D44/G44,"")</s:f>
        <s:v/>
      </s:c>
      <s:c r="I44" s="223"/>
      <s:c r="J44" s="222" t="str">
        <s:f>IF(AND(G44&lt;&gt;"",G44&lt;&gt;0),E44/G44,"")</s:f>
        <s:v/>
      </s:c>
      <s:c r="K44" s="223"/>
      <s:c r="L44" s="223"/>
      <s:c r="M44" s="223"/>
      <s:c r="N44" s="267" t="str">
        <s:f>IF(AND(I44&lt;&gt;"",I44&lt;&gt;0),G44/I44,"")</s:f>
        <s:v/>
      </s:c>
      <s:c r="O44" s="235" t="e">
        <s:f>D44/P44</s:f>
        <s:v>#DIV/0!</s:v>
      </s:c>
      <s:c r="P44" s="227" t="e">
        <s:f>$I$8*V44*W44/SUMPRODUCT($W$25:$W$55,$V$25:$V$55)</s:f>
        <s:v>#DIV/0!</s:v>
      </s:c>
      <s:c r="Q44" s="228" t="e">
        <s:f>$I$9*V44*W44/SUMPRODUCT($W$25:$W$55,$V$25:$V$55)</s:f>
        <s:v>#DIV/0!</s:v>
      </s:c>
      <s:c r="R44" s="228" t="e">
        <s:f>IF($I$12="","",Q44/$I$12)</s:f>
        <s:v>#DIV/0!</s:v>
      </s:c>
      <s:c r="S44" s="227" t="str">
        <s:f>IF(W44&lt;&gt;"",IF(D44&lt;&gt;"",D44,($I$8-SUM($S$25:S43))*V44*W44/SUMPRODUCT($W44:$W$55,$V44:$V$55)),"")</s:f>
        <s:v/>
      </s:c>
      <s:c r="T44" s="228">
        <s:f>IF(W44&lt;&gt;"",IF(E44&lt;&gt;"",E44,($I$9-SUM($T$25:T43))*V44*W44/SUMPRODUCT($W44:$W$55,$V44:$V$55)),0)</s:f>
        <s:v>0</s:v>
      </s:c>
      <s:c r="U44" s="228" t="str">
        <s:f>IF(W44&lt;&gt;"",IF($I$12&lt;&gt;"",IF(G44&lt;&gt;"",G44,($I$9/$I$12-SUM($U$25:U43))*V44*W44/SUMPRODUCT($W44:$W$55,$V44:$V$55)),""),"")</s:f>
        <s:v/>
      </s:c>
      <s:c r="V44" s="229"/>
      <s:c r="W44" s="229"/>
      <s:c r="X44" s="230"/>
      <s:c r="Y44" s="230"/>
      <s:c r="Z44" s="232"/>
      <s:c r="AA44" s="232"/>
      <s:c r="AB44" s="232"/>
      <s:c r="AC44" s="232"/>
      <s:c r="AD44" s="232"/>
    </s:row>
    <s:row r="45" spans="1:30" s="268" customFormat="1">
      <s:c r="A45" s="269"/>
      <s:c r="B45" s="270"/>
      <s:c r="C45" s="271"/>
      <s:c r="D45" s="133"/>
      <s:c r="E45" s="134"/>
      <s:c r="F45" s="134" t="str">
        <s:f>IF(AND(E45&lt;&gt;"",E45&lt;&gt;0),D45/E45,"")</s:f>
        <s:v/>
      </s:c>
      <s:c r="G45" s="134"/>
      <s:c r="H45" s="134" t="str">
        <s:f>IF(AND(G45&lt;&gt;"",G45&lt;&gt;0),D45/G45,"")</s:f>
        <s:v/>
      </s:c>
      <s:c r="I45" s="134"/>
      <s:c r="J45" s="133" t="str">
        <s:f>IF(AND(G45&lt;&gt;"",G45&lt;&gt;0),E45/G45,"")</s:f>
        <s:v/>
      </s:c>
      <s:c r="K45" s="134"/>
      <s:c r="L45" s="134"/>
      <s:c r="M45" s="134"/>
      <s:c r="N45" s="135" t="str">
        <s:f>IF(AND(I45&lt;&gt;"",I45&lt;&gt;0),G45/I45,"")</s:f>
        <s:v/>
      </s:c>
      <s:c r="O45" s="136" t="e">
        <s:f>D45/P45</s:f>
        <s:v>#DIV/0!</s:v>
      </s:c>
      <s:c r="P45" s="272" t="e">
        <s:f>$I$8*V45*W45/SUMPRODUCT($W$25:$W$44,$V$25:$V$44)</s:f>
        <s:v>#DIV/0!</s:v>
      </s:c>
      <s:c r="Q45" s="137" t="e">
        <s:f>$I$9*V45*W45/SUMPRODUCT($W$25:$W$44,$V$25:$V$44)</s:f>
        <s:v>#DIV/0!</s:v>
      </s:c>
      <s:c r="R45" s="137" t="e">
        <s:f>IF($I$12="","",Q45/$I$12)</s:f>
        <s:v>#DIV/0!</s:v>
      </s:c>
      <s:c r="S45" s="272" t="str">
        <s:f>IF(W45&lt;&gt;"",IF(D45&lt;&gt;"",D45,($I$8-SUM($S$25:S44))*V45*W45/SUMPRODUCT($W$44:$W45,$V$44:$V45)),"")</s:f>
        <s:v/>
      </s:c>
      <s:c r="T45" s="137" t="str">
        <s:f>IF(W45&lt;&gt;"",IF(E45&lt;&gt;"",E45,($I$9-SUM($T$25:T44))*V45*W45/SUMPRODUCT($W$44:$W45,$V$44:$V45)),"")</s:f>
        <s:v/>
      </s:c>
      <s:c r="U45" s="137" t="str">
        <s:f>IF(W45&lt;&gt;"",IF($I$12&lt;&gt;"",IF(G45&lt;&gt;"",G45,($I$9/$I$12-SUM($U$25:U44))*V45*W45/SUMPRODUCT($W$44:$W45,$V$44:$V45)),""),"")</s:f>
        <s:v/>
      </s:c>
      <s:c r="V45" s="273"/>
      <s:c r="W45" s="273"/>
      <s:c r="X45" s="274"/>
      <s:c r="Y45" s="274"/>
      <s:c r="Z45" s="275"/>
    </s:row>
    <s:row r="46" spans="1:30" s="221" customFormat="1">
      <s:c r="A46" s="276"/>
      <s:c r="B46" s="102"/>
      <s:c r="C46" s="251"/>
      <s:c r="D46" s="222"/>
      <s:c r="E46" s="223"/>
      <s:c r="F46" s="223" t="str">
        <s:f>IF(AND(E46&lt;&gt;"",E46&lt;&gt;0),D46/E46,"")</s:f>
        <s:v/>
      </s:c>
      <s:c r="G46" s="223"/>
      <s:c r="H46" s="223" t="str">
        <s:f>IF(AND(G46&lt;&gt;"",G46&lt;&gt;0),D46/G46,"")</s:f>
        <s:v/>
      </s:c>
      <s:c r="I46" s="223"/>
      <s:c r="J46" s="222" t="str">
        <s:f>IF(AND(G46&lt;&gt;"",G46&lt;&gt;0),E46/G46,"")</s:f>
        <s:v/>
      </s:c>
      <s:c r="K46" s="223"/>
      <s:c r="L46" s="223"/>
      <s:c r="M46" s="223"/>
      <s:c r="N46" s="267" t="str">
        <s:f>IF(AND(I46&lt;&gt;"",I46&lt;&gt;0),G46/I46,"")</s:f>
        <s:v/>
      </s:c>
      <s:c r="O46" s="235" t="e">
        <s:f>D46/P46</s:f>
        <s:v>#DIV/0!</s:v>
      </s:c>
      <s:c r="P46" s="227" t="e">
        <s:f>$I$8*V46*W46/SUMPRODUCT($W$25:$W$44,$V$25:$V$44)</s:f>
        <s:v>#DIV/0!</s:v>
      </s:c>
      <s:c r="Q46" s="228" t="e">
        <s:f>$I$9*V46*W46/SUMPRODUCT($W$25:$W$44,$V$25:$V$44)</s:f>
        <s:v>#DIV/0!</s:v>
      </s:c>
      <s:c r="R46" s="228" t="e">
        <s:f>IF($I$12="","",Q46/$I$12)</s:f>
        <s:v>#DIV/0!</s:v>
      </s:c>
      <s:c r="S46" s="227" t="str">
        <s:f>IF(W46&lt;&gt;"",IF(D46&lt;&gt;"",D46,($I$8-SUM($S$25:S45))*V46*W46/SUMPRODUCT($W$44:$W46,$V$44:$V46)),"")</s:f>
        <s:v/>
      </s:c>
      <s:c r="T46" s="228" t="str">
        <s:f>IF(W46&lt;&gt;"",IF(E46&lt;&gt;"",E46,($I$9-SUM($T$25:T45))*V46*W46/SUMPRODUCT($W$44:$W46,$V$44:$V46)),"")</s:f>
        <s:v/>
      </s:c>
      <s:c r="U46" s="228" t="str">
        <s:f>IF(W46&lt;&gt;"",IF($I$12&lt;&gt;"",IF(G46&lt;&gt;"",G46,($I$9/$I$12-SUM($U$25:U45))*V46*W46/SUMPRODUCT($W$44:$W46,$V$44:$V46)),""),"")</s:f>
        <s:v/>
      </s:c>
      <s:c r="V46" s="229"/>
      <s:c r="W46" s="229"/>
      <s:c r="X46" s="277"/>
      <s:c r="Y46" s="277"/>
      <s:c r="Z46" s="278"/>
    </s:row>
    <s:row r="47" spans="1:30" s="221" customFormat="1">
      <s:c r="A47" s="279"/>
      <s:c r="B47" s="102"/>
      <s:c r="C47" s="236"/>
      <s:c r="D47" s="222"/>
      <s:c r="E47" s="223"/>
      <s:c r="F47" s="223" t="str">
        <s:f>IF(AND(E47&lt;&gt;"",E47&lt;&gt;0),D47/E47,"")</s:f>
        <s:v/>
      </s:c>
      <s:c r="G47" s="223"/>
      <s:c r="H47" s="223" t="str">
        <s:f>IF(AND(G47&lt;&gt;"",G47&lt;&gt;0),D47/G47,"")</s:f>
        <s:v/>
      </s:c>
      <s:c r="I47" s="223"/>
      <s:c r="J47" s="222" t="str">
        <s:f>IF(AND(G47&lt;&gt;"",G47&lt;&gt;0),E47/G47,"")</s:f>
        <s:v/>
      </s:c>
      <s:c r="K47" s="223"/>
      <s:c r="L47" s="223"/>
      <s:c r="M47" s="223"/>
      <s:c r="N47" s="267" t="str">
        <s:f>IF(AND(I47&lt;&gt;"",I47&lt;&gt;0),G47/I47,"")</s:f>
        <s:v/>
      </s:c>
      <s:c r="O47" s="235" t="e">
        <s:f>D47/P47</s:f>
        <s:v>#DIV/0!</s:v>
      </s:c>
      <s:c r="P47" s="227" t="e">
        <s:f>$I$8*V47*W47/SUMPRODUCT($W$25:$W$47,$V$25:$V$47)</s:f>
        <s:v>#DIV/0!</s:v>
      </s:c>
      <s:c r="Q47" s="228" t="e">
        <s:f>$I$9*V47*W47/SUMPRODUCT($W$25:$W$47,$V$25:$V$47)</s:f>
        <s:v>#DIV/0!</s:v>
      </s:c>
      <s:c r="R47" s="228" t="e">
        <s:f>IF($I$12="","",Q47/$I$12)</s:f>
        <s:v>#DIV/0!</s:v>
      </s:c>
      <s:c r="S47" s="227" t="str">
        <s:f>IF(W47&lt;&gt;"",IF(D47&lt;&gt;"",D47,($I$8-SUM($S$25:S46))*V47*W47/SUMPRODUCT($W47:$W$47,$V47:$V$47)),"")</s:f>
        <s:v/>
      </s:c>
      <s:c r="T47" s="228" t="str">
        <s:f>IF(W47&lt;&gt;"",IF(E47&lt;&gt;"",E47,($I$9-SUM($T$25:T46))*V47*W47/SUMPRODUCT($W47:$W$47,$V47:$V$47)),"")</s:f>
        <s:v/>
      </s:c>
      <s:c r="U47" s="228" t="str">
        <s:f>IF(W47&lt;&gt;"",IF($I$12&lt;&gt;"",IF(G47&lt;&gt;"",G47,($I$9/$I$12-SUM($U$25:U46))*V47*W47/SUMPRODUCT($W47:$W$47,$V47:$V$47)),""),"")</s:f>
        <s:v/>
      </s:c>
      <s:c r="V47" s="229"/>
      <s:c r="W47" s="229"/>
      <s:c r="X47" s="277"/>
      <s:c r="Y47" s="277"/>
      <s:c r="Z47" s="278"/>
    </s:row>
    <s:row r="48" spans="1:30" ht="15" customHeight="1">
      <s:c r="B48" s="557" t="s">
        <s:v>55</s:v>
      </s:c>
      <s:c r="C48" s="557"/>
      <s:c r="D48" s="134">
        <s:f>SUM(D25:D47)</s:f>
        <s:v>0</s:v>
      </s:c>
      <s:c r="E48" s="134">
        <s:f>SUM(E25:E47)</s:f>
        <s:v>0</s:v>
      </s:c>
      <s:c r="F48" s="134" t="str">
        <s:f>IF(AND(E48&lt;&gt;"",E48&lt;&gt;0),D48/E48,"")</s:f>
        <s:v/>
      </s:c>
      <s:c r="G48" s="134">
        <s:f>SUM(G25:G47)</s:f>
        <s:v>0</s:v>
      </s:c>
      <s:c r="H48" s="134" t="str">
        <s:f>IF(AND(G48&lt;&gt;"",G48&lt;&gt;0),D48/G48,"")</s:f>
        <s:v/>
      </s:c>
      <s:c r="I48" s="134">
        <s:f>SUM(I25:I47)</s:f>
        <s:v>0</s:v>
      </s:c>
      <s:c r="J48" s="133" t="str">
        <s:f>IF(AND(G48&lt;&gt;"",G48&lt;&gt;0),E48/G48,"")</s:f>
        <s:v/>
      </s:c>
      <s:c r="K48" s="134">
        <s:f>SUM(K25:K47)</s:f>
        <s:v>0</s:v>
      </s:c>
      <s:c r="L48" s="134">
        <s:f>SUM(L25:L47)</s:f>
        <s:v>0</s:v>
      </s:c>
      <s:c r="M48" s="134">
        <s:f>SUM(M25:M47)</s:f>
        <s:v>0</s:v>
      </s:c>
      <s:c r="N48" s="135" t="str">
        <s:f>IF(AND(I48&lt;&gt;"",I48&lt;&gt;0),G48/I48,"")</s:f>
        <s:v/>
      </s:c>
      <s:c r="O48" s="136" t="e">
        <s:f>D48/P48</s:f>
        <s:v>#DIV/0!</s:v>
      </s:c>
      <s:c r="P48" s="137" t="e">
        <s:f>SUM(P25:P47)</s:f>
        <s:v>#DIV/0!</s:v>
      </s:c>
      <s:c r="Q48" s="137" t="e">
        <s:f>SUM(Q25:Q47)</s:f>
        <s:v>#DIV/0!</s:v>
      </s:c>
      <s:c r="R48" s="137" t="e">
        <s:f>SUM(R25:R47)</s:f>
        <s:v>#DIV/0!</s:v>
      </s:c>
      <s:c r="S48" s="137" t="e">
        <s:f>SUM(S25:S47)</s:f>
        <s:v>#DIV/0!</s:v>
      </s:c>
      <s:c r="T48" s="137" t="e">
        <s:f>SUM(T25:T47)</s:f>
        <s:v>#DIV/0!</s:v>
      </s:c>
      <s:c r="U48" s="137" t="e">
        <s:f>SUM(U25:U47)</s:f>
        <s:v>#DIV/0!</s:v>
      </s:c>
      <s:c r="V48" s="138"/>
      <s:c r="W48" s="138"/>
    </s:row>
    <s:row r="49">
      <s:c r="B49" s="130"/>
      <s:c r="C49" s="140"/>
      <s:c r="D49" s="141" t="e">
        <s:f>SUMIF(D25:D47,"",P25:P47)+D48</s:f>
        <s:v>#DIV/0!</s:v>
      </s:c>
      <s:c r="E49" s="142"/>
      <s:c r="F49" s="140"/>
      <s:c r="G49" s="140"/>
      <s:c r="H49" s="143"/>
      <s:c r="I49" s="218"/>
      <s:c r="J49" s="143"/>
      <s:c r="L49" s="145"/>
      <s:c r="M49" s="142"/>
      <s:c r="N49" s="145"/>
      <s:c r="O49" s="145"/>
      <s:c r="P49" s="145"/>
      <s:c r="Q49" s="146"/>
    </s:row>
    <s:row r="50">
      <s:c r="D50" s="147"/>
    </s:row>
    <s:row r="51">
      <s:c r="D51" s="147"/>
    </s:row>
    <s:row r="52">
      <s:c r="D52" s="205"/>
    </s:row>
    <s:row r="53">
      <s:c r="D53" s="205"/>
    </s:row>
  </s:sheetData>
  <s:mergeCells count="27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P22:W22"/>
    <s:mergeCell ref="F15:H15"/>
    <s:mergeCell ref="F16:H16"/>
    <s:mergeCell ref="S16:S17"/>
    <s:mergeCell ref="F17:H17"/>
    <s:mergeCell ref="F18:H18"/>
    <s:mergeCell ref="B48:C48"/>
    <s:mergeCell ref="F19:H19"/>
    <s:mergeCell ref="F20:H20"/>
    <s:mergeCell ref="B22:N22"/>
    <s:mergeCell ref="O22:O24"/>
  </s:mergeCells>
  <s:conditionalFormatting sqref="J16">
    <s:cfRule type="cellIs" dxfId="83" priority="860" operator="greaterThan">
      <s:formula>0</s:formula>
    </s:cfRule>
    <s:cfRule type="cellIs" dxfId="82" priority="859" operator="lessThan">
      <s:formula>0</s:formula>
    </s:cfRule>
  </s:conditionalFormatting>
  <s:conditionalFormatting sqref="J25:J31">
    <s:cfRule type="cellIs" dxfId="81" priority="11" operator="greaterThan">
      <s:formula>$I$12</s:formula>
    </s:cfRule>
  </s:conditionalFormatting>
  <s:conditionalFormatting sqref="J26:J30">
    <s:cfRule type="cellIs" dxfId="80" priority="10" operator="lessThan">
      <s:formula>$I$12</s:formula>
    </s:cfRule>
  </s:conditionalFormatting>
  <s:conditionalFormatting sqref="J28:J42 J25">
    <s:cfRule type="cellIs" dxfId="79" priority="1024" operator="lessThan">
      <s:formula>$I$12</s:formula>
    </s:cfRule>
  </s:conditionalFormatting>
  <s:conditionalFormatting sqref="J28:J42">
    <s:cfRule type="cellIs" dxfId="78" priority="1017" operator="greaterThan">
      <s:formula>$I$12</s:formula>
    </s:cfRule>
  </s:conditionalFormatting>
  <s:conditionalFormatting sqref="J29:J30">
    <s:cfRule type="cellIs" dxfId="77" priority="997" operator="lessThan">
      <s:formula>$I$12</s:formula>
    </s:cfRule>
  </s:conditionalFormatting>
  <s:conditionalFormatting sqref="J43:J47 J37">
    <s:cfRule type="cellIs" dxfId="76" priority="176" operator="greaterThan">
      <s:formula>$I$12</s:formula>
    </s:cfRule>
  </s:conditionalFormatting>
  <s:conditionalFormatting sqref="J43:J47">
    <s:cfRule type="cellIs" dxfId="75" priority="175" operator="lessThan">
      <s:formula>$I$12</s:formula>
    </s:cfRule>
  </s:conditionalFormatting>
  <s:conditionalFormatting sqref="K10:K12 K15">
    <s:cfRule type="cellIs" dxfId="74" priority="858" operator="greaterThan">
      <s:formula>1</s:formula>
    </s:cfRule>
    <s:cfRule type="cellIs" dxfId="73" priority="857" operator="lessThan">
      <s:formula>1</s:formula>
    </s:cfRule>
  </s:conditionalFormatting>
  <s:conditionalFormatting sqref="K13">
    <s:cfRule type="cellIs" dxfId="72" priority="508" operator="greaterThan">
      <s:formula>$K$14</s:formula>
    </s:cfRule>
    <s:cfRule type="cellIs" dxfId="71" priority="507" operator="lessThan">
      <s:formula>$K$14</s:formula>
    </s:cfRule>
  </s:conditionalFormatting>
  <s:conditionalFormatting sqref="M8:M15">
    <s:cfRule type="cellIs" dxfId="70" priority="875" operator="lessThan">
      <s:formula>1</s:formula>
    </s:cfRule>
    <s:cfRule type="cellIs" dxfId="69" priority="856" operator="greaterThan">
      <s:formula>1</s:formula>
    </s:cfRule>
  </s:conditionalFormatting>
  <s:conditionalFormatting sqref="N25:N37">
    <s:cfRule type="cellIs" dxfId="68" priority="8" operator="greaterThanOrEqual">
      <s:formula>0.25</s:formula>
    </s:cfRule>
    <s:cfRule type="cellIs" dxfId="67" priority="7" operator="between">
      <s:formula>0.2</s:formula>
      <s:formula>0.25</s:formula>
    </s:cfRule>
  </s:conditionalFormatting>
  <s:conditionalFormatting sqref="N25:N47">
    <s:cfRule type="cellIs" dxfId="66" priority="9" operator="lessThan">
      <s:formula>0.2</s:formula>
    </s:cfRule>
  </s:conditionalFormatting>
  <s:conditionalFormatting sqref="N38">
    <s:cfRule type="cellIs" dxfId="65" priority="1010" operator="between">
      <s:formula>0.2</s:formula>
      <s:formula>0.25</s:formula>
    </s:cfRule>
  </s:conditionalFormatting>
  <s:conditionalFormatting sqref="N38:N47">
    <s:cfRule type="cellIs" dxfId="64" priority="173" operator="greaterThanOrEqual">
      <s:formula>0.25</s:formula>
    </s:cfRule>
  </s:conditionalFormatting>
  <s:conditionalFormatting sqref="N39:N47">
    <s:cfRule type="cellIs" dxfId="63" priority="172" operator="between">
      <s:formula>0.2</s:formula>
      <s:formula>0.25</s:formula>
    </s:cfRule>
  </s:conditionalFormatting>
  <s:conditionalFormatting sqref="O25:O37">
    <s:cfRule type="cellIs" dxfId="62" priority="6" operator="between">
      <s:formula>0.01</s:formula>
      <s:formula>0.99</s:formula>
    </s:cfRule>
    <s:cfRule type="cellIs" dxfId="61" priority="5" operator="between">
      <s:formula>0.85</s:formula>
      <s:formula>1</s:formula>
    </s:cfRule>
    <s:cfRule type="cellIs" dxfId="60" priority="2" operator="lessThan">
      <s:formula>0.9</s:formula>
    </s:cfRule>
    <s:cfRule type="cellIs" dxfId="59" priority="1" operator="between">
      <s:formula>0.9001</s:formula>
      <s:formula>0.9999</s:formula>
    </s:cfRule>
  </s:conditionalFormatting>
  <s:conditionalFormatting sqref="O25:O47">
    <s:cfRule type="cellIs" dxfId="58" priority="4" operator="greaterThan">
      <s:formula>100</s:formula>
    </s:cfRule>
    <s:cfRule type="cellIs" dxfId="57" priority="3" operator="greaterThan">
      <s:formula>1</s:formula>
    </s:cfRule>
  </s:conditionalFormatting>
  <s:conditionalFormatting sqref="O38">
    <s:cfRule type="cellIs" dxfId="56" priority="1012" operator="between">
      <s:formula>0.85</s:formula>
      <s:formula>1</s:formula>
    </s:cfRule>
    <s:cfRule type="cellIs" dxfId="55" priority="1015" operator="lessThan">
      <s:formula>0.9</s:formula>
    </s:cfRule>
    <s:cfRule type="cellIs" dxfId="54" priority="1016" operator="between">
      <s:formula>0.9001</s:formula>
      <s:formula>0.9999</s:formula>
    </s:cfRule>
  </s:conditionalFormatting>
  <s:conditionalFormatting sqref="O38:O47">
    <s:cfRule type="cellIs" dxfId="53" priority="171" operator="between">
      <s:formula>0.01</s:formula>
      <s:formula>0.99</s:formula>
    </s:cfRule>
  </s:conditionalFormatting>
  <s:conditionalFormatting sqref="O39:O44">
    <s:cfRule type="cellIs" dxfId="52" priority="170" operator="between">
      <s:formula>0.85</s:formula>
      <s:formula>1</s:formula>
    </s:cfRule>
  </s:conditionalFormatting>
  <s:conditionalFormatting sqref="O39:O47">
    <s:cfRule type="cellIs" dxfId="51" priority="167" operator="lessThan">
      <s:formula>0.9</s:formula>
    </s:cfRule>
    <s:cfRule type="cellIs" dxfId="50" priority="166" operator="between">
      <s:formula>0.9001</s:formula>
      <s:formula>0.9999</s:formula>
    </s:cfRule>
  </s:conditionalFormatting>
  <s:conditionalFormatting sqref="O45:O47">
    <s:cfRule type="cellIs" dxfId="49" priority="595" operator="between">
      <s:formula>0.85</s:formula>
      <s:formula>1</s:formula>
    </s:cfRule>
  </s:conditionalFormatting>
  <s:conditionalFormatting sqref="P10:Q10">
    <s:cfRule type="cellIs" dxfId="48" priority="871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800-000000000000}">
  <s:dimension ref="A1:IU53"/>
  <s:sheetViews>
    <s:sheetView tabSelected="0" topLeftCell="A17" workbookViewId="0">
      <s:selection activeCell="D52" sqref="D52"/>
    </s:sheetView>
  </s:sheetViews>
  <s:sheetFormatPr baseColWidth="10" defaultColWidth="9.164" defaultRowHeight="15"/>
  <s:cols>
    <s:col min="1" max="1" width="12.5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/>
    <s:col min="22" max="23" width="10.5" style="3" customWidth="1"/>
    <s:col min="24" max="33" width="9.164" style="3"/>
    <s:col min="34" max="255" width="9.164" style="2"/>
  </s:cols>
  <s:sheetData>
    <s:row r="1" spans="2:23" ht="15.75" customHeight="1">
      <s:c r="B1" s="635">
        <s:f ca="1">TODAY()-1</s:f>
        <s:v>46080</s:v>
      </s:c>
      <s:c r="C1" s="635"/>
      <s:c r="D1" s="397"/>
      <s:c r="E1" s="397"/>
      <s:c r="F1" s="52"/>
      <s:c r="G1" s="52"/>
      <s:c r="H1" s="52"/>
      <s:c r="I1" s="52"/>
      <s:c r="J1" s="398"/>
      <s:c r="K1" s="398"/>
      <s:c r="L1" s="398"/>
      <s:c r="M1" s="398"/>
      <s:c r="N1" s="398"/>
      <s:c r="O1" s="398"/>
      <s:c r="P1" s="398"/>
      <s:c r="Q1" s="636"/>
      <s:c r="R1" s="636"/>
      <s:c r="S1" s="636"/>
      <s:c r="T1" s="636"/>
      <s:c r="U1" s="52"/>
      <s:c r="V1" s="52"/>
      <s:c r="W1" s="52"/>
    </s:row>
    <s:row r="2" spans="2:23" ht="21.75" customHeight="1">
      <s:c r="B2" s="637" t="s">
        <s:v>0</s:v>
      </s:c>
      <s:c r="C2" s="637"/>
      <s:c r="D2" s="397"/>
      <s:c r="E2" s="397"/>
      <s:c r="F2" s="52"/>
      <s:c r="G2" s="52"/>
      <s:c r="H2" s="52"/>
      <s:c r="I2" s="52"/>
      <s:c r="J2" s="638" t="s">
        <s:v>61</s:v>
      </s:c>
      <s:c r="K2" s="638"/>
      <s:c r="L2" s="638"/>
      <s:c r="M2" s="638"/>
      <s:c r="N2" s="638"/>
      <s:c r="O2" s="638"/>
      <s:c r="P2" s="638"/>
      <s:c r="Q2" s="636"/>
      <s:c r="R2" s="636"/>
      <s:c r="S2" s="636"/>
      <s:c r="T2" s="636"/>
      <s:c r="U2" s="52"/>
      <s:c r="V2" s="52"/>
      <s:c r="W2" s="52"/>
    </s:row>
    <s:row r="3" spans="2:23" ht="14" customHeight="1">
      <s:c r="B3" s="399" t="s">
        <s:v>1</s:v>
      </s:c>
      <s:c r="C3" s="397"/>
      <s:c r="D3" s="397"/>
      <s:c r="E3" s="397"/>
      <s:c r="F3" s="52"/>
      <s:c r="G3" s="52"/>
      <s:c r="H3" s="52"/>
      <s:c r="I3" s="52"/>
      <s:c r="J3" s="639" t="str">
        <s:f>График!B27</s:f>
        <s:v>Орешникова Елена</s:v>
      </s:c>
      <s:c r="K3" s="639"/>
      <s:c r="L3" s="639"/>
      <s:c r="M3" s="639"/>
      <s:c r="N3" s="639"/>
      <s:c r="O3" s="398"/>
      <s:c r="P3" s="400"/>
      <s:c r="Q3" s="636"/>
      <s:c r="R3" s="636"/>
      <s:c r="S3" s="636"/>
      <s:c r="T3" s="636"/>
      <s:c r="U3" s="52"/>
      <s:c r="V3" s="52"/>
      <s:c r="W3" s="52"/>
    </s:row>
    <s:row r="4" spans="2:23" ht="15" customHeight="1">
      <s:c r="B4" s="397"/>
      <s:c r="C4" s="640">
        <s:f>I8-D48</s:f>
        <s:v>-6282.8503311258391</s:v>
      </s:c>
      <s:c r="D4" s="640"/>
      <s:c r="E4" s="401">
        <s:f>IF(I8&lt;&gt;0,C4/I8,0)</s:f>
        <s:v>-7.8620982368474743E-2</s:v>
      </s:c>
      <s:c r="F4" s="52"/>
      <s:c r="G4" s="52"/>
      <s:c r="H4" s="52"/>
      <s:c r="I4" s="52"/>
      <s:c r="J4" s="639"/>
      <s:c r="K4" s="639"/>
      <s:c r="L4" s="639"/>
      <s:c r="M4" s="639"/>
      <s:c r="N4" s="639"/>
      <s:c r="O4" s="52"/>
      <s:c r="P4" s="52"/>
      <s:c r="Q4" s="636"/>
      <s:c r="R4" s="636"/>
      <s:c r="S4" s="636"/>
      <s:c r="T4" s="636"/>
      <s:c r="U4" s="52"/>
      <s:c r="V4" s="52"/>
      <s:c r="W4" s="52"/>
    </s:row>
    <s:row r="5">
      <s:c r="B5" s="52"/>
      <s:c r="C5" s="52"/>
      <s:c r="D5" s="52"/>
      <s:c r="E5" s="52"/>
      <s:c r="F5" s="52"/>
      <s:c r="G5" s="52"/>
      <s:c r="H5" s="52"/>
      <s:c r="I5" s="52"/>
      <s:c r="J5" s="634"/>
      <s:c r="K5" s="634"/>
      <s:c r="L5" s="634"/>
      <s:c r="M5" s="634"/>
      <s:c r="N5" s="634"/>
      <s:c r="O5" s="52"/>
      <s:c r="P5" s="52"/>
      <s:c r="Q5" s="52"/>
      <s:c r="R5" s="52"/>
      <s:c r="S5" s="52"/>
      <s:c r="T5" s="52"/>
      <s:c r="U5" s="52"/>
      <s:c r="V5" s="52"/>
      <s:c r="W5" s="52"/>
    </s:row>
    <s:row r="6" spans="2:23" ht="15.75" customHeight="1">
      <s:c r="B6" s="402"/>
      <s:c r="C6" s="52"/>
      <s:c r="D6" s="52"/>
      <s:c r="E6" s="5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35"/>
      <s:c r="S6" s="35"/>
      <s:c r="T6" s="52"/>
      <s:c r="U6" s="52"/>
      <s:c r="V6" s="52"/>
      <s:c r="W6" s="52"/>
    </s:row>
    <s:row r="7" spans="2:23" ht="50.75" customHeight="1">
      <s:c r="B7" s="402"/>
      <s:c r="C7" s="52"/>
      <s:c r="D7" s="52"/>
      <s:c r="E7" s="52"/>
      <s:c r="F7" s="571" t="s">
        <s:v>3</s:v>
      </s:c>
      <s:c r="G7" s="572"/>
      <s:c r="H7" s="573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74" t="s">
        <s:v>11</s:v>
      </s:c>
      <s:c r="Q7" s="575"/>
      <s:c r="R7" s="35"/>
      <s:c r="S7" s="35"/>
      <s:c r="T7" s="52"/>
      <s:c r="U7" s="52"/>
      <s:c r="V7" s="52"/>
      <s:c r="W7" s="52"/>
    </s:row>
    <s:row r="8" spans="2:23" ht="15.75" customHeight="1">
      <s:c r="B8" s="402"/>
      <s:c r="C8" s="52"/>
      <s:c r="D8" s="52"/>
      <s:c r="E8" s="52"/>
      <s:c r="F8" s="567" t="s">
        <s:v>12</s:v>
      </s:c>
      <s:c r="G8" s="568"/>
      <s:c r="H8" s="569"/>
      <s:c r="I8" s="181">
        <s:f>'Ялта, Ленина, 18'!I8/График!AJ31*График!AJ28</s:f>
        <s:v>79913.149668874161</s:v>
      </s:c>
      <s:c r="J8" s="182">
        <s:f>D48</s:f>
        <s:v>86196</s:v>
      </s:c>
      <s:c r="K8" s="183">
        <s:f>IF(AND(I8&lt;&gt;"", I8&lt;&gt;0, J8&lt;&gt;""), J8/I8, "")</s:f>
        <s:v>1.0786209823684747</s:v>
      </s:c>
      <s:c r="L8" s="184">
        <s:f>IF(SUMIF($D$25:$D$47,"&gt;=0",$P$25:$P$47)&lt;&gt;0,I8*D48/SUMIF($D$25:$D$47,"&gt;=0",$P$25:$P$47),0)</s:f>
        <s:v>86196</s:v>
      </s:c>
      <s:c r="M8" s="31">
        <s:f>IF(AND(I8&lt;&gt;"", I8&lt;&gt;0, L8&lt;&gt;"", L8&lt;&gt;0), L8/I8, "")</s:f>
        <s:v>1.0786209823684747</s:v>
      </s:c>
      <s:c r="N8" s="32">
        <s:f>IF(AND(J8&lt;&gt;0, J8&lt;&gt;"", I8&lt;&gt;0, I8&lt;&gt;""), L8-I8, "")</s:f>
        <s:v>6282.8503311258391</s:v>
      </s:c>
      <s:c r="O8" s="33"/>
      <s:c r="P8" s="32" t="str">
        <s:f>IF(AND(O8&lt;&gt;"", O8&lt;&gt;0, L8&lt;&gt;"", L8&lt;&gt;0), -O8+L8, "")</s:f>
        <s:v/>
      </s:c>
      <s:c r="Q8" s="34" t="str">
        <s:f>IF(AND(P8&lt;&gt;"", P8&lt;&gt;0, O8&lt;&gt;0, O8&lt;&gt;""), P8/O8, "")</s:f>
        <s:v/>
      </s:c>
      <s:c r="R8" s="35"/>
      <s:c r="S8" s="35"/>
      <s:c r="T8" s="52"/>
      <s:c r="U8" s="52"/>
      <s:c r="V8" s="52"/>
      <s:c r="W8" s="52"/>
    </s:row>
    <s:row r="9" spans="2:23" ht="15.75" customHeight="1">
      <s:c r="B9" s="402"/>
      <s:c r="C9" s="52"/>
      <s:c r="D9" s="52"/>
      <s:c r="E9" s="52"/>
      <s:c r="F9" s="559" t="s">
        <s:v>13</s:v>
      </s:c>
      <s:c r="G9" s="560"/>
      <s:c r="H9" s="561"/>
      <s:c r="I9" s="36">
        <s:f>I8/I11</s:f>
        <s:v>20.805298013245029</s:v>
      </s:c>
      <s:c r="J9" s="37">
        <s:f>E48</s:f>
        <s:v>25</s:v>
      </s:c>
      <s:c r="K9" s="186">
        <s:f>IF(AND(I9&lt;&gt;"", I9&lt;&gt;0, J9&lt;&gt;""), J9/I9, "")</s:f>
        <s:v>1.2016170104405401</s:v>
      </s:c>
      <s:c r="L9" s="187">
        <s:f>IF(SUMIF($E$25:$E$47,"&gt;=0",$Q$25:$Q$47)&lt;&gt;0,I9*E48/SUMIF($E$25:$E$47,"&gt;=0",$Q$25:$Q$47),0)</s:f>
        <s:v>25</s:v>
      </s:c>
      <s:c r="M9" s="40">
        <s:f>IF(AND(I9&lt;&gt;"", I9&lt;&gt;0, L9&lt;&gt;"", L9&lt;&gt;0), L9/I9, "")</s:f>
        <s:v>1.2016170104405401</s:v>
      </s:c>
      <s:c r="N9" s="41">
        <s:f>IF(AND(J9&lt;&gt;0, J9&lt;&gt;"", I9&lt;&gt;0, I9&lt;&gt;""), L9-I9, "")</s:f>
        <s:v>4.1947019867549713</s:v>
      </s:c>
      <s:c r="O9" s="42" t="e">
        <s:f>O8/O11</s:f>
        <s:v>#DIV/0!</s:v>
      </s:c>
      <s:c r="P9" s="41" t="e">
        <s:f>IF(AND(O9&lt;&gt;"", O9&lt;&gt;0, L9&lt;&gt;"", L9&lt;&gt;0), -O9+L9, "")</s:f>
        <s:v>#DIV/0!</s:v>
      </s:c>
      <s:c r="Q9" s="43" t="e">
        <s:f>IF(AND(P9&lt;&gt;"", P9&lt;&gt;0, O9&lt;&gt;0, O9&lt;&gt;""), P9/O9, "")</s:f>
        <s:v>#DIV/0!</s:v>
      </s:c>
      <s:c r="R9" s="35"/>
      <s:c r="S9" s="35"/>
      <s:c r="T9" s="52"/>
      <s:c r="U9" s="52"/>
      <s:c r="V9" s="52"/>
      <s:c r="W9" s="52"/>
    </s:row>
    <s:row r="10" spans="2:23" ht="15.75" customHeight="1">
      <s:c r="B10" s="402"/>
      <s:c r="C10" s="52"/>
      <s:c r="D10" s="52"/>
      <s:c r="E10" s="52"/>
      <s:c r="F10" s="567" t="s">
        <s:v>14</s:v>
      </s:c>
      <s:c r="G10" s="568"/>
      <s:c r="H10" s="569"/>
      <s:c r="I10" s="48">
        <s:f>I11*I12</s:f>
        <s:v>7682</s:v>
      </s:c>
      <s:c r="J10" s="189">
        <s:f>H48</s:f>
        <s:v>7183</s:v>
      </s:c>
      <s:c r="K10" s="190">
        <s:f>IF(AND(I10&lt;&gt;"", I10&lt;&gt;0, J10&lt;&gt;""), J10/I10, "")</s:f>
        <s:v>0.9350429575631346</s:v>
      </s:c>
      <s:c r="L10" s="187">
        <s:f>J10</s:f>
        <s:v>7183</s:v>
      </s:c>
      <s:c r="M10" s="46">
        <s:f>IF(AND(I10&lt;&gt;"", I10&lt;&gt;0, L10&lt;&gt;"", L10&lt;&gt;0), L10/I10, "")</s:f>
        <s:v>0.9350429575631346</s:v>
      </s:c>
      <s:c r="N10" s="47">
        <s:f>IF(AND(J10&lt;&gt;0, J10&lt;&gt;"", I10&lt;&gt;0, I10&lt;&gt;""), L10-I10, "")</s:f>
        <s:v>-499</s:v>
      </s:c>
      <s:c r="O10" s="48">
        <s:f>O11*O12</s:f>
        <s:v>0</s:v>
      </s:c>
      <s:c r="P10" s="47" t="str">
        <s:f>IF(AND(O10&lt;&gt;"", O10&lt;&gt;0, L10&lt;&gt;"", L10&lt;&gt;0), -O10+L10, "")</s:f>
        <s:v/>
      </s:c>
      <s:c r="Q10" s="49" t="str">
        <s:f>IF(AND(P10&lt;&gt;"", P10&lt;&gt;0, O10&lt;&gt;0, O10&lt;&gt;""), P10/O10, "")</s:f>
        <s:v/>
      </s:c>
      <s:c r="R10" s="35"/>
      <s:c r="S10" s="35"/>
      <s:c r="T10" s="52"/>
      <s:c r="U10" s="52"/>
      <s:c r="V10" s="52"/>
      <s:c r="W10" s="52"/>
    </s:row>
    <s:row r="11" spans="2:23" ht="15.75" customHeight="1">
      <s:c r="B11" s="402"/>
      <s:c r="C11" s="52"/>
      <s:c r="D11" s="52"/>
      <s:c r="E11" s="52"/>
      <s:c r="F11" s="559" t="s">
        <s:v>15</s:v>
      </s:c>
      <s:c r="G11" s="560"/>
      <s:c r="H11" s="561"/>
      <s:c r="I11" s="50">
        <s:f>'Ялта, Ленина, 18'!I11</s:f>
        <s:v>3841</s:v>
      </s:c>
      <s:c r="J11" s="37">
        <s:f>F48</s:f>
        <s:v>3447.84</s:v>
      </s:c>
      <s:c r="K11" s="192">
        <s:f>IF(AND(I11&lt;&gt;"", I11&lt;&gt;0, J11&lt;&gt;""), J11/I11, "")</s:f>
        <s:v>0.89764123926060924</s:v>
      </s:c>
      <s:c r="L11" s="187">
        <s:f>IF(L9&gt;0, L8/L9, "")</s:f>
        <s:v>3447.84</s:v>
      </s:c>
      <s:c r="M11" s="40">
        <s:f>IF(AND(I11&lt;&gt;"", I11&lt;&gt;0, L11&lt;&gt;"", L11&lt;&gt;0), L11/I11, "")</s:f>
        <s:v>0.89764123926060924</s:v>
      </s:c>
      <s:c r="N11" s="41">
        <s:f>IF(AND(J11&lt;&gt;0, J11&lt;&gt;"", I11&lt;&gt;0, I11&lt;&gt;""), L11-I11, "")</s:f>
        <s:v>-393.15999999999985</s:v>
      </s:c>
      <s:c r="O11" s="51"/>
      <s:c r="P11" s="41" t="str">
        <s:f>IF(AND(O11&lt;&gt;"", O11&lt;&gt;0, L11&lt;&gt;"", L11&lt;&gt;0), -O11+L11, "")</s:f>
        <s:v/>
      </s:c>
      <s:c r="Q11" s="43" t="str">
        <s:f>IF(AND(P11&lt;&gt;"", P11&lt;&gt;0, O11&lt;&gt;0, O11&lt;&gt;""), P11/O11, "")</s:f>
        <s:v/>
      </s:c>
      <s:c r="R11" s="35"/>
      <s:c r="S11" s="52"/>
      <s:c r="T11" s="52"/>
      <s:c r="U11" s="52"/>
      <s:c r="V11" s="52"/>
      <s:c r="W11" s="52"/>
    </s:row>
    <s:row r="12" spans="2:23" ht="15.75" customHeight="1">
      <s:c r="B12" s="402"/>
      <s:c r="C12" s="52"/>
      <s:c r="D12" s="52"/>
      <s:c r="E12" s="52"/>
      <s:c r="F12" s="559" t="s">
        <s:v>16</s:v>
      </s:c>
      <s:c r="G12" s="560"/>
      <s:c r="H12" s="561"/>
      <s:c r="I12" s="53">
        <s:f>'Ялта, Ленина, 18'!I12</s:f>
        <s:v>2</s:v>
      </s:c>
      <s:c r="J12" s="54">
        <s:f>J48</s:f>
        <s:v>2.0833333333333335</s:v>
      </s:c>
      <s:c r="K12" s="192">
        <s:f>IF(AND(I12&lt;&gt;"", I12&lt;&gt;0, J12&lt;&gt;""), J12/I12, "")</s:f>
        <s:v>1.0416666666666667</s:v>
      </s:c>
      <s:c r="L12" s="193">
        <s:f>J12</s:f>
        <s:v>2.0833333333333335</s:v>
      </s:c>
      <s:c r="M12" s="40">
        <s:f>IF(AND(I12&lt;&gt;"", I12&lt;&gt;0, L12&lt;&gt;"", L12&lt;&gt;0), L12/I12, "")</s:f>
        <s:v>1.0416666666666667</s:v>
      </s:c>
      <s:c r="N12" s="55">
        <s:f>IF(AND(J12&lt;&gt;0, J12&lt;&gt;"", I12&lt;&gt;0, I12&lt;&gt;""), L12-I12, "")</s:f>
        <s:v>8.3333333333333481E-2</s:v>
      </s:c>
      <s:c r="O12" s="56"/>
      <s:c r="P12" s="41" t="str">
        <s:f>IF(AND(O12&lt;&gt;"", O12&lt;&gt;0, L12&lt;&gt;"", L12&lt;&gt;0), -O12+L12, "")</s:f>
        <s:v/>
      </s:c>
      <s:c r="Q12" s="43" t="str">
        <s:f>IF(AND(P12&lt;&gt;"", P12&lt;&gt;0, O12&lt;&gt;0, O12&lt;&gt;""), P12/O12, "")</s:f>
        <s:v/>
      </s:c>
      <s:c r="R12" s="35"/>
      <s:c r="S12" s="52"/>
      <s:c r="T12" s="52"/>
      <s:c r="U12" s="52"/>
      <s:c r="V12" s="52"/>
      <s:c r="W12" s="52"/>
    </s:row>
    <s:row r="13" spans="2:23" ht="15.75" customHeight="1">
      <s:c r="B13" s="402"/>
      <s:c r="C13" s="52"/>
      <s:c r="D13" s="52"/>
      <s:c r="E13" s="52"/>
      <s:c r="F13" s="559" t="s">
        <s:v>17</s:v>
      </s:c>
      <s:c r="G13" s="560"/>
      <s:c r="H13" s="561"/>
      <s:c r="I13" s="36">
        <s:f>IF(I12&lt;&gt;0, I9/I12, "")</s:f>
        <s:v>10.402649006622514</s:v>
      </s:c>
      <s:c r="J13" s="37">
        <s:f>G48</s:f>
        <s:v>12</s:v>
      </s:c>
      <s:c r="K13" s="192">
        <s:f>IF(AND(I13&lt;&gt;"", I13&lt;&gt;0, J13&lt;&gt;""), J13/I13, "")</s:f>
        <s:v>1.1535523300229185</s:v>
      </s:c>
      <s:c r="L13" s="187">
        <s:f>IF(SUMIF($G$25:$G$47,"&gt;=0",$R$25:$R$47)&lt;&gt;0,I13*G48/SUMIF($G$25:$G$47,"&gt;=0",$R$25:$R$47),"")</s:f>
        <s:v>12</s:v>
      </s:c>
      <s:c r="M13" s="40">
        <s:f>IF(AND(I13&lt;&gt;"", I13&lt;&gt;0, L13&lt;&gt;"", L13&lt;&gt;0), L13/I13, "")</s:f>
        <s:v>1.1535523300229185</s:v>
      </s:c>
      <s:c r="N13" s="55">
        <s:f>IF(AND(J13&lt;&gt;0, J13&lt;&gt;"", I13&lt;&gt;0, I13&lt;&gt;""), L13-I13, "")</s:f>
        <s:v>1.5973509933774857</s:v>
      </s:c>
      <s:c r="O13" s="57"/>
      <s:c r="P13" s="41" t="str">
        <s:f>IF(AND(O13&lt;&gt;"", O13&lt;&gt;0, L13&lt;&gt;"", L13&lt;&gt;0), -O13+L13, "")</s:f>
        <s:v/>
      </s:c>
      <s:c r="Q13" s="43" t="str">
        <s:f>IF(AND(P13&lt;&gt;"", P13&lt;&gt;0, O13&lt;&gt;0, O13&lt;&gt;""), P13/O13, "")</s:f>
        <s:v/>
      </s:c>
      <s:c r="R13" s="35"/>
      <s:c r="S13" s="52"/>
      <s:c r="T13" s="52"/>
      <s:c r="U13" s="52"/>
      <s:c r="V13" s="52"/>
      <s:c r="W13" s="52"/>
    </s:row>
    <s:row r="14" spans="2:23" ht="15.75" customHeight="1">
      <s:c r="B14" s="402"/>
      <s:c r="C14" s="52"/>
      <s:c r="D14" s="52"/>
      <s:c r="E14" s="52"/>
      <s:c r="F14" s="559" t="s">
        <s:v>59</s:v>
      </s:c>
      <s:c r="G14" s="560"/>
      <s:c r="H14" s="561"/>
      <s:c r="I14" s="50">
        <s:f>График!AI28</s:f>
        <s:v>2</s:v>
      </s:c>
      <s:c r="J14" s="58">
        <s:v>2</s:v>
      </s:c>
      <s:c r="K14" s="186">
        <s:f>IF(AND(I14&lt;&gt;"", I14&lt;&gt;0, J14&lt;&gt;""), J14/I14, "")</s:f>
        <s:v>1</s:v>
      </s:c>
      <s:c r="L14" s="187">
        <s:f>IF(SUMIF($D$25:$D$47,"&gt;=0",$P$25:$P$47),I48*I8/SUMIF($D$25:$D$47,"&gt;=0",$P$25:$P$47),"")</s:f>
        <s:v>42</s:v>
      </s:c>
      <s:c r="M14" s="40">
        <s:f>IF(AND(I14&lt;&gt;"", I14&lt;&gt;0, L14&lt;&gt;"", L14&lt;&gt;0), L14/I14, "")</s:f>
        <s:v>21</s:v>
      </s:c>
      <s:c r="N14" s="41">
        <s:f>IF(AND(J14&lt;&gt;0, J14&lt;&gt;"", I14&lt;&gt;0, I14&lt;&gt;""), L14-I14, "")</s:f>
        <s:v>40</s:v>
      </s:c>
      <s:c r="O14" s="57"/>
      <s:c r="P14" s="41" t="str">
        <s:f>IF(AND(O14&lt;&gt;"", O14&lt;&gt;0, L14&lt;&gt;"", L14&lt;&gt;0), -O14+L14, "")</s:f>
        <s:v/>
      </s:c>
      <s:c r="Q14" s="43" t="str">
        <s:f>IF(AND(P14&lt;&gt;"", P14&lt;&gt;0, O14&lt;&gt;0, O14&lt;&gt;""), P14/O14, "")</s:f>
        <s:v/>
      </s:c>
      <s:c r="R14" s="35"/>
      <s:c r="S14" s="59"/>
      <s:c r="T14" s="52"/>
      <s:c r="U14" s="52"/>
      <s:c r="V14" s="52"/>
      <s:c r="W14" s="52"/>
    </s:row>
    <s:row r="15" spans="2:23" ht="15.75" customHeight="1">
      <s:c r="B15" s="402"/>
      <s:c r="C15" s="52"/>
      <s:c r="D15" s="52"/>
      <s:c r="E15" s="52"/>
      <s:c r="F15" s="559" t="s">
        <s:v>19</s:v>
      </s:c>
      <s:c r="G15" s="560"/>
      <s:c r="H15" s="561"/>
      <s:c r="I15" s="69">
        <s:f>'Ялта, Ленина, 18'!I15</s:f>
        <s:v>39178.199999999997</s:v>
      </s:c>
      <s:c r="J15" s="61">
        <s:f>J8/J14</s:f>
        <s:v>43098</s:v>
      </s:c>
      <s:c r="K15" s="195">
        <s:f>IF(AND(I15&lt;&gt;"", I15&lt;&gt;0, J15&lt;&gt;""), J15/I15, "")</s:f>
        <s:v>1.1000505383095702</s:v>
      </s:c>
      <s:c r="L15" s="70">
        <s:f>J15</s:f>
        <s:v>43098</s:v>
      </s:c>
      <s:c r="M15" s="64">
        <s:f>IF(AND(I15&lt;&gt;"", I15&lt;&gt;0, L15&lt;&gt;"", L15&lt;&gt;0), L15/I15, "")</s:f>
        <s:v>1.1000505383095702</s:v>
      </s:c>
      <s:c r="N15" s="41">
        <s:f>IF(AND(J15&lt;&gt;0, J15&lt;&gt;"", I15&lt;&gt;0, I15&lt;&gt;""), L15-I15, "")</s:f>
        <s:v>3919.8000000000029</s:v>
      </s:c>
      <s:c r="O15" s="65"/>
      <s:c r="P15" s="41" t="str">
        <s:f>IF(AND(O15&lt;&gt;"", O15&lt;&gt;0, L15&lt;&gt;"", L15&lt;&gt;0), -O15+L15, "")</s:f>
        <s:v/>
      </s:c>
      <s:c r="Q15" s="43" t="str">
        <s:f>IF(AND(P15&lt;&gt;"", P15&lt;&gt;0, O15&lt;&gt;0, O15&lt;&gt;""), P15/O15, "")</s:f>
        <s:v/>
      </s:c>
      <s:c r="R15" s="35"/>
      <s:c r="S15" s="35"/>
      <s:c r="T15" s="52"/>
      <s:c r="U15" s="52"/>
      <s:c r="V15" s="52"/>
      <s:c r="W15" s="52"/>
    </s:row>
    <s:row r="16" spans="2:23" ht="15.75" customHeight="1">
      <s:c r="B16" s="402"/>
      <s:c r="C16" s="52"/>
      <s:c r="D16" s="52"/>
      <s:c r="E16" s="52"/>
      <s:c r="F16" s="559" t="s">
        <s:v>20</s:v>
      </s:c>
      <s:c r="G16" s="560"/>
      <s:c r="H16" s="561"/>
      <s:c r="I16" s="69"/>
      <s:c r="J16" s="61">
        <s:f>J8-I15*J14</s:f>
        <s:v>7839.6000000000058</s:v>
      </s:c>
      <s:c r="K16" s="195" t="str">
        <s:f>IF(AND(I16&lt;&gt;"", I16&lt;&gt;0, J16&lt;&gt;""), J16/I16, "")</s:f>
        <s:v/>
      </s:c>
      <s:c r="L16" s="70">
        <s:f>J16</s:f>
        <s:v>7839.6000000000058</s:v>
      </s:c>
      <s:c r="M16" s="67" t="str">
        <s:f>IF(AND(I16&lt;&gt;"", I16&lt;&gt;0, L16&lt;&gt;"", L16&lt;&gt;0), L16/I16, "")</s:f>
        <s:v/>
      </s:c>
      <s:c r="N16" s="41" t="str">
        <s:f>IF(AND(J16&lt;&gt;0, J16&lt;&gt;"", I16&lt;&gt;0, I16&lt;&gt;""), L16-I16, "")</s:f>
        <s:v/>
      </s:c>
      <s:c r="O16" s="65"/>
      <s:c r="P16" s="41" t="str">
        <s:f>IF(AND(O16&lt;&gt;"", O16&lt;&gt;0, L16&lt;&gt;"", L16&lt;&gt;0), -O16+L16, "")</s:f>
        <s:v/>
      </s:c>
      <s:c r="Q16" s="43" t="str">
        <s:f>IF(AND(P16&lt;&gt;"", P16&lt;&gt;0, O16&lt;&gt;0, O16&lt;&gt;""), P16/O16, "")</s:f>
        <s:v/>
      </s:c>
      <s:c r="R16" s="35"/>
      <s:c r="S16" s="566" t="s">
        <s:v>21</s:v>
      </s:c>
      <s:c r="T16" s="52"/>
      <s:c r="U16" s="52"/>
      <s:c r="V16" s="52"/>
      <s:c r="W16" s="52"/>
    </s:row>
    <s:row r="17" spans="1:255" ht="15.75" customHeight="1">
      <s:c r="B17" s="402"/>
      <s:c r="C17" s="52"/>
      <s:c r="D17" s="52"/>
      <s:c r="E17" s="52"/>
      <s:c r="F17" s="559" t="s">
        <s:v>22</s:v>
      </s:c>
      <s:c r="G17" s="560"/>
      <s:c r="H17" s="561"/>
      <s:c r="I17" s="69">
        <s:f>'Ялта, Ленина, 18'!I17/График!AJ31*График!AJ28</s:f>
        <s:v>34.675496688741724</s:v>
      </s:c>
      <s:c r="J17" s="61">
        <s:f>I48</s:f>
        <s:v>42</s:v>
      </s:c>
      <s:c r="K17" s="195">
        <s:f>IF(AND(I17&lt;&gt;"", I17&lt;&gt;0, J17&lt;&gt;""), J17/I17, "")</s:f>
        <s:v>1.2112299465240641</s:v>
      </s:c>
      <s:c r="L17" s="70">
        <s:f>J17/J14*I14</s:f>
        <s:v>42</s:v>
      </s:c>
      <s:c r="M17" s="67">
        <s:f>IF(AND(I17&lt;&gt;"", I17&lt;&gt;0, L17&lt;&gt;"", L17&lt;&gt;0), L17/I17, "")</s:f>
        <s:v>1.2112299465240641</s:v>
      </s:c>
      <s:c r="N17" s="41">
        <s:f>IF(AND(J17&lt;&gt;0, J17&lt;&gt;"", I17&lt;&gt;0, I17&lt;&gt;""), L17-I17, "")</s:f>
        <s:v>7.324503311258276</s:v>
      </s:c>
      <s:c r="O17" s="65"/>
      <s:c r="P17" s="41" t="str">
        <s:f>IF(AND(O17&lt;&gt;"", O17&lt;&gt;0, L17&lt;&gt;"", L17&lt;&gt;0), -O17+L17, "")</s:f>
        <s:v/>
      </s:c>
      <s:c r="Q17" s="43" t="str">
        <s:f>IF(AND(P17&lt;&gt;"", P17&lt;&gt;0, O17&lt;&gt;0, O17&lt;&gt;""), P17/O17, "")</s:f>
        <s:v/>
      </s:c>
      <s:c r="R17" s="35"/>
      <s:c r="S17" s="566"/>
      <s:c r="T17" s="52"/>
      <s:c r="U17" s="52"/>
      <s:c r="V17" s="52"/>
      <s:c r="W17" s="52"/>
    </s:row>
    <s:row r="18" spans="1:255" ht="15.75" customHeight="1">
      <s:c r="B18" s="402"/>
      <s:c r="C18" s="52"/>
      <s:c r="D18" s="52"/>
      <s:c r="E18" s="52"/>
      <s:c r="F18" s="559"/>
      <s:c r="G18" s="560"/>
      <s:c r="H18" s="561"/>
      <s:c r="I18" s="71"/>
      <s:c r="J18" s="61"/>
      <s:c r="K18" s="195" t="str">
        <s:f>IF(AND(I18&lt;&gt;"", I18&lt;&gt;0, J18&lt;&gt;""), J18/I18, "")</s:f>
        <s:v/>
      </s:c>
      <s:c r="L18" s="70">
        <s:f>J18</s:f>
        <s:v>0</s:v>
      </s:c>
      <s:c r="M18" s="67" t="str">
        <s:f>IF(AND(I18&lt;&gt;"", I18&lt;&gt;0, L18&lt;&gt;"", L18&lt;&gt;0), L18/I18, "")</s:f>
        <s:v/>
      </s:c>
      <s:c r="N18" s="41" t="str">
        <s:f>IF(AND(J18&lt;&gt;0, J18&lt;&gt;"", I18&lt;&gt;0, I18&lt;&gt;""), L18-I18, "")</s:f>
        <s:v/>
      </s:c>
      <s:c r="O18" s="72">
        <s:v>0</s:v>
      </s:c>
      <s:c r="P18" s="41" t="str">
        <s:f>IF(AND(O18&lt;&gt;"", O18&lt;&gt;0, L18&lt;&gt;"", L18&lt;&gt;0), -O18+L18, "")</s:f>
        <s:v/>
      </s:c>
      <s:c r="Q18" s="43" t="str">
        <s:f>IF(AND(P18&lt;&gt;"", P18&lt;&gt;0, O18&lt;&gt;0, O18&lt;&gt;""), P18/O18, "")</s:f>
        <s:v/>
      </s:c>
      <s:c r="R18" s="35"/>
      <s:c r="S18" s="73"/>
      <s:c r="T18" s="52"/>
      <s:c r="U18" s="52"/>
      <s:c r="V18" s="52"/>
      <s:c r="W18" s="52"/>
    </s:row>
    <s:row r="19" spans="1:255" ht="15.75" customHeight="1">
      <s:c r="B19" s="402"/>
      <s:c r="C19" s="52"/>
      <s:c r="D19" s="52"/>
      <s:c r="E19" s="52"/>
      <s:c r="F19" s="559"/>
      <s:c r="G19" s="560"/>
      <s:c r="H19" s="561"/>
      <s:c r="I19" s="71"/>
      <s:c r="J19" s="61"/>
      <s:c r="K19" s="195" t="str">
        <s:f>IF(AND(I19&lt;&gt;"", I19&lt;&gt;0, J19&lt;&gt;""), J19/I19, "")</s:f>
        <s:v/>
      </s:c>
      <s:c r="L19" s="70">
        <s:f>J19</s:f>
        <s:v>0</s:v>
      </s:c>
      <s:c r="M19" s="67" t="str">
        <s:f>IF(AND(I19&lt;&gt;"", I19&lt;&gt;0, L19&lt;&gt;"", L19&lt;&gt;0), L19/I19, "")</s:f>
        <s:v/>
      </s:c>
      <s:c r="N19" s="41" t="str">
        <s:f>IF(AND(J19&lt;&gt;0, J19&lt;&gt;"", I19&lt;&gt;0, I19&lt;&gt;""), L19-I19, "")</s:f>
        <s:v/>
      </s:c>
      <s:c r="O19" s="65">
        <s:v>0</s:v>
      </s:c>
      <s:c r="P19" s="41" t="str">
        <s:f>IF(AND(O19&lt;&gt;"", O19&lt;&gt;0, L19&lt;&gt;"", L19&lt;&gt;0), -O19+L19, "")</s:f>
        <s:v/>
      </s:c>
      <s:c r="Q19" s="43" t="str">
        <s:f>IF(AND(P19&lt;&gt;"", P19&lt;&gt;0, O19&lt;&gt;0, O19&lt;&gt;""), P19/O19, "")</s:f>
        <s:v/>
      </s:c>
      <s:c r="R19" s="35"/>
      <s:c r="S19" s="74" t="e">
        <s:f>S18/I16</s:f>
        <s:v>#DIV/0!</s:v>
      </s:c>
      <s:c r="T19" s="52"/>
      <s:c r="U19" s="52"/>
      <s:c r="V19" s="52"/>
      <s:c r="W19" s="52"/>
    </s:row>
    <s:row r="20" spans="1:255" ht="15.75" customHeight="1">
      <s:c r="B20" s="402"/>
      <s:c r="C20" s="52"/>
      <s:c r="D20" s="52"/>
      <s:c r="E20" s="52"/>
      <s:c r="F20" s="562" t="s">
        <s:v>23</s:v>
      </s:c>
      <s:c r="G20" s="562"/>
      <s:c r="H20" s="562"/>
      <s:c r="I20" s="75">
        <s:f>'Ялта, Ленина, 18'!I20</s:f>
        <s:v>0.3</s:v>
      </s:c>
      <s:c r="J20" s="200">
        <s:f>N48</s:f>
        <s:v>0.2857142857142857</s:v>
      </s:c>
      <s:c r="K20" s="200">
        <s:f>J20/I20</s:f>
        <s:v>0.95238095238095233</s:v>
      </s:c>
      <s:c r="L20" s="201">
        <s:f>IF(AND(K8&lt;&gt;0,I14&lt;&gt;0,I48&lt;&gt;0),(I48*N48+(I48/K8-I48)*I20)/(I48/K8),0)</s:f>
        <s:v>0.2845911288233075</s:v>
      </s:c>
      <s:c r="M20" s="77">
        <s:f>IF(AND(I20&lt;&gt;"", I20&lt;&gt;0, L20&lt;&gt;"", L20&lt;&gt;0), L20/I20, "")</s:f>
        <s:v>0.94863709607769175</s:v>
      </s:c>
      <s:c r="N20" s="78">
        <s:f>IF(AND(J20&lt;&gt;0, J20&lt;&gt;"", I20&lt;&gt;0, I20&lt;&gt;""), L20-I20, "")</s:f>
        <s:v>-1.5408871176692485E-2</s:v>
      </s:c>
      <s:c r="O20" s="79"/>
      <s:c r="P20" s="80" t="str">
        <s:f>IF(AND(O20&lt;&gt;"", O20&lt;&gt;0, L20&lt;&gt;"", L20&lt;&gt;0), -O20+L20, "")</s:f>
        <s:v/>
      </s:c>
      <s:c r="Q20" s="81" t="str">
        <s:f>IF(AND(P20&lt;&gt;"", P20&lt;&gt;0, O20&lt;&gt;0, O20&lt;&gt;""), P20/O20, "")</s:f>
        <s:v/>
      </s:c>
      <s:c r="R20" s="35"/>
      <s:c r="S20" s="35"/>
      <s:c r="T20" s="52"/>
      <s:c r="U20" s="52"/>
      <s:c r="V20" s="52"/>
      <s:c r="W20" s="52"/>
    </s:row>
    <s:row r="21" spans="1:255" ht="15.75" customHeight="1">
      <s:c r="B21" s="402"/>
      <s:c r="C21" s="52"/>
      <s:c r="D21" s="52"/>
      <s:c r="E21" s="52"/>
      <s:c r="F21" s="52"/>
      <s:c r="G21" s="52"/>
      <s:c r="H21" s="52"/>
      <s:c r="I21" s="52"/>
      <s:c r="J21" s="52"/>
      <s:c r="K21" s="52"/>
      <s:c r="L21" s="52"/>
      <s:c r="M21" s="52"/>
      <s:c r="N21" s="52"/>
      <s:c r="O21" s="52"/>
      <s:c r="P21" s="52"/>
      <s:c r="Q21" s="52"/>
      <s:c r="R21" s="35"/>
      <s:c r="S21" s="35"/>
      <s:c r="T21" s="52"/>
      <s:c r="U21" s="52"/>
      <s:c r="V21" s="52"/>
      <s:c r="W21" s="52"/>
    </s:row>
    <s:row r="22" spans="1:255" ht="16.5" customHeight="1">
      <s:c r="B22" s="632" t="s">
        <s:v>24</s:v>
      </s:c>
      <s:c r="C22" s="632"/>
      <s:c r="D22" s="632"/>
      <s:c r="E22" s="632"/>
      <s:c r="F22" s="632"/>
      <s:c r="G22" s="632"/>
      <s:c r="H22" s="632"/>
      <s:c r="I22" s="632"/>
      <s:c r="J22" s="632"/>
      <s:c r="K22" s="632"/>
      <s:c r="L22" s="632"/>
      <s:c r="M22" s="632"/>
      <s:c r="N22" s="632"/>
      <s:c r="O22" s="633" t="s">
        <s:v>25</s:v>
      </s:c>
      <s:c r="P22" s="632" t="s">
        <s:v>26</s:v>
      </s:c>
      <s:c r="Q22" s="632"/>
      <s:c r="R22" s="632"/>
      <s:c r="S22" s="632"/>
      <s:c r="T22" s="632"/>
      <s:c r="U22" s="632"/>
      <s:c r="V22" s="632"/>
      <s:c r="W22" s="632"/>
    </s:row>
    <s:row r="23" ht="36">
      <s:c r="B23" s="203" t="s">
        <s:v>28</s:v>
      </s:c>
      <s:c r="C23" s="203" t="s">
        <s:v>29</s:v>
      </s:c>
      <s:c r="D23" s="203" t="s">
        <s:v>30</s:v>
      </s:c>
      <s:c r="E23" s="203" t="s">
        <s:v>31</s:v>
      </s:c>
      <s:c r="F23" s="203" t="s">
        <s:v>32</s:v>
      </s:c>
      <s:c r="G23" s="203" t="s">
        <s:v>33</s:v>
      </s:c>
      <s:c r="H23" s="203" t="s">
        <s:v>34</s:v>
      </s:c>
      <s:c r="I23" s="203" t="s">
        <s:v>22</s:v>
      </s:c>
      <s:c r="J23" s="203" t="s">
        <s:v>35</s:v>
      </s:c>
      <s:c r="K23" s="203" t="s">
        <s:v>36</s:v>
      </s:c>
      <s:c r="L23" s="203" t="s">
        <s:v>36</s:v>
      </s:c>
      <s:c r="M23" s="203" t="s">
        <s:v>36</s:v>
      </s:c>
      <s:c r="N23" s="203" t="s">
        <s:v>37</s:v>
      </s:c>
      <s:c r="O23" s="633"/>
      <s:c r="P23" s="203" t="s">
        <s:v>38</s:v>
      </s:c>
      <s:c r="Q23" s="203" t="s">
        <s:v>39</s:v>
      </s:c>
      <s:c r="R23" s="203" t="s">
        <s:v>40</s:v>
      </s:c>
      <s:c r="S23" s="203" t="s">
        <s:v>41</s:v>
      </s:c>
      <s:c r="T23" s="203" t="s">
        <s:v>42</s:v>
      </s:c>
      <s:c r="U23" s="203" t="s">
        <s:v>43</s:v>
      </s:c>
      <s:c r="V23" s="403" t="s">
        <s:v>44</s:v>
      </s:c>
      <s:c r="W23" s="403" t="s">
        <s:v>45</s:v>
      </s:c>
      <s:c r="X23" s="205"/>
    </s:row>
    <s:row r="24">
      <s:c r="A24" s="404"/>
      <s:c r="B24" s="405">
        <s:v>1</s:v>
      </s:c>
      <s:c r="C24" s="406">
        <s:v>2</s:v>
      </s:c>
      <s:c r="D24" s="406">
        <s:v>3</s:v>
      </s:c>
      <s:c r="E24" s="406" t="s">
        <s:v>62</s:v>
      </s:c>
      <s:c r="F24" s="406">
        <s:v>5</s:v>
      </s:c>
      <s:c r="G24" s="406">
        <s:v>6</s:v>
      </s:c>
      <s:c r="H24" s="406">
        <s:v>7</s:v>
      </s:c>
      <s:c r="I24" s="406">
        <s:v>8</s:v>
      </s:c>
      <s:c r="J24" s="406">
        <s:v>9</s:v>
      </s:c>
      <s:c r="K24" s="406">
        <s:v>10</s:v>
      </s:c>
      <s:c r="L24" s="406">
        <s:v>11</s:v>
      </s:c>
      <s:c r="M24" s="406">
        <s:v>12</s:v>
      </s:c>
      <s:c r="N24" s="406">
        <s:v>13</s:v>
      </s:c>
      <s:c r="O24" s="633"/>
      <s:c r="P24" s="407">
        <s:v>1</s:v>
      </s:c>
      <s:c r="Q24" s="407">
        <s:v>2</s:v>
      </s:c>
      <s:c r="R24" s="407">
        <s:v>3</s:v>
      </s:c>
      <s:c r="S24" s="407">
        <s:v>4</s:v>
      </s:c>
      <s:c r="T24" s="407">
        <s:v>5</s:v>
      </s:c>
      <s:c r="U24" s="407">
        <s:v>6</s:v>
      </s:c>
      <s:c r="V24" s="407">
        <s:v>10</s:v>
      </s:c>
      <s:c r="W24" s="407">
        <s:v>11</s:v>
      </s:c>
    </s:row>
    <s:row r="25" spans="1:255" s="89" customFormat="1">
      <s:c r="A25" s="90" t="s">
        <s:v>46</s:v>
      </s:c>
      <s:c r="B25" s="91">
        <s:v>45689</s:v>
      </s:c>
      <s:c r="C25" s="92" t="s">
        <s:v>47</s:v>
      </s:c>
      <s:c r="D25" s="93">
        <s:v>18650</s:v>
      </s:c>
      <s:c r="E25" s="94">
        <s:v>6</s:v>
      </s:c>
      <s:c r="F25" s="94">
        <s:f>IF(AND(E25&lt;&gt;"",E25&lt;&gt;0),D25/E25,"")</s:f>
        <s:v>3108.3333333333335</s:v>
      </s:c>
      <s:c r="G25" s="94">
        <s:v>4</s:v>
      </s:c>
      <s:c r="H25" s="94">
        <s:f>IF(AND(G25&lt;&gt;"",G25&lt;&gt;0),D25/G25,"")</s:f>
        <s:v>4662.5</s:v>
      </s:c>
      <s:c r="I25" s="94">
        <s:v>20</s:v>
      </s:c>
      <s:c r="J25" s="93">
        <s:f>IF(AND(G25&lt;&gt;"",G25&lt;&gt;0),E25/G25,"")</s:f>
        <s:v>1.5</s:v>
      </s:c>
      <s:c r="K25" s="94"/>
      <s:c r="L25" s="94"/>
      <s:c r="M25" s="94"/>
      <s:c r="N25" s="95">
        <s:f>IF(AND(I25&lt;&gt;"",I25&lt;&gt;0),G25/I25,"")</s:f>
        <s:v>0.2</s:v>
      </s:c>
      <s:c r="O25" s="96">
        <s:f>D25/P25</s:f>
        <s:v>0.74914454314541623</s:v>
      </s:c>
      <s:c r="P25" s="97">
        <s:f>$I$8*V25*W25/SUMPRODUCT($W$25:$W$55,$V$25:$V$55)</s:f>
        <s:v>24895.062202141482</s:v>
      </s:c>
      <s:c r="Q25" s="98">
        <s:f>$I$9*V25*W25/SUMPRODUCT($W$25:$W$55,$V$25:$V$55)</s:f>
        <s:v>6.4814012502320963</s:v>
      </s:c>
      <s:c r="R25" s="98">
        <s:f>IF($I$12="","",Q25/$I$12)</s:f>
        <s:v>3.2407006251160482</s:v>
      </s:c>
      <s:c r="S25" s="97">
        <s:f>IF(D25&lt;&gt;"",D25,P25)</s:f>
        <s:v>18650</s:v>
      </s:c>
      <s:c r="T25" s="98">
        <s:f>IF(E25&lt;&gt;"",E25,Q25)</s:f>
        <s:v>6</s:v>
      </s:c>
      <s:c r="U25" s="98">
        <s:f>IF(G25&lt;&gt;"",G25,R25)</s:f>
        <s:v>4</s:v>
      </s:c>
      <s:c r="V25" s="99">
        <s:v>1</s:v>
      </s:c>
      <s:c r="W25" s="99">
        <s:v>1</s:v>
      </s:c>
      <s:c r="Y25" s="100"/>
    </s:row>
    <s:row r="26" spans="1:255" s="89" customFormat="1">
      <s:c r="A26" s="90" t="s">
        <s:v>46</s:v>
      </s:c>
      <s:c r="B26" s="91">
        <s:v>45690</s:v>
      </s:c>
      <s:c r="C26" s="92" t="s">
        <s:v>48</s:v>
      </s:c>
      <s:c r="D26" s="93">
        <s:v>52680</s:v>
      </s:c>
      <s:c r="E26" s="94">
        <s:v>15</s:v>
      </s:c>
      <s:c r="F26" s="94">
        <s:f>IF(AND(E26&lt;&gt;"",E26&lt;&gt;0),D26/E26,"")</s:f>
        <s:v>3512</s:v>
      </s:c>
      <s:c r="G26" s="94">
        <s:v>6</s:v>
      </s:c>
      <s:c r="H26" s="94">
        <s:f>IF(AND(G26&lt;&gt;"",G26&lt;&gt;0),D26/G26,"")</s:f>
        <s:v>8780</s:v>
      </s:c>
      <s:c r="I26" s="94">
        <s:v>20</s:v>
      </s:c>
      <s:c r="J26" s="93">
        <s:f>IF(AND(G26&lt;&gt;"",G26&lt;&gt;0),E26/G26,"")</s:f>
        <s:v>2.5</s:v>
      </s:c>
      <s:c r="K26" s="94"/>
      <s:c r="L26" s="94"/>
      <s:c r="M26" s="94"/>
      <s:c r="N26" s="95">
        <s:f>IF(AND(I26&lt;&gt;"",I26&lt;&gt;0),G26/I26,"")</s:f>
        <s:v>0.3</s:v>
      </s:c>
      <s:c r="O26" s="96">
        <s:f>D26/P26</s:f>
        <s:v>1.7488283310615522</s:v>
      </s:c>
      <s:c r="P26" s="97">
        <s:f>$I$8*V26*W26/SUMPRODUCT($W$25:$W$55,$V$25:$V$55)</s:f>
        <s:v>30123.025264591201</s:v>
      </s:c>
      <s:c r="Q26" s="98">
        <s:f>$I$9*V26*W26/SUMPRODUCT($W$25:$W$55,$V$25:$V$55)</s:f>
        <s:v>7.8424955127808378</s:v>
      </s:c>
      <s:c r="R26" s="98">
        <s:f>IF($I$12="","",Q26/$I$12)</s:f>
        <s:v>3.9212477563904189</s:v>
      </s:c>
      <s:c r="S26" s="97">
        <s:f>IF(W26&lt;&gt;"",IF(D26&lt;&gt;"",D26,($I$8-SUM($S$25:S25))*V26*W26/SUMPRODUCT($W26:$W$55,$V26:$V$55)),"")</s:f>
        <s:v>52680</s:v>
      </s:c>
      <s:c r="T26" s="98">
        <s:f>IF(W26&lt;&gt;"",IF(E26&lt;&gt;"",E26,($I$9-SUM($T$25:T25))*V26*W26/SUMPRODUCT($W26:$W$55,$V26:$V$55)),"")</s:f>
        <s:v>15</s:v>
      </s:c>
      <s:c r="U26" s="98">
        <s:f>IF(W26&lt;&gt;"",IF($I$12&lt;&gt;"",IF(G26&lt;&gt;"",G26,($I$9/$I$12-SUM($U$25:U25))*V26*W26/SUMPRODUCT($W26:$W$55,$V26:$V$55)),""),"")</s:f>
        <s:v>6</s:v>
      </s:c>
      <s:c r="V26" s="99">
        <s:v>1.1000000000000001</s:v>
      </s:c>
      <s:c r="W26" s="99">
        <s:v>1.1000000000000001</s:v>
      </s:c>
      <s:c r="X26" s="100"/>
      <s:c r="Y26" s="100"/>
    </s:row>
    <s:row r="27">
      <s:c r="A27" s="128" t="s">
        <s:v>120</s:v>
      </s:c>
      <s:c r="B27" s="408">
        <s:v>45692</s:v>
      </s:c>
      <s:c r="C27" s="409"/>
      <s:c r="D27" s="216">
        <s:v>7683</s:v>
      </s:c>
      <s:c r="E27" s="105">
        <s:v>2</s:v>
      </s:c>
      <s:c r="F27" s="106">
        <s:f>IF(AND(E27&lt;&gt;"",E27&lt;&gt;0),D27/E27,"")</s:f>
        <s:v>3841.5</s:v>
      </s:c>
      <s:c r="G27" s="105">
        <s:v>1</s:v>
      </s:c>
      <s:c r="H27" s="106">
        <s:f>IF(AND(G27&lt;&gt;"",G27&lt;&gt;0),D27/G27,"")</s:f>
        <s:v>7683</s:v>
      </s:c>
      <s:c r="I27" s="105"/>
      <s:c r="J27" s="104">
        <s:f>IF(AND(G27&lt;&gt;"",G27&lt;&gt;0),E27/G27,"")</s:f>
        <s:v>2</s:v>
      </s:c>
      <s:c r="K27" s="106"/>
      <s:c r="L27" s="106"/>
      <s:c r="M27" s="106"/>
      <s:c r="N27" s="107" t="str">
        <s:f>IF(AND(I27&lt;&gt;"",I27&lt;&gt;0),G27/I27,"")</s:f>
        <s:v/>
      </s:c>
      <s:c r="O27" s="108" t="e">
        <s:f>D27/P27</s:f>
        <s:v>#DIV/0!</s:v>
      </s:c>
      <s:c r="P27" s="109">
        <s:f>$I$8*V27*W27/SUMPRODUCT($W$25:$W$55,$V$25:$V$55)</s:f>
        <s:v>0</s:v>
      </s:c>
      <s:c r="Q27" s="110">
        <s:f>$I$9*V27*W27/SUMPRODUCT($W$25:$W$55,$V$25:$V$55)</s:f>
        <s:v>0</s:v>
      </s:c>
      <s:c r="R27" s="110">
        <s:f>IF($I$12="","",Q27/$I$12)</s:f>
        <s:v>0</s:v>
      </s:c>
      <s:c r="S27" s="109" t="str">
        <s:f>IF(W27&lt;&gt;"",IF(D27&lt;&gt;"",D27,($I$8-SUM($S$25:S26))*V27*W27/SUMPRODUCT($W27:$W$55,$V27:$V$55)),"")</s:f>
        <s:v/>
      </s:c>
      <s:c r="T27" s="110" t="str">
        <s:f>IF(W27&lt;&gt;"",IF(E27&lt;&gt;"",E27,($I$9-SUM($T$25:T26))*V27*W27/SUMPRODUCT($W27:$W$55,$V27:$V$55)),"")</s:f>
        <s:v/>
      </s:c>
      <s:c r="U27" s="110" t="str">
        <s:f>IF(W27&lt;&gt;"",IF($I$12&lt;&gt;"",IF(G27&lt;&gt;"",G27,($I$9/$I$12-SUM($U$25:U26))*V27*W27/SUMPRODUCT($W27:$W$55,$V27:$V$55)),""),"")</s:f>
        <s:v/>
      </s:c>
      <s:c r="V27" s="111"/>
      <s:c r="W27" s="111"/>
      <s:c r="X27" s="112"/>
      <s:c r="Y27" s="112"/>
      <s:c r="Z27" s="126"/>
      <s:c r="AA27" s="2"/>
      <s:c r="AB27" s="2"/>
      <s:c r="AC27" s="2"/>
      <s:c r="AD27" s="2"/>
      <s:c r="AE27" s="2"/>
      <s:c r="AF27" s="2"/>
      <s:c r="AG27" s="2"/>
      <s:c r="AH27"/>
      <s:c r="AI27"/>
      <s:c r="AJ27"/>
      <s:c r="AK27"/>
      <s:c r="AL27"/>
      <s:c r="AM27"/>
      <s:c r="AN27"/>
      <s:c r="AO27"/>
      <s:c r="AP27"/>
      <s:c r="AQ27"/>
      <s:c r="AR27"/>
      <s:c r="AS27"/>
      <s:c r="AT27"/>
      <s:c r="AU27"/>
      <s:c r="AV27"/>
      <s:c r="AW27"/>
      <s:c r="AX27"/>
      <s:c r="AY27"/>
      <s:c r="AZ27"/>
      <s:c r="BA27"/>
      <s:c r="BB27"/>
      <s:c r="BC27"/>
      <s:c r="BD27"/>
      <s:c r="BE27"/>
      <s:c r="BF27"/>
      <s:c r="BG27"/>
      <s:c r="BH27"/>
      <s:c r="BI27"/>
      <s:c r="BJ27"/>
      <s:c r="BK27"/>
      <s:c r="BL27"/>
      <s:c r="BM27"/>
      <s:c r="BN27"/>
      <s:c r="BO27"/>
      <s:c r="BP27"/>
      <s:c r="BQ27"/>
      <s:c r="BR27"/>
      <s:c r="BS27"/>
      <s:c r="BT27"/>
      <s:c r="BU27"/>
      <s:c r="BV27"/>
      <s:c r="BW27"/>
      <s:c r="BX27"/>
      <s:c r="BY27"/>
      <s:c r="BZ27"/>
      <s:c r="CA27"/>
      <s:c r="CB27"/>
      <s:c r="CC27"/>
      <s:c r="CD27"/>
      <s:c r="CE27"/>
      <s:c r="CF27"/>
      <s:c r="CG27"/>
      <s:c r="CH27"/>
      <s:c r="CI27"/>
      <s:c r="CJ27"/>
      <s:c r="CK27"/>
      <s:c r="CL27"/>
      <s:c r="CM27"/>
      <s:c r="CN27"/>
      <s:c r="CO27"/>
      <s:c r="CP27"/>
      <s:c r="CQ27"/>
      <s:c r="CR27"/>
      <s:c r="CS27"/>
      <s:c r="CT27"/>
      <s:c r="CU27"/>
      <s:c r="CV27"/>
      <s:c r="CW27"/>
      <s:c r="CX27"/>
      <s:c r="CY27"/>
      <s:c r="CZ27"/>
      <s:c r="DA27"/>
      <s:c r="DB27"/>
      <s:c r="DC27"/>
      <s:c r="DD27"/>
      <s:c r="DE27"/>
      <s:c r="DF27"/>
      <s:c r="DG27"/>
      <s:c r="DH27"/>
      <s:c r="DI27"/>
      <s:c r="DJ27"/>
      <s:c r="DK27"/>
      <s:c r="DL27"/>
      <s:c r="DM27"/>
      <s:c r="DN27"/>
      <s:c r="DO27"/>
      <s:c r="DP27"/>
      <s:c r="DQ27"/>
      <s:c r="DR27"/>
      <s:c r="DS27"/>
      <s:c r="DT27"/>
      <s:c r="DU27"/>
      <s:c r="DV27"/>
      <s:c r="DW27"/>
      <s:c r="DX27"/>
      <s:c r="DY27"/>
      <s:c r="DZ27"/>
      <s:c r="EA27"/>
      <s:c r="EB27"/>
      <s:c r="EC27"/>
      <s:c r="ED27"/>
      <s:c r="EE27"/>
      <s:c r="EF27"/>
      <s:c r="EG27"/>
      <s:c r="EH27"/>
      <s:c r="EI27"/>
      <s:c r="EJ27"/>
      <s:c r="EK27"/>
      <s:c r="EL27"/>
      <s:c r="EM27"/>
      <s:c r="EN27"/>
      <s:c r="EO27"/>
      <s:c r="EP27"/>
      <s:c r="EQ27"/>
      <s:c r="ER27"/>
      <s:c r="ES27"/>
      <s:c r="ET27"/>
      <s:c r="EU27"/>
      <s:c r="EV27"/>
      <s:c r="EW27"/>
      <s:c r="EX27"/>
      <s:c r="EY27"/>
      <s:c r="EZ27"/>
      <s:c r="FA27"/>
      <s:c r="FB27"/>
      <s:c r="FC27"/>
      <s:c r="FD27"/>
      <s:c r="FE27"/>
      <s:c r="FF27"/>
      <s:c r="FG27"/>
      <s:c r="FH27"/>
      <s:c r="FI27"/>
      <s:c r="FJ27"/>
      <s:c r="FK27"/>
      <s:c r="FL27"/>
      <s:c r="FM27"/>
      <s:c r="FN27"/>
      <s:c r="FO27"/>
      <s:c r="FP27"/>
      <s:c r="FQ27"/>
      <s:c r="FR27"/>
      <s:c r="FS27"/>
      <s:c r="FT27"/>
      <s:c r="FU27"/>
      <s:c r="FV27"/>
      <s:c r="FW27"/>
      <s:c r="FX27"/>
      <s:c r="FY27"/>
      <s:c r="FZ27"/>
      <s:c r="GA27"/>
      <s:c r="GB27"/>
      <s:c r="GC27"/>
      <s:c r="GD27"/>
      <s:c r="GE27"/>
      <s:c r="GF27"/>
      <s:c r="GG27"/>
      <s:c r="GH27"/>
      <s:c r="GI27"/>
      <s:c r="GJ27"/>
      <s:c r="GK27"/>
      <s:c r="GL27"/>
      <s:c r="GM27"/>
      <s:c r="GN27"/>
      <s:c r="GO27"/>
      <s:c r="GP27"/>
      <s:c r="GQ27"/>
      <s:c r="GR27"/>
      <s:c r="GS27"/>
      <s:c r="GT27"/>
      <s:c r="GU27"/>
      <s:c r="GV27"/>
      <s:c r="GW27"/>
      <s:c r="GX27"/>
      <s:c r="GY27"/>
      <s:c r="GZ27"/>
      <s:c r="HA27"/>
      <s:c r="HB27"/>
      <s:c r="HC27"/>
      <s:c r="HD27"/>
      <s:c r="HE27"/>
      <s:c r="HF27"/>
      <s:c r="HG27"/>
      <s:c r="HH27"/>
      <s:c r="HI27"/>
      <s:c r="HJ27"/>
      <s:c r="HK27"/>
      <s:c r="HL27"/>
      <s:c r="HM27"/>
      <s:c r="HN27"/>
      <s:c r="HO27"/>
      <s:c r="HP27"/>
      <s:c r="HQ27"/>
      <s:c r="HR27"/>
      <s:c r="HS27"/>
      <s:c r="HT27"/>
      <s:c r="HU27"/>
      <s:c r="HV27"/>
      <s:c r="HW27"/>
      <s:c r="HX27"/>
      <s:c r="HY27"/>
      <s:c r="HZ27"/>
      <s:c r="IA27"/>
      <s:c r="IB27"/>
      <s:c r="IC27"/>
      <s:c r="ID27"/>
      <s:c r="IE27"/>
      <s:c r="IF27"/>
      <s:c r="IG27"/>
      <s:c r="IH27"/>
      <s:c r="II27"/>
      <s:c r="IJ27"/>
      <s:c r="IK27"/>
      <s:c r="IL27"/>
      <s:c r="IM27"/>
      <s:c r="IN27"/>
      <s:c r="IO27"/>
      <s:c r="IP27"/>
      <s:c r="IQ27"/>
      <s:c r="IR27"/>
      <s:c r="IS27"/>
      <s:c r="IT27"/>
      <s:c r="IU27"/>
    </s:row>
    <s:row r="28">
      <s:c r="A28" s="128" t="s">
        <s:v>120</s:v>
      </s:c>
      <s:c r="B28" s="102">
        <s:v>45714</s:v>
      </s:c>
      <s:c r="C28" s="103" t="s">
        <s:v>52</s:v>
      </s:c>
      <s:c r="D28" s="104">
        <s:v>7183</s:v>
      </s:c>
      <s:c r="E28" s="106">
        <s:v>2</s:v>
      </s:c>
      <s:c r="F28" s="105">
        <s:f>IF(AND(E28&lt;&gt;"",E28&lt;&gt;0),D28/E28,"")</s:f>
        <s:v>3591.5</s:v>
      </s:c>
      <s:c r="G28" s="106">
        <s:v>1</s:v>
      </s:c>
      <s:c r="H28" s="106">
        <s:f>IF(AND(G28&lt;&gt;"",G28&lt;&gt;0),D28/G28,"")</s:f>
        <s:v>7183</s:v>
      </s:c>
      <s:c r="I28" s="106">
        <s:v>2</s:v>
      </s:c>
      <s:c r="J28" s="104">
        <s:f>IF(AND(G28&lt;&gt;"",G28&lt;&gt;0),E28/G28,"")</s:f>
        <s:v>2</s:v>
      </s:c>
      <s:c r="K28" s="106"/>
      <s:c r="L28" s="106"/>
      <s:c r="M28" s="106"/>
      <s:c r="N28" s="107">
        <s:f>IF(AND(I28&lt;&gt;"",I28&lt;&gt;0),G28/I28,"")</s:f>
        <s:v>0.5</s:v>
      </s:c>
      <s:c r="O28" s="108">
        <s:f>D28/P28</s:f>
        <s:v>0.28853111278356702</s:v>
      </s:c>
      <s:c r="P28" s="109">
        <s:f>$I$8*V28*W28/SUMPRODUCT($W$25:$W$55,$V$25:$V$55)</s:f>
        <s:v>24895.062202141482</s:v>
      </s:c>
      <s:c r="Q28" s="110">
        <s:f>$I$9*V28*W28/SUMPRODUCT($W$25:$W$55,$V$25:$V$55)</s:f>
        <s:v>6.4814012502320963</s:v>
      </s:c>
      <s:c r="R28" s="110">
        <s:f>IF($I$12="","",Q28/$I$12)</s:f>
        <s:v>3.2407006251160482</s:v>
      </s:c>
      <s:c r="S28" s="109">
        <s:f>IF(W28&lt;&gt;"",IF(D28&lt;&gt;"",D28,($I$8-SUM($S$25:S27))*V28*W28/SUMPRODUCT($W28:$W$55,$V28:$V$55)),"")</s:f>
        <s:v>7183</s:v>
      </s:c>
      <s:c r="T28" s="110">
        <s:f>IF(W28&lt;&gt;"",IF(E28&lt;&gt;"",E28,($I$9-SUM($T$25:T27))*V28*W28/SUMPRODUCT($W28:$W$55,$V28:$V$55)),"")</s:f>
        <s:v>2</s:v>
      </s:c>
      <s:c r="U28" s="110">
        <s:f>IF(W28&lt;&gt;"",IF($I$12&lt;&gt;"",IF(G28&lt;&gt;"",G28,($I$9/$I$12-SUM($U$25:U27))*V28*W28/SUMPRODUCT($W28:$W$55,$V28:$V$55)),""),"")</s:f>
        <s:v>1</s:v>
      </s:c>
      <s:c r="V28" s="111">
        <s:v>1</s:v>
      </s:c>
      <s:c r="W28" s="111">
        <s:v>1</s:v>
      </s:c>
      <s:c r="X28" s="112"/>
      <s:c r="Y28" s="112"/>
      <s:c r="Z28" s="126"/>
      <s:c r="AA28" s="2"/>
      <s:c r="AB28" s="2"/>
      <s:c r="AC28" s="2"/>
      <s:c r="AD28" s="2"/>
      <s:c r="AE28" s="2"/>
      <s:c r="AF28" s="2"/>
      <s:c r="AG28" s="2"/>
    </s:row>
    <s:row r="29" spans="1:255" s="221" customFormat="1">
      <s:c r="A29" s="128"/>
      <s:c r="B29" s="408"/>
      <s:c r="C29" s="410"/>
      <s:c r="D29" s="237"/>
      <s:c r="E29" s="224"/>
      <s:c r="F29" s="223" t="str">
        <s:f>IF(AND(E29&lt;&gt;"",E29&lt;&gt;0),D29/E29,"")</s:f>
        <s:v/>
      </s:c>
      <s:c r="G29" s="224"/>
      <s:c r="H29" s="223" t="str">
        <s:f>IF(AND(G29&lt;&gt;"",G29&lt;&gt;0),D29/G29,"")</s:f>
        <s:v/>
      </s:c>
      <s:c r="I29" s="224"/>
      <s:c r="J29" s="222" t="str">
        <s:f>IF(AND(G29&lt;&gt;"",G29&lt;&gt;0),E29/G29,"")</s:f>
        <s:v/>
      </s:c>
      <s:c r="K29" s="223"/>
      <s:c r="L29" s="223"/>
      <s:c r="M29" s="223"/>
      <s:c r="N29" s="225" t="str">
        <s:f>IF(AND(I29&lt;&gt;"",I29&lt;&gt;0),G29/I29,"")</s:f>
        <s:v/>
      </s:c>
      <s:c r="O29" s="235" t="e">
        <s:f>D29/P29</s:f>
        <s:v>#DIV/0!</s:v>
      </s:c>
      <s:c r="P29" s="227">
        <s:f>$I$8*V29*W29/SUMPRODUCT($W$25:$W$55,$V$25:$V$55)</s:f>
        <s:v>0</s:v>
      </s:c>
      <s:c r="Q29" s="228">
        <s:f>$I$9*V29*W29/SUMPRODUCT($W$25:$W$55,$V$25:$V$55)</s:f>
        <s:v>0</s:v>
      </s:c>
      <s:c r="R29" s="228">
        <s:f>IF($I$12="","",Q29/$I$12)</s:f>
        <s:v>0</s:v>
      </s:c>
      <s:c r="S29" s="227" t="str">
        <s:f>IF(W29&lt;&gt;"",IF(D29&lt;&gt;"",D29,($I$8-SUM($S$25:S28))*V29*W29/SUMPRODUCT($W29:$W$55,$V29:$V$55)),"")</s:f>
        <s:v/>
      </s:c>
      <s:c r="T29" s="228" t="str">
        <s:f>IF(W29&lt;&gt;"",IF(E29&lt;&gt;"",E29,($I$9-SUM($T$25:T28))*V29*W29/SUMPRODUCT($W29:$W$55,$V29:$V$55)),"")</s:f>
        <s:v/>
      </s:c>
      <s:c r="U29" s="228" t="str">
        <s:f>IF(W29&lt;&gt;"",IF($I$12&lt;&gt;"",IF(G29&lt;&gt;"",G29,($I$9/$I$12-SUM($U$25:U28))*V29*W29/SUMPRODUCT($W29:$W$55,$V29:$V$55)),""),"")</s:f>
        <s:v/>
      </s:c>
      <s:c r="V29" s="229"/>
      <s:c r="W29" s="229"/>
      <s:c r="X29" s="230"/>
      <s:c r="Y29" s="230"/>
      <s:c r="Z29" s="232"/>
      <s:c r="AA29" s="232"/>
      <s:c r="AB29" s="232"/>
      <s:c r="AC29" s="232"/>
      <s:c r="AD29" s="232"/>
      <s:c r="AE29" s="232"/>
      <s:c r="AF29" s="232"/>
      <s:c r="AG29" s="232"/>
    </s:row>
    <s:row r="30" spans="1:255" s="221" customFormat="1" ht="15.25" customHeight="1">
      <s:c r="A30" s="101"/>
      <s:c r="B30" s="411"/>
      <s:c r="C30" s="410"/>
      <s:c r="D30" s="233"/>
      <s:c r="E30" s="223"/>
      <s:c r="F30" s="224" t="str">
        <s:f>IF(AND(E30&lt;&gt;"",E30&lt;&gt;0),D30/E30,"")</s:f>
        <s:v/>
      </s:c>
      <s:c r="G30" s="223"/>
      <s:c r="H30" s="224" t="str">
        <s:f>IF(AND(G30&lt;&gt;"",G30&lt;&gt;0),D30/G30,"")</s:f>
        <s:v/>
      </s:c>
      <s:c r="I30" s="223"/>
      <s:c r="J30" s="233" t="str">
        <s:f>IF(AND(G30&lt;&gt;"",G30&lt;&gt;0),E30/G30,"")</s:f>
        <s:v/>
      </s:c>
      <s:c r="K30" s="223"/>
      <s:c r="L30" s="224"/>
      <s:c r="M30" s="223"/>
      <s:c r="N30" s="234" t="str">
        <s:f>IF(AND(I30&lt;&gt;"",I30&lt;&gt;0),G30/I30,"")</s:f>
        <s:v/>
      </s:c>
      <s:c r="O30" s="235" t="e">
        <s:f>D30/P30</s:f>
        <s:v>#DIV/0!</s:v>
      </s:c>
      <s:c r="P30" s="266">
        <s:f>$I$8*V30*W30/SUMPRODUCT($W$25:$W$55,$V$25:$V$55)</s:f>
        <s:v>0</s:v>
      </s:c>
      <s:c r="Q30" s="228">
        <s:f>$I$9*V30*W30/SUMPRODUCT($W$25:$W$55,$V$25:$V$55)</s:f>
        <s:v>0</s:v>
      </s:c>
      <s:c r="R30" s="265">
        <s:f>IF($I$12="","",Q30/$I$12)</s:f>
        <s:v>0</s:v>
      </s:c>
      <s:c r="S30" s="227" t="str">
        <s:f>IF(W30&lt;&gt;"",IF(D30&lt;&gt;"",D30,($I$8-SUM($S$25:S29))*V30*W30/SUMPRODUCT($W30:$W$55,$V30:$V$55)),"")</s:f>
        <s:v/>
      </s:c>
      <s:c r="T30" s="228" t="str">
        <s:f>IF(W30&lt;&gt;"",IF(E30&lt;&gt;"",E30,($I$9-SUM($T$25:T29))*V30*W30/SUMPRODUCT($W30:$W$55,$V30:$V$55)),"")</s:f>
        <s:v/>
      </s:c>
      <s:c r="U30" s="228" t="str">
        <s:f>IF(W30&lt;&gt;"",IF($I$12&lt;&gt;"",IF(G30&lt;&gt;"",G30,($I$9/$I$12-SUM($U$25:U29))*V30*W30/SUMPRODUCT($W30:$W$55,$V30:$V$55)),""),"")</s:f>
        <s:v/>
      </s:c>
      <s:c r="V30" s="229"/>
      <s:c r="W30" s="229"/>
      <s:c r="X30" s="230"/>
      <s:c r="Y30" s="230"/>
      <s:c r="Z30" s="232"/>
      <s:c r="AA30" s="232"/>
      <s:c r="AB30" s="232"/>
      <s:c r="AC30" s="232"/>
      <s:c r="AD30" s="232"/>
      <s:c r="AE30" s="232"/>
      <s:c r="AF30" s="232"/>
      <s:c r="AG30" s="232"/>
    </s:row>
    <s:row r="31" spans="1:255" s="221" customFormat="1">
      <s:c r="A31" s="101"/>
      <s:c r="B31" s="411"/>
      <s:c r="C31" s="410"/>
      <s:c r="D31" s="237"/>
      <s:c r="E31" s="224"/>
      <s:c r="F31" s="223" t="str">
        <s:f>IF(AND(E31&lt;&gt;"",E31&lt;&gt;0),D31/E31,"")</s:f>
        <s:v/>
      </s:c>
      <s:c r="G31" s="224"/>
      <s:c r="H31" s="223" t="str">
        <s:f>IF(AND(G31&lt;&gt;"",G31&lt;&gt;0),D31/G31,"")</s:f>
        <s:v/>
      </s:c>
      <s:c r="I31" s="224"/>
      <s:c r="J31" s="222" t="str">
        <s:f>IF(AND(G31&lt;&gt;"",G31&lt;&gt;0),E31/G31,"")</s:f>
        <s:v/>
      </s:c>
      <s:c r="K31" s="223"/>
      <s:c r="L31" s="223"/>
      <s:c r="M31" s="223"/>
      <s:c r="N31" s="225" t="str">
        <s:f>IF(AND(I31&lt;&gt;"",I31&lt;&gt;0),G31/I31,"")</s:f>
        <s:v/>
      </s:c>
      <s:c r="O31" s="235" t="e">
        <s:f>D31/P31</s:f>
        <s:v>#DIV/0!</s:v>
      </s:c>
      <s:c r="P31" s="227">
        <s:f>$I$8*V31*W31/SUMPRODUCT($W$25:$W$55,$V$25:$V$55)</s:f>
        <s:v>0</s:v>
      </s:c>
      <s:c r="Q31" s="228">
        <s:f>$I$9*V31*W31/SUMPRODUCT($W$25:$W$55,$V$25:$V$55)</s:f>
        <s:v>0</s:v>
      </s:c>
      <s:c r="R31" s="228">
        <s:f>IF($I$12="","",Q31/$I$12)</s:f>
        <s:v>0</s:v>
      </s:c>
      <s:c r="S31" s="227" t="str">
        <s:f>IF(W31&lt;&gt;"",IF(D31&lt;&gt;"",D31,($I$8-SUM($S$25:S30))*V31*W31/SUMPRODUCT($W31:$W$55,$V31:$V$55)),"")</s:f>
        <s:v/>
      </s:c>
      <s:c r="T31" s="228" t="str">
        <s:f>IF(W31&lt;&gt;"",IF(E31&lt;&gt;"",E31,($I$9-SUM($T$25:T30))*V31*W31/SUMPRODUCT($W31:$W$55,$V31:$V$55)),"")</s:f>
        <s:v/>
      </s:c>
      <s:c r="U31" s="228" t="str">
        <s:f>IF(W31&lt;&gt;"",IF($I$12&lt;&gt;"",IF(G31&lt;&gt;"",G31,($I$9/$I$12-SUM($U$25:U30))*V31*W31/SUMPRODUCT($W31:$W$55,$V31:$V$55)),""),"")</s:f>
        <s:v/>
      </s:c>
      <s:c r="V31" s="229"/>
      <s:c r="W31" s="229"/>
      <s:c r="X31" s="230"/>
      <s:c r="Y31" s="230"/>
      <s:c r="Z31" s="231"/>
      <s:c r="AA31" s="232"/>
      <s:c r="AB31" s="232"/>
      <s:c r="AC31" s="232"/>
      <s:c r="AD31" s="232"/>
      <s:c r="AE31" s="232"/>
      <s:c r="AF31" s="232"/>
      <s:c r="AG31" s="232"/>
    </s:row>
    <s:row r="32" spans="1:255" s="221" customFormat="1">
      <s:c r="A32" s="101"/>
      <s:c r="B32" s="411"/>
      <s:c r="C32" s="410"/>
      <s:c r="D32" s="233"/>
      <s:c r="E32" s="223"/>
      <s:c r="F32" s="224" t="str">
        <s:f>IF(AND(E32&lt;&gt;"",E32&lt;&gt;0),D32/E32,"")</s:f>
        <s:v/>
      </s:c>
      <s:c r="G32" s="223"/>
      <s:c r="H32" s="224" t="str">
        <s:f>IF(AND(G32&lt;&gt;"",G32&lt;&gt;0),D32/G32,"")</s:f>
        <s:v/>
      </s:c>
      <s:c r="I32" s="223"/>
      <s:c r="J32" s="222" t="str">
        <s:f>IF(AND(G32&lt;&gt;"",G32&lt;&gt;0),E32/G32,"")</s:f>
        <s:v/>
      </s:c>
      <s:c r="K32" s="223"/>
      <s:c r="L32" s="223"/>
      <s:c r="M32" s="223"/>
      <s:c r="N32" s="225" t="str">
        <s:f>IF(AND(I32&lt;&gt;"",I32&lt;&gt;0),G32/I32,"")</s:f>
        <s:v/>
      </s:c>
      <s:c r="O32" s="235" t="e">
        <s:f>D32/P32</s:f>
        <s:v>#DIV/0!</s:v>
      </s:c>
      <s:c r="P32" s="227">
        <s:f>$I$8*V32*W32/SUMPRODUCT($W$25:$W$55,$V$25:$V$55)</s:f>
        <s:v>0</s:v>
      </s:c>
      <s:c r="Q32" s="228">
        <s:f>$I$9*V32*W32/SUMPRODUCT($W$25:$W$55,$V$25:$V$55)</s:f>
        <s:v>0</s:v>
      </s:c>
      <s:c r="R32" s="228">
        <s:f>IF($I$12="","",Q32/$I$12)</s:f>
        <s:v>0</s:v>
      </s:c>
      <s:c r="S32" s="227" t="str">
        <s:f>IF(W32&lt;&gt;"",IF(D32&lt;&gt;"",D32,($I$8-SUM($S$25:S31))*V32*W32/SUMPRODUCT($W32:$W$55,$V32:$V$55)),"")</s:f>
        <s:v/>
      </s:c>
      <s:c r="T32" s="228" t="str">
        <s:f>IF(W32&lt;&gt;"",IF(E32&lt;&gt;"",E32,($I$9-SUM($T$25:T31))*V32*W32/SUMPRODUCT($W32:$W$55,$V32:$V$55)),"")</s:f>
        <s:v/>
      </s:c>
      <s:c r="U32" s="228" t="str">
        <s:f>IF(W32&lt;&gt;"",IF($I$12&lt;&gt;"",IF(G32&lt;&gt;"",G32,($I$9/$I$12-SUM($U$25:U31))*V32*W32/SUMPRODUCT($W32:$W$55,$V32:$V$55)),""),"")</s:f>
        <s:v/>
      </s:c>
      <s:c r="V32" s="229"/>
      <s:c r="W32" s="229"/>
      <s:c r="X32" s="230"/>
      <s:c r="Y32" s="230"/>
      <s:c r="Z32" s="231"/>
      <s:c r="AA32" s="232"/>
      <s:c r="AB32" s="232"/>
      <s:c r="AC32" s="232"/>
      <s:c r="AD32" s="232"/>
      <s:c r="AE32" s="232"/>
      <s:c r="AF32" s="232"/>
      <s:c r="AG32" s="232"/>
    </s:row>
    <s:row r="33" spans="1:33" s="221" customFormat="1">
      <s:c r="A33" s="101"/>
      <s:c r="B33" s="411"/>
      <s:c r="C33" s="410"/>
      <s:c r="D33" s="237"/>
      <s:c r="E33" s="223"/>
      <s:c r="F33" s="223" t="str">
        <s:f>IF(AND(E33&lt;&gt;"",E33&lt;&gt;0),D33/E33,"")</s:f>
        <s:v/>
      </s:c>
      <s:c r="G33" s="223"/>
      <s:c r="H33" s="223" t="str">
        <s:f>IF(AND(G33&lt;&gt;"",G33&lt;&gt;0),D33/G33,"")</s:f>
        <s:v/>
      </s:c>
      <s:c r="I33" s="223"/>
      <s:c r="J33" s="222" t="str">
        <s:f>IF(AND(G33&lt;&gt;"",G33&lt;&gt;0),E33/G33,"")</s:f>
        <s:v/>
      </s:c>
      <s:c r="K33" s="223"/>
      <s:c r="L33" s="223"/>
      <s:c r="M33" s="223"/>
      <s:c r="N33" s="225" t="str">
        <s:f>IF(AND(I33&lt;&gt;"",I33&lt;&gt;0),G33/I33,"")</s:f>
        <s:v/>
      </s:c>
      <s:c r="O33" s="235" t="e">
        <s:f>D33/P33</s:f>
        <s:v>#DIV/0!</s:v>
      </s:c>
      <s:c r="P33" s="227">
        <s:f>$I$8*V33*W33/SUMPRODUCT($W$25:$W$55,$V$25:$V$55)</s:f>
        <s:v>0</s:v>
      </s:c>
      <s:c r="Q33" s="228">
        <s:f>$I$9*V33*W33/SUMPRODUCT($W$25:$W$55,$V$25:$V$55)</s:f>
        <s:v>0</s:v>
      </s:c>
      <s:c r="R33" s="228">
        <s:f>IF($I$12="","",Q33/$I$12)</s:f>
        <s:v>0</s:v>
      </s:c>
      <s:c r="S33" s="227" t="str">
        <s:f>IF(W33&lt;&gt;"",IF(D33&lt;&gt;"",D33,($I$8-SUM($S$25:S32))*V33*W33/SUMPRODUCT($W33:$W$55,$V33:$V$55)),"")</s:f>
        <s:v/>
      </s:c>
      <s:c r="T33" s="228" t="str">
        <s:f>IF(W33&lt;&gt;"",IF(E33&lt;&gt;"",E33,($I$9-SUM($T$25:T32))*V33*W33/SUMPRODUCT($W33:$W$55,$V33:$V$55)),"")</s:f>
        <s:v/>
      </s:c>
      <s:c r="U33" s="228" t="str">
        <s:f>IF(W33&lt;&gt;"",IF($I$12&lt;&gt;"",IF(G33&lt;&gt;"",G33,($I$9/$I$12-SUM($U$25:U32))*V33*W33/SUMPRODUCT($W33:$W$55,$V33:$V$55)),""),"")</s:f>
        <s:v/>
      </s:c>
      <s:c r="V33" s="229"/>
      <s:c r="W33" s="229"/>
      <s:c r="X33" s="230"/>
      <s:c r="Y33" s="230"/>
      <s:c r="Z33" s="231"/>
      <s:c r="AA33" s="232"/>
      <s:c r="AB33" s="232"/>
      <s:c r="AC33" s="232"/>
      <s:c r="AD33" s="232"/>
      <s:c r="AE33" s="232"/>
      <s:c r="AF33" s="232"/>
      <s:c r="AG33" s="232"/>
    </s:row>
    <s:row r="34" spans="1:33" s="221" customFormat="1">
      <s:c r="A34" s="101"/>
      <s:c r="B34" s="102"/>
      <s:c r="C34" s="412"/>
      <s:c r="D34" s="222"/>
      <s:c r="E34" s="224"/>
      <s:c r="F34" s="223" t="str">
        <s:f>IF(AND(E34&lt;&gt;"",E34&lt;&gt;0),D34/E34,"")</s:f>
        <s:v/>
      </s:c>
      <s:c r="G34" s="224"/>
      <s:c r="H34" s="223" t="str">
        <s:f>IF(AND(G34&lt;&gt;"",G34&lt;&gt;0),D34/G34,"")</s:f>
        <s:v/>
      </s:c>
      <s:c r="I34" s="224"/>
      <s:c r="J34" s="222" t="str">
        <s:f>IF(AND(G34&lt;&gt;"",G34&lt;&gt;0),E34/G34,"")</s:f>
        <s:v/>
      </s:c>
      <s:c r="K34" s="224"/>
      <s:c r="L34" s="223"/>
      <s:c r="M34" s="224"/>
      <s:c r="N34" s="225" t="str">
        <s:f>IF(AND(I34&lt;&gt;"",I34&lt;&gt;0),G34/I34,"")</s:f>
        <s:v/>
      </s:c>
      <s:c r="O34" s="226" t="e">
        <s:f>D34/P34</s:f>
        <s:v>#DIV/0!</s:v>
      </s:c>
      <s:c r="P34" s="227">
        <s:f>$I$8*V34*W34/SUMPRODUCT($W$25:$W$55,$V$25:$V$55)</s:f>
        <s:v>0</s:v>
      </s:c>
      <s:c r="Q34" s="265">
        <s:f>$I$9*V34*W34/SUMPRODUCT($W$25:$W$55,$V$25:$V$55)</s:f>
        <s:v>0</s:v>
      </s:c>
      <s:c r="R34" s="228">
        <s:f>IF($I$12="","",Q34/$I$12)</s:f>
        <s:v>0</s:v>
      </s:c>
      <s:c r="S34" s="227" t="str">
        <s:f>IF(W34&lt;&gt;"",IF(D34&lt;&gt;"",D34,($I$8-SUM($S$25:S33))*V34*W34/SUMPRODUCT($W34:$W$55,$V34:$V$55)),"")</s:f>
        <s:v/>
      </s:c>
      <s:c r="T34" s="228" t="str">
        <s:f>IF(W34&lt;&gt;"",IF(E34&lt;&gt;"",E34,($I$9-SUM($T$25:T33))*V34*W34/SUMPRODUCT($W34:$W$55,$V34:$V$55)),"")</s:f>
        <s:v/>
      </s:c>
      <s:c r="U34" s="228" t="str">
        <s:f>IF(W34&lt;&gt;"",IF($I$12&lt;&gt;"",IF(G34&lt;&gt;"",G34,($I$9/$I$12-SUM($U$25:U33))*V34*W34/SUMPRODUCT($W34:$W$55,$V34:$V$55)),""),"")</s:f>
        <s:v/>
      </s:c>
      <s:c r="V34" s="229"/>
      <s:c r="W34" s="229"/>
      <s:c r="X34" s="230"/>
      <s:c r="Y34" s="230"/>
      <s:c r="Z34" s="232"/>
      <s:c r="AA34" s="232"/>
      <s:c r="AB34" s="232"/>
      <s:c r="AC34" s="232"/>
      <s:c r="AD34" s="232"/>
      <s:c r="AE34" s="232"/>
      <s:c r="AF34" s="232"/>
      <s:c r="AG34" s="232"/>
    </s:row>
    <s:row r="35" spans="1:33" s="221" customFormat="1">
      <s:c r="A35" s="101"/>
      <s:c r="B35" s="102"/>
      <s:c r="C35" s="103"/>
      <s:c r="D35" s="222"/>
      <s:c r="E35" s="223"/>
      <s:c r="F35" s="223" t="str">
        <s:f>IF(AND(E35&lt;&gt;"",E35&lt;&gt;0),D35/E35,"")</s:f>
        <s:v/>
      </s:c>
      <s:c r="G35" s="223"/>
      <s:c r="H35" s="223" t="str">
        <s:f>IF(AND(G35&lt;&gt;"",G35&lt;&gt;0),D35/G35,"")</s:f>
        <s:v/>
      </s:c>
      <s:c r="I35" s="223"/>
      <s:c r="J35" s="222" t="str">
        <s:f>IF(AND(G35&lt;&gt;"",G35&lt;&gt;0),E35/G35,"")</s:f>
        <s:v/>
      </s:c>
      <s:c r="K35" s="223"/>
      <s:c r="L35" s="223"/>
      <s:c r="M35" s="223"/>
      <s:c r="N35" s="225" t="str">
        <s:f>IF(AND(I35&lt;&gt;"",I35&lt;&gt;0),G35/I35,"")</s:f>
        <s:v/>
      </s:c>
      <s:c r="O35" s="235" t="e">
        <s:f>D35/P35</s:f>
        <s:v>#DIV/0!</s:v>
      </s:c>
      <s:c r="P35" s="227">
        <s:f>$I$8*V35*W35/SUMPRODUCT($W$25:$W$55,$V$25:$V$55)</s:f>
        <s:v>0</s:v>
      </s:c>
      <s:c r="Q35" s="228">
        <s:f>$I$9*V35*W35/SUMPRODUCT($W$25:$W$55,$V$25:$V$55)</s:f>
        <s:v>0</s:v>
      </s:c>
      <s:c r="R35" s="228">
        <s:f>IF($I$12="","",Q35/$I$12)</s:f>
        <s:v>0</s:v>
      </s:c>
      <s:c r="S35" s="227" t="str">
        <s:f>IF(W35&lt;&gt;"",IF(D35&lt;&gt;"",D35,($I$8-SUM($S$25:S34))*V35*W35/SUMPRODUCT($W35:$W$55,$V35:$V$55)),"")</s:f>
        <s:v/>
      </s:c>
      <s:c r="T35" s="228" t="str">
        <s:f>IF(W35&lt;&gt;"",IF(E35&lt;&gt;"",E35,($I$9-SUM($T$25:T34))*V35*W35/SUMPRODUCT($W35:$W$55,$V35:$V$55)),"")</s:f>
        <s:v/>
      </s:c>
      <s:c r="U35" s="228" t="str">
        <s:f>IF(W35&lt;&gt;"",IF($I$12&lt;&gt;"",IF(G35&lt;&gt;"",G35,($I$9/$I$12-SUM($U$25:U34))*V35*W35/SUMPRODUCT($W35:$W$55,$V35:$V$55)),""),"")</s:f>
        <s:v/>
      </s:c>
      <s:c r="V35" s="229"/>
      <s:c r="W35" s="229"/>
      <s:c r="X35" s="230"/>
      <s:c r="Y35" s="230"/>
      <s:c r="Z35" s="232"/>
      <s:c r="AA35" s="232"/>
      <s:c r="AB35" s="232"/>
      <s:c r="AC35" s="232"/>
      <s:c r="AD35" s="232"/>
      <s:c r="AE35" s="232"/>
      <s:c r="AF35" s="232"/>
      <s:c r="AG35" s="232"/>
    </s:row>
    <s:row r="36" spans="1:33" s="221" customFormat="1">
      <s:c r="A36" s="101"/>
      <s:c r="B36" s="102"/>
      <s:c r="C36" s="103"/>
      <s:c r="D36" s="222"/>
      <s:c r="E36" s="223"/>
      <s:c r="F36" s="223" t="str">
        <s:f>IF(AND(E36&lt;&gt;"",E36&lt;&gt;0),D36/E36,"")</s:f>
        <s:v/>
      </s:c>
      <s:c r="G36" s="223"/>
      <s:c r="H36" s="223" t="str">
        <s:f>IF(AND(G36&lt;&gt;"",G36&lt;&gt;0),D36/G36,"")</s:f>
        <s:v/>
      </s:c>
      <s:c r="I36" s="223"/>
      <s:c r="J36" s="222" t="str">
        <s:f>IF(AND(G36&lt;&gt;"",G36&lt;&gt;0),E36/G36,"")</s:f>
        <s:v/>
      </s:c>
      <s:c r="K36" s="223"/>
      <s:c r="L36" s="223"/>
      <s:c r="M36" s="223"/>
      <s:c r="N36" s="225" t="str">
        <s:f>IF(AND(I36&lt;&gt;"",I36&lt;&gt;0),G36/I36,"")</s:f>
        <s:v/>
      </s:c>
      <s:c r="O36" s="235" t="e">
        <s:f>D36/P36</s:f>
        <s:v>#DIV/0!</s:v>
      </s:c>
      <s:c r="P36" s="227">
        <s:f>$I$8*V36*W36/SUMPRODUCT($W$25:$W$55,$V$25:$V$55)</s:f>
        <s:v>0</s:v>
      </s:c>
      <s:c r="Q36" s="228">
        <s:f>$I$9*V36*W36/SUMPRODUCT($W$25:$W$55,$V$25:$V$55)</s:f>
        <s:v>0</s:v>
      </s:c>
      <s:c r="R36" s="228">
        <s:f>IF($I$12="","",Q36/$I$12)</s:f>
        <s:v>0</s:v>
      </s:c>
      <s:c r="S36" s="227" t="str">
        <s:f>IF(W36&lt;&gt;"",IF(D36&lt;&gt;"",D36,($I$8-SUM($S$25:S35))*V36*W36/SUMPRODUCT($W36:$W$55,$V36:$V$55)),"")</s:f>
        <s:v/>
      </s:c>
      <s:c r="T36" s="228" t="str">
        <s:f>IF(W36&lt;&gt;"",IF(E36&lt;&gt;"",E36,($I$9-SUM($T$25:T35))*V36*W36/SUMPRODUCT($W36:$W$55,$V36:$V$55)),"")</s:f>
        <s:v/>
      </s:c>
      <s:c r="U36" s="228" t="str">
        <s:f>IF(W36&lt;&gt;"",IF($I$12&lt;&gt;"",IF(G36&lt;&gt;"",G36,($I$9/$I$12-SUM($U$25:U35))*V36*W36/SUMPRODUCT($W36:$W$55,$V36:$V$55)),""),"")</s:f>
        <s:v/>
      </s:c>
      <s:c r="V36" s="229"/>
      <s:c r="W36" s="229"/>
      <s:c r="X36" s="230"/>
      <s:c r="Y36" s="230"/>
      <s:c r="Z36" s="231"/>
      <s:c r="AA36" s="232"/>
      <s:c r="AB36" s="232"/>
      <s:c r="AC36" s="232"/>
      <s:c r="AD36" s="232"/>
      <s:c r="AE36" s="232"/>
      <s:c r="AF36" s="232"/>
      <s:c r="AG36" s="232"/>
    </s:row>
    <s:row r="37" spans="1:33" s="221" customFormat="1">
      <s:c r="A37" s="101"/>
      <s:c r="B37" s="102"/>
      <s:c r="C37" s="103"/>
      <s:c r="D37" s="222"/>
      <s:c r="E37" s="223"/>
      <s:c r="F37" s="223" t="str">
        <s:f>IF(AND(E37&lt;&gt;"",E37&lt;&gt;0),D37/E37,"")</s:f>
        <s:v/>
      </s:c>
      <s:c r="G37" s="223"/>
      <s:c r="H37" s="223" t="str">
        <s:f>IF(AND(G37&lt;&gt;"",G37&lt;&gt;0),D37/G37,"")</s:f>
        <s:v/>
      </s:c>
      <s:c r="I37" s="223"/>
      <s:c r="J37" s="222" t="str">
        <s:f>IF(AND(G37&lt;&gt;"",G37&lt;&gt;0),E37/G37,"")</s:f>
        <s:v/>
      </s:c>
      <s:c r="K37" s="223"/>
      <s:c r="L37" s="223"/>
      <s:c r="M37" s="223"/>
      <s:c r="N37" s="225" t="str">
        <s:f>IF(AND(I37&lt;&gt;"",I37&lt;&gt;0),G37/I37,"")</s:f>
        <s:v/>
      </s:c>
      <s:c r="O37" s="235" t="e">
        <s:f>D37/P37</s:f>
        <s:v>#DIV/0!</s:v>
      </s:c>
      <s:c r="P37" s="227">
        <s:f>$I$8*V37*W37/SUMPRODUCT($W$25:$W$55,$V$25:$V$55)</s:f>
        <s:v>0</s:v>
      </s:c>
      <s:c r="Q37" s="228">
        <s:f>$I$9*V37*W37/SUMPRODUCT($W$25:$W$55,$V$25:$V$55)</s:f>
        <s:v>0</s:v>
      </s:c>
      <s:c r="R37" s="228">
        <s:f>IF($I$12="","",Q37/$I$12)</s:f>
        <s:v>0</s:v>
      </s:c>
      <s:c r="S37" s="227" t="str">
        <s:f>IF(W37&lt;&gt;"",IF(D37&lt;&gt;"",D37,($I$8-SUM($S$25:S36))*V37*W37/SUMPRODUCT($W37:$W$55,$V37:$V$55)),"")</s:f>
        <s:v/>
      </s:c>
      <s:c r="T37" s="228" t="str">
        <s:f>IF(W37&lt;&gt;"",IF(E37&lt;&gt;"",E37,($I$9-SUM($T$25:T36))*V37*W37/SUMPRODUCT($W37:$W$55,$V37:$V$55)),"")</s:f>
        <s:v/>
      </s:c>
      <s:c r="U37" s="228" t="str">
        <s:f>IF(W37&lt;&gt;"",IF($I$12&lt;&gt;"",IF(G37&lt;&gt;"",G37,($I$9/$I$12-SUM($U$25:U36))*V37*W37/SUMPRODUCT($W37:$W$55,$V37:$V$55)),""),"")</s:f>
        <s:v/>
      </s:c>
      <s:c r="V37" s="229"/>
      <s:c r="W37" s="229"/>
      <s:c r="X37" s="230"/>
      <s:c r="Y37" s="230"/>
      <s:c r="Z37" s="231"/>
      <s:c r="AA37" s="232"/>
      <s:c r="AB37" s="232"/>
      <s:c r="AC37" s="232"/>
      <s:c r="AD37" s="232"/>
      <s:c r="AE37" s="232"/>
      <s:c r="AF37" s="232"/>
      <s:c r="AG37" s="232"/>
    </s:row>
    <s:row r="38" spans="1:33" s="221" customFormat="1">
      <s:c r="A38" s="413"/>
      <s:c r="B38" s="414"/>
      <s:c r="C38" s="103"/>
      <s:c r="D38" s="415"/>
      <s:c r="E38" s="416"/>
      <s:c r="F38" s="223" t="str">
        <s:f>IF(AND(E38&lt;&gt;"",E38&lt;&gt;0),D38/E38,"")</s:f>
        <s:v/>
      </s:c>
      <s:c r="G38" s="416"/>
      <s:c r="H38" s="223" t="str">
        <s:f>IF(AND(G38&lt;&gt;"",G38&lt;&gt;0),D38/G38,"")</s:f>
        <s:v/>
      </s:c>
      <s:c r="I38" s="416"/>
      <s:c r="J38" s="222" t="str">
        <s:f>IF(AND(G38&lt;&gt;"",G38&lt;&gt;0),E38/G38,"")</s:f>
        <s:v/>
      </s:c>
      <s:c r="K38" s="223"/>
      <s:c r="L38" s="223"/>
      <s:c r="M38" s="223"/>
      <s:c r="N38" s="267" t="str">
        <s:f>IF(AND(I38&lt;&gt;"",I38&lt;&gt;0),G38/I38,"")</s:f>
        <s:v/>
      </s:c>
      <s:c r="O38" s="417" t="e">
        <s:f>D38/P38</s:f>
        <s:v>#DIV/0!</s:v>
      </s:c>
      <s:c r="P38" s="227">
        <s:f>$I$8*V38*W38/SUMPRODUCT($W$25:$W$44,$V$25:$V$44)</s:f>
        <s:v>0</s:v>
      </s:c>
      <s:c r="Q38" s="228">
        <s:f>$I$9*V38*W38/SUMPRODUCT($W$25:$W$44,$V$25:$V$44)</s:f>
        <s:v>0</s:v>
      </s:c>
      <s:c r="R38" s="228">
        <s:f>IF($I$12="","",Q38/$I$12)</s:f>
        <s:v>0</s:v>
      </s:c>
      <s:c r="S38" s="227" t="str">
        <s:f>IF(W38&lt;&gt;"",IF(D38&lt;&gt;"",D38,($I$8-SUM($S$25:S37))*V38*W38/SUMPRODUCT($W38:$W$55,$V38:$V$55)),"")</s:f>
        <s:v/>
      </s:c>
      <s:c r="T38" s="228" t="str">
        <s:f>IF(W38&lt;&gt;"",IF(E38&lt;&gt;"",E38,($I$9-SUM($T$25:T37))*V38*W38/SUMPRODUCT($W38:$W$55,$V38:$V$55)),"")</s:f>
        <s:v/>
      </s:c>
      <s:c r="U38" s="228" t="str">
        <s:f>IF(W38&lt;&gt;"",IF($I$12&lt;&gt;"",IF(G38&lt;&gt;"",G38,($I$9/$I$12-SUM($U$25:U37))*V38*W38/SUMPRODUCT($W38:$W$55,$V38:$V$55)),""),"")</s:f>
        <s:v/>
      </s:c>
      <s:c r="V38" s="229"/>
      <s:c r="W38" s="229"/>
      <s:c r="X38" s="418"/>
      <s:c r="Y38" s="418"/>
      <s:c r="Z38" s="278"/>
    </s:row>
    <s:row r="39" spans="1:33" s="221" customFormat="1">
      <s:c r="A39" s="413"/>
      <s:c r="B39" s="414"/>
      <s:c r="C39" s="103"/>
      <s:c r="D39" s="415"/>
      <s:c r="E39" s="416"/>
      <s:c r="F39" s="223" t="str">
        <s:f>IF(AND(E39&lt;&gt;"",E39&lt;&gt;0),D39/E39,"")</s:f>
        <s:v/>
      </s:c>
      <s:c r="G39" s="416"/>
      <s:c r="H39" s="223" t="str">
        <s:f>IF(AND(G39&lt;&gt;"",G39&lt;&gt;0),D39/G39,"")</s:f>
        <s:v/>
      </s:c>
      <s:c r="I39" s="416"/>
      <s:c r="J39" s="222" t="str">
        <s:f>IF(AND(G39&lt;&gt;"",G39&lt;&gt;0),E39/G39,"")</s:f>
        <s:v/>
      </s:c>
      <s:c r="K39" s="223"/>
      <s:c r="L39" s="223"/>
      <s:c r="M39" s="223"/>
      <s:c r="N39" s="267" t="str">
        <s:f>IF(AND(I39&lt;&gt;"",I39&lt;&gt;0),G39/I39,"")</s:f>
        <s:v/>
      </s:c>
      <s:c r="O39" s="417" t="e">
        <s:f>D39/P39</s:f>
        <s:v>#DIV/0!</s:v>
      </s:c>
      <s:c r="P39" s="227">
        <s:f>$I$8*V39*W39/SUMPRODUCT($W$25:$W$44,$V$25:$V$44)</s:f>
        <s:v>0</s:v>
      </s:c>
      <s:c r="Q39" s="228">
        <s:f>$I$9*V39*W39/SUMPRODUCT($W$25:$W$44,$V$25:$V$44)</s:f>
        <s:v>0</s:v>
      </s:c>
      <s:c r="R39" s="228">
        <s:f>IF($I$12="","",Q39/$I$12)</s:f>
        <s:v>0</s:v>
      </s:c>
      <s:c r="S39" s="227" t="str">
        <s:f>IF(W39&lt;&gt;"",IF(D39&lt;&gt;"",D39,($I$8-SUM($S$25:S38))*V39*W39/SUMPRODUCT($W39:$W$55,$V39:$V$55)),"")</s:f>
        <s:v/>
      </s:c>
      <s:c r="T39" s="228" t="str">
        <s:f>IF(W39&lt;&gt;"",IF(E39&lt;&gt;"",E39,($I$9-SUM($T$25:T38))*V39*W39/SUMPRODUCT($W39:$W$55,$V39:$V$55)),"")</s:f>
        <s:v/>
      </s:c>
      <s:c r="U39" s="228" t="str">
        <s:f>IF(W39&lt;&gt;"",IF($I$12&lt;&gt;"",IF(G39&lt;&gt;"",G39,($I$9/$I$12-SUM($U$25:U38))*V39*W39/SUMPRODUCT($W39:$W$55,$V39:$V$55)),""),"")</s:f>
        <s:v/>
      </s:c>
      <s:c r="V39" s="229"/>
      <s:c r="W39" s="229"/>
      <s:c r="X39" s="418"/>
      <s:c r="Y39" s="418"/>
      <s:c r="Z39" s="278"/>
    </s:row>
    <s:row r="40" spans="1:33" s="221" customFormat="1">
      <s:c r="A40" s="413"/>
      <s:c r="B40" s="414"/>
      <s:c r="C40" s="103"/>
      <s:c r="D40" s="415"/>
      <s:c r="E40" s="416"/>
      <s:c r="F40" s="223" t="str">
        <s:f>IF(AND(E40&lt;&gt;"",E40&lt;&gt;0),D40/E40,"")</s:f>
        <s:v/>
      </s:c>
      <s:c r="G40" s="416"/>
      <s:c r="H40" s="223" t="str">
        <s:f>IF(AND(G40&lt;&gt;"",G40&lt;&gt;0),D40/G40,"")</s:f>
        <s:v/>
      </s:c>
      <s:c r="I40" s="416"/>
      <s:c r="J40" s="222" t="str">
        <s:f>IF(AND(G40&lt;&gt;"",G40&lt;&gt;0),E40/G40,"")</s:f>
        <s:v/>
      </s:c>
      <s:c r="K40" s="223"/>
      <s:c r="L40" s="223"/>
      <s:c r="M40" s="223"/>
      <s:c r="N40" s="267" t="str">
        <s:f>IF(AND(I40&lt;&gt;"",I40&lt;&gt;0),G40/I40,"")</s:f>
        <s:v/>
      </s:c>
      <s:c r="O40" s="417" t="e">
        <s:f>D40/P40</s:f>
        <s:v>#DIV/0!</s:v>
      </s:c>
      <s:c r="P40" s="227">
        <s:f>$I$8*V40*W40/SUMPRODUCT($W$25:$W$47,$V$25:$V$47)</s:f>
        <s:v>0</s:v>
      </s:c>
      <s:c r="Q40" s="228">
        <s:f>$I$9*V40*W40/SUMPRODUCT($W$25:$W$47,$V$25:$V$47)</s:f>
        <s:v>0</s:v>
      </s:c>
      <s:c r="R40" s="228">
        <s:f>IF($I$12="", "", Q40/$I$12)</s:f>
        <s:v>0</s:v>
      </s:c>
      <s:c r="S40" s="227" t="str">
        <s:f>IF(W40&lt;&gt;"",IF(D40&lt;&gt;"",D40,($I$8-SUM($S$25:S39))*V40*W40/SUMPRODUCT($W40:$W$55,$V40:$V$55)),"")</s:f>
        <s:v/>
      </s:c>
      <s:c r="T40" s="228" t="str">
        <s:f>IF(W40&lt;&gt;"",IF(E40&lt;&gt;"",E40,($I$9-SUM($T$25:T39))*V40*W40/SUMPRODUCT($W40:$W$55,$V40:$V$55)),"")</s:f>
        <s:v/>
      </s:c>
      <s:c r="U40" s="228" t="str">
        <s:f>IF(W40&lt;&gt;"",IF($I$12&lt;&gt;"",IF(G40&lt;&gt;"",G40,($I$9/$I$12-SUM($U$25:U39))*V40*W40/SUMPRODUCT($W40:$W$55,$V40:$V$55)),""),"")</s:f>
        <s:v/>
      </s:c>
      <s:c r="V40" s="229"/>
      <s:c r="W40" s="229"/>
      <s:c r="X40" s="418"/>
      <s:c r="Y40" s="418"/>
      <s:c r="Z40" s="278"/>
    </s:row>
    <s:row r="41" spans="1:33" s="221" customFormat="1">
      <s:c r="A41" s="413"/>
      <s:c r="B41" s="414"/>
      <s:c r="C41" s="103"/>
      <s:c r="D41" s="415"/>
      <s:c r="E41" s="416"/>
      <s:c r="F41" s="223" t="str">
        <s:f>IF(AND(E41&lt;&gt;"",E41&lt;&gt;0),D41/E41,"")</s:f>
        <s:v/>
      </s:c>
      <s:c r="G41" s="416"/>
      <s:c r="H41" s="223" t="str">
        <s:f>IF(AND(G41&lt;&gt;"",G41&lt;&gt;0),D41/G41,"")</s:f>
        <s:v/>
      </s:c>
      <s:c r="I41" s="416"/>
      <s:c r="J41" s="222" t="str">
        <s:f>IF(AND(G41&lt;&gt;"",G41&lt;&gt;0),E41/G41,"")</s:f>
        <s:v/>
      </s:c>
      <s:c r="K41" s="223"/>
      <s:c r="L41" s="223"/>
      <s:c r="M41" s="223"/>
      <s:c r="N41" s="267" t="str">
        <s:f>IF(AND(I41&lt;&gt;"",I41&lt;&gt;0),G41/I41,"")</s:f>
        <s:v/>
      </s:c>
      <s:c r="O41" s="417" t="e">
        <s:f>D41/P41</s:f>
        <s:v>#DIV/0!</s:v>
      </s:c>
      <s:c r="P41" s="227">
        <s:f>$I$8*V41*W41/SUMPRODUCT($W$25:$W$47,$V$25:$V$47)</s:f>
        <s:v>0</s:v>
      </s:c>
      <s:c r="Q41" s="228">
        <s:f>$I$9*V41*W41/SUMPRODUCT($W$25:$W$47,$V$25:$V$47)</s:f>
        <s:v>0</s:v>
      </s:c>
      <s:c r="R41" s="228">
        <s:f>IF($I$12="", "", Q41/$I$12)</s:f>
        <s:v>0</s:v>
      </s:c>
      <s:c r="S41" s="227" t="str">
        <s:f>IF(W41&lt;&gt;"",IF(D41&lt;&gt;"",D41,($I$8-SUM($S$25:S40))*V41*W41/SUMPRODUCT($W41:$W$55,$V41:$V$55)),"")</s:f>
        <s:v/>
      </s:c>
      <s:c r="T41" s="228" t="str">
        <s:f>IF(W41&lt;&gt;"",IF(E41&lt;&gt;"",E41,($I$9-SUM($T$25:T40))*V41*W41/SUMPRODUCT($W41:$W$55,$V41:$V$55)),"")</s:f>
        <s:v/>
      </s:c>
      <s:c r="U41" s="228" t="str">
        <s:f>IF(W41&lt;&gt;"",IF($I$12&lt;&gt;"",IF(G41&lt;&gt;"",G41,($I$9/$I$12-SUM($U$25:U40))*V41*W41/SUMPRODUCT($W41:$W$55,$V41:$V$55)),""),"")</s:f>
        <s:v/>
      </s:c>
      <s:c r="V41" s="229"/>
      <s:c r="W41" s="229"/>
      <s:c r="X41" s="418"/>
      <s:c r="Y41" s="418"/>
      <s:c r="Z41" s="278"/>
    </s:row>
    <s:row r="42" spans="1:33" s="221" customFormat="1">
      <s:c r="A42" s="413"/>
      <s:c r="B42" s="414"/>
      <s:c r="C42" s="103"/>
      <s:c r="D42" s="415"/>
      <s:c r="E42" s="416"/>
      <s:c r="F42" s="223" t="str">
        <s:f>IF(AND(E42&lt;&gt;"",E42&lt;&gt;0),D42/E42,"")</s:f>
        <s:v/>
      </s:c>
      <s:c r="G42" s="416"/>
      <s:c r="H42" s="223" t="str">
        <s:f>IF(AND(G42&lt;&gt;"",G42&lt;&gt;0),D42/G42,"")</s:f>
        <s:v/>
      </s:c>
      <s:c r="I42" s="416"/>
      <s:c r="J42" s="222" t="str">
        <s:f>IF(AND(G42&lt;&gt;"",G42&lt;&gt;0),E42/G42,"")</s:f>
        <s:v/>
      </s:c>
      <s:c r="K42" s="223"/>
      <s:c r="L42" s="223"/>
      <s:c r="M42" s="223"/>
      <s:c r="N42" s="267" t="str">
        <s:f>IF(AND(I42&lt;&gt;"",I42&lt;&gt;0),G42/I42,"")</s:f>
        <s:v/>
      </s:c>
      <s:c r="O42" s="417" t="e">
        <s:f>D42/P42</s:f>
        <s:v>#DIV/0!</s:v>
      </s:c>
      <s:c r="P42" s="227">
        <s:f>$I$8*V42*W42/SUMPRODUCT($W$25:$W$47,$V$25:$V$47)</s:f>
        <s:v>0</s:v>
      </s:c>
      <s:c r="Q42" s="228">
        <s:f>$I$9*V42*W42/SUMPRODUCT($W$25:$W$47,$V$25:$V$47)</s:f>
        <s:v>0</s:v>
      </s:c>
      <s:c r="R42" s="228">
        <s:f>IF($I$12="", "", Q42/$I$12)</s:f>
        <s:v>0</s:v>
      </s:c>
      <s:c r="S42" s="227" t="str">
        <s:f>IF(W42&lt;&gt;"",IF(D42&lt;&gt;"",D42,($I$8-SUM($S$25:S41))*V42*W42/SUMPRODUCT($W42:$W$55,$V42:$V$55)),"")</s:f>
        <s:v/>
      </s:c>
      <s:c r="T42" s="228" t="str">
        <s:f>IF(W42&lt;&gt;"",IF(E42&lt;&gt;"",E42,($I$9-SUM($T$25:T41))*V42*W42/SUMPRODUCT($W42:$W$55,$V42:$V$55)),"")</s:f>
        <s:v/>
      </s:c>
      <s:c r="U42" s="228" t="str">
        <s:f>IF(W42&lt;&gt;"",IF($I$12&lt;&gt;"",IF(G42&lt;&gt;"",G42,($I$9/$I$12-SUM($U$25:U41))*V42*W42/SUMPRODUCT($W42:$W$55,$V42:$V$55)),""),"")</s:f>
        <s:v/>
      </s:c>
      <s:c r="V42" s="229"/>
      <s:c r="W42" s="229"/>
      <s:c r="X42" s="418"/>
      <s:c r="Y42" s="418"/>
      <s:c r="Z42" s="278"/>
    </s:row>
    <s:row r="43" spans="1:33" s="221" customFormat="1" ht="15" customHeight="1">
      <s:c r="A43" s="413"/>
      <s:c r="B43" s="414"/>
      <s:c r="C43" s="419"/>
      <s:c r="D43" s="415"/>
      <s:c r="E43" s="416"/>
      <s:c r="F43" s="223" t="str">
        <s:f>IF(AND(E43&lt;&gt;"",E43&lt;&gt;0),D43/E43,"")</s:f>
        <s:v/>
      </s:c>
      <s:c r="G43" s="416"/>
      <s:c r="H43" s="223" t="str">
        <s:f>IF(AND(G43&lt;&gt;"",G43&lt;&gt;0),D43/G43,"")</s:f>
        <s:v/>
      </s:c>
      <s:c r="I43" s="416"/>
      <s:c r="J43" s="222" t="str">
        <s:f>IF(AND(G43&lt;&gt;"",G43&lt;&gt;0),E43/G43,"")</s:f>
        <s:v/>
      </s:c>
      <s:c r="K43" s="223"/>
      <s:c r="L43" s="223"/>
      <s:c r="M43" s="223"/>
      <s:c r="N43" s="267" t="str">
        <s:f>IF(AND(I43&lt;&gt;"",I43&lt;&gt;0),G43/I43,"")</s:f>
        <s:v/>
      </s:c>
      <s:c r="O43" s="417" t="e">
        <s:f>D43/P43</s:f>
        <s:v>#DIV/0!</s:v>
      </s:c>
      <s:c r="P43" s="227">
        <s:f>$I$8*V43*W43/SUMPRODUCT($W$25:$W$44, $V$25:$V$44)</s:f>
        <s:v>0</s:v>
      </s:c>
      <s:c r="Q43" s="228">
        <s:f>$I$9*V43*W43/SUMPRODUCT($W$25:$W$44, $V$25:$V$44)</s:f>
        <s:v>0</s:v>
      </s:c>
      <s:c r="R43" s="228">
        <s:f>IF($I$12="", "", Q43/$I$12)</s:f>
        <s:v>0</s:v>
      </s:c>
      <s:c r="S43" s="227" t="str">
        <s:f>IF(W43&lt;&gt;"",IF(D43&lt;&gt;"",D43,($I$8-SUM($S$25:S42))*V43*W43/SUMPRODUCT($W43:$W$55,$V43:$V$55)),"")</s:f>
        <s:v/>
      </s:c>
      <s:c r="T43" s="228" t="str">
        <s:f>IF(W43&lt;&gt;"",IF(E43&lt;&gt;"",E43,($I$9-SUM($T$25:T42))*V43*W43/SUMPRODUCT($W43:$W$55,$V43:$V$55)),"")</s:f>
        <s:v/>
      </s:c>
      <s:c r="U43" s="228" t="str">
        <s:f>IF(W43&lt;&gt;"",IF($I$12&lt;&gt;"",IF(G43&lt;&gt;"",G43,($I$9/$I$12-SUM($U$25:U42))*V43*W43/SUMPRODUCT($W43:$W$55,$V43:$V$55)),""),"")</s:f>
        <s:v/>
      </s:c>
      <s:c r="V43" s="229"/>
      <s:c r="W43" s="229"/>
      <s:c r="X43" s="418"/>
      <s:c r="Y43" s="418"/>
      <s:c r="Z43" s="278"/>
    </s:row>
    <s:row r="44" spans="1:33" s="221" customFormat="1">
      <s:c r="A44" s="413"/>
      <s:c r="B44" s="414"/>
      <s:c r="C44" s="103"/>
      <s:c r="D44" s="415"/>
      <s:c r="E44" s="416"/>
      <s:c r="F44" s="223" t="str">
        <s:f>IF(AND(E44&lt;&gt;"",E44&lt;&gt;0),D44/E44,"")</s:f>
        <s:v/>
      </s:c>
      <s:c r="G44" s="416"/>
      <s:c r="H44" s="223" t="str">
        <s:f>IF(AND(G44&lt;&gt;"",G44&lt;&gt;0),D44/G44,"")</s:f>
        <s:v/>
      </s:c>
      <s:c r="I44" s="416"/>
      <s:c r="J44" s="222" t="str">
        <s:f>IF(AND(G44&lt;&gt;"",G44&lt;&gt;0),E44/G44,"")</s:f>
        <s:v/>
      </s:c>
      <s:c r="K44" s="223"/>
      <s:c r="L44" s="223"/>
      <s:c r="M44" s="223"/>
      <s:c r="N44" s="267" t="str">
        <s:f>IF(AND(I44&lt;&gt;"",I44&lt;&gt;0),G44/I44,"")</s:f>
        <s:v/>
      </s:c>
      <s:c r="O44" s="417" t="e">
        <s:f>D44/P44</s:f>
        <s:v>#DIV/0!</s:v>
      </s:c>
      <s:c r="P44" s="227">
        <s:f>$I$8*V44*W44/SUMPRODUCT($W$25:$W$44, $V$25:$V$44)</s:f>
        <s:v>0</s:v>
      </s:c>
      <s:c r="Q44" s="228">
        <s:f>$I$9*V44*W44/SUMPRODUCT($W$25:$W$44, $V$25:$V$44)</s:f>
        <s:v>0</s:v>
      </s:c>
      <s:c r="R44" s="228">
        <s:f>IF($I$12="", "", Q44/$I$12)</s:f>
        <s:v>0</s:v>
      </s:c>
      <s:c r="S44" s="227" t="str">
        <s:f>IF(W44&lt;&gt;"",IF(D44&lt;&gt;"",D44,($I$8-SUM($S$25:S43))*V44*W44/SUMPRODUCT($W44:$W$55,$V44:$V$55)),"")</s:f>
        <s:v/>
      </s:c>
      <s:c r="T44" s="228" t="str">
        <s:f>IF(W44&lt;&gt;"",IF(E44&lt;&gt;"",E44,($I$9-SUM($T$25:T43))*V44*W44/SUMPRODUCT($W44:$W$55,$V44:$V$55)),"")</s:f>
        <s:v/>
      </s:c>
      <s:c r="U44" s="228" t="str">
        <s:f>IF(W44&lt;&gt;"",IF($I$12&lt;&gt;"",IF(G44&lt;&gt;"",G44,($I$9/$I$12-SUM($U$25:U43))*V44*W44/SUMPRODUCT($W44:$W$55,$V44:$V$55)),""),"")</s:f>
        <s:v/>
      </s:c>
      <s:c r="V44" s="229"/>
      <s:c r="W44" s="229"/>
      <s:c r="X44" s="418"/>
      <s:c r="Y44" s="418"/>
      <s:c r="Z44" s="278"/>
    </s:row>
    <s:row r="45" spans="1:33" s="221" customFormat="1">
      <s:c r="A45" s="413"/>
      <s:c r="B45" s="102"/>
      <s:c r="C45" s="103"/>
      <s:c r="D45" s="415"/>
      <s:c r="E45" s="416"/>
      <s:c r="F45" s="223" t="str">
        <s:f>IF(AND(E45&lt;&gt;"",E45&lt;&gt;0),D45/E45,"")</s:f>
        <s:v/>
      </s:c>
      <s:c r="G45" s="416"/>
      <s:c r="H45" s="223" t="str">
        <s:f>IF(AND(G45&lt;&gt;"",G45&lt;&gt;0),D45/G45,"")</s:f>
        <s:v/>
      </s:c>
      <s:c r="I45" s="416"/>
      <s:c r="J45" s="222" t="str">
        <s:f>IF(AND(G45&lt;&gt;"",G45&lt;&gt;0),E45/G45,"")</s:f>
        <s:v/>
      </s:c>
      <s:c r="K45" s="223"/>
      <s:c r="L45" s="223"/>
      <s:c r="M45" s="223"/>
      <s:c r="N45" s="267" t="str">
        <s:f>IF(AND(I45&lt;&gt;"",I45&lt;&gt;0),G45/I45,"")</s:f>
        <s:v/>
      </s:c>
      <s:c r="O45" s="417" t="e">
        <s:f>D45/P45</s:f>
        <s:v>#DIV/0!</s:v>
      </s:c>
      <s:c r="P45" s="227">
        <s:f>$I$8*V45*W45/SUMPRODUCT($W$25:$W$44, $V$25:$V$44)</s:f>
        <s:v>0</s:v>
      </s:c>
      <s:c r="Q45" s="228">
        <s:f>$I$9*V45*W45/SUMPRODUCT($W$25:$W$44, $V$25:$V$44)</s:f>
        <s:v>0</s:v>
      </s:c>
      <s:c r="R45" s="228">
        <s:f>IF($I$12="", "", Q45/$I$12)</s:f>
        <s:v>0</s:v>
      </s:c>
      <s:c r="S45" s="227" t="str">
        <s:f>IF(W45&lt;&gt;"",IF(D45&lt;&gt;"",D45,($I$8-SUM($S$25:S44))*V45*W45/SUMPRODUCT($W45:$W$55,$V45:$V$55)),"")</s:f>
        <s:v/>
      </s:c>
      <s:c r="T45" s="228" t="str">
        <s:f>IF(W45&lt;&gt;"",IF(E45&lt;&gt;"",E45,($I$9-SUM($T$25:T44))*V45*W45/SUMPRODUCT($W45:$W$55,$V45:$V$55)),"")</s:f>
        <s:v/>
      </s:c>
      <s:c r="U45" s="228" t="str">
        <s:f>IF(W45&lt;&gt;"",IF($I$12&lt;&gt;"",IF(G45&lt;&gt;"",G45,($I$9/$I$12-SUM($U$25:U44))*V45*W45/SUMPRODUCT($W45:$W$55,$V45:$V$55)),""),"")</s:f>
        <s:v/>
      </s:c>
      <s:c r="V45" s="229"/>
      <s:c r="W45" s="229"/>
      <s:c r="X45" s="418"/>
      <s:c r="Y45" s="418"/>
      <s:c r="Z45" s="278"/>
    </s:row>
    <s:row r="46" spans="1:33" customFormat="1">
      <s:c r="A46" s="420"/>
      <s:c r="B46" s="129"/>
      <s:c r="C46" s="215"/>
      <s:c r="D46" s="421"/>
      <s:c r="E46" s="422"/>
      <s:c r="F46" s="106" t="str">
        <s:f>IF(AND(E46&lt;&gt;"",E46&lt;&gt;0),D46/E46,"")</s:f>
        <s:v/>
      </s:c>
      <s:c r="G46" s="422"/>
      <s:c r="H46" s="106" t="str">
        <s:f>IF(AND(G46&lt;&gt;"",G46&lt;&gt;0),D46/G46,"")</s:f>
        <s:v/>
      </s:c>
      <s:c r="I46" s="106"/>
      <s:c r="J46" s="104" t="str">
        <s:f>IF(AND(G46&lt;&gt;"",G46&lt;&gt;0),E46/G46,"")</s:f>
        <s:v/>
      </s:c>
      <s:c r="K46" s="106"/>
      <s:c r="L46" s="106"/>
      <s:c r="M46" s="106"/>
      <s:c r="N46" s="217" t="str">
        <s:f>IF(AND(I46&lt;&gt;"",I46&lt;&gt;0),G46/I46,"")</s:f>
        <s:v/>
      </s:c>
      <s:c r="O46" s="423" t="e">
        <s:f>D46/P46</s:f>
        <s:v>#DIV/0!</s:v>
      </s:c>
      <s:c r="P46" s="109">
        <s:f>$I$8*V46*W46/SUMPRODUCT($W$25:$W$44, $V$25:$V$44)</s:f>
        <s:v>0</s:v>
      </s:c>
      <s:c r="Q46" s="110">
        <s:f>$I$9*V46*W46/SUMPRODUCT($W$25:$W$44, $V$25:$V$44)</s:f>
        <s:v>0</s:v>
      </s:c>
      <s:c r="R46" s="110">
        <s:f>IF($I$12="", "", Q46/$I$12)</s:f>
        <s:v>0</s:v>
      </s:c>
      <s:c r="S46" s="109" t="str">
        <s:f>IF(W46&lt;&gt;"",IF(D46&lt;&gt;"",D46,($I$8-SUM($S$25:S45))*V46*W46/SUMPRODUCT($W46:$W$55,$V46:$V$55)),"")</s:f>
        <s:v/>
      </s:c>
      <s:c r="T46" s="110" t="str">
        <s:f>IF(W46&lt;&gt;"",IF(E46&lt;&gt;"",E46,($I$9-SUM($T$25:T45))*V46*W46/SUMPRODUCT($W46:$W$55,$V46:$V$55)),"")</s:f>
        <s:v/>
      </s:c>
      <s:c r="U46" s="110" t="str">
        <s:f>IF(W46&lt;&gt;"",IF($I$12&lt;&gt;"",IF(G46&lt;&gt;"",G46,($I$9/$I$12-SUM($U$25:U45))*V46*W46/SUMPRODUCT($W46:$W$55,$V46:$V$55)),""),"")</s:f>
        <s:v/>
      </s:c>
      <s:c r="V46" s="111"/>
      <s:c r="W46" s="111"/>
      <s:c r="X46" s="424"/>
      <s:c r="Y46" s="425"/>
    </s:row>
    <s:row r="47" spans="1:33" customFormat="1" ht="15.25" customHeight="1">
      <s:c r="A47" s="128"/>
      <s:c r="B47" s="129"/>
      <s:c r="C47" s="426"/>
      <s:c r="D47" s="104"/>
      <s:c r="E47" s="106"/>
      <s:c r="F47" s="106" t="str">
        <s:f>IF(AND(E47&lt;&gt;"",E47&lt;&gt;0),D47/E47,"")</s:f>
        <s:v/>
      </s:c>
      <s:c r="G47" s="106"/>
      <s:c r="H47" s="106" t="str">
        <s:f>IF(AND(G47&lt;&gt;"",G47&lt;&gt;0),D47/G47,"")</s:f>
        <s:v/>
      </s:c>
      <s:c r="I47" s="106"/>
      <s:c r="J47" s="104" t="str">
        <s:f>IF(AND(G47&lt;&gt;"",G47&lt;&gt;0),E47/G47,"")</s:f>
        <s:v/>
      </s:c>
      <s:c r="K47" s="106"/>
      <s:c r="L47" s="106"/>
      <s:c r="M47" s="106"/>
      <s:c r="N47" s="107" t="str">
        <s:f>IF(AND(I47&lt;&gt;"",I47&lt;&gt;0),G47/I47,"")</s:f>
        <s:v/>
      </s:c>
      <s:c r="O47" s="108" t="e">
        <s:f>D47/P47</s:f>
        <s:v>#DIV/0!</s:v>
      </s:c>
      <s:c r="P47" s="109">
        <s:f>$I$8*V47*W47/SUMPRODUCT($W$25:$W$55,$V$25:$V$55)</s:f>
        <s:v>0</s:v>
      </s:c>
      <s:c r="Q47" s="110">
        <s:f>$I$9*V47*W47/SUMPRODUCT($W$25:$W$55,$V$25:$V$55)</s:f>
        <s:v>0</s:v>
      </s:c>
      <s:c r="R47" s="110">
        <s:f>IF($I$12="","",Q47/$I$12)</s:f>
        <s:v>0</s:v>
      </s:c>
      <s:c r="S47" s="109" t="str">
        <s:f>IF(W47&lt;&gt;"",IF(D47&lt;&gt;"",D47,($I$8-SUM($S$25:S46))*V47*W47/SUMPRODUCT($W47:$W$55,$V47:$V$55)),"")</s:f>
        <s:v/>
      </s:c>
      <s:c r="T47" s="110" t="str">
        <s:f>IF(W47&lt;&gt;"",IF(E47&lt;&gt;"",E47,($I$9-SUM($T$25:T46))*V47*W47/SUMPRODUCT($W47:$W$55,$V47:$V$55)),"")</s:f>
        <s:v/>
      </s:c>
      <s:c r="U47" s="110" t="str">
        <s:f>IF(W47&lt;&gt;"",IF($I$12&lt;&gt;"",IF(G47&lt;&gt;"",G47,($I$9/$I$12-SUM($U$25:U46))*V47*W47/SUMPRODUCT($W47:$W$55,$V47:$V$55)),""),"")</s:f>
        <s:v/>
      </s:c>
      <s:c r="V47" s="111"/>
      <s:c r="W47" s="111"/>
      <s:c r="X47" s="112"/>
      <s:c r="Y47" s="112"/>
      <s:c r="Z47" s="2"/>
      <s:c r="AA47" s="2"/>
      <s:c r="AB47" s="2"/>
      <s:c r="AC47" s="2"/>
      <s:c r="AD47" s="2"/>
      <s:c r="AE47" s="2"/>
      <s:c r="AF47" s="2"/>
      <s:c r="AG47" s="2"/>
    </s:row>
    <s:row r="48" spans="1:33" ht="15" customHeight="1">
      <s:c r="B48" s="631" t="s">
        <s:v>55</s:v>
      </s:c>
      <s:c r="C48" s="631"/>
      <s:c r="D48" s="427">
        <s:f>SUM(D25:D47)</s:f>
        <s:v>86196</s:v>
      </s:c>
      <s:c r="E48" s="427">
        <s:f>SUM(E25:E47)</s:f>
        <s:v>25</s:v>
      </s:c>
      <s:c r="F48" s="427">
        <s:f>IF(AND(E48&lt;&gt;"",E48&lt;&gt;0),D48/E48,"")</s:f>
        <s:v>3447.84</s:v>
      </s:c>
      <s:c r="G48" s="427">
        <s:f>SUM(G25:G47)</s:f>
        <s:v>12</s:v>
      </s:c>
      <s:c r="H48" s="427">
        <s:f>IF(AND(G48&lt;&gt;"",G48&lt;&gt;0),D48/G48,"")</s:f>
        <s:v>7183</s:v>
      </s:c>
      <s:c r="I48" s="427">
        <s:f>SUM(I25:I47)</s:f>
        <s:v>42</s:v>
      </s:c>
      <s:c r="J48" s="428">
        <s:f>IF(AND(G48&lt;&gt;"",G48&lt;&gt;0),E48/G48,"")</s:f>
        <s:v>2.0833333333333335</s:v>
      </s:c>
      <s:c r="K48" s="427">
        <s:f>SUM(K25:K47)</s:f>
        <s:v>0</s:v>
      </s:c>
      <s:c r="L48" s="427">
        <s:f>SUM(L25:L47)</s:f>
        <s:v>0</s:v>
      </s:c>
      <s:c r="M48" s="427">
        <s:f>SUM(M25:M47)</s:f>
        <s:v>0</s:v>
      </s:c>
      <s:c r="N48" s="429">
        <s:f>IF(AND(I48&lt;&gt;"",I48&lt;&gt;0),G48/I48,"")</s:f>
        <s:v>0.2857142857142857</s:v>
      </s:c>
      <s:c r="O48" s="430">
        <s:f>D48/P48</s:f>
        <s:v>1.0786209823684747</s:v>
      </s:c>
      <s:c r="P48" s="431">
        <s:f>SUM(P25:P47)</s:f>
        <s:v>79913.149668874161</s:v>
      </s:c>
      <s:c r="Q48" s="431">
        <s:f>SUM(Q25:Q47)</s:f>
        <s:v>20.805298013245029</s:v>
      </s:c>
      <s:c r="R48" s="431">
        <s:f>SUM(R25:R47)</s:f>
        <s:v>10.402649006622514</s:v>
      </s:c>
      <s:c r="S48" s="431">
        <s:f>SUM(S25:S47)</s:f>
        <s:v>78513</s:v>
      </s:c>
      <s:c r="T48" s="431">
        <s:f>SUM(T25:T47)</s:f>
        <s:v>23</s:v>
      </s:c>
      <s:c r="U48" s="431">
        <s:f>SUM(U25:U47)</s:f>
        <s:v>11</s:v>
      </s:c>
      <s:c r="V48" s="432"/>
      <s:c r="W48" s="432"/>
    </s:row>
    <s:row r="49">
      <s:c r="B49" s="130"/>
      <s:c r="C49" s="140"/>
      <s:c r="D49" s="141">
        <s:f>SUMIF(D25:D47,"",P25:P47)+D48</s:f>
        <s:v>86196</s:v>
      </s:c>
      <s:c r="E49" s="433"/>
      <s:c r="F49" s="140"/>
      <s:c r="G49" s="140"/>
      <s:c r="H49" s="143"/>
      <s:c r="I49" s="218"/>
      <s:c r="J49" s="143"/>
      <s:c r="L49" s="145"/>
      <s:c r="M49" s="433"/>
      <s:c r="N49" s="145"/>
      <s:c r="O49" s="145"/>
      <s:c r="P49" s="145"/>
      <s:c r="Q49" s="434"/>
    </s:row>
    <s:row r="50">
      <s:c r="D50" s="205"/>
    </s:row>
    <s:row r="51">
      <s:c r="D51" s="147">
        <s:f>D27+D28</s:f>
        <s:v>14866</s:v>
      </s:c>
    </s:row>
    <s:row r="52">
      <s:c r="D52" s="205"/>
    </s:row>
    <s:row r="53">
      <s:c r="D53" s="205"/>
    </s:row>
  </s:sheetData>
  <s:mergeCells count="27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P22:W22"/>
    <s:mergeCell ref="F15:H15"/>
    <s:mergeCell ref="F16:H16"/>
    <s:mergeCell ref="S16:S17"/>
    <s:mergeCell ref="F17:H17"/>
    <s:mergeCell ref="F18:H18"/>
    <s:mergeCell ref="B48:C48"/>
    <s:mergeCell ref="F19:H19"/>
    <s:mergeCell ref="F20:H20"/>
    <s:mergeCell ref="B22:N22"/>
    <s:mergeCell ref="O22:O24"/>
  </s:mergeCells>
  <s:conditionalFormatting sqref="J16">
    <s:cfRule type="cellIs" dxfId="47" priority="240" operator="lessThan">
      <s:formula>0</s:formula>
    </s:cfRule>
    <s:cfRule type="cellIs" dxfId="46" priority="241" operator="greaterThan">
      <s:formula>0</s:formula>
    </s:cfRule>
  </s:conditionalFormatting>
  <s:conditionalFormatting sqref="J25:J28">
    <s:cfRule type="cellIs" dxfId="45" priority="10" operator="lessThan">
      <s:formula>$I$12</s:formula>
    </s:cfRule>
    <s:cfRule type="cellIs" dxfId="44" priority="11" operator="greaterThan">
      <s:formula>$I$12</s:formula>
    </s:cfRule>
  </s:conditionalFormatting>
  <s:conditionalFormatting sqref="J29:J33">
    <s:cfRule type="cellIs" dxfId="43" priority="71" operator="greaterThan">
      <s:formula>$I$12</s:formula>
    </s:cfRule>
  </s:conditionalFormatting>
  <s:conditionalFormatting sqref="J29:J34">
    <s:cfRule type="cellIs" dxfId="42" priority="56" operator="lessThan">
      <s:formula>$I$12</s:formula>
    </s:cfRule>
  </s:conditionalFormatting>
  <s:conditionalFormatting sqref="J30">
    <s:cfRule type="cellIs" dxfId="41" priority="245" operator="lessThan">
      <s:formula>$I$12</s:formula>
    </s:cfRule>
  </s:conditionalFormatting>
  <s:conditionalFormatting sqref="J34:J47">
    <s:cfRule type="cellIs" dxfId="40" priority="55" operator="greaterThan">
      <s:formula>$I$12</s:formula>
    </s:cfRule>
    <s:cfRule type="cellIs" dxfId="39" priority="54" operator="lessThan">
      <s:formula>$I$12</s:formula>
    </s:cfRule>
  </s:conditionalFormatting>
  <s:conditionalFormatting sqref="K10:K12 K15">
    <s:cfRule type="cellIs" dxfId="38" priority="238" operator="lessThan">
      <s:formula>1</s:formula>
    </s:cfRule>
    <s:cfRule type="cellIs" dxfId="37" priority="239" operator="greaterThan">
      <s:formula>1</s:formula>
    </s:cfRule>
  </s:conditionalFormatting>
  <s:conditionalFormatting sqref="M8:M15">
    <s:cfRule type="cellIs" dxfId="36" priority="243" operator="lessThan">
      <s:formula>1</s:formula>
    </s:cfRule>
    <s:cfRule type="cellIs" dxfId="35" priority="237" operator="greaterThan">
      <s:formula>1</s:formula>
    </s:cfRule>
  </s:conditionalFormatting>
  <s:conditionalFormatting sqref="N25:N28">
    <s:cfRule type="cellIs" dxfId="34" priority="8" operator="greaterThanOrEqual">
      <s:formula>0.25</s:formula>
    </s:cfRule>
    <s:cfRule type="cellIs" dxfId="33" priority="7" operator="between">
      <s:formula>0.2</s:formula>
      <s:formula>0.25</s:formula>
    </s:cfRule>
  </s:conditionalFormatting>
  <s:conditionalFormatting sqref="N25:N47">
    <s:cfRule type="cellIs" dxfId="32" priority="9" operator="lessThan">
      <s:formula>0.2</s:formula>
    </s:cfRule>
  </s:conditionalFormatting>
  <s:conditionalFormatting sqref="N29:N33">
    <s:cfRule type="cellIs" dxfId="31" priority="68" operator="greaterThanOrEqual">
      <s:formula>0.25</s:formula>
    </s:cfRule>
  </s:conditionalFormatting>
  <s:conditionalFormatting sqref="N29:N34">
    <s:cfRule type="cellIs" dxfId="30" priority="57" operator="between">
      <s:formula>0.2</s:formula>
      <s:formula>0.25</s:formula>
    </s:cfRule>
  </s:conditionalFormatting>
  <s:conditionalFormatting sqref="N30">
    <s:cfRule type="cellIs" dxfId="29" priority="248" operator="between">
      <s:formula>0.2</s:formula>
      <s:formula>0.25</s:formula>
    </s:cfRule>
  </s:conditionalFormatting>
  <s:conditionalFormatting sqref="N34:N47">
    <s:cfRule type="cellIs" dxfId="28" priority="51" operator="between">
      <s:formula>0.2</s:formula>
      <s:formula>0.25</s:formula>
    </s:cfRule>
    <s:cfRule type="cellIs" dxfId="27" priority="52" operator="greaterThanOrEqual">
      <s:formula>0.25</s:formula>
    </s:cfRule>
  </s:conditionalFormatting>
  <s:conditionalFormatting sqref="O25:O28">
    <s:cfRule type="cellIs" dxfId="26" priority="6" operator="between">
      <s:formula>0.01</s:formula>
      <s:formula>0.99</s:formula>
    </s:cfRule>
    <s:cfRule type="cellIs" dxfId="25" priority="5" operator="between">
      <s:formula>0.85</s:formula>
      <s:formula>1</s:formula>
    </s:cfRule>
    <s:cfRule type="cellIs" dxfId="24" priority="2" operator="lessThan">
      <s:formula>0.9</s:formula>
    </s:cfRule>
    <s:cfRule type="cellIs" dxfId="23" priority="1" operator="between">
      <s:formula>0.9001</s:formula>
      <s:formula>0.9999</s:formula>
    </s:cfRule>
  </s:conditionalFormatting>
  <s:conditionalFormatting sqref="O25:O47">
    <s:cfRule type="cellIs" dxfId="22" priority="4" operator="greaterThan">
      <s:formula>100</s:formula>
    </s:cfRule>
    <s:cfRule type="cellIs" dxfId="21" priority="3" operator="greaterThan">
      <s:formula>1</s:formula>
    </s:cfRule>
  </s:conditionalFormatting>
  <s:conditionalFormatting sqref="O29:O33">
    <s:cfRule type="cellIs" dxfId="20" priority="65" operator="between">
      <s:formula>0.85</s:formula>
      <s:formula>1</s:formula>
    </s:cfRule>
    <s:cfRule type="cellIs" dxfId="19" priority="66" operator="between">
      <s:formula>0.01</s:formula>
      <s:formula>0.99</s:formula>
    </s:cfRule>
  </s:conditionalFormatting>
  <s:conditionalFormatting sqref="O29:O34">
    <s:cfRule type="cellIs" dxfId="18" priority="60" operator="between">
      <s:formula>0.9001</s:formula>
      <s:formula>0.9999</s:formula>
    </s:cfRule>
    <s:cfRule type="cellIs" dxfId="17" priority="59" operator="lessThan">
      <s:formula>0.9</s:formula>
    </s:cfRule>
  </s:conditionalFormatting>
  <s:conditionalFormatting sqref="O30">
    <s:cfRule type="cellIs" dxfId="16" priority="250" operator="between">
      <s:formula>0.85</s:formula>
      <s:formula>1</s:formula>
    </s:cfRule>
    <s:cfRule type="cellIs" dxfId="15" priority="253" operator="lessThan">
      <s:formula>0.9</s:formula>
    </s:cfRule>
    <s:cfRule type="cellIs" dxfId="14" priority="254" operator="between">
      <s:formula>0.9001</s:formula>
      <s:formula>0.9999</s:formula>
    </s:cfRule>
  </s:conditionalFormatting>
  <s:conditionalFormatting sqref="O34">
    <s:cfRule type="cellIs" dxfId="13" priority="58" operator="between">
      <s:formula>0.85</s:formula>
      <s:formula>1</s:formula>
    </s:cfRule>
  </s:conditionalFormatting>
  <s:conditionalFormatting sqref="O34:O37">
    <s:cfRule type="cellIs" dxfId="12" priority="50" operator="between">
      <s:formula>0.01</s:formula>
      <s:formula>0.99</s:formula>
    </s:cfRule>
    <s:cfRule type="cellIs" dxfId="11" priority="46" operator="lessThan">
      <s:formula>0.9</s:formula>
    </s:cfRule>
    <s:cfRule type="cellIs" dxfId="10" priority="45" operator="between">
      <s:formula>0.9001</s:formula>
      <s:formula>0.9999</s:formula>
    </s:cfRule>
  </s:conditionalFormatting>
  <s:conditionalFormatting sqref="O35:O37">
    <s:cfRule type="cellIs" dxfId="9" priority="49" operator="between">
      <s:formula>0.85</s:formula>
      <s:formula>1</s:formula>
    </s:cfRule>
  </s:conditionalFormatting>
  <s:conditionalFormatting sqref="O38:O45">
    <s:cfRule type="cellIs" dxfId="8" priority="98" operator="between">
      <s:formula>0.85</s:formula>
      <s:formula>1</s:formula>
    </s:cfRule>
    <s:cfRule type="cellIs" dxfId="7" priority="99" operator="between">
      <s:formula>0.01</s:formula>
      <s:formula>0.99</s:formula>
    </s:cfRule>
  </s:conditionalFormatting>
  <s:conditionalFormatting sqref="O38:O46">
    <s:cfRule type="cellIs" dxfId="6" priority="94" operator="between">
      <s:formula>0.9001</s:formula>
      <s:formula>0.9999</s:formula>
    </s:cfRule>
    <s:cfRule type="cellIs" dxfId="5" priority="95" operator="lessThan">
      <s:formula>0.9</s:formula>
    </s:cfRule>
  </s:conditionalFormatting>
  <s:conditionalFormatting sqref="O46:O47">
    <s:cfRule type="cellIs" dxfId="4" priority="87" operator="between">
      <s:formula>0.85</s:formula>
      <s:formula>1</s:formula>
    </s:cfRule>
    <s:cfRule type="cellIs" dxfId="3" priority="88" operator="between">
      <s:formula>0.01</s:formula>
      <s:formula>0.99</s:formula>
    </s:cfRule>
  </s:conditionalFormatting>
  <s:conditionalFormatting sqref="O47">
    <s:cfRule type="cellIs" dxfId="2" priority="83" operator="between">
      <s:formula>0.9001</s:formula>
      <s:formula>0.9999</s:formula>
    </s:cfRule>
    <s:cfRule type="cellIs" dxfId="1" priority="84" operator="lessThan">
      <s:formula>0.9</s:formula>
    </s:cfRule>
  </s:conditionalFormatting>
  <s:conditionalFormatting sqref="P10:Q10">
    <s:cfRule type="cellIs" dxfId="0" priority="242" operator="lessThan">
      <s:formula>0</s:formula>
    </s:cfRule>
  </s:conditionalFormatting>
  <s:dataValidations count="3">
    <s:dataValidation xr:uid="{00BA0091-003D-4BD8-84B8-00D300AD00CB}" type="date" allowBlank="1" showErrorMessage="1" sqref="B35:B45">
      <s:formula1>40544</s:formula1>
      <s:formula2>73051</s:formula2>
    </s:dataValidation>
    <s:dataValidation xr:uid="{00FA00D3-0031-4FEE-AE99-00E000BF005F}" type="decimal" allowBlank="1" showErrorMessage="1" sqref="I14 O10:O11 I8:J13">
      <s:formula1>0</s:formula1>
      <s:formula2>1000000000000000</s:formula2>
    </s:dataValidation>
    <s:dataValidation xr:uid="{008500D6-0001-4E80-B6FD-007300780039}" type="decimal" allowBlank="1" showErrorMessage="1" sqref="I41">
      <s:formula1>0</s:formula1>
      <s:formula2>10000000000000000</s:formula2>
    </s:dataValidation>
  </s:dataValidations>
  <s:pageMargins left="0.7" right="0.7" top="0.75" bottom="0.75" header="0.3" footer="0.3"/>
  <s:pageSetup paperSize="9" orientation="portrait"/>
</s:worksheet>
</file>

<file path=xl/worksheets/sheet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600-000000000000}">
  <s:dimension ref="A1:N26"/>
  <s:sheetViews>
    <s:sheetView tabSelected="0" topLeftCell="A2" zoomScale="96" workbookViewId="0">
      <s:selection activeCell="K17" sqref="K17"/>
    </s:sheetView>
  </s:sheetViews>
  <s:sheetFormatPr baseColWidth="10" defaultColWidth="11.5" defaultRowHeight="15"/>
  <s:cols>
    <s:col min="1" max="1" width="11.5" style="3"/>
    <s:col min="2" max="2" width="14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9" width="12.832" style="3" customWidth="1"/>
    <s:col min="10" max="10" width="19.1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654" t="str">
        <s:f>График!B1</s:f>
        <s:v>Февраль, 2025</s:v>
      </s:c>
      <s:c r="B1" s="655"/>
      <s:c r="C1" s="655"/>
      <s:c r="D1" s="656"/>
      <s:c r="E1" s="280"/>
      <s:c r="F1" s="281"/>
      <s:c r="G1" s="281"/>
      <s:c r="H1" s="281"/>
      <s:c r="I1" s="281"/>
      <s:c r="J1" s="281"/>
      <s:c r="K1" s="281"/>
      <s:c r="L1" s="281"/>
      <s:c r="M1" s="281"/>
      <s:c r="N1" s="282"/>
    </s:row>
    <s:row r="2" spans="1:14" ht="15" customHeight="1">
      <s:c r="A2" s="657" t="str">
        <s:f>График!B3</s:f>
        <s:v>ул. Набережная Ленина, 18</s:v>
      </s:c>
      <s:c r="B2" s="658"/>
      <s:c r="C2" s="658"/>
      <s:c r="D2" s="283" t="str">
        <s:f>График!B4</s:f>
        <s:v>GL-0005</s:v>
      </s:c>
      <s:c r="E2" s="284"/>
      <s:c r="F2" s="285"/>
      <s:c r="G2" s="285"/>
      <s:c r="H2" s="285"/>
      <s:c r="I2" s="285"/>
      <s:c r="J2" s="285"/>
      <s:c r="K2" s="285"/>
      <s:c r="L2" s="285"/>
      <s:c r="M2" s="285"/>
      <s:c r="N2" s="286"/>
    </s:row>
    <s:row r="3" spans="1:14" ht="75">
      <s:c r="A3" s="659" t="s">
        <s:v>27</s:v>
      </s:c>
      <s:c r="B3" s="660"/>
      <s:c r="C3" s="660"/>
      <s:c r="D3" s="287" t="s">
        <s:v>63</s:v>
      </s:c>
      <s:c r="E3" s="287" t="s">
        <s:v>64</s:v>
      </s:c>
      <s:c r="F3" s="288" t="s">
        <s:v>65</s:v>
      </s:c>
      <s:c r="G3" s="289" t="s">
        <s:v>66</s:v>
      </s:c>
      <s:c r="H3" s="290" t="s">
        <s:v>67</s:v>
      </s:c>
      <s:c r="I3" s="291" t="s">
        <s:v>68</s:v>
      </s:c>
      <s:c r="J3" s="292" t="s">
        <s:v>69</s:v>
      </s:c>
      <s:c r="K3" s="293" t="s">
        <s:v>70</s:v>
      </s:c>
      <s:c r="L3" s="294" t="s">
        <s:v>71</s:v>
      </s:c>
      <s:c r="M3" s="295" t="s">
        <s:v>72</s:v>
      </s:c>
      <s:c r="N3" s="296" t="s">
        <s:v>73</s:v>
      </s:c>
    </s:row>
    <s:row r="4" spans="1:14" ht="15" customHeight="1">
      <s:c r="A4" s="661">
        <s:f>График!B30</s:f>
        <s:v>0</s:v>
      </s:c>
      <s:c r="B4" s="662"/>
      <s:c r="C4" s="662"/>
      <s:c r="D4" s="297">
        <s:v>16376.53</s:v>
      </s:c>
      <s:c r="E4" s="298"/>
      <s:c r="F4" s="299">
        <s:f>H8+H9</s:f>
        <s:v>2576.17</s:v>
      </s:c>
      <s:c r="G4" s="300">
        <s:f>D12</s:f>
        <s:v>0</s:v>
      </s:c>
      <s:c r="H4" s="301">
        <s:f>D19</s:f>
        <s:v>0</s:v>
      </s:c>
      <s:c r="I4" s="302">
        <s:f>L19</s:f>
        <s:v>0</s:v>
      </s:c>
      <s:c r="J4" s="303">
        <s:f>L12</s:f>
        <s:v>0</s:v>
      </s:c>
      <s:c r="K4" s="304">
        <s:f>H4+J4+G4+F4+I4</s:f>
        <s:v>2576.17</s:v>
      </s:c>
      <s:c r="L4" s="305">
        <s:f>C8+C9+C10</s:f>
        <s:v>4246</s:v>
      </s:c>
      <s:c r="M4" s="306">
        <s:f>K4-L4-D4-E4</s:f>
        <s:v>-18046.36</s:v>
      </s:c>
      <s:c r="N4" s="307"/>
    </s:row>
    <s:row r="5" spans="1:14">
      <s:c r="A5" s="308"/>
      <s:c r="B5" s="309"/>
      <s:c r="C5" s="310"/>
      <s:c r="D5" s="310"/>
      <s:c r="E5" s="310"/>
      <s:c r="F5" s="310"/>
      <s:c r="G5" s="310"/>
      <s:c r="H5" s="310"/>
      <s:c r="I5" s="310"/>
      <s:c r="J5" s="310"/>
      <s:c r="K5" s="311"/>
      <s:c r="L5" s="310"/>
      <s:c r="M5" s="312"/>
      <s:c r="N5" s="313"/>
    </s:row>
    <s:row r="6" spans="1:14">
      <s:c r="A6" s="308"/>
      <s:c r="B6" s="309" t="s">
        <s:v>71</s:v>
      </s:c>
      <s:c r="C6" s="310"/>
      <s:c r="D6" s="310"/>
      <s:c r="E6" s="310"/>
      <s:c r="F6" s="310"/>
      <s:c r="G6" s="309" t="s">
        <s:v>74</s:v>
      </s:c>
      <s:c r="H6" s="310"/>
      <s:c r="I6" s="310"/>
      <s:c r="J6" s="310"/>
      <s:c r="K6" s="310"/>
      <s:c r="L6" s="310"/>
      <s:c r="M6" s="312"/>
      <s:c r="N6" s="313"/>
    </s:row>
    <s:row r="7" spans="1:14">
      <s:c r="A7" s="314"/>
      <s:c r="B7" s="315" t="s">
        <s:v>28</s:v>
      </s:c>
      <s:c r="C7" s="315" t="s">
        <s:v>75</s:v>
      </s:c>
      <s:c r="D7" s="653" t="s">
        <s:v>76</s:v>
      </s:c>
      <s:c r="E7" s="653"/>
      <s:c r="F7" s="316"/>
      <s:c r="G7" s="315" t="s">
        <s:v>28</s:v>
      </s:c>
      <s:c r="H7" s="651" t="s">
        <s:v>75</s:v>
      </s:c>
      <s:c r="I7" s="652"/>
      <s:c r="J7" s="653" t="s">
        <s:v>76</s:v>
      </s:c>
      <s:c r="K7" s="653"/>
      <s:c r="L7" s="316"/>
      <s:c r="M7" s="317"/>
      <s:c r="N7" s="318"/>
    </s:row>
    <s:row r="8" spans="1:14" ht="23" customHeight="1">
      <s:c r="A8" s="308"/>
      <s:c r="B8" s="319">
        <s:v>45679</s:v>
      </s:c>
      <s:c r="C8" s="320">
        <s:v>2447</s:v>
      </s:c>
      <s:c r="D8" s="647" t="s">
        <s:v>77</s:v>
      </s:c>
      <s:c r="E8" s="647"/>
      <s:c r="F8" s="310"/>
      <s:c r="G8" s="319">
        <s:v>45679</s:v>
      </s:c>
      <s:c r="H8" s="648">
        <s:v>400</s:v>
      </s:c>
      <s:c r="I8" s="649"/>
      <s:c r="J8" s="647" t="s">
        <s:v>78</s:v>
      </s:c>
      <s:c r="K8" s="647"/>
      <s:c r="L8" s="310"/>
      <s:c r="M8" s="312"/>
      <s:c r="N8" s="313"/>
    </s:row>
    <s:row r="9" spans="1:14" ht="26" customHeight="1">
      <s:c r="A9" s="308"/>
      <s:c r="B9" s="319">
        <s:v>45679</s:v>
      </s:c>
      <s:c r="C9" s="320">
        <s:v>1799</s:v>
      </s:c>
      <s:c r="D9" s="647" t="s">
        <s:v>79</s:v>
      </s:c>
      <s:c r="E9" s="647"/>
      <s:c r="F9" s="310"/>
      <s:c r="G9" s="319">
        <s:v>45679</s:v>
      </s:c>
      <s:c r="H9" s="648">
        <s:f>217617*0.01</s:f>
        <s:v>2176.17</s:v>
      </s:c>
      <s:c r="I9" s="649"/>
      <s:c r="J9" s="647" t="s">
        <s:v>80</s:v>
      </s:c>
      <s:c r="K9" s="647"/>
      <s:c r="L9" s="310"/>
      <s:c r="M9" s="312"/>
      <s:c r="N9" s="313"/>
    </s:row>
    <s:row r="10" spans="1:14" ht="26" customHeight="1">
      <s:c r="A10" s="308"/>
      <s:c r="B10" s="319"/>
      <s:c r="C10" s="320"/>
      <s:c r="D10" s="647"/>
      <s:c r="E10" s="647"/>
      <s:c r="F10" s="310"/>
      <s:c r="G10" s="322"/>
      <s:c r="H10" s="323"/>
      <s:c r="I10" s="323"/>
      <s:c r="J10" s="324"/>
      <s:c r="K10" s="324"/>
      <s:c r="L10" s="310"/>
      <s:c r="M10" s="312"/>
      <s:c r="N10" s="313"/>
    </s:row>
    <s:row r="11" spans="1:14" ht="34" customHeight="1">
      <s:c r="A11" s="308"/>
      <s:c r="B11" s="309"/>
      <s:c r="C11" s="310"/>
      <s:c r="D11" s="310"/>
      <s:c r="E11" s="310"/>
      <s:c r="F11" s="310"/>
      <s:c r="G11" s="310"/>
      <s:c r="H11" s="310"/>
      <s:c r="I11" s="310"/>
      <s:c r="J11" s="310"/>
      <s:c r="K11" s="310"/>
      <s:c r="L11" s="310"/>
      <s:c r="M11" s="312"/>
      <s:c r="N11" s="313"/>
    </s:row>
    <s:row r="12" spans="1:14">
      <s:c r="A12" s="325" t="s">
        <s:v>81</s:v>
      </s:c>
      <s:c r="B12" s="326"/>
      <s:c r="C12" s="326"/>
      <s:c r="D12" s="327">
        <s:f>G16</s:f>
        <s:v>0</s:v>
      </s:c>
      <s:c r="E12" s="328"/>
      <s:c r="F12" s="329"/>
      <s:c r="G12" s="326"/>
      <s:c r="H12" s="326"/>
      <s:c r="I12" s="330" t="s">
        <s:v>69</s:v>
      </s:c>
      <s:c r="J12" s="326"/>
      <s:c r="K12" s="326"/>
      <s:c r="L12" s="331">
        <s:f>L16+L17</s:f>
        <s:v>0</s:v>
      </s:c>
      <s:c r="M12" s="329"/>
      <s:c r="N12" s="332"/>
    </s:row>
    <s:row r="13" spans="1:14">
      <s:c r="A13" s="308"/>
      <s:c r="B13" s="309"/>
      <s:c r="C13" s="310"/>
      <s:c r="D13" s="333"/>
      <s:c r="E13" s="333"/>
      <s:c r="F13" s="310"/>
      <s:c r="G13" s="310"/>
      <s:c r="H13" s="310"/>
      <s:c r="I13" s="310"/>
      <s:c r="J13" s="310"/>
      <s:c r="K13" s="312"/>
      <s:c r="L13" s="312"/>
      <s:c r="M13" s="312"/>
      <s:c r="N13" s="313"/>
    </s:row>
    <s:row r="14" spans="1:14">
      <s:c r="A14" s="334"/>
      <s:c r="B14" s="335" t="s">
        <s:v>81</s:v>
      </s:c>
      <s:c r="C14" s="333"/>
      <s:c r="D14" s="333"/>
      <s:c r="E14" s="333"/>
      <s:c r="F14" s="333"/>
      <s:c r="G14" s="333"/>
      <s:c r="H14" s="333"/>
      <s:c r="I14" s="333"/>
      <s:c r="J14" s="650" t="s">
        <s:v>69</s:v>
      </s:c>
      <s:c r="K14" s="650"/>
      <s:c r="L14" s="336"/>
      <s:c r="M14" s="337"/>
      <s:c r="N14" s="338"/>
    </s:row>
    <s:row r="15" spans="1:14" ht="24">
      <s:c r="A15" s="334"/>
      <s:c r="B15" s="339" t="s">
        <s:v>82</s:v>
      </s:c>
      <s:c r="C15" s="339" t="s">
        <s:v>83</s:v>
      </s:c>
      <s:c r="D15" s="340" t="s">
        <s:v>84</s:v>
      </s:c>
      <s:c r="E15" s="340" t="s">
        <s:v>85</s:v>
      </s:c>
      <s:c r="F15" s="340" t="s">
        <s:v>86</s:v>
      </s:c>
      <s:c r="G15" s="339" t="s">
        <s:v>87</s:v>
      </s:c>
      <s:c r="H15" s="333"/>
      <s:c r="I15" s="333"/>
      <s:c r="J15" s="339" t="s">
        <s:v>83</s:v>
      </s:c>
      <s:c r="K15" s="339" t="s">
        <s:v>88</s:v>
      </s:c>
      <s:c r="L15" s="339" t="s">
        <s:v>89</s:v>
      </s:c>
      <s:c r="M15" s="337"/>
      <s:c r="N15" s="338"/>
    </s:row>
    <s:row r="16" spans="1:14">
      <s:c r="A16" s="308"/>
      <s:c r="B16" s="341">
        <s:f>График!AI30</s:f>
        <s:v>0</s:v>
      </s:c>
      <s:c r="C16" s="342" t="str">
        <s:f>A2</s:f>
        <s:v>ул. Набережная Ленина, 18</s:v>
      </s:c>
      <s:c r="D16" s="343" t="s">
        <s:v>90</s:v>
      </s:c>
      <s:c r="E16" s="344">
        <s:f>График!AJ30</s:f>
        <s:v>0</s:v>
      </s:c>
      <s:c r="F16" s="345">
        <s:v>100</s:v>
      </s:c>
      <s:c r="G16" s="346">
        <s:f>E16*F16</s:f>
        <s:v>0</s:v>
      </s:c>
      <s:c r="H16" s="347"/>
      <s:c r="I16" s="347"/>
      <s:c r="J16" s="342" t="str">
        <s:f>График!B3</s:f>
        <s:v>ул. Набережная Ленина, 18</s:v>
      </s:c>
      <s:c r="K16" s="348">
        <s:v>0.52839999999999998</s:v>
      </s:c>
      <s:c r="L16" s="349">
        <s:v>0</s:v>
      </s:c>
      <s:c r="M16" s="312"/>
      <s:c r="N16" s="313"/>
    </s:row>
    <s:row r="17" spans="1:14">
      <s:c r="A17" s="334"/>
      <s:c r="B17" s="339"/>
      <s:c r="C17" s="350"/>
      <s:c r="D17" s="343"/>
      <s:c r="E17" s="351"/>
      <s:c r="F17" s="345"/>
      <s:c r="G17" s="346"/>
      <s:c r="H17" s="333"/>
      <s:c r="I17" s="333"/>
      <s:c r="J17" s="321"/>
      <s:c r="K17" s="352"/>
      <s:c r="L17" s="353"/>
      <s:c r="M17" s="337"/>
      <s:c r="N17" s="338"/>
    </s:row>
    <s:row r="18" spans="1:14">
      <s:c r="A18" s="334"/>
      <s:c r="B18" s="333"/>
      <s:c r="C18" s="354"/>
      <s:c r="D18" s="310"/>
      <s:c r="E18" s="355"/>
      <s:c r="F18" s="355"/>
      <s:c r="G18" s="356"/>
      <s:c r="H18" s="333"/>
      <s:c r="I18" s="333"/>
      <s:c r="J18" s="333"/>
      <s:c r="K18" s="333"/>
      <s:c r="L18" s="337"/>
      <s:c r="M18" s="337"/>
      <s:c r="N18" s="338"/>
    </s:row>
    <s:row r="19" spans="1:14">
      <s:c r="A19" s="325" t="s">
        <s:v>91</s:v>
      </s:c>
      <s:c r="B19" s="326"/>
      <s:c r="C19" s="326"/>
      <s:c r="D19" s="357">
        <s:f>G24</s:f>
        <s:v>0</s:v>
      </s:c>
      <s:c r="E19" s="358"/>
      <s:c r="F19" s="329"/>
      <s:c r="G19" s="329"/>
      <s:c r="H19" s="329"/>
      <s:c r="I19" s="326" t="s">
        <s:v>68</s:v>
      </s:c>
      <s:c r="J19" s="329"/>
      <s:c r="K19" s="329"/>
      <s:c r="L19" s="359">
        <s:f>N24</s:f>
        <s:v>0</s:v>
      </s:c>
      <s:c r="M19" s="329"/>
      <s:c r="N19" s="332"/>
    </s:row>
    <s:row r="20" spans="1:14">
      <s:c r="A20" s="360"/>
      <s:c r="B20" s="309"/>
      <s:c r="C20" s="312"/>
      <s:c r="D20" s="312"/>
      <s:c r="E20" s="312"/>
      <s:c r="F20" s="312"/>
      <s:c r="G20" s="312"/>
      <s:c r="H20" s="312"/>
      <s:c r="I20" s="312"/>
      <s:c r="J20" s="312"/>
      <s:c r="K20" s="361"/>
      <s:c r="L20" s="140"/>
      <s:c r="M20" s="140"/>
      <s:c r="N20" s="362"/>
    </s:row>
    <s:row r="21" spans="1:14">
      <s:c r="A21" s="360"/>
      <s:c r="B21" s="310"/>
      <s:c r="C21" s="309"/>
      <s:c r="D21" s="312"/>
      <s:c r="E21" s="312"/>
      <s:c r="F21" s="312"/>
      <s:c r="G21" s="312"/>
      <s:c r="H21" s="312"/>
      <s:c r="I21" s="312"/>
      <s:c r="J21" s="312"/>
      <s:c r="K21" s="312"/>
      <s:c r="L21" s="312"/>
      <s:c r="M21" s="312"/>
      <s:c r="N21" s="313"/>
    </s:row>
    <s:row r="22" spans="1:14">
      <s:c r="A22" s="360"/>
      <s:c r="B22" s="309" t="s">
        <s:v>92</s:v>
      </s:c>
      <s:c r="C22" s="312"/>
      <s:c r="D22" s="312"/>
      <s:c r="E22" s="312"/>
      <s:c r="F22" s="312"/>
      <s:c r="G22" s="312"/>
      <s:c r="H22" s="312"/>
      <s:c r="I22" s="363" t="s">
        <s:v>93</s:v>
      </s:c>
      <s:c r="J22" s="364"/>
      <s:c r="K22" s="365"/>
      <s:c r="L22" s="365"/>
      <s:c r="M22" s="365"/>
      <s:c r="N22" s="366"/>
    </s:row>
    <s:row r="23" spans="1:14" ht="36">
      <s:c r="A23" s="367"/>
      <s:c r="B23" s="339" t="s">
        <s:v>27</s:v>
      </s:c>
      <s:c r="C23" s="641" t="s">
        <s:v>83</s:v>
      </s:c>
      <s:c r="D23" s="642"/>
      <s:c r="E23" s="339" t="s">
        <s:v>94</s:v>
      </s:c>
      <s:c r="F23" s="339" t="s">
        <s:v>95</s:v>
      </s:c>
      <s:c r="G23" s="339" t="s">
        <s:v>96</s:v>
      </s:c>
      <s:c r="H23" s="333"/>
      <s:c r="I23" s="368" t="s">
        <s:v>27</s:v>
      </s:c>
      <s:c r="J23" s="368" t="s">
        <s:v>83</s:v>
      </s:c>
      <s:c r="K23" s="368" t="s">
        <s:v>97</s:v>
      </s:c>
      <s:c r="L23" s="368" t="s">
        <s:v>98</s:v>
      </s:c>
      <s:c r="M23" s="368" t="s">
        <s:v>94</s:v>
      </s:c>
      <s:c r="N23" s="369" t="s">
        <s:v>96</s:v>
      </s:c>
    </s:row>
    <s:row r="24" spans="1:14">
      <s:c r="A24" s="360"/>
      <s:c r="B24" s="342">
        <s:f>A4</s:f>
        <s:v>0</s:v>
      </s:c>
      <s:c r="C24" s="643" t="str">
        <s:f>A2</s:f>
        <s:v>ул. Набережная Ленина, 18</s:v>
      </s:c>
      <s:c r="D24" s="644"/>
      <s:c r="E24" s="348">
        <s:v>0.04</s:v>
      </s:c>
      <s:c r="F24" s="370">
        <s:f>ПК1!J8</s:f>
        <s:v>0</s:v>
      </s:c>
      <s:c r="G24" s="371">
        <s:f>F24*E24</s:f>
        <s:v>0</s:v>
      </s:c>
      <s:c r="H24" s="310"/>
      <s:c r="I24" s="372">
        <s:f>B24</s:f>
        <s:v>0</s:v>
      </s:c>
      <s:c r="J24" s="373" t="str">
        <s:f>C24</s:f>
        <s:v>ул. Набережная Ленина, 18</s:v>
      </s:c>
      <s:c r="K24" s="373">
        <s:f>E16</s:f>
        <s:v>0</s:v>
      </s:c>
      <s:c r="L24" s="374">
        <s:v>351</s:v>
      </s:c>
      <s:c r="M24" s="375">
        <s:v>0.02</s:v>
      </s:c>
      <s:c r="N24" s="376">
        <s:f>1162485*M24*K24/L24</s:f>
        <s:v>0</s:v>
      </s:c>
    </s:row>
    <s:row r="25" spans="1:14">
      <s:c r="A25" s="367"/>
      <s:c r="B25" s="342">
        <s:f>B24</s:f>
        <s:v>0</s:v>
      </s:c>
      <s:c r="C25" s="645"/>
      <s:c r="D25" s="646"/>
      <s:c r="E25" s="348"/>
      <s:c r="F25" s="377"/>
      <s:c r="G25" s="346"/>
      <s:c r="H25" s="333"/>
      <s:c r="I25" s="378"/>
      <s:c r="J25" s="379"/>
      <s:c r="K25" s="380"/>
      <s:c r="L25" s="381"/>
      <s:c r="M25" s="382"/>
      <s:c r="N25" s="383" t="e">
        <s:f>1477363.14*M25*K25/L25</s:f>
        <s:v>#DIV/0!</s:v>
      </s:c>
    </s:row>
    <s:row r="26" spans="1:14">
      <s:c r="A26" s="384"/>
      <s:c r="B26" s="385"/>
      <s:c r="C26" s="385"/>
      <s:c r="D26" s="385"/>
      <s:c r="E26" s="385"/>
      <s:c r="F26" s="385"/>
      <s:c r="G26" s="385"/>
      <s:c r="H26" s="385"/>
      <s:c r="I26" s="385"/>
      <s:c r="J26" s="385"/>
      <s:c r="K26" s="385"/>
      <s:c r="L26" s="385"/>
      <s:c r="M26" s="385"/>
      <s:c r="N26" s="386"/>
    </s:row>
  </s:sheetData>
  <s:mergeCells count="18">
    <s:mergeCell ref="A1:D1"/>
    <s:mergeCell ref="A2:C2"/>
    <s:mergeCell ref="A3:C3"/>
    <s:mergeCell ref="A4:C4"/>
    <s:mergeCell ref="D7:E7"/>
    <s:mergeCell ref="J9:K9"/>
    <s:mergeCell ref="D10:E10"/>
    <s:mergeCell ref="J14:K14"/>
    <s:mergeCell ref="H7:I7"/>
    <s:mergeCell ref="J7:K7"/>
    <s:mergeCell ref="D8:E8"/>
    <s:mergeCell ref="H8:I8"/>
    <s:mergeCell ref="J8:K8"/>
    <s:mergeCell ref="C23:D23"/>
    <s:mergeCell ref="C24:D24"/>
    <s:mergeCell ref="C25:D25"/>
    <s:mergeCell ref="D9:E9"/>
    <s:mergeCell ref="H9:I9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700-000000000000}">
  <s:dimension ref="A1:O25"/>
  <s:sheetViews>
    <s:sheetView tabSelected="0" zoomScale="109" workbookViewId="0">
      <s:selection activeCell="K5" sqref="K5"/>
    </s:sheetView>
  </s:sheetViews>
  <s:sheetFormatPr baseColWidth="10" defaultColWidth="11.5" defaultRowHeight="15"/>
  <s:cols>
    <s:col min="1" max="1" width="2.5" style="3" customWidth="1"/>
    <s:col min="2" max="2" width="12.664" style="3" customWidth="1"/>
    <s:col min="3" max="3" width="18.164" style="3" customWidth="1"/>
    <s:col min="4" max="4" width="12.332" style="3" bestFit="1" customWidth="1"/>
    <s:col min="5" max="5" width="11.664" style="3" customWidth="1"/>
    <s:col min="6" max="6" width="11.5" style="3"/>
    <s:col min="7" max="7" width="14" style="3" customWidth="1"/>
    <s:col min="8" max="8" width="10.664" style="3" bestFit="1" customWidth="1"/>
    <s:col min="9" max="9" width="13.664" style="3" customWidth="1"/>
    <s:col min="10" max="10" width="18.5" style="3" customWidth="1"/>
    <s:col min="11" max="11" width="13.832" style="3" customWidth="1"/>
    <s:col min="12" max="12" width="13.664" style="3" customWidth="1"/>
    <s:col min="13" max="13" width="15.5" style="3" customWidth="1"/>
    <s:col min="14" max="14" width="13.832" style="3" customWidth="1"/>
  </s:cols>
  <s:sheetData>
    <s:row r="1" spans="1:15" ht="15" customHeight="1">
      <s:c r="A1" s="654" t="str">
        <s:f>График!B1</s:f>
        <s:v>Февраль, 2025</s:v>
      </s:c>
      <s:c r="B1" s="655"/>
      <s:c r="C1" s="655"/>
      <s:c r="D1" s="656"/>
      <s:c r="E1" s="280"/>
      <s:c r="F1" s="281"/>
      <s:c r="G1" s="281"/>
      <s:c r="H1" s="281"/>
      <s:c r="I1" s="281"/>
      <s:c r="J1" s="281"/>
      <s:c r="K1" s="281"/>
      <s:c r="L1" s="281"/>
      <s:c r="M1" s="281"/>
      <s:c r="N1" s="282"/>
    </s:row>
    <s:row r="2" spans="1:15" ht="15" customHeight="1">
      <s:c r="A2" s="657" t="str">
        <s:f>График!B3</s:f>
        <s:v>ул. Набережная Ленина, 18</s:v>
      </s:c>
      <s:c r="B2" s="658"/>
      <s:c r="C2" s="658"/>
      <s:c r="D2" s="283" t="str">
        <s:f>График!B4</s:f>
        <s:v>GL-0005</s:v>
      </s:c>
      <s:c r="E2" s="284"/>
      <s:c r="F2" s="285"/>
      <s:c r="G2" s="285"/>
      <s:c r="H2" s="285"/>
      <s:c r="I2" s="285"/>
      <s:c r="J2" s="285"/>
      <s:c r="K2" s="285"/>
      <s:c r="L2" s="285"/>
      <s:c r="M2" s="285"/>
      <s:c r="N2" s="286"/>
    </s:row>
    <s:row r="3" spans="1:15" ht="75">
      <s:c r="A3" s="659" t="s">
        <s:v>27</s:v>
      </s:c>
      <s:c r="B3" s="660"/>
      <s:c r="C3" s="660"/>
      <s:c r="D3" s="287" t="s">
        <s:v>63</s:v>
      </s:c>
      <s:c r="E3" s="287" t="s">
        <s:v>64</s:v>
      </s:c>
      <s:c r="F3" s="288" t="s">
        <s:v>65</s:v>
      </s:c>
      <s:c r="G3" s="289" t="s">
        <s:v>66</s:v>
      </s:c>
      <s:c r="H3" s="290" t="s">
        <s:v>67</s:v>
      </s:c>
      <s:c r="I3" s="291" t="s">
        <s:v>68</s:v>
      </s:c>
      <s:c r="J3" s="292" t="s">
        <s:v>69</s:v>
      </s:c>
      <s:c r="K3" s="293" t="s">
        <s:v>70</s:v>
      </s:c>
      <s:c r="L3" s="294" t="s">
        <s:v>71</s:v>
      </s:c>
      <s:c r="M3" s="387" t="s">
        <s:v>72</s:v>
      </s:c>
      <s:c r="N3" s="296" t="s">
        <s:v>73</s:v>
      </s:c>
    </s:row>
    <s:row r="4" spans="1:15" ht="16" customHeight="1">
      <s:c r="A4" s="661" t="str">
        <s:f>График!B29</s:f>
        <s:v>Рогалевич Ирина</s:v>
      </s:c>
      <s:c r="B4" s="662"/>
      <s:c r="C4" s="662"/>
      <s:c r="D4" s="388">
        <s:f>15000-C8</s:f>
        <s:v>13050</s:v>
      </s:c>
      <s:c r="E4" s="389"/>
      <s:c r="F4" s="390">
        <s:f>H8+H9+G16+G24+L24</s:f>
        <s:v>0</s:v>
      </s:c>
      <s:c r="G4" s="391">
        <s:f>D11</s:f>
        <s:v>41250</s:v>
      </s:c>
      <s:c r="H4" s="392">
        <s:f>D18</s:f>
        <s:v>28924.52</s:v>
      </s:c>
      <s:c r="I4" s="393">
        <s:f>L18</s:f>
        <s:v>14739.071192052979</s:v>
      </s:c>
      <s:c r="J4" s="394">
        <s:f>L11</s:f>
        <s:v>11550</s:v>
      </s:c>
      <s:c r="K4" s="304">
        <s:f>H4+J4+G4+F4+I4</s:f>
        <s:v>96463.591192052991</s:v>
      </s:c>
      <s:c r="L4" s="305">
        <s:f>C8+C9</s:f>
        <s:v>1950</s:v>
      </s:c>
      <s:c r="M4" s="306">
        <s:f>K4-L4-D4-E4</s:f>
        <s:v>81463.591192052991</s:v>
      </s:c>
      <s:c r="N4" s="307"/>
    </s:row>
    <s:row r="5" spans="1:15">
      <s:c r="A5" s="308"/>
      <s:c r="B5" s="309"/>
      <s:c r="C5" s="310"/>
      <s:c r="D5" s="310"/>
      <s:c r="E5" s="310"/>
      <s:c r="F5" s="310"/>
      <s:c r="G5" s="310"/>
      <s:c r="H5" s="310"/>
      <s:c r="I5" s="310"/>
      <s:c r="J5" s="310"/>
      <s:c r="K5" s="311"/>
      <s:c r="L5" s="310"/>
      <s:c r="M5" s="312"/>
      <s:c r="N5" s="313"/>
    </s:row>
    <s:row r="6" spans="1:15">
      <s:c r="A6" s="308"/>
      <s:c r="B6" s="309" t="s">
        <s:v>71</s:v>
      </s:c>
      <s:c r="C6" s="310"/>
      <s:c r="D6" s="310"/>
      <s:c r="E6" s="310"/>
      <s:c r="F6" s="310"/>
      <s:c r="G6" s="309" t="s">
        <s:v>74</s:v>
      </s:c>
      <s:c r="H6" s="310"/>
      <s:c r="I6" s="310"/>
      <s:c r="J6" s="310"/>
      <s:c r="K6" s="310"/>
      <s:c r="L6" s="310"/>
      <s:c r="M6" s="312"/>
      <s:c r="N6" s="313"/>
    </s:row>
    <s:row r="7" spans="1:15">
      <s:c r="A7" s="314"/>
      <s:c r="B7" s="315" t="s">
        <s:v>28</s:v>
      </s:c>
      <s:c r="C7" s="315" t="s">
        <s:v>75</s:v>
      </s:c>
      <s:c r="D7" s="653" t="s">
        <s:v>76</s:v>
      </s:c>
      <s:c r="E7" s="653"/>
      <s:c r="F7" s="316"/>
      <s:c r="G7" s="315" t="s">
        <s:v>28</s:v>
      </s:c>
      <s:c r="H7" s="651" t="s">
        <s:v>75</s:v>
      </s:c>
      <s:c r="I7" s="652"/>
      <s:c r="J7" s="653" t="s">
        <s:v>76</s:v>
      </s:c>
      <s:c r="K7" s="653"/>
      <s:c r="L7" s="316"/>
      <s:c r="M7" s="317"/>
      <s:c r="N7" s="318"/>
    </s:row>
    <s:row r="8" spans="1:15" ht="26" customHeight="1">
      <s:c r="A8" s="308"/>
      <s:c r="B8" s="319">
        <s:v>45716</s:v>
      </s:c>
      <s:c r="C8" s="320">
        <s:v>1950</s:v>
      </s:c>
      <s:c r="D8" s="647" t="s">
        <s:v>119</s:v>
      </s:c>
      <s:c r="E8" s="647"/>
      <s:c r="F8" s="310"/>
      <s:c r="G8" s="319"/>
      <s:c r="H8" s="667"/>
      <s:c r="I8" s="668"/>
      <s:c r="J8" s="647"/>
      <s:c r="K8" s="647"/>
      <s:c r="L8" s="310"/>
      <s:c r="M8" s="312"/>
      <s:c r="N8" s="313"/>
    </s:row>
    <s:row r="9" spans="1:15">
      <s:c r="A9" s="308"/>
      <s:c r="B9" s="319"/>
      <s:c r="C9" s="320"/>
      <s:c r="D9" s="647"/>
      <s:c r="E9" s="647"/>
      <s:c r="F9" s="310"/>
      <s:c r="G9" s="319"/>
      <s:c r="H9" s="667"/>
      <s:c r="I9" s="668"/>
      <s:c r="J9" s="647"/>
      <s:c r="K9" s="647"/>
      <s:c r="L9" s="310"/>
      <s:c r="M9" s="312"/>
      <s:c r="N9" s="313"/>
    </s:row>
    <s:row r="10" spans="1:15">
      <s:c r="A10" s="308"/>
      <s:c r="B10" s="309"/>
      <s:c r="C10" s="310"/>
      <s:c r="D10" s="310"/>
      <s:c r="E10" s="310"/>
      <s:c r="F10" s="310"/>
      <s:c r="G10" s="310"/>
      <s:c r="H10" s="310"/>
      <s:c r="I10" s="310"/>
      <s:c r="J10" s="310"/>
      <s:c r="K10" s="310"/>
      <s:c r="L10" s="310"/>
      <s:c r="M10" s="312"/>
      <s:c r="N10" s="313"/>
    </s:row>
    <s:row r="11" spans="1:15">
      <s:c r="A11" s="325" t="s">
        <s:v>81</s:v>
      </s:c>
      <s:c r="B11" s="326"/>
      <s:c r="C11" s="326"/>
      <s:c r="D11" s="327">
        <s:f>G15</s:f>
        <s:v>41250</s:v>
      </s:c>
      <s:c r="E11" s="328"/>
      <s:c r="F11" s="329"/>
      <s:c r="G11" s="326"/>
      <s:c r="H11" s="326"/>
      <s:c r="I11" s="330" t="s">
        <s:v>69</s:v>
      </s:c>
      <s:c r="J11" s="326"/>
      <s:c r="K11" s="326"/>
      <s:c r="L11" s="331">
        <s:f>L15+L16</s:f>
        <s:v>11550</s:v>
      </s:c>
      <s:c r="M11" s="329"/>
      <s:c r="N11" s="332"/>
    </s:row>
    <s:row r="12" spans="1:15">
      <s:c r="A12" s="308"/>
      <s:c r="B12" s="309"/>
      <s:c r="C12" s="310"/>
      <s:c r="D12" s="333"/>
      <s:c r="E12" s="333"/>
      <s:c r="F12" s="310"/>
      <s:c r="G12" s="310"/>
      <s:c r="H12" s="310"/>
      <s:c r="I12" s="310"/>
      <s:c r="J12" s="310"/>
      <s:c r="K12" s="312"/>
      <s:c r="L12" s="312"/>
      <s:c r="M12" s="312"/>
      <s:c r="N12" s="313"/>
    </s:row>
    <s:row r="13" spans="1:15">
      <s:c r="A13" s="334"/>
      <s:c r="B13" s="335" t="s">
        <s:v>81</s:v>
      </s:c>
      <s:c r="C13" s="333"/>
      <s:c r="D13" s="333"/>
      <s:c r="E13" s="333"/>
      <s:c r="F13" s="333"/>
      <s:c r="G13" s="333"/>
      <s:c r="H13" s="333"/>
      <s:c r="I13" s="333"/>
      <s:c r="J13" s="650" t="s">
        <s:v>69</s:v>
      </s:c>
      <s:c r="K13" s="650"/>
      <s:c r="L13" s="337"/>
      <s:c r="M13" s="336"/>
      <s:c r="N13" s="338"/>
    </s:row>
    <s:row r="14" spans="1:15" ht="24">
      <s:c r="A14" s="334"/>
      <s:c r="B14" s="339" t="s">
        <s:v>82</s:v>
      </s:c>
      <s:c r="C14" s="339" t="s">
        <s:v>83</s:v>
      </s:c>
      <s:c r="D14" s="340" t="s">
        <s:v>84</s:v>
      </s:c>
      <s:c r="E14" s="340" t="s">
        <s:v>85</s:v>
      </s:c>
      <s:c r="F14" s="340" t="s">
        <s:v>86</s:v>
      </s:c>
      <s:c r="G14" s="339" t="s">
        <s:v>87</s:v>
      </s:c>
      <s:c r="H14" s="333"/>
      <s:c r="I14" s="333"/>
      <s:c r="J14" s="339" t="s">
        <s:v>83</s:v>
      </s:c>
      <s:c r="K14" s="333" t="s">
        <s:v>88</s:v>
      </s:c>
      <s:c r="L14" s="641" t="s">
        <s:v>89</s:v>
      </s:c>
      <s:c r="M14" s="642"/>
      <s:c r="N14" s="338"/>
      <s:c r="O14" s="395"/>
    </s:row>
    <s:row r="15" spans="1:15">
      <s:c r="A15" s="308"/>
      <s:c r="B15" s="341">
        <s:f>График!AI29</s:f>
        <s:v>26</s:v>
      </s:c>
      <s:c r="C15" s="342" t="str">
        <s:f>A2</s:f>
        <s:v>ул. Набережная Ленина, 18</s:v>
      </s:c>
      <s:c r="D15" s="343" t="s">
        <s:v>90</s:v>
      </s:c>
      <s:c r="E15" s="344">
        <s:f>График!AJ29</s:f>
        <s:v>275</s:v>
      </s:c>
      <s:c r="F15" s="345">
        <s:v>150</s:v>
      </s:c>
      <s:c r="G15" s="346">
        <s:f validation_="true">E15*F15</s:f>
        <s:v>41250</s:v>
      </s:c>
      <s:c r="H15" s="347"/>
      <s:c r="I15" s="347"/>
      <s:c r="J15" s="342" t="str">
        <s:f>График!B3</s:f>
        <s:v>ул. Набережная Ленина, 18</s:v>
      </s:c>
      <s:c r="K15" s="348">
        <s:v>1</s:v>
      </s:c>
      <s:c r="L15" s="663">
        <s:v>11550</s:v>
      </s:c>
      <s:c r="M15" s="664"/>
      <s:c r="N15" s="313"/>
    </s:row>
    <s:row r="16" spans="1:15">
      <s:c r="A16" s="334"/>
      <s:c r="B16" s="339"/>
      <s:c r="C16" s="350"/>
      <s:c r="D16" s="343" t="s">
        <s:v>90</s:v>
      </s:c>
      <s:c r="E16" s="351"/>
      <s:c r="F16" s="345"/>
      <s:c r="G16" s="346">
        <s:f validation_="true">E16*F16</s:f>
        <s:v>0</s:v>
      </s:c>
      <s:c r="H16" s="333"/>
      <s:c r="I16" s="333"/>
      <s:c r="J16" s="321"/>
      <s:c r="K16" s="352"/>
      <s:c r="L16" s="665"/>
      <s:c r="M16" s="666"/>
      <s:c r="N16" s="338"/>
    </s:row>
    <s:row r="17" spans="1:14">
      <s:c r="A17" s="334"/>
      <s:c r="B17" s="333"/>
      <s:c r="C17" s="354"/>
      <s:c r="D17" s="310"/>
      <s:c r="E17" s="355"/>
      <s:c r="F17" s="355"/>
      <s:c r="G17" s="356"/>
      <s:c r="H17" s="333"/>
      <s:c r="I17" s="333"/>
      <s:c r="J17" s="333"/>
      <s:c r="K17" s="333"/>
      <s:c r="L17" s="337"/>
      <s:c r="M17" s="337"/>
      <s:c r="N17" s="338"/>
    </s:row>
    <s:row r="18" spans="1:14">
      <s:c r="A18" s="325" t="s">
        <s:v>91</s:v>
      </s:c>
      <s:c r="B18" s="326"/>
      <s:c r="C18" s="326"/>
      <s:c r="D18" s="357">
        <s:f>G23</s:f>
        <s:v>28924.52</s:v>
      </s:c>
      <s:c r="E18" s="358"/>
      <s:c r="F18" s="329"/>
      <s:c r="G18" s="329"/>
      <s:c r="H18" s="329"/>
      <s:c r="I18" s="326" t="s">
        <s:v>68</s:v>
      </s:c>
      <s:c r="J18" s="329"/>
      <s:c r="K18" s="329"/>
      <s:c r="L18" s="359">
        <s:f>N23</s:f>
        <s:v>14739.071192052979</s:v>
      </s:c>
      <s:c r="M18" s="329"/>
      <s:c r="N18" s="332"/>
    </s:row>
    <s:row r="19" spans="1:14">
      <s:c r="A19" s="360"/>
      <s:c r="B19" s="309"/>
      <s:c r="C19" s="312"/>
      <s:c r="D19" s="312"/>
      <s:c r="E19" s="312"/>
      <s:c r="F19" s="312"/>
      <s:c r="G19" s="312"/>
      <s:c r="H19" s="312"/>
      <s:c r="I19" s="312"/>
      <s:c r="J19" s="312"/>
      <s:c r="K19" s="361"/>
      <s:c r="L19" s="140"/>
      <s:c r="M19" s="140"/>
      <s:c r="N19" s="362"/>
    </s:row>
    <s:row r="20" spans="1:14">
      <s:c r="A20" s="360"/>
      <s:c r="B20" s="310"/>
      <s:c r="C20" s="309"/>
      <s:c r="D20" s="312"/>
      <s:c r="E20" s="312"/>
      <s:c r="F20" s="312"/>
      <s:c r="G20" s="312"/>
      <s:c r="H20" s="312"/>
      <s:c r="I20" s="312"/>
      <s:c r="J20" s="312"/>
      <s:c r="K20" s="312"/>
      <s:c r="L20" s="312"/>
      <s:c r="M20" s="312"/>
      <s:c r="N20" s="313"/>
    </s:row>
    <s:row r="21" spans="1:14">
      <s:c r="A21" s="360"/>
      <s:c r="B21" s="309" t="s">
        <s:v>92</s:v>
      </s:c>
      <s:c r="C21" s="312"/>
      <s:c r="D21" s="312"/>
      <s:c r="E21" s="312"/>
      <s:c r="F21" s="312"/>
      <s:c r="G21" s="312"/>
      <s:c r="H21" s="312"/>
      <s:c r="I21" s="363" t="s">
        <s:v>93</s:v>
      </s:c>
      <s:c r="J21" s="364"/>
      <s:c r="K21" s="365"/>
      <s:c r="L21" s="365"/>
      <s:c r="M21" s="365"/>
      <s:c r="N21" s="366"/>
    </s:row>
    <s:row r="22" spans="1:14" ht="36">
      <s:c r="A22" s="367"/>
      <s:c r="B22" s="339" t="s">
        <s:v>27</s:v>
      </s:c>
      <s:c r="C22" s="641" t="s">
        <s:v>83</s:v>
      </s:c>
      <s:c r="D22" s="642"/>
      <s:c r="E22" s="339" t="s">
        <s:v>94</s:v>
      </s:c>
      <s:c r="F22" s="339" t="s">
        <s:v>95</s:v>
      </s:c>
      <s:c r="G22" s="339" t="s">
        <s:v>96</s:v>
      </s:c>
      <s:c r="H22" s="333"/>
      <s:c r="I22" s="368" t="s">
        <s:v>27</s:v>
      </s:c>
      <s:c r="J22" s="368" t="s">
        <s:v>83</s:v>
      </s:c>
      <s:c r="K22" s="368" t="s">
        <s:v>97</s:v>
      </s:c>
      <s:c r="L22" s="368" t="s">
        <s:v>98</s:v>
      </s:c>
      <s:c r="M22" s="368" t="s">
        <s:v>94</s:v>
      </s:c>
      <s:c r="N22" s="369" t="s">
        <s:v>96</s:v>
      </s:c>
    </s:row>
    <s:row r="23" spans="1:14">
      <s:c r="A23" s="360"/>
      <s:c r="B23" s="342" t="str">
        <s:f>A4</s:f>
        <s:v>Рогалевич Ирина</s:v>
      </s:c>
      <s:c r="C23" s="643" t="str">
        <s:f>A2</s:f>
        <s:v>ул. Набережная Ленина, 18</s:v>
      </s:c>
      <s:c r="D23" s="644"/>
      <s:c r="E23" s="348">
        <s:v>0.04</s:v>
      </s:c>
      <s:c r="F23" s="320">
        <s:f>'Рогалевич И. Е.'!J8</s:f>
        <s:v>723113</s:v>
      </s:c>
      <s:c r="G23" s="371">
        <s:f validation_="true">F23*E23</s:f>
        <s:v>28924.52</s:v>
      </s:c>
      <s:c r="H23" s="310"/>
      <s:c r="I23" s="372" t="str">
        <s:f>B23</s:f>
        <s:v>Рогалевич Ирина</s:v>
      </s:c>
      <s:c r="J23" s="373" t="str">
        <s:f>C23</s:f>
        <s:v>ул. Набережная Ленина, 18</s:v>
      </s:c>
      <s:c r="K23" s="373">
        <s:f>E15</s:f>
        <s:v>275</s:v>
      </s:c>
      <s:c r="L23" s="396">
        <s:f>График!AJ31</s:f>
        <s:v>302</s:v>
      </s:c>
      <s:c r="M23" s="375">
        <s:v>0.02</s:v>
      </s:c>
      <s:c r="N23" s="376">
        <s:f>'Ялта, Ленина, 18'!J8*M23*K23/L23</s:f>
        <s:v>14739.071192052979</s:v>
      </s:c>
    </s:row>
    <s:row r="24" spans="1:14">
      <s:c r="A24" s="367"/>
      <s:c r="B24" s="342" t="str">
        <s:f>B23</s:f>
        <s:v>Рогалевич Ирина</s:v>
      </s:c>
      <s:c r="C24" s="645">
        <s:f>C16</s:f>
        <s:v>0</s:v>
      </s:c>
      <s:c r="D24" s="646"/>
      <s:c r="E24" s="348"/>
      <s:c r="F24" s="377"/>
      <s:c r="G24" s="346">
        <s:f validation_="true">F24*E24</s:f>
        <s:v>0</s:v>
      </s:c>
      <s:c r="H24" s="333"/>
      <s:c r="I24" s="378"/>
      <s:c r="J24" s="379"/>
      <s:c r="K24" s="380"/>
      <s:c r="L24" s="381"/>
      <s:c r="M24" s="382"/>
      <s:c r="N24" s="383" t="e">
        <s:f>1477363.14*M24*K24/L24</s:f>
        <s:v>#DIV/0!</s:v>
      </s:c>
    </s:row>
    <s:row r="25" spans="1:14">
      <s:c r="A25" s="384"/>
      <s:c r="B25" s="385"/>
      <s:c r="C25" s="385"/>
      <s:c r="D25" s="385"/>
      <s:c r="E25" s="385"/>
      <s:c r="F25" s="385"/>
      <s:c r="G25" s="385"/>
      <s:c r="H25" s="385"/>
      <s:c r="I25" s="385"/>
      <s:c r="J25" s="385"/>
      <s:c r="K25" s="385"/>
      <s:c r="L25" s="385"/>
      <s:c r="M25" s="385"/>
      <s:c r="N25" s="386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J13:K13"/>
    <s:mergeCell ref="L14:M14"/>
    <s:mergeCell ref="L15:M15"/>
    <s:mergeCell ref="L16:M16"/>
    <s:mergeCell ref="C22:D22"/>
    <s:mergeCell ref="C23:D23"/>
    <s:mergeCell ref="C24:D24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900-000000000000}">
  <s:dimension ref="A1:AO33"/>
  <s:sheetViews>
    <s:sheetView tabSelected="0" zoomScale="75" workbookViewId="0">
      <s:selection activeCell="AJ32" sqref="AJ32"/>
    </s:sheetView>
  </s:sheetViews>
  <s:sheetFormatPr baseColWidth="10" defaultColWidth="11.5" defaultRowHeight="15"/>
  <s:cols>
    <s:col min="1" max="1" width="4.832" style="3" customWidth="1"/>
    <s:col min="2" max="2" width="25.5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35"/>
      <s:c r="B1" s="436" t="s">
        <s:v>99</s:v>
      </s:c>
      <s:c r="C1" s="437"/>
      <s:c r="D1" s="437"/>
      <s:c r="E1" s="437"/>
      <s:c r="F1" s="437"/>
      <s:c r="G1" s="437"/>
      <s:c r="H1" s="437"/>
      <s:c r="I1" s="437"/>
      <s:c r="J1" s="437"/>
      <s:c r="K1" s="437"/>
      <s:c r="L1" s="437"/>
      <s:c r="M1" s="437"/>
      <s:c r="N1" s="437"/>
      <s:c r="O1" s="437"/>
      <s:c r="P1" s="437"/>
      <s:c r="Q1" s="437"/>
      <s:c r="R1" s="437"/>
      <s:c r="S1" s="437"/>
      <s:c r="T1" s="437" t="s">
        <s:v>62</s:v>
      </s:c>
      <s:c r="U1" s="437"/>
      <s:c r="V1" s="437"/>
      <s:c r="W1" s="437"/>
      <s:c r="X1" s="437"/>
      <s:c r="Y1" s="437"/>
      <s:c r="Z1" s="437"/>
      <s:c r="AA1" s="437"/>
      <s:c r="AB1" s="437"/>
      <s:c r="AC1" s="437"/>
      <s:c r="AD1" s="437"/>
      <s:c r="AE1" s="437"/>
      <s:c r="AF1" s="437"/>
      <s:c r="AG1" s="437"/>
      <s:c r="AH1" s="437"/>
      <s:c r="AI1" s="437"/>
      <s:c r="AJ1" s="437"/>
      <s:c r="AK1" s="437"/>
      <s:c r="AL1" s="437"/>
      <s:c r="AM1" s="437"/>
      <s:c r="AN1" s="437"/>
    </s:row>
    <s:row r="2" spans="1:40" ht="16">
      <s:c r="A2" s="435"/>
      <s:c r="B2" s="438" t="s">
        <s:v>100</s:v>
      </s:c>
      <s:c r="C2" s="439"/>
      <s:c r="D2" s="439"/>
      <s:c r="E2" s="440"/>
      <s:c r="F2" s="440"/>
      <s:c r="G2" s="440"/>
      <s:c r="H2" s="440"/>
      <s:c r="I2" s="440"/>
      <s:c r="J2" s="440"/>
      <s:c r="K2" s="440"/>
      <s:c r="L2" s="440"/>
      <s:c r="M2" s="440"/>
      <s:c r="N2" s="440"/>
      <s:c r="O2" s="440"/>
      <s:c r="P2" s="440"/>
      <s:c r="Q2" s="440"/>
      <s:c r="R2" s="440"/>
      <s:c r="S2" s="440"/>
      <s:c r="T2" s="440"/>
      <s:c r="U2" s="440"/>
      <s:c r="V2" s="440"/>
      <s:c r="W2" s="440"/>
      <s:c r="X2" s="440"/>
      <s:c r="Y2" s="440"/>
      <s:c r="Z2" s="440"/>
      <s:c r="AA2" s="440"/>
      <s:c r="AB2" s="440"/>
      <s:c r="AC2" s="440"/>
      <s:c r="AD2" s="440"/>
      <s:c r="AE2" s="440"/>
      <s:c r="AF2" s="440"/>
      <s:c r="AG2" s="440"/>
      <s:c r="AH2" s="440"/>
      <s:c r="AI2" s="440"/>
      <s:c r="AJ2" s="440"/>
      <s:c r="AK2" s="440"/>
      <s:c r="AL2" s="440"/>
      <s:c r="AM2" s="440"/>
      <s:c r="AN2" s="440"/>
    </s:row>
    <s:row r="3" spans="1:40" ht="16">
      <s:c r="A3" s="435"/>
      <s:c r="B3" s="441" t="s">
        <s:v>101</s:v>
      </s:c>
      <s:c r="C3" s="442"/>
      <s:c r="D3" s="442"/>
      <s:c r="E3" s="443"/>
      <s:c r="F3" s="443"/>
      <s:c r="G3" s="443"/>
      <s:c r="H3" s="443"/>
      <s:c r="I3" s="443"/>
      <s:c r="J3" s="443"/>
      <s:c r="K3" s="440"/>
      <s:c r="L3" s="440"/>
      <s:c r="M3" s="440"/>
      <s:c r="N3" s="440"/>
      <s:c r="O3" s="440"/>
      <s:c r="P3" s="440"/>
      <s:c r="Q3" s="440"/>
      <s:c r="R3" s="440"/>
      <s:c r="S3" s="440"/>
      <s:c r="T3" s="440"/>
      <s:c r="U3" s="440"/>
      <s:c r="V3" s="440"/>
      <s:c r="W3" s="440"/>
      <s:c r="X3" s="440"/>
      <s:c r="Y3" s="440"/>
      <s:c r="Z3" s="440"/>
      <s:c r="AA3" s="440"/>
      <s:c r="AB3" s="440"/>
      <s:c r="AC3" s="440"/>
      <s:c r="AD3" s="440"/>
      <s:c r="AE3" s="440"/>
      <s:c r="AF3" s="440"/>
      <s:c r="AG3" s="440"/>
      <s:c r="AH3" s="440"/>
      <s:c r="AI3" s="440"/>
      <s:c r="AJ3" s="440"/>
      <s:c r="AK3" s="440"/>
      <s:c r="AL3" s="440"/>
      <s:c r="AM3" s="440"/>
      <s:c r="AN3" s="440"/>
    </s:row>
    <s:row r="4" spans="1:40" ht="19">
      <s:c r="A4" s="435"/>
      <s:c r="B4" s="444" t="s">
        <s:v>102</s:v>
      </s:c>
      <s:c r="C4" s="439"/>
      <s:c r="D4" s="439"/>
      <s:c r="E4" s="440"/>
      <s:c r="F4" s="440"/>
      <s:c r="G4" s="440"/>
      <s:c r="H4" s="440"/>
      <s:c r="I4" s="440"/>
      <s:c r="J4" s="440"/>
      <s:c r="K4" s="440"/>
      <s:c r="L4" s="440"/>
      <s:c r="M4" s="440"/>
      <s:c r="N4" s="440"/>
      <s:c r="O4" s="440"/>
      <s:c r="P4" s="440"/>
      <s:c r="Q4" s="440"/>
      <s:c r="R4" s="440"/>
      <s:c r="S4" s="440"/>
      <s:c r="T4" s="440"/>
      <s:c r="U4" s="440"/>
      <s:c r="V4" s="440"/>
      <s:c r="W4" s="440"/>
      <s:c r="X4" s="440"/>
      <s:c r="Y4" s="440"/>
      <s:c r="Z4" s="440"/>
      <s:c r="AA4" s="440"/>
      <s:c r="AB4" s="440"/>
      <s:c r="AC4" s="440"/>
      <s:c r="AD4" s="440"/>
      <s:c r="AE4" s="440"/>
      <s:c r="AF4" s="440"/>
      <s:c r="AG4" s="440"/>
      <s:c r="AH4" s="440"/>
      <s:c r="AI4" s="440"/>
      <s:c r="AJ4" s="440"/>
      <s:c r="AK4" s="440"/>
      <s:c r="AL4" s="440"/>
      <s:c r="AM4" s="440"/>
      <s:c r="AN4" s="440"/>
    </s:row>
    <s:row r="5" spans="1:40" ht="16">
      <s:c r="A5" s="435"/>
      <s:c r="B5" s="445" t="s">
        <s:v>103</s:v>
      </s:c>
      <s:c r="C5" s="440"/>
      <s:c r="D5" s="440"/>
      <s:c r="E5" s="440"/>
      <s:c r="F5" s="440"/>
      <s:c r="G5" s="440"/>
      <s:c r="H5" s="440"/>
      <s:c r="I5" s="440"/>
      <s:c r="J5" s="440"/>
      <s:c r="K5" s="440"/>
      <s:c r="L5" s="440"/>
      <s:c r="M5" s="440"/>
      <s:c r="N5" s="440"/>
      <s:c r="O5" s="440"/>
      <s:c r="P5" s="440"/>
      <s:c r="Q5" s="440"/>
      <s:c r="R5" s="440"/>
      <s:c r="S5" s="440"/>
      <s:c r="T5" s="440"/>
      <s:c r="U5" s="440"/>
      <s:c r="V5" s="440"/>
      <s:c r="W5" s="440"/>
      <s:c r="X5" s="440"/>
      <s:c r="Y5" s="440"/>
      <s:c r="Z5" s="440"/>
      <s:c r="AA5" s="440"/>
      <s:c r="AB5" s="440"/>
      <s:c r="AC5" s="440"/>
      <s:c r="AD5" s="440"/>
      <s:c r="AE5" s="440"/>
      <s:c r="AF5" s="440"/>
      <s:c r="AG5" s="440"/>
      <s:c r="AH5" s="440"/>
      <s:c r="AI5" s="440"/>
      <s:c r="AJ5" s="669"/>
      <s:c r="AK5" s="670"/>
      <s:c r="AL5" s="671"/>
      <s:c r="AM5" s="672"/>
      <s:c r="AN5" s="673"/>
    </s:row>
    <s:row r="6" spans="1:40">
      <s:c r="A6" s="435"/>
      <s:c r="B6" s="446" t="s">
        <s:v>104</s:v>
      </s:c>
      <s:c r="C6" s="674" t="s">
        <s:v>105</s:v>
      </s:c>
      <s:c r="D6" s="675"/>
      <s:c r="E6" s="675"/>
      <s:c r="F6" s="675"/>
      <s:c r="G6" s="675"/>
      <s:c r="H6" s="675"/>
      <s:c r="I6" s="675"/>
      <s:c r="J6" s="675"/>
      <s:c r="K6" s="675"/>
      <s:c r="L6" s="675"/>
      <s:c r="M6" s="675"/>
      <s:c r="N6" s="675"/>
      <s:c r="O6" s="675"/>
      <s:c r="P6" s="675"/>
      <s:c r="Q6" s="675"/>
      <s:c r="R6" s="675"/>
      <s:c r="S6" s="675"/>
      <s:c r="T6" s="675"/>
      <s:c r="U6" s="675"/>
      <s:c r="V6" s="675"/>
      <s:c r="W6" s="675"/>
      <s:c r="X6" s="675"/>
      <s:c r="Y6" s="675"/>
      <s:c r="Z6" s="675"/>
      <s:c r="AA6" s="675"/>
      <s:c r="AB6" s="675"/>
      <s:c r="AC6" s="675"/>
      <s:c r="AD6" s="675"/>
      <s:c r="AE6" s="675"/>
      <s:c r="AF6" s="675"/>
      <s:c r="AG6" s="675"/>
      <s:c r="AH6" s="675"/>
      <s:c r="AI6" s="675"/>
      <s:c r="AJ6" s="676"/>
      <s:c r="AK6" s="447">
        <s:v>30</s:v>
      </s:c>
      <s:c r="AL6" s="448"/>
      <s:c r="AM6" s="448"/>
      <s:c r="AN6" s="448"/>
    </s:row>
    <s:row r="7" spans="1:40">
      <s:c r="A7" s="449"/>
      <s:c r="B7" s="450" t="e">
        <s:f>BT31*100/BH31</s:f>
        <s:v>#DIV/0!</s:v>
      </s:c>
      <s:c r="C7" s="674"/>
      <s:c r="D7" s="675"/>
      <s:c r="E7" s="675"/>
      <s:c r="F7" s="675"/>
      <s:c r="G7" s="675"/>
      <s:c r="H7" s="675"/>
      <s:c r="I7" s="675"/>
      <s:c r="J7" s="675"/>
      <s:c r="K7" s="675"/>
      <s:c r="L7" s="675"/>
      <s:c r="M7" s="675"/>
      <s:c r="N7" s="675"/>
      <s:c r="O7" s="675"/>
      <s:c r="P7" s="675"/>
      <s:c r="Q7" s="675"/>
      <s:c r="R7" s="675"/>
      <s:c r="S7" s="675"/>
      <s:c r="T7" s="675"/>
      <s:c r="U7" s="675"/>
      <s:c r="V7" s="675"/>
      <s:c r="W7" s="675"/>
      <s:c r="X7" s="675"/>
      <s:c r="Y7" s="675"/>
      <s:c r="Z7" s="675"/>
      <s:c r="AA7" s="675"/>
      <s:c r="AB7" s="675"/>
      <s:c r="AC7" s="675"/>
      <s:c r="AD7" s="675"/>
      <s:c r="AE7" s="675"/>
      <s:c r="AF7" s="675"/>
      <s:c r="AG7" s="675"/>
      <s:c r="AH7" s="675"/>
      <s:c r="AI7" s="675"/>
      <s:c r="AJ7" s="676"/>
      <s:c r="AK7" s="451"/>
      <s:c r="AL7" s="451"/>
      <s:c r="AM7" s="452"/>
      <s:c r="AN7" s="452"/>
    </s:row>
    <s:row r="8" spans="1:40" ht="30">
      <s:c r="A8" s="453"/>
      <s:c r="B8" s="454"/>
      <s:c r="C8" s="455"/>
      <s:c r="D8" s="456" t="s">
        <s:v>47</s:v>
      </s:c>
      <s:c r="E8" s="456" t="s">
        <s:v>48</s:v>
      </s:c>
      <s:c r="F8" s="456" t="s">
        <s:v>50</s:v>
      </s:c>
      <s:c r="G8" s="456" t="s">
        <s:v>51</s:v>
      </s:c>
      <s:c r="H8" s="456" t="s">
        <s:v>52</s:v>
      </s:c>
      <s:c r="I8" s="456" t="s">
        <s:v>53</s:v>
      </s:c>
      <s:c r="J8" s="456" t="s">
        <s:v>54</s:v>
      </s:c>
      <s:c r="K8" s="456" t="s">
        <s:v>47</s:v>
      </s:c>
      <s:c r="L8" s="456" t="s">
        <s:v>48</s:v>
      </s:c>
      <s:c r="M8" s="456" t="s">
        <s:v>50</s:v>
      </s:c>
      <s:c r="N8" s="456" t="s">
        <s:v>51</s:v>
      </s:c>
      <s:c r="O8" s="456" t="s">
        <s:v>52</s:v>
      </s:c>
      <s:c r="P8" s="456" t="s">
        <s:v>53</s:v>
      </s:c>
      <s:c r="Q8" s="456" t="s">
        <s:v>54</s:v>
      </s:c>
      <s:c r="R8" s="456" t="s">
        <s:v>47</s:v>
      </s:c>
      <s:c r="S8" s="456" t="s">
        <s:v>48</s:v>
      </s:c>
      <s:c r="T8" s="456" t="s">
        <s:v>50</s:v>
      </s:c>
      <s:c r="U8" s="456" t="s">
        <s:v>51</s:v>
      </s:c>
      <s:c r="V8" s="456" t="s">
        <s:v>52</s:v>
      </s:c>
      <s:c r="W8" s="456" t="s">
        <s:v>53</s:v>
      </s:c>
      <s:c r="X8" s="456" t="s">
        <s:v>54</s:v>
      </s:c>
      <s:c r="Y8" s="456" t="s">
        <s:v>47</s:v>
      </s:c>
      <s:c r="Z8" s="456" t="s">
        <s:v>48</s:v>
      </s:c>
      <s:c r="AA8" s="456" t="s">
        <s:v>50</s:v>
      </s:c>
      <s:c r="AB8" s="456" t="s">
        <s:v>51</s:v>
      </s:c>
      <s:c r="AC8" s="456" t="s">
        <s:v>52</s:v>
      </s:c>
      <s:c r="AD8" s="456" t="s">
        <s:v>53</s:v>
      </s:c>
      <s:c r="AE8" s="456" t="s">
        <s:v>54</s:v>
      </s:c>
      <s:c r="AF8" s="456"/>
      <s:c r="AG8" s="456"/>
      <s:c r="AH8" s="456"/>
      <s:c r="AI8" s="457"/>
      <s:c r="AJ8" s="458" t="s">
        <s:v>106</s:v>
      </s:c>
      <s:c r="AK8" s="458" t="s">
        <s:v>107</s:v>
      </s:c>
      <s:c r="AL8" s="677" t="s">
        <s:v>108</s:v>
      </s:c>
      <s:c r="AM8" s="677" t="s">
        <s:v>109</s:v>
      </s:c>
      <s:c r="AN8" s="681" t="s">
        <s:v>110</s:v>
      </s:c>
    </s:row>
    <s:row r="9" spans="1:40">
      <s:c r="A9" s="435"/>
      <s:c r="B9" s="440"/>
      <s:c r="C9" s="459"/>
      <s:c r="D9" s="460"/>
      <s:c r="E9" s="460"/>
      <s:c r="F9" s="460"/>
      <s:c r="G9" s="460"/>
      <s:c r="H9" s="460"/>
      <s:c r="I9" s="460"/>
      <s:c r="J9" s="460"/>
      <s:c r="K9" s="460"/>
      <s:c r="L9" s="460"/>
      <s:c r="M9" s="460"/>
      <s:c r="N9" s="460"/>
      <s:c r="O9" s="460"/>
      <s:c r="P9" s="460"/>
      <s:c r="Q9" s="460"/>
      <s:c r="R9" s="460"/>
      <s:c r="S9" s="460"/>
      <s:c r="T9" s="460"/>
      <s:c r="U9" s="460"/>
      <s:c r="V9" s="460"/>
      <s:c r="W9" s="460"/>
      <s:c r="X9" s="460"/>
      <s:c r="Y9" s="460"/>
      <s:c r="Z9" s="460"/>
      <s:c r="AA9" s="460"/>
      <s:c r="AB9" s="460"/>
      <s:c r="AC9" s="460"/>
      <s:c r="AD9" s="460"/>
      <s:c r="AE9" s="460"/>
      <s:c r="AF9" s="460"/>
      <s:c r="AG9" s="460"/>
      <s:c r="AH9" s="460"/>
      <s:c r="AI9" s="461"/>
      <s:c r="AJ9" s="462"/>
      <s:c r="AK9" s="462"/>
      <s:c r="AL9" s="678"/>
      <s:c r="AM9" s="678"/>
      <s:c r="AN9" s="682"/>
    </s:row>
    <s:row r="10" spans="1:40">
      <s:c r="A10" s="463" t="s">
        <s:v>111</s:v>
      </s:c>
      <s:c r="B10" s="464" t="s">
        <s:v>112</s:v>
      </s:c>
      <s:c r="C10" s="465" t="s">
        <s:v>84</s:v>
      </s:c>
      <s:c r="D10" s="466">
        <s:v>1</s:v>
      </s:c>
      <s:c r="E10" s="466">
        <s:v>2</s:v>
      </s:c>
      <s:c r="F10" s="466">
        <s:v>3</s:v>
      </s:c>
      <s:c r="G10" s="466">
        <s:v>4</s:v>
      </s:c>
      <s:c r="H10" s="466">
        <s:v>5</s:v>
      </s:c>
      <s:c r="I10" s="466">
        <s:v>6</s:v>
      </s:c>
      <s:c r="J10" s="466">
        <s:v>7</s:v>
      </s:c>
      <s:c r="K10" s="466">
        <s:v>8</s:v>
      </s:c>
      <s:c r="L10" s="466">
        <s:v>9</s:v>
      </s:c>
      <s:c r="M10" s="466">
        <s:v>10</s:v>
      </s:c>
      <s:c r="N10" s="466">
        <s:v>11</s:v>
      </s:c>
      <s:c r="O10" s="466">
        <s:v>12</s:v>
      </s:c>
      <s:c r="P10" s="466">
        <s:v>13</s:v>
      </s:c>
      <s:c r="Q10" s="466">
        <s:v>14</s:v>
      </s:c>
      <s:c r="R10" s="466">
        <s:v>15</s:v>
      </s:c>
      <s:c r="S10" s="466">
        <s:v>16</s:v>
      </s:c>
      <s:c r="T10" s="466">
        <s:v>17</s:v>
      </s:c>
      <s:c r="U10" s="466">
        <s:v>18</s:v>
      </s:c>
      <s:c r="V10" s="466">
        <s:v>19</s:v>
      </s:c>
      <s:c r="W10" s="466">
        <s:v>20</s:v>
      </s:c>
      <s:c r="X10" s="466">
        <s:v>21</s:v>
      </s:c>
      <s:c r="Y10" s="466">
        <s:v>22</s:v>
      </s:c>
      <s:c r="Z10" s="466">
        <s:v>23</s:v>
      </s:c>
      <s:c r="AA10" s="466">
        <s:v>24</s:v>
      </s:c>
      <s:c r="AB10" s="466">
        <s:v>25</s:v>
      </s:c>
      <s:c r="AC10" s="466">
        <s:v>26</s:v>
      </s:c>
      <s:c r="AD10" s="466">
        <s:v>27</s:v>
      </s:c>
      <s:c r="AE10" s="466">
        <s:v>28</s:v>
      </s:c>
      <s:c r="AF10" s="466">
        <s:v>29</s:v>
      </s:c>
      <s:c r="AG10" s="466">
        <s:v>30</s:v>
      </s:c>
      <s:c r="AH10" s="466">
        <s:v>31</s:v>
      </s:c>
      <s:c r="AI10" s="467" t="s">
        <s:v>113</s:v>
      </s:c>
      <s:c r="AJ10" s="468"/>
      <s:c r="AK10" s="469"/>
      <s:c r="AL10" s="679"/>
      <s:c r="AM10" s="680"/>
      <s:c r="AN10" s="683"/>
    </s:row>
    <s:row r="11" spans="1:40">
      <s:c r="A11" s="470">
        <s:v>20</s:v>
      </s:c>
      <s:c r="B11" s="471"/>
      <s:c r="C11" s="472"/>
      <s:c r="D11" s="472"/>
      <s:c r="E11" s="472"/>
      <s:c r="F11" s="472"/>
      <s:c r="G11" s="472"/>
      <s:c r="H11" s="472"/>
      <s:c r="I11" s="472"/>
      <s:c r="J11" s="472"/>
      <s:c r="K11" s="472"/>
      <s:c r="L11" s="472"/>
      <s:c r="M11" s="472"/>
      <s:c r="N11" s="472"/>
      <s:c r="O11" s="472"/>
      <s:c r="P11" s="472"/>
      <s:c r="Q11" s="472"/>
      <s:c r="R11" s="472"/>
      <s:c r="S11" s="472"/>
      <s:c r="T11" s="472"/>
      <s:c r="U11" s="472"/>
      <s:c r="V11" s="472"/>
      <s:c r="W11" s="472"/>
      <s:c r="X11" s="472"/>
      <s:c r="Y11" s="472"/>
      <s:c r="Z11" s="473"/>
      <s:c r="AA11" s="473"/>
      <s:c r="AB11" s="473"/>
      <s:c r="AC11" s="473"/>
      <s:c r="AD11" s="473"/>
      <s:c r="AE11" s="473"/>
      <s:c r="AF11" s="472"/>
      <s:c r="AG11" s="472"/>
      <s:c r="AH11" s="474"/>
      <s:c r="AI11" s="475">
        <s:v>0</s:v>
      </s:c>
      <s:c r="AJ11" s="476">
        <s:v>0</s:v>
      </s:c>
      <s:c r="AK11" s="477">
        <s:v>0</s:v>
      </s:c>
      <s:c r="AL11" s="477">
        <s:v>0</s:v>
      </s:c>
      <s:c r="AM11" s="477">
        <s:v>0</s:v>
      </s:c>
      <s:c r="AN11" s="478">
        <s:v>0</s:v>
      </s:c>
    </s:row>
    <s:row r="12" spans="1:40">
      <s:c r="A12" s="479">
        <s:v>19</s:v>
      </s:c>
      <s:c r="B12" s="480"/>
      <s:c r="C12" s="481"/>
      <s:c r="D12" s="481"/>
      <s:c r="E12" s="481"/>
      <s:c r="F12" s="481"/>
      <s:c r="G12" s="481"/>
      <s:c r="H12" s="481"/>
      <s:c r="I12" s="481"/>
      <s:c r="J12" s="481"/>
      <s:c r="K12" s="481"/>
      <s:c r="L12" s="481"/>
      <s:c r="M12" s="481"/>
      <s:c r="N12" s="481"/>
      <s:c r="O12" s="481"/>
      <s:c r="P12" s="481"/>
      <s:c r="Q12" s="481"/>
      <s:c r="R12" s="481"/>
      <s:c r="S12" s="481"/>
      <s:c r="T12" s="481"/>
      <s:c r="U12" s="481"/>
      <s:c r="V12" s="481"/>
      <s:c r="W12" s="481"/>
      <s:c r="X12" s="481"/>
      <s:c r="Y12" s="481"/>
      <s:c r="Z12" s="482"/>
      <s:c r="AA12" s="482"/>
      <s:c r="AB12" s="482"/>
      <s:c r="AC12" s="482"/>
      <s:c r="AD12" s="482"/>
      <s:c r="AE12" s="482"/>
      <s:c r="AF12" s="481"/>
      <s:c r="AG12" s="481"/>
      <s:c r="AH12" s="483"/>
      <s:c r="AI12" s="475">
        <s:v>0</s:v>
      </s:c>
      <s:c r="AJ12" s="484">
        <s:v>0</s:v>
      </s:c>
      <s:c r="AK12" s="485">
        <s:v>0</s:v>
      </s:c>
      <s:c r="AL12" s="485">
        <s:v>0</s:v>
      </s:c>
      <s:c r="AM12" s="485">
        <s:v>0</s:v>
      </s:c>
      <s:c r="AN12" s="486">
        <s:v>0</s:v>
      </s:c>
    </s:row>
    <s:row r="13" spans="1:40">
      <s:c r="A13" s="479">
        <s:v>18</s:v>
      </s:c>
      <s:c r="B13" s="480"/>
      <s:c r="C13" s="481"/>
      <s:c r="D13" s="481"/>
      <s:c r="E13" s="481"/>
      <s:c r="F13" s="481"/>
      <s:c r="G13" s="481"/>
      <s:c r="H13" s="481"/>
      <s:c r="I13" s="481"/>
      <s:c r="J13" s="481"/>
      <s:c r="K13" s="481"/>
      <s:c r="L13" s="481"/>
      <s:c r="M13" s="481"/>
      <s:c r="N13" s="481"/>
      <s:c r="O13" s="481"/>
      <s:c r="P13" s="481"/>
      <s:c r="Q13" s="481"/>
      <s:c r="R13" s="481"/>
      <s:c r="S13" s="481"/>
      <s:c r="T13" s="481"/>
      <s:c r="U13" s="481"/>
      <s:c r="V13" s="481"/>
      <s:c r="W13" s="481"/>
      <s:c r="X13" s="481"/>
      <s:c r="Y13" s="481"/>
      <s:c r="Z13" s="482"/>
      <s:c r="AA13" s="482"/>
      <s:c r="AB13" s="482"/>
      <s:c r="AC13" s="482"/>
      <s:c r="AD13" s="482"/>
      <s:c r="AE13" s="482"/>
      <s:c r="AF13" s="481"/>
      <s:c r="AG13" s="481"/>
      <s:c r="AH13" s="483"/>
      <s:c r="AI13" s="475">
        <s:v>0</s:v>
      </s:c>
      <s:c r="AJ13" s="476">
        <s:v>0</s:v>
      </s:c>
      <s:c r="AK13" s="477">
        <s:v>0</s:v>
      </s:c>
      <s:c r="AL13" s="477">
        <s:v>0</s:v>
      </s:c>
      <s:c r="AM13" s="477">
        <s:v>0</s:v>
      </s:c>
      <s:c r="AN13" s="478">
        <s:v>0</s:v>
      </s:c>
    </s:row>
    <s:row r="14" spans="1:40">
      <s:c r="A14" s="479">
        <s:v>17</s:v>
      </s:c>
      <s:c r="B14" s="480"/>
      <s:c r="C14" s="481"/>
      <s:c r="D14" s="481"/>
      <s:c r="E14" s="481"/>
      <s:c r="F14" s="481"/>
      <s:c r="G14" s="481"/>
      <s:c r="H14" s="481"/>
      <s:c r="I14" s="481"/>
      <s:c r="J14" s="481"/>
      <s:c r="K14" s="481"/>
      <s:c r="L14" s="481"/>
      <s:c r="M14" s="481"/>
      <s:c r="N14" s="481"/>
      <s:c r="O14" s="481"/>
      <s:c r="P14" s="481"/>
      <s:c r="Q14" s="481"/>
      <s:c r="R14" s="481"/>
      <s:c r="S14" s="481"/>
      <s:c r="T14" s="481"/>
      <s:c r="U14" s="481"/>
      <s:c r="V14" s="481"/>
      <s:c r="W14" s="481"/>
      <s:c r="X14" s="481"/>
      <s:c r="Y14" s="481"/>
      <s:c r="Z14" s="481"/>
      <s:c r="AA14" s="481"/>
      <s:c r="AB14" s="481"/>
      <s:c r="AC14" s="481"/>
      <s:c r="AD14" s="481"/>
      <s:c r="AE14" s="481"/>
      <s:c r="AF14" s="481"/>
      <s:c r="AG14" s="481"/>
      <s:c r="AH14" s="483"/>
      <s:c r="AI14" s="475">
        <s:v>0</s:v>
      </s:c>
      <s:c r="AJ14" s="484">
        <s:v>0</s:v>
      </s:c>
      <s:c r="AK14" s="485">
        <s:v>0</s:v>
      </s:c>
      <s:c r="AL14" s="485">
        <s:v>0</s:v>
      </s:c>
      <s:c r="AM14" s="485">
        <s:v>0</s:v>
      </s:c>
      <s:c r="AN14" s="486">
        <s:v>0</s:v>
      </s:c>
    </s:row>
    <s:row r="15" spans="1:40">
      <s:c r="A15" s="479">
        <s:v>16</s:v>
      </s:c>
      <s:c r="B15" s="480"/>
      <s:c r="C15" s="481"/>
      <s:c r="D15" s="481"/>
      <s:c r="E15" s="481"/>
      <s:c r="F15" s="481"/>
      <s:c r="G15" s="481"/>
      <s:c r="H15" s="481"/>
      <s:c r="I15" s="481"/>
      <s:c r="J15" s="481"/>
      <s:c r="K15" s="481"/>
      <s:c r="L15" s="481"/>
      <s:c r="M15" s="481"/>
      <s:c r="N15" s="481"/>
      <s:c r="O15" s="481"/>
      <s:c r="P15" s="481"/>
      <s:c r="Q15" s="481"/>
      <s:c r="R15" s="481"/>
      <s:c r="S15" s="481"/>
      <s:c r="T15" s="481"/>
      <s:c r="U15" s="481"/>
      <s:c r="V15" s="481"/>
      <s:c r="W15" s="481"/>
      <s:c r="X15" s="481"/>
      <s:c r="Y15" s="481"/>
      <s:c r="Z15" s="481"/>
      <s:c r="AA15" s="481"/>
      <s:c r="AB15" s="481"/>
      <s:c r="AC15" s="481"/>
      <s:c r="AD15" s="481"/>
      <s:c r="AE15" s="481"/>
      <s:c r="AF15" s="481"/>
      <s:c r="AG15" s="481"/>
      <s:c r="AH15" s="483"/>
      <s:c r="AI15" s="475">
        <s:v>0</s:v>
      </s:c>
      <s:c r="AJ15" s="476">
        <s:v>0</s:v>
      </s:c>
      <s:c r="AK15" s="477">
        <s:v>0</s:v>
      </s:c>
      <s:c r="AL15" s="477">
        <s:v>0</s:v>
      </s:c>
      <s:c r="AM15" s="477">
        <s:v>0</s:v>
      </s:c>
      <s:c r="AN15" s="478">
        <s:v>0</s:v>
      </s:c>
    </s:row>
    <s:row r="16" spans="1:40">
      <s:c r="A16" s="479">
        <s:v>15</s:v>
      </s:c>
      <s:c r="B16" s="480"/>
      <s:c r="C16" s="481"/>
      <s:c r="D16" s="481"/>
      <s:c r="E16" s="481"/>
      <s:c r="F16" s="481"/>
      <s:c r="G16" s="481"/>
      <s:c r="H16" s="481"/>
      <s:c r="I16" s="481"/>
      <s:c r="J16" s="481"/>
      <s:c r="K16" s="481"/>
      <s:c r="L16" s="481"/>
      <s:c r="M16" s="481"/>
      <s:c r="N16" s="481"/>
      <s:c r="O16" s="481"/>
      <s:c r="P16" s="481"/>
      <s:c r="Q16" s="481"/>
      <s:c r="R16" s="481"/>
      <s:c r="S16" s="481"/>
      <s:c r="T16" s="481"/>
      <s:c r="U16" s="481"/>
      <s:c r="V16" s="481"/>
      <s:c r="W16" s="481"/>
      <s:c r="X16" s="481"/>
      <s:c r="Y16" s="481"/>
      <s:c r="Z16" s="481"/>
      <s:c r="AA16" s="481"/>
      <s:c r="AB16" s="481"/>
      <s:c r="AC16" s="481"/>
      <s:c r="AD16" s="481"/>
      <s:c r="AE16" s="481"/>
      <s:c r="AF16" s="481"/>
      <s:c r="AG16" s="481"/>
      <s:c r="AH16" s="483"/>
      <s:c r="AI16" s="475">
        <s:v>0</s:v>
      </s:c>
      <s:c r="AJ16" s="484">
        <s:v>0</s:v>
      </s:c>
      <s:c r="AK16" s="485">
        <s:v>0</s:v>
      </s:c>
      <s:c r="AL16" s="485">
        <s:v>0</s:v>
      </s:c>
      <s:c r="AM16" s="485">
        <s:v>0</s:v>
      </s:c>
      <s:c r="AN16" s="486">
        <s:v>0</s:v>
      </s:c>
    </s:row>
    <s:row r="17" spans="1:41">
      <s:c r="A17" s="479">
        <s:v>14</s:v>
      </s:c>
      <s:c r="B17" s="480"/>
      <s:c r="C17" s="481"/>
      <s:c r="D17" s="481"/>
      <s:c r="E17" s="481"/>
      <s:c r="F17" s="481"/>
      <s:c r="G17" s="481"/>
      <s:c r="H17" s="481"/>
      <s:c r="I17" s="481"/>
      <s:c r="J17" s="481"/>
      <s:c r="K17" s="481"/>
      <s:c r="L17" s="481"/>
      <s:c r="M17" s="481"/>
      <s:c r="N17" s="481"/>
      <s:c r="O17" s="481"/>
      <s:c r="P17" s="481"/>
      <s:c r="Q17" s="481"/>
      <s:c r="R17" s="481"/>
      <s:c r="S17" s="481"/>
      <s:c r="T17" s="481"/>
      <s:c r="U17" s="481"/>
      <s:c r="V17" s="481"/>
      <s:c r="W17" s="481"/>
      <s:c r="X17" s="481"/>
      <s:c r="Y17" s="481"/>
      <s:c r="Z17" s="481"/>
      <s:c r="AA17" s="481"/>
      <s:c r="AB17" s="481"/>
      <s:c r="AC17" s="481"/>
      <s:c r="AD17" s="481"/>
      <s:c r="AE17" s="481"/>
      <s:c r="AF17" s="481"/>
      <s:c r="AG17" s="481"/>
      <s:c r="AH17" s="483"/>
      <s:c r="AI17" s="475">
        <s:v>0</s:v>
      </s:c>
      <s:c r="AJ17" s="484">
        <s:v>0</s:v>
      </s:c>
      <s:c r="AK17" s="485">
        <s:v>0</s:v>
      </s:c>
      <s:c r="AL17" s="485">
        <s:v>0</s:v>
      </s:c>
      <s:c r="AM17" s="485">
        <s:v>0</s:v>
      </s:c>
      <s:c r="AN17" s="486">
        <s:v>0</s:v>
      </s:c>
    </s:row>
    <s:row r="18" spans="1:41">
      <s:c r="A18" s="479">
        <s:v>13</s:v>
      </s:c>
      <s:c r="B18" s="480"/>
      <s:c r="C18" s="481"/>
      <s:c r="D18" s="481"/>
      <s:c r="E18" s="481"/>
      <s:c r="F18" s="481"/>
      <s:c r="G18" s="481"/>
      <s:c r="H18" s="481"/>
      <s:c r="I18" s="481"/>
      <s:c r="J18" s="481"/>
      <s:c r="K18" s="481"/>
      <s:c r="L18" s="481"/>
      <s:c r="M18" s="481"/>
      <s:c r="N18" s="481"/>
      <s:c r="O18" s="481"/>
      <s:c r="P18" s="481"/>
      <s:c r="Q18" s="481"/>
      <s:c r="R18" s="481"/>
      <s:c r="S18" s="481"/>
      <s:c r="T18" s="481"/>
      <s:c r="U18" s="481"/>
      <s:c r="V18" s="481"/>
      <s:c r="W18" s="481"/>
      <s:c r="X18" s="481"/>
      <s:c r="Y18" s="481"/>
      <s:c r="Z18" s="481"/>
      <s:c r="AA18" s="481"/>
      <s:c r="AB18" s="481"/>
      <s:c r="AC18" s="481"/>
      <s:c r="AD18" s="481"/>
      <s:c r="AE18" s="481"/>
      <s:c r="AF18" s="481"/>
      <s:c r="AG18" s="481"/>
      <s:c r="AH18" s="483"/>
      <s:c r="AI18" s="475">
        <s:v>0</s:v>
      </s:c>
      <s:c r="AJ18" s="484">
        <s:v>0</s:v>
      </s:c>
      <s:c r="AK18" s="485">
        <s:v>0</s:v>
      </s:c>
      <s:c r="AL18" s="485">
        <s:v>0</s:v>
      </s:c>
      <s:c r="AM18" s="485">
        <s:v>0</s:v>
      </s:c>
      <s:c r="AN18" s="486">
        <s:v>0</s:v>
      </s:c>
    </s:row>
    <s:row r="19" spans="1:41">
      <s:c r="A19" s="479">
        <s:v>12</s:v>
      </s:c>
      <s:c r="B19" s="480"/>
      <s:c r="C19" s="481"/>
      <s:c r="D19" s="481"/>
      <s:c r="E19" s="481"/>
      <s:c r="F19" s="481"/>
      <s:c r="G19" s="481"/>
      <s:c r="H19" s="481"/>
      <s:c r="I19" s="481"/>
      <s:c r="J19" s="481"/>
      <s:c r="K19" s="481"/>
      <s:c r="L19" s="481"/>
      <s:c r="M19" s="481"/>
      <s:c r="N19" s="481"/>
      <s:c r="O19" s="481"/>
      <s:c r="P19" s="481"/>
      <s:c r="Q19" s="481"/>
      <s:c r="R19" s="481"/>
      <s:c r="S19" s="481"/>
      <s:c r="T19" s="481"/>
      <s:c r="U19" s="481"/>
      <s:c r="V19" s="481"/>
      <s:c r="W19" s="481"/>
      <s:c r="X19" s="481"/>
      <s:c r="Y19" s="481"/>
      <s:c r="Z19" s="481"/>
      <s:c r="AA19" s="481"/>
      <s:c r="AB19" s="481"/>
      <s:c r="AC19" s="481"/>
      <s:c r="AD19" s="481"/>
      <s:c r="AE19" s="481"/>
      <s:c r="AF19" s="481"/>
      <s:c r="AG19" s="481"/>
      <s:c r="AH19" s="483"/>
      <s:c r="AI19" s="475">
        <s:v>0</s:v>
      </s:c>
      <s:c r="AJ19" s="484">
        <s:v>0</s:v>
      </s:c>
      <s:c r="AK19" s="485">
        <s:v>0</s:v>
      </s:c>
      <s:c r="AL19" s="485">
        <s:v>0</s:v>
      </s:c>
      <s:c r="AM19" s="485">
        <s:v>0</s:v>
      </s:c>
      <s:c r="AN19" s="486">
        <s:v>0</s:v>
      </s:c>
    </s:row>
    <s:row r="20" spans="1:41">
      <s:c r="A20" s="479">
        <s:v>11</s:v>
      </s:c>
      <s:c r="B20" s="480"/>
      <s:c r="C20" s="481"/>
      <s:c r="D20" s="481"/>
      <s:c r="E20" s="481"/>
      <s:c r="F20" s="481"/>
      <s:c r="G20" s="481"/>
      <s:c r="H20" s="481"/>
      <s:c r="I20" s="481"/>
      <s:c r="J20" s="481"/>
      <s:c r="K20" s="481"/>
      <s:c r="L20" s="481"/>
      <s:c r="M20" s="481"/>
      <s:c r="N20" s="481"/>
      <s:c r="O20" s="481"/>
      <s:c r="P20" s="481"/>
      <s:c r="Q20" s="481"/>
      <s:c r="R20" s="481"/>
      <s:c r="S20" s="481"/>
      <s:c r="T20" s="481"/>
      <s:c r="U20" s="481"/>
      <s:c r="V20" s="481"/>
      <s:c r="W20" s="481"/>
      <s:c r="X20" s="481"/>
      <s:c r="Y20" s="481"/>
      <s:c r="Z20" s="481"/>
      <s:c r="AA20" s="481"/>
      <s:c r="AB20" s="481"/>
      <s:c r="AC20" s="481"/>
      <s:c r="AD20" s="481"/>
      <s:c r="AE20" s="481"/>
      <s:c r="AF20" s="481"/>
      <s:c r="AG20" s="481"/>
      <s:c r="AH20" s="483"/>
      <s:c r="AI20" s="475">
        <s:v>0</s:v>
      </s:c>
      <s:c r="AJ20" s="484">
        <s:v>0</s:v>
      </s:c>
      <s:c r="AK20" s="485">
        <s:v>0</s:v>
      </s:c>
      <s:c r="AL20" s="485">
        <s:v>0</s:v>
      </s:c>
      <s:c r="AM20" s="485">
        <s:v>0</s:v>
      </s:c>
      <s:c r="AN20" s="486">
        <s:v>0</s:v>
      </s:c>
    </s:row>
    <s:row r="21" spans="1:41">
      <s:c r="A21" s="479">
        <s:v>10</s:v>
      </s:c>
      <s:c r="B21" s="480"/>
      <s:c r="C21" s="481"/>
      <s:c r="D21" s="481"/>
      <s:c r="E21" s="481"/>
      <s:c r="F21" s="481"/>
      <s:c r="G21" s="481"/>
      <s:c r="H21" s="481"/>
      <s:c r="I21" s="481"/>
      <s:c r="J21" s="481"/>
      <s:c r="K21" s="481"/>
      <s:c r="L21" s="481"/>
      <s:c r="M21" s="481"/>
      <s:c r="N21" s="481"/>
      <s:c r="O21" s="481"/>
      <s:c r="P21" s="481"/>
      <s:c r="Q21" s="481"/>
      <s:c r="R21" s="481"/>
      <s:c r="S21" s="481"/>
      <s:c r="T21" s="481"/>
      <s:c r="U21" s="481"/>
      <s:c r="V21" s="481"/>
      <s:c r="W21" s="481"/>
      <s:c r="X21" s="481"/>
      <s:c r="Y21" s="481"/>
      <s:c r="Z21" s="481"/>
      <s:c r="AA21" s="481"/>
      <s:c r="AB21" s="481"/>
      <s:c r="AC21" s="481"/>
      <s:c r="AD21" s="481"/>
      <s:c r="AE21" s="481"/>
      <s:c r="AF21" s="481"/>
      <s:c r="AG21" s="481"/>
      <s:c r="AH21" s="483"/>
      <s:c r="AI21" s="475">
        <s:v>0</s:v>
      </s:c>
      <s:c r="AJ21" s="484">
        <s:v>0</s:v>
      </s:c>
      <s:c r="AK21" s="485">
        <s:v>0</s:v>
      </s:c>
      <s:c r="AL21" s="485">
        <s:v>0</s:v>
      </s:c>
      <s:c r="AM21" s="485">
        <s:v>0</s:v>
      </s:c>
      <s:c r="AN21" s="486">
        <s:v>0</s:v>
      </s:c>
    </s:row>
    <s:row r="22" spans="1:41">
      <s:c r="A22" s="479">
        <s:v>9</s:v>
      </s:c>
      <s:c r="B22" s="480"/>
      <s:c r="C22" s="481"/>
      <s:c r="D22" s="481"/>
      <s:c r="E22" s="481"/>
      <s:c r="F22" s="481"/>
      <s:c r="G22" s="481"/>
      <s:c r="H22" s="481"/>
      <s:c r="I22" s="481"/>
      <s:c r="J22" s="481"/>
      <s:c r="K22" s="481"/>
      <s:c r="L22" s="481"/>
      <s:c r="M22" s="481"/>
      <s:c r="N22" s="481"/>
      <s:c r="O22" s="481"/>
      <s:c r="P22" s="481"/>
      <s:c r="Q22" s="481"/>
      <s:c r="R22" s="481"/>
      <s:c r="S22" s="481"/>
      <s:c r="T22" s="481"/>
      <s:c r="U22" s="481"/>
      <s:c r="V22" s="481"/>
      <s:c r="W22" s="481"/>
      <s:c r="X22" s="481"/>
      <s:c r="Y22" s="481"/>
      <s:c r="Z22" s="481"/>
      <s:c r="AA22" s="481"/>
      <s:c r="AB22" s="481"/>
      <s:c r="AC22" s="481"/>
      <s:c r="AD22" s="481"/>
      <s:c r="AE22" s="481"/>
      <s:c r="AF22" s="481"/>
      <s:c r="AG22" s="481"/>
      <s:c r="AH22" s="483"/>
      <s:c r="AI22" s="475">
        <s:f validation_="true">COUNTIF(D22:AH22, "&gt;0")</s:f>
        <s:v>0</s:v>
      </s:c>
      <s:c r="AJ22" s="484">
        <s:v>0</s:v>
      </s:c>
      <s:c r="AK22" s="485">
        <s:v>0</s:v>
      </s:c>
      <s:c r="AL22" s="485">
        <s:v>0</s:v>
      </s:c>
      <s:c r="AM22" s="485">
        <s:v>0</s:v>
      </s:c>
      <s:c r="AN22" s="486">
        <s:v>0</s:v>
      </s:c>
    </s:row>
    <s:row r="23" spans="1:41">
      <s:c r="A23" s="479">
        <s:v>8</s:v>
      </s:c>
      <s:c r="B23" s="487"/>
      <s:c r="C23" s="487"/>
      <s:c r="D23" s="487"/>
      <s:c r="E23" s="487"/>
      <s:c r="F23" s="487"/>
      <s:c r="G23" s="487"/>
      <s:c r="H23" s="487"/>
      <s:c r="I23" s="487"/>
      <s:c r="J23" s="487"/>
      <s:c r="K23" s="487"/>
      <s:c r="L23" s="487"/>
      <s:c r="M23" s="487"/>
      <s:c r="N23" s="488"/>
      <s:c r="O23" s="489"/>
      <s:c r="P23" s="489"/>
      <s:c r="Q23" s="489"/>
      <s:c r="R23" s="489"/>
      <s:c r="S23" s="489"/>
      <s:c r="T23" s="489"/>
      <s:c r="U23" s="489"/>
      <s:c r="V23" s="489"/>
      <s:c r="W23" s="490"/>
      <s:c r="X23" s="489"/>
      <s:c r="Y23" s="489"/>
      <s:c r="Z23" s="489"/>
      <s:c r="AA23" s="489"/>
      <s:c r="AB23" s="489"/>
      <s:c r="AC23" s="489"/>
      <s:c r="AD23" s="489"/>
      <s:c r="AE23" s="489"/>
      <s:c r="AF23" s="489"/>
      <s:c r="AG23" s="489"/>
      <s:c r="AH23" s="491"/>
      <s:c r="AI23" s="475">
        <s:f validation_="true">COUNTIF(D23:AH23, "&gt;0")</s:f>
        <s:v>0</s:v>
      </s:c>
      <s:c r="AJ23" s="484">
        <s:v>0</s:v>
      </s:c>
      <s:c r="AK23" s="485">
        <s:v>0</s:v>
      </s:c>
      <s:c r="AL23" s="485">
        <s:v>0</s:v>
      </s:c>
      <s:c r="AM23" s="485">
        <s:v>0</s:v>
      </s:c>
      <s:c r="AN23" s="486">
        <s:v>0</s:v>
      </s:c>
    </s:row>
    <s:row r="24" spans="1:41">
      <s:c r="A24" s="479">
        <s:v>7</s:v>
      </s:c>
      <s:c r="B24" s="487"/>
      <s:c r="C24" s="487"/>
      <s:c r="D24" s="489"/>
      <s:c r="E24" s="487"/>
      <s:c r="F24" s="487"/>
      <s:c r="G24" s="487"/>
      <s:c r="H24" s="489"/>
      <s:c r="I24" s="489"/>
      <s:c r="J24" s="487"/>
      <s:c r="K24" s="487"/>
      <s:c r="L24" s="489"/>
      <s:c r="M24" s="489"/>
      <s:c r="N24" s="487"/>
      <s:c r="O24" s="487"/>
      <s:c r="P24" s="489"/>
      <s:c r="Q24" s="489"/>
      <s:c r="R24" s="487"/>
      <s:c r="S24" s="487"/>
      <s:c r="T24" s="489"/>
      <s:c r="U24" s="489"/>
      <s:c r="V24" s="489"/>
      <s:c r="W24" s="487"/>
      <s:c r="X24" s="487"/>
      <s:c r="Y24" s="489"/>
      <s:c r="Z24" s="489"/>
      <s:c r="AA24" s="489"/>
      <s:c r="AB24" s="487"/>
      <s:c r="AC24" s="487"/>
      <s:c r="AD24" s="489"/>
      <s:c r="AE24" s="489"/>
      <s:c r="AF24" s="489"/>
      <s:c r="AG24" s="489"/>
      <s:c r="AH24" s="487"/>
      <s:c r="AI24" s="475">
        <s:f validation_="true">COUNTIF(D24:AH24, "&gt;0")</s:f>
        <s:v>0</s:v>
      </s:c>
      <s:c r="AJ24" s="484">
        <s:v>0</s:v>
      </s:c>
      <s:c r="AK24" s="485">
        <s:v>0</s:v>
      </s:c>
      <s:c r="AL24" s="485">
        <s:v>0</s:v>
      </s:c>
      <s:c r="AM24" s="485">
        <s:v>0</s:v>
      </s:c>
      <s:c r="AN24" s="486">
        <s:v>0</s:v>
      </s:c>
    </s:row>
    <s:row r="25" spans="1:41">
      <s:c r="A25" s="492">
        <s:v>6</s:v>
      </s:c>
      <s:c r="B25" s="487"/>
      <s:c r="C25" s="487"/>
      <s:c r="D25" s="493"/>
      <s:c r="E25" s="494"/>
      <s:c r="F25" s="494"/>
      <s:c r="G25" s="494"/>
      <s:c r="H25" s="493"/>
      <s:c r="I25" s="493"/>
      <s:c r="J25" s="494"/>
      <s:c r="K25" s="494"/>
      <s:c r="L25" s="493"/>
      <s:c r="M25" s="493"/>
      <s:c r="N25" s="494"/>
      <s:c r="O25" s="494"/>
      <s:c r="P25" s="493"/>
      <s:c r="Q25" s="493"/>
      <s:c r="R25" s="494"/>
      <s:c r="S25" s="494"/>
      <s:c r="T25" s="493"/>
      <s:c r="U25" s="493"/>
      <s:c r="V25" s="493"/>
      <s:c r="W25" s="494"/>
      <s:c r="X25" s="494"/>
      <s:c r="Y25" s="493"/>
      <s:c r="Z25" s="493"/>
      <s:c r="AA25" s="493"/>
      <s:c r="AB25" s="495"/>
      <s:c r="AC25" s="494"/>
      <s:c r="AD25" s="493"/>
      <s:c r="AE25" s="493"/>
      <s:c r="AF25" s="493"/>
      <s:c r="AG25" s="493"/>
      <s:c r="AH25" s="494"/>
      <s:c r="AI25" s="496">
        <s:f>COUNTIF(D25:AH25,"&gt;0")</s:f>
        <s:v>0</s:v>
      </s:c>
      <s:c r="AJ25" s="497">
        <s:f>SUMIF(D25:AH25,"&gt;0")</s:f>
        <s:v>0</s:v>
      </s:c>
      <s:c r="AK25" s="498">
        <s:f>COUNTIF(D25:AH25,"В")</s:f>
        <s:v>0</s:v>
      </s:c>
      <s:c r="AL25" s="498">
        <s:f validation_="true">COUNTIF(E25:AI25,"о")</s:f>
        <s:v>0</s:v>
      </s:c>
      <s:c r="AM25" s="498">
        <s:f validation_="true">COUNTIF(F25:AJ25,"б")</s:f>
        <s:v>0</s:v>
      </s:c>
      <s:c r="AN25" s="499">
        <s:v>0</s:v>
      </s:c>
      <s:c r="AO25" s="500"/>
    </s:row>
    <s:row r="26" spans="1:41" ht="16">
      <s:c r="A26" s="501">
        <s:v>5</s:v>
      </s:c>
      <s:c r="B26" s="502"/>
      <s:c r="C26" s="489"/>
      <s:c r="D26" s="489"/>
      <s:c r="E26" s="503"/>
      <s:c r="F26" s="503"/>
      <s:c r="G26" s="503"/>
      <s:c r="H26" s="503"/>
      <s:c r="I26" s="503"/>
      <s:c r="J26" s="493"/>
      <s:c r="K26" s="493"/>
      <s:c r="L26" s="493"/>
      <s:c r="M26" s="493"/>
      <s:c r="N26" s="493"/>
      <s:c r="O26" s="493"/>
      <s:c r="P26" s="493"/>
      <s:c r="Q26" s="493"/>
      <s:c r="R26" s="493"/>
      <s:c r="S26" s="504"/>
      <s:c r="T26" s="505"/>
      <s:c r="U26" s="505"/>
      <s:c r="V26" s="505"/>
      <s:c r="W26" s="506"/>
      <s:c r="X26" s="506"/>
      <s:c r="Y26" s="506"/>
      <s:c r="Z26" s="504"/>
      <s:c r="AA26" s="507"/>
      <s:c r="AB26" s="505"/>
      <s:c r="AC26" s="508"/>
      <s:c r="AD26" s="505"/>
      <s:c r="AE26" s="509"/>
      <s:c r="AF26" s="504"/>
      <s:c r="AG26" s="510"/>
      <s:c r="AH26" s="494"/>
      <s:c r="AI26" s="511">
        <s:f validation_="true">COUNTIF(D26:AH26, "&gt;0")</s:f>
        <s:v>0</s:v>
      </s:c>
      <s:c r="AJ26" s="512">
        <s:f validation_="true">SUMIF(D26:AH26, "&gt;0")</s:f>
        <s:v>0</s:v>
      </s:c>
      <s:c r="AK26" s="513">
        <s:f validation_="true">COUNTIF(D26:AH26, "В")</s:f>
        <s:v>0</s:v>
      </s:c>
      <s:c r="AL26" s="513">
        <s:v>0</s:v>
      </s:c>
      <s:c r="AM26" s="513">
        <s:v>0</s:v>
      </s:c>
      <s:c r="AN26" s="514">
        <s:v>0</s:v>
      </s:c>
    </s:row>
    <s:row r="27" spans="1:41" ht="16">
      <s:c r="A27" s="515">
        <s:v>4</s:v>
      </s:c>
      <s:c r="B27" s="502" t="s">
        <s:v>121</s:v>
      </s:c>
      <s:c r="C27" s="502"/>
      <s:c r="D27" s="516"/>
      <s:c r="E27" s="516"/>
      <s:c r="F27" s="516"/>
      <s:c r="G27" s="517"/>
      <s:c r="H27" s="517"/>
      <s:c r="I27" s="517"/>
      <s:c r="J27" s="516"/>
      <s:c r="K27" s="518"/>
      <s:c r="L27" s="518"/>
      <s:c r="M27" s="517"/>
      <s:c r="N27" s="517"/>
      <s:c r="O27" s="517"/>
      <s:c r="P27" s="517"/>
      <s:c r="Q27" s="517"/>
      <s:c r="R27" s="517"/>
      <s:c r="S27" s="517"/>
      <s:c r="T27" s="517"/>
      <s:c r="U27" s="517"/>
      <s:c r="V27" s="517"/>
      <s:c r="W27" s="517"/>
      <s:c r="X27" s="517"/>
      <s:c r="Y27" s="517"/>
      <s:c r="Z27" s="517"/>
      <s:c r="AA27" s="517"/>
      <s:c r="AB27" s="517"/>
      <s:c r="AC27" s="542">
        <s:v>5</s:v>
      </s:c>
      <s:c r="AD27" s="517"/>
      <s:c r="AE27" s="517"/>
      <s:c r="AF27" s="517"/>
      <s:c r="AG27" s="517"/>
      <s:c r="AH27" s="517"/>
      <s:c r="AI27" s="519">
        <s:f validation_="true">COUNTIF(D27:AH27,"&gt;0")</s:f>
        <s:v>1</s:v>
      </s:c>
      <s:c r="AJ27" s="497">
        <s:f validation_="true">SUMIF(D27:AH27,"&gt;0")</s:f>
        <s:v>5</s:v>
      </s:c>
      <s:c r="AK27" s="498">
        <s:f validation_="true">COUNTIF(D27:AH27,"В")</s:f>
        <s:v>0</s:v>
      </s:c>
      <s:c r="AL27" s="498">
        <s:f validation_="true">COUNTIF(E27:AI27,"о")</s:f>
        <s:v>0</s:v>
      </s:c>
      <s:c r="AM27" s="498">
        <s:f validation_="true">COUNTIF(F27:AJ27,"б")</s:f>
        <s:v>0</s:v>
      </s:c>
      <s:c r="AN27" s="520">
        <s:v>0</s:v>
      </s:c>
      <s:c r="AO27" s="500"/>
    </s:row>
    <s:row r="28" spans="1:41" ht="16">
      <s:c r="A28" s="492">
        <s:v>3</s:v>
      </s:c>
      <s:c r="B28" s="521" t="s">
        <s:v>114</s:v>
      </s:c>
      <s:c r="C28" s="522" t="s">
        <s:v>115</s:v>
      </s:c>
      <s:c r="D28" s="542">
        <s:v>11</s:v>
      </s:c>
      <s:c r="E28" s="542">
        <s:v>11</s:v>
      </s:c>
      <s:c r="F28" s="503"/>
      <s:c r="G28" s="503"/>
      <s:c r="H28" s="503"/>
      <s:c r="I28" s="503"/>
      <s:c r="J28" s="503"/>
      <s:c r="K28" s="503"/>
      <s:c r="L28" s="503"/>
      <s:c r="M28" s="503"/>
      <s:c r="N28" s="503"/>
      <s:c r="O28" s="503"/>
      <s:c r="P28" s="517"/>
      <s:c r="Q28" s="523"/>
      <s:c r="R28" s="517"/>
      <s:c r="S28" s="517"/>
      <s:c r="T28" s="524"/>
      <s:c r="U28" s="517"/>
      <s:c r="V28" s="517"/>
      <s:c r="W28" s="523"/>
      <s:c r="X28" s="517"/>
      <s:c r="Y28" s="517"/>
      <s:c r="Z28" s="517"/>
      <s:c r="AA28" s="517"/>
      <s:c r="AB28" s="517"/>
      <s:c r="AC28" s="523"/>
      <s:c r="AD28" s="517"/>
      <s:c r="AE28" s="517"/>
      <s:c r="AF28" s="525"/>
      <s:c r="AG28" s="503"/>
      <s:c r="AH28" s="503"/>
      <s:c r="AI28" s="519">
        <s:f validation_="true">COUNTIF(D28:AH28,"&gt;0")</s:f>
        <s:v>2</s:v>
      </s:c>
      <s:c r="AJ28" s="497">
        <s:f validation_="true">SUMIF(D28:AH28,"&gt;0")</s:f>
        <s:v>22</s:v>
      </s:c>
      <s:c r="AK28" s="498">
        <s:f validation_="true">COUNTIF(D28:AH28,"В")</s:f>
        <s:v>0</s:v>
      </s:c>
      <s:c r="AL28" s="498">
        <s:f validation_="true">COUNTIF(E28:AI28,"о")</s:f>
        <s:v>0</s:v>
      </s:c>
      <s:c r="AM28" s="498">
        <s:f validation_="true">COUNTIF(F28:AJ28,"б")</s:f>
        <s:v>0</s:v>
      </s:c>
      <s:c r="AN28" s="499">
        <s:v>0</s:v>
      </s:c>
      <s:c r="AO28" s="500"/>
    </s:row>
    <s:row r="29" spans="1:41" ht="16">
      <s:c r="A29" s="492">
        <s:v>2</s:v>
      </s:c>
      <s:c r="B29" s="521" t="s">
        <s:v>116</s:v>
      </s:c>
      <s:c r="C29" s="522" t="s">
        <s:v>90</s:v>
      </s:c>
      <s:c r="D29" s="517" t="s">
        <s:v>62</s:v>
      </s:c>
      <s:c r="E29" s="517" t="s">
        <s:v>62</s:v>
      </s:c>
      <s:c r="F29" s="542">
        <s:v>11</s:v>
      </s:c>
      <s:c r="G29" s="542">
        <s:v>11</s:v>
      </s:c>
      <s:c r="H29" s="542">
        <s:v>11</s:v>
      </s:c>
      <s:c r="I29" s="542">
        <s:v>11</s:v>
      </s:c>
      <s:c r="J29" s="542">
        <s:v>11</s:v>
      </s:c>
      <s:c r="K29" s="542">
        <s:v>9</s:v>
      </s:c>
      <s:c r="L29" s="542">
        <s:v>9</s:v>
      </s:c>
      <s:c r="M29" s="542">
        <s:v>11</s:v>
      </s:c>
      <s:c r="N29" s="542">
        <s:v>11</s:v>
      </s:c>
      <s:c r="O29" s="542">
        <s:v>11</s:v>
      </s:c>
      <s:c r="P29" s="542">
        <s:v>11</s:v>
      </s:c>
      <s:c r="Q29" s="542">
        <s:v>11</s:v>
      </s:c>
      <s:c r="R29" s="542">
        <s:v>11</s:v>
      </s:c>
      <s:c r="S29" s="542">
        <s:v>9.5</s:v>
      </s:c>
      <s:c r="T29" s="542">
        <s:v>11</s:v>
      </s:c>
      <s:c r="U29" s="542">
        <s:v>11</s:v>
      </s:c>
      <s:c r="V29" s="542">
        <s:v>11</s:v>
      </s:c>
      <s:c r="W29" s="542">
        <s:v>11</s:v>
      </s:c>
      <s:c r="X29" s="542">
        <s:v>11</s:v>
      </s:c>
      <s:c r="Y29" s="542">
        <s:v>11</s:v>
      </s:c>
      <s:c r="Z29" s="542">
        <s:v>10.5</s:v>
      </s:c>
      <s:c r="AA29" s="542">
        <s:v>11</s:v>
      </s:c>
      <s:c r="AB29" s="542">
        <s:v>11</s:v>
      </s:c>
      <s:c r="AC29" s="542">
        <s:v>6</s:v>
      </s:c>
      <s:c r="AD29" s="542">
        <s:v>11</s:v>
      </s:c>
      <s:c r="AE29" s="542">
        <s:v>11</s:v>
      </s:c>
      <s:c r="AF29" s="503"/>
      <s:c r="AG29" s="503"/>
      <s:c r="AH29" s="503"/>
      <s:c r="AI29" s="519">
        <s:f validation_="true">COUNTIF(D29:AH29,"&gt;0")</s:f>
        <s:v>26</s:v>
      </s:c>
      <s:c r="AJ29" s="497">
        <s:f validation_="true">SUMIF(D29:AH29,"&gt;0")</s:f>
        <s:v>275</s:v>
      </s:c>
      <s:c r="AK29" s="498">
        <s:f validation_="true">COUNTIF(D29:AH29,"В")</s:f>
        <s:v>2</s:v>
      </s:c>
      <s:c r="AL29" s="498">
        <s:f validation_="true">COUNTIF(E29:AI29,"о")</s:f>
        <s:v>0</s:v>
      </s:c>
      <s:c r="AM29" s="498">
        <s:f validation_="true">COUNTIF(F29:AJ29,"б")</s:f>
        <s:v>0</s:v>
      </s:c>
      <s:c r="AN29" s="499">
        <s:v>0</s:v>
      </s:c>
      <s:c r="AO29" s="500"/>
    </s:row>
    <s:row r="30" spans="1:41" ht="16">
      <s:c r="A30" s="526">
        <s:v>1</s:v>
      </s:c>
      <s:c r="B30" s="527"/>
      <s:c r="C30" s="528"/>
      <s:c r="D30" s="529"/>
      <s:c r="E30" s="503"/>
      <s:c r="F30" s="503"/>
      <s:c r="G30" s="503"/>
      <s:c r="H30" s="503"/>
      <s:c r="I30" s="503"/>
      <s:c r="J30" s="503"/>
      <s:c r="K30" s="503"/>
      <s:c r="L30" s="530"/>
      <s:c r="M30" s="503"/>
      <s:c r="N30" s="503"/>
      <s:c r="O30" s="503"/>
      <s:c r="P30" s="503"/>
      <s:c r="Q30" s="503"/>
      <s:c r="R30" s="503"/>
      <s:c r="S30" s="503"/>
      <s:c r="T30" s="503"/>
      <s:c r="U30" s="531"/>
      <s:c r="V30" s="531"/>
      <s:c r="W30" s="503"/>
      <s:c r="X30" s="503"/>
      <s:c r="Y30" s="503"/>
      <s:c r="Z30" s="503"/>
      <s:c r="AA30" s="503"/>
      <s:c r="AB30" s="503"/>
      <s:c r="AC30" s="503"/>
      <s:c r="AD30" s="503"/>
      <s:c r="AE30" s="503"/>
      <s:c r="AF30" s="503"/>
      <s:c r="AG30" s="503"/>
      <s:c r="AH30" s="503"/>
      <s:c r="AI30" s="532">
        <s:f validation_="true">COUNTIF(D30:AH30, "&gt;0")</s:f>
        <s:v>0</s:v>
      </s:c>
      <s:c r="AJ30" s="512">
        <s:f validation_="true">SUMIF(D30:AH30, "&gt;0")</s:f>
        <s:v>0</s:v>
      </s:c>
      <s:c r="AK30" s="533">
        <s:f validation_="true">COUNTIF(D30:AH30, "В")</s:f>
        <s:v>0</s:v>
      </s:c>
      <s:c r="AL30" s="533">
        <s:f>COUNTIF(E30:AI30, "о")</s:f>
        <s:v>0</s:v>
      </s:c>
      <s:c r="AM30" s="533">
        <s:f>COUNTIF(F30:AJ30, "б")</s:f>
        <s:v>0</s:v>
      </s:c>
      <s:c r="AN30" s="534">
        <s:v>0</s:v>
      </s:c>
    </s:row>
    <s:row r="31" spans="1:41">
      <s:c r="A31" s="535"/>
      <s:c r="B31" s="536" t="s">
        <s:v>117</s:v>
      </s:c>
      <s:c r="C31" s="537"/>
      <s:c r="D31" s="538">
        <s:f>COUNTIF(D11:D30, "&gt;0")</s:f>
        <s:v>1</s:v>
      </s:c>
      <s:c r="E31" s="536">
        <s:f validation_="true">COUNTIF(E11:E30, "&gt;0")</s:f>
        <s:v>1</s:v>
      </s:c>
      <s:c r="F31" s="536">
        <s:f validation_="true">COUNTIF(F11:F30, "&gt;0")</s:f>
        <s:v>1</s:v>
      </s:c>
      <s:c r="G31" s="536">
        <s:f validation_="true">COUNTIF(G11:G30, "&gt;0")</s:f>
        <s:v>1</s:v>
      </s:c>
      <s:c r="H31" s="536">
        <s:f validation_="true">COUNTIF(H11:H30, "&gt;0")</s:f>
        <s:v>1</s:v>
      </s:c>
      <s:c r="I31" s="536">
        <s:f validation_="true">COUNTIF(I11:I30, "&gt;0")</s:f>
        <s:v>1</s:v>
      </s:c>
      <s:c r="J31" s="536">
        <s:f validation_="true">COUNTIF(J11:J30, "&gt;0")</s:f>
        <s:v>1</s:v>
      </s:c>
      <s:c r="K31" s="536">
        <s:f>COUNTIF(K11:K29, "&gt;0")</s:f>
        <s:v>1</s:v>
      </s:c>
      <s:c r="L31" s="536">
        <s:f validation_="true">COUNTIF(L11:L30, "&gt;0")</s:f>
        <s:v>1</s:v>
      </s:c>
      <s:c r="M31" s="536">
        <s:f validation_="true">COUNTIF(M11:M30, "&gt;0")</s:f>
        <s:v>1</s:v>
      </s:c>
      <s:c r="N31" s="536">
        <s:f validation_="true">COUNTIF(N11:N30, "&gt;0")</s:f>
        <s:v>1</s:v>
      </s:c>
      <s:c r="O31" s="536">
        <s:f validation_="true">COUNTIF(O11:O30, "&gt;0")</s:f>
        <s:v>1</s:v>
      </s:c>
      <s:c r="P31" s="536">
        <s:f validation_="true">COUNTIF(P11:P30, "&gt;0")</s:f>
        <s:v>1</s:v>
      </s:c>
      <s:c r="Q31" s="536">
        <s:f validation_="true">COUNTIF(Q11:Q30, "&gt;0")</s:f>
        <s:v>1</s:v>
      </s:c>
      <s:c r="R31" s="536">
        <s:f validation_="true">COUNTIF(R11:R30, "&gt;0")</s:f>
        <s:v>1</s:v>
      </s:c>
      <s:c r="S31" s="536">
        <s:f validation_="true">COUNTIF(S11:S30, "&gt;0")</s:f>
        <s:v>1</s:v>
      </s:c>
      <s:c r="T31" s="536">
        <s:f validation_="true">COUNTIF(T11:T30, "&gt;0")</s:f>
        <s:v>1</s:v>
      </s:c>
      <s:c r="U31" s="536">
        <s:f validation_="true">COUNTIF(U11:U30, "&gt;0")</s:f>
        <s:v>1</s:v>
      </s:c>
      <s:c r="V31" s="536">
        <s:f validation_="true">COUNTIF(V11:V30, "&gt;0")</s:f>
        <s:v>1</s:v>
      </s:c>
      <s:c r="W31" s="536">
        <s:f validation_="true">COUNTIF(W11:W30, "&gt;0")</s:f>
        <s:v>1</s:v>
      </s:c>
      <s:c r="X31" s="536">
        <s:f validation_="true">COUNTIF(X11:X30, "&gt;0")</s:f>
        <s:v>1</s:v>
      </s:c>
      <s:c r="Y31" s="536">
        <s:f validation_="true">COUNTIF(Y11:Y30, "&gt;0")</s:f>
        <s:v>1</s:v>
      </s:c>
      <s:c r="Z31" s="536">
        <s:f validation_="true">COUNTIF(Z11:Z30, "&gt;0")</s:f>
        <s:v>1</s:v>
      </s:c>
      <s:c r="AA31" s="536">
        <s:f validation_="true">COUNTIF(AA11:AA30, "&gt;0")</s:f>
        <s:v>1</s:v>
      </s:c>
      <s:c r="AB31" s="536">
        <s:f validation_="true">COUNTIF(AB11:AB30, "&gt;0")</s:f>
        <s:v>1</s:v>
      </s:c>
      <s:c r="AC31" s="536">
        <s:f validation_="true">COUNTIF(AC11:AC30, "&gt;0")</s:f>
        <s:v>2</s:v>
      </s:c>
      <s:c r="AD31" s="536">
        <s:f validation_="true">COUNTIF(AD11:AD30, "&gt;0")</s:f>
        <s:v>1</s:v>
      </s:c>
      <s:c r="AE31" s="536">
        <s:f validation_="true">COUNTIF(AE11:AE30, "&gt;0")</s:f>
        <s:v>1</s:v>
      </s:c>
      <s:c r="AF31" s="536">
        <s:f validation_="true">COUNTIF(AF11:AF30, "&gt;0")</s:f>
        <s:v>0</s:v>
      </s:c>
      <s:c r="AG31" s="536">
        <s:f validation_="true">COUNTIF(AG11:AG30, "&gt;0")</s:f>
        <s:v>0</s:v>
      </s:c>
      <s:c r="AH31" s="539">
        <s:f validation_="true">COUNTIF(AH11:AH30, "&gt;0")</s:f>
        <s:v>0</s:v>
      </s:c>
      <s:c r="AI31" s="540">
        <s:f>SUM(AI11:AI30)</s:f>
        <s:v>29</s:v>
      </s:c>
      <s:c r="AJ31" s="541">
        <s:f>SUM(AJ11:AJ30)</s:f>
        <s:v>302</s:v>
      </s:c>
      <s:c r="AK31" s="541">
        <s:f>SUM(AK11:AK30)</s:f>
        <s:v>2</s:v>
      </s:c>
      <s:c r="AL31" s="541">
        <s:f validation_="true">SUM(AL11:AL30)</s:f>
        <s:v>0</s:v>
      </s:c>
      <s:c r="AM31" s="541">
        <s:f validation_="true">SUM(AM11:AM30)</s:f>
        <s:v>0</s:v>
      </s:c>
      <s:c r="AN31" s="541">
        <s:f validation_="true">SUM(AN11:AN30)</s:f>
        <s:v>0</s:v>
      </s:c>
    </s:row>
    <s:row r="33" spans="16:16">
      <s:c r="P33" s="3" t="s">
        <s:v>118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Template>Normal.dotm</ep:Template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10</vt:i4>
      </vt:variant>
    </vt:vector>
  </ep:HeadingPairs>
  <ep:TitlesOfParts>
    <vt:vector size="10" baseType="lpstr">
      <vt:lpstr>Ялта, Ленина, 18</vt:lpstr>
      <vt:lpstr>Св. по пок.</vt:lpstr>
      <vt:lpstr>План на день</vt:lpstr>
      <vt:lpstr>Рогалевич И. Е.</vt:lpstr>
      <vt:lpstr>ПК1</vt:lpstr>
      <vt:lpstr>ПК 2</vt:lpstr>
      <vt:lpstr>Доп сотрудник</vt:lpstr>
      <vt:lpstr>Вед-ть ПК1</vt:lpstr>
      <vt:lpstr>Вед-ть Рогалевич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cp:lastModifiedBy>lenadacenko@icloud.com</cp:lastModifiedBy>
  <cp:revision>515</cp:revision>
  <dcterms:modified xsi:type="dcterms:W3CDTF">2025-03-10T14:45:13Z</dcterms:modified>
</cp:coreProperties>
</file>