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8FAE3EB6-85FA-AC4F-83BC-6F244764E91D}" xr6:coauthVersionLast="47" xr6:coauthVersionMax="47" xr10:uidLastSave="{00000000-0000-0000-0000-000000000000}"/>
  <bookViews>
    <workbookView xWindow="0" yWindow="640" windowWidth="25600" windowHeight="16000" firstSheet="4" activeTab="10" xr2:uid="{00000000-000D-0000-FFFF-FFFF00000000}"/>
  </bookViews>
  <sheets>
    <sheet name="Ялта, Ленина, 18" sheetId="1" r:id="rId1"/>
    <sheet name="Конкурс" sheetId="2" r:id="rId2"/>
    <sheet name="Св. по пок." sheetId="3" r:id="rId3"/>
    <sheet name="План на день" sheetId="4" r:id="rId4"/>
    <sheet name="Рогалевич И. Е. " sheetId="5" r:id="rId5"/>
    <sheet name="Уразгильдеева Е. Р. " sheetId="6" r:id="rId6"/>
    <sheet name="Арапова А. В." sheetId="7" r:id="rId7"/>
    <sheet name="Доп сотрудник" sheetId="8" r:id="rId8"/>
    <sheet name="Вед-ть Рогалевич" sheetId="9" r:id="rId9"/>
    <sheet name="Вед-ть Арапова" sheetId="10" r:id="rId10"/>
    <sheet name="Вед-ть Уразгильдеева" sheetId="11" r:id="rId11"/>
    <sheet name="График" sheetId="12" r:id="rId12"/>
  </sheets>
  <externalReferences>
    <externalReference r:id="rId13"/>
  </externalReference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" i="12" l="1"/>
  <c r="AJ31" i="12"/>
  <c r="D60" i="8"/>
  <c r="D59" i="8"/>
  <c r="D4" i="9"/>
  <c r="H8" i="9"/>
  <c r="D4" i="11"/>
  <c r="C8" i="11"/>
  <c r="H4" i="10"/>
  <c r="D4" i="10"/>
  <c r="AN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M30" i="12"/>
  <c r="AL30" i="12"/>
  <c r="AK30" i="12"/>
  <c r="AJ30" i="12"/>
  <c r="AI30" i="12"/>
  <c r="AL29" i="12"/>
  <c r="AK29" i="12"/>
  <c r="AJ29" i="12"/>
  <c r="AI29" i="12"/>
  <c r="AM29" i="12" s="1"/>
  <c r="AK28" i="12"/>
  <c r="AJ28" i="12"/>
  <c r="E16" i="11" s="1"/>
  <c r="AI28" i="12"/>
  <c r="AL27" i="12"/>
  <c r="AK27" i="12"/>
  <c r="AJ27" i="12"/>
  <c r="E16" i="10" s="1"/>
  <c r="G16" i="10" s="1"/>
  <c r="D12" i="10" s="1"/>
  <c r="G4" i="10" s="1"/>
  <c r="AI27" i="12"/>
  <c r="AM27" i="12" s="1"/>
  <c r="AK26" i="12"/>
  <c r="AJ26" i="12"/>
  <c r="AI26" i="12"/>
  <c r="AL25" i="12"/>
  <c r="AK25" i="12"/>
  <c r="AJ25" i="12"/>
  <c r="AI25" i="12"/>
  <c r="AM25" i="12" s="1"/>
  <c r="AI24" i="12"/>
  <c r="AI23" i="12"/>
  <c r="AI22" i="12"/>
  <c r="B7" i="12"/>
  <c r="N25" i="11"/>
  <c r="J16" i="11"/>
  <c r="L12" i="11"/>
  <c r="L4" i="11"/>
  <c r="J4" i="11"/>
  <c r="F4" i="11"/>
  <c r="A4" i="11"/>
  <c r="B24" i="11" s="1"/>
  <c r="B25" i="11" s="1"/>
  <c r="D2" i="11"/>
  <c r="A2" i="11"/>
  <c r="C24" i="11" s="1"/>
  <c r="J24" i="11" s="1"/>
  <c r="A1" i="11"/>
  <c r="B24" i="10"/>
  <c r="B25" i="10" s="1"/>
  <c r="J16" i="10"/>
  <c r="B16" i="10"/>
  <c r="L12" i="10"/>
  <c r="L4" i="10"/>
  <c r="J4" i="10"/>
  <c r="F4" i="10"/>
  <c r="A4" i="10"/>
  <c r="D2" i="10"/>
  <c r="A2" i="10"/>
  <c r="C24" i="10" s="1"/>
  <c r="J24" i="10" s="1"/>
  <c r="A1" i="10"/>
  <c r="N24" i="9"/>
  <c r="G24" i="9"/>
  <c r="F4" i="9" s="1"/>
  <c r="C24" i="9"/>
  <c r="C23" i="9"/>
  <c r="J23" i="9" s="1"/>
  <c r="B23" i="9"/>
  <c r="I23" i="9" s="1"/>
  <c r="G16" i="9"/>
  <c r="J15" i="9"/>
  <c r="E15" i="9"/>
  <c r="C15" i="9"/>
  <c r="B15" i="9"/>
  <c r="L11" i="9"/>
  <c r="L4" i="9"/>
  <c r="J4" i="9"/>
  <c r="A4" i="9"/>
  <c r="D2" i="9"/>
  <c r="A2" i="9"/>
  <c r="A1" i="9"/>
  <c r="N57" i="8"/>
  <c r="M57" i="8"/>
  <c r="L57" i="8"/>
  <c r="K57" i="8"/>
  <c r="J57" i="8"/>
  <c r="I57" i="8"/>
  <c r="H57" i="8"/>
  <c r="J10" i="8" s="1"/>
  <c r="G57" i="8"/>
  <c r="F57" i="8"/>
  <c r="J11" i="8" s="1"/>
  <c r="E57" i="8"/>
  <c r="D57" i="8"/>
  <c r="U56" i="8"/>
  <c r="T56" i="8"/>
  <c r="S56" i="8"/>
  <c r="N56" i="8"/>
  <c r="J56" i="8"/>
  <c r="H56" i="8"/>
  <c r="F56" i="8"/>
  <c r="U55" i="8"/>
  <c r="T55" i="8"/>
  <c r="S55" i="8"/>
  <c r="N55" i="8"/>
  <c r="J55" i="8"/>
  <c r="H55" i="8"/>
  <c r="F55" i="8"/>
  <c r="U54" i="8"/>
  <c r="T54" i="8"/>
  <c r="S54" i="8"/>
  <c r="N54" i="8"/>
  <c r="J54" i="8"/>
  <c r="H54" i="8"/>
  <c r="F54" i="8"/>
  <c r="U53" i="8"/>
  <c r="T53" i="8"/>
  <c r="S53" i="8"/>
  <c r="N53" i="8"/>
  <c r="J53" i="8"/>
  <c r="H53" i="8"/>
  <c r="F53" i="8"/>
  <c r="U52" i="8"/>
  <c r="T52" i="8"/>
  <c r="S52" i="8"/>
  <c r="N52" i="8"/>
  <c r="J52" i="8"/>
  <c r="H52" i="8"/>
  <c r="F52" i="8"/>
  <c r="U51" i="8"/>
  <c r="T51" i="8"/>
  <c r="S51" i="8"/>
  <c r="N51" i="8"/>
  <c r="J51" i="8"/>
  <c r="H51" i="8"/>
  <c r="F51" i="8"/>
  <c r="U50" i="8"/>
  <c r="T50" i="8"/>
  <c r="S50" i="8"/>
  <c r="N50" i="8"/>
  <c r="J50" i="8"/>
  <c r="H50" i="8"/>
  <c r="F50" i="8"/>
  <c r="N49" i="8"/>
  <c r="J49" i="8"/>
  <c r="H49" i="8"/>
  <c r="F49" i="8"/>
  <c r="N48" i="8"/>
  <c r="J48" i="8"/>
  <c r="H48" i="8"/>
  <c r="F48" i="8"/>
  <c r="N47" i="8"/>
  <c r="J47" i="8"/>
  <c r="H47" i="8"/>
  <c r="F47" i="8"/>
  <c r="N46" i="8"/>
  <c r="J46" i="8"/>
  <c r="H46" i="8"/>
  <c r="F46" i="8"/>
  <c r="N45" i="8"/>
  <c r="J45" i="8"/>
  <c r="H45" i="8"/>
  <c r="F45" i="8"/>
  <c r="N44" i="8"/>
  <c r="J44" i="8"/>
  <c r="H44" i="8"/>
  <c r="F44" i="8"/>
  <c r="N43" i="8"/>
  <c r="J43" i="8"/>
  <c r="H43" i="8"/>
  <c r="F43" i="8"/>
  <c r="N42" i="8"/>
  <c r="J42" i="8"/>
  <c r="H42" i="8"/>
  <c r="F42" i="8"/>
  <c r="N41" i="8"/>
  <c r="J41" i="8"/>
  <c r="H41" i="8"/>
  <c r="F41" i="8"/>
  <c r="N40" i="8"/>
  <c r="J40" i="8"/>
  <c r="H40" i="8"/>
  <c r="F40" i="8"/>
  <c r="N39" i="8"/>
  <c r="J39" i="8"/>
  <c r="H39" i="8"/>
  <c r="F39" i="8"/>
  <c r="N38" i="8"/>
  <c r="J38" i="8"/>
  <c r="H38" i="8"/>
  <c r="F38" i="8"/>
  <c r="N37" i="8"/>
  <c r="J37" i="8"/>
  <c r="H37" i="8"/>
  <c r="F37" i="8"/>
  <c r="N36" i="8"/>
  <c r="J36" i="8"/>
  <c r="H36" i="8"/>
  <c r="F36" i="8"/>
  <c r="N35" i="8"/>
  <c r="J35" i="8"/>
  <c r="H35" i="8"/>
  <c r="F35" i="8"/>
  <c r="N34" i="8"/>
  <c r="J34" i="8"/>
  <c r="H34" i="8"/>
  <c r="F34" i="8"/>
  <c r="N33" i="8"/>
  <c r="J33" i="8"/>
  <c r="H33" i="8"/>
  <c r="F33" i="8"/>
  <c r="N32" i="8"/>
  <c r="J32" i="8"/>
  <c r="H32" i="8"/>
  <c r="F32" i="8"/>
  <c r="N31" i="8"/>
  <c r="J31" i="8"/>
  <c r="H31" i="8"/>
  <c r="F31" i="8"/>
  <c r="N30" i="8"/>
  <c r="J30" i="8"/>
  <c r="H30" i="8"/>
  <c r="F30" i="8"/>
  <c r="N29" i="8"/>
  <c r="J29" i="8"/>
  <c r="H29" i="8"/>
  <c r="F29" i="8"/>
  <c r="N28" i="8"/>
  <c r="J28" i="8"/>
  <c r="H28" i="8"/>
  <c r="F28" i="8"/>
  <c r="U27" i="8"/>
  <c r="T27" i="8"/>
  <c r="S27" i="8"/>
  <c r="N27" i="8"/>
  <c r="J27" i="8"/>
  <c r="H27" i="8"/>
  <c r="F27" i="8"/>
  <c r="T26" i="8"/>
  <c r="S26" i="8"/>
  <c r="N26" i="8"/>
  <c r="J26" i="8"/>
  <c r="H26" i="8"/>
  <c r="F26" i="8"/>
  <c r="U25" i="8"/>
  <c r="T25" i="8"/>
  <c r="S25" i="8"/>
  <c r="N25" i="8"/>
  <c r="J25" i="8"/>
  <c r="H25" i="8"/>
  <c r="F25" i="8"/>
  <c r="J20" i="8"/>
  <c r="I20" i="8"/>
  <c r="P19" i="8"/>
  <c r="Q19" i="8" s="1"/>
  <c r="N19" i="8"/>
  <c r="L19" i="8"/>
  <c r="M19" i="8" s="1"/>
  <c r="K19" i="8"/>
  <c r="T18" i="8"/>
  <c r="P18" i="8"/>
  <c r="Q18" i="8" s="1"/>
  <c r="N18" i="8"/>
  <c r="M18" i="8"/>
  <c r="L18" i="8"/>
  <c r="K18" i="8"/>
  <c r="J17" i="8"/>
  <c r="L15" i="8"/>
  <c r="P15" i="8" s="1"/>
  <c r="Q15" i="8" s="1"/>
  <c r="J15" i="8"/>
  <c r="I14" i="8"/>
  <c r="J13" i="8"/>
  <c r="W12" i="8"/>
  <c r="T12" i="8"/>
  <c r="K12" i="8"/>
  <c r="J12" i="8"/>
  <c r="I12" i="8"/>
  <c r="I11" i="8"/>
  <c r="K11" i="8" s="1"/>
  <c r="V10" i="8"/>
  <c r="O10" i="8"/>
  <c r="O9" i="8"/>
  <c r="J9" i="8"/>
  <c r="J8" i="8"/>
  <c r="B1" i="8"/>
  <c r="N57" i="7"/>
  <c r="J20" i="7" s="1"/>
  <c r="K20" i="7" s="1"/>
  <c r="M57" i="7"/>
  <c r="W12" i="7" s="1"/>
  <c r="L57" i="7"/>
  <c r="K57" i="7"/>
  <c r="I57" i="7"/>
  <c r="G57" i="7"/>
  <c r="F57" i="7"/>
  <c r="E57" i="7"/>
  <c r="J57" i="7" s="1"/>
  <c r="J12" i="7" s="1"/>
  <c r="K12" i="7" s="1"/>
  <c r="D57" i="7"/>
  <c r="U56" i="7"/>
  <c r="T56" i="7"/>
  <c r="S56" i="7"/>
  <c r="N56" i="7"/>
  <c r="J56" i="7"/>
  <c r="H56" i="7"/>
  <c r="F56" i="7"/>
  <c r="U55" i="7"/>
  <c r="T55" i="7"/>
  <c r="S55" i="7"/>
  <c r="N55" i="7"/>
  <c r="J55" i="7"/>
  <c r="H55" i="7"/>
  <c r="F55" i="7"/>
  <c r="U54" i="7"/>
  <c r="T54" i="7"/>
  <c r="S54" i="7"/>
  <c r="N54" i="7"/>
  <c r="J54" i="7"/>
  <c r="H54" i="7"/>
  <c r="F54" i="7"/>
  <c r="U53" i="7"/>
  <c r="T53" i="7"/>
  <c r="S53" i="7"/>
  <c r="N53" i="7"/>
  <c r="J53" i="7"/>
  <c r="H53" i="7"/>
  <c r="F53" i="7"/>
  <c r="U52" i="7"/>
  <c r="T52" i="7"/>
  <c r="S52" i="7"/>
  <c r="N52" i="7"/>
  <c r="J52" i="7"/>
  <c r="H52" i="7"/>
  <c r="F52" i="7"/>
  <c r="U51" i="7"/>
  <c r="T51" i="7"/>
  <c r="S51" i="7"/>
  <c r="N51" i="7"/>
  <c r="J51" i="7"/>
  <c r="H51" i="7"/>
  <c r="F51" i="7"/>
  <c r="U50" i="7"/>
  <c r="T50" i="7"/>
  <c r="S50" i="7"/>
  <c r="N50" i="7"/>
  <c r="J50" i="7"/>
  <c r="H50" i="7"/>
  <c r="F50" i="7"/>
  <c r="U49" i="7"/>
  <c r="T49" i="7"/>
  <c r="S49" i="7"/>
  <c r="N49" i="7"/>
  <c r="J49" i="7"/>
  <c r="H49" i="7"/>
  <c r="F49" i="7"/>
  <c r="U48" i="7"/>
  <c r="T48" i="7"/>
  <c r="S48" i="7"/>
  <c r="N48" i="7"/>
  <c r="J48" i="7"/>
  <c r="H48" i="7"/>
  <c r="F48" i="7"/>
  <c r="U47" i="7"/>
  <c r="T47" i="7"/>
  <c r="S47" i="7"/>
  <c r="N47" i="7"/>
  <c r="J47" i="7"/>
  <c r="H47" i="7"/>
  <c r="F47" i="7"/>
  <c r="U46" i="7"/>
  <c r="T46" i="7"/>
  <c r="S46" i="7"/>
  <c r="N46" i="7"/>
  <c r="J46" i="7"/>
  <c r="H46" i="7"/>
  <c r="F46" i="7"/>
  <c r="U45" i="7"/>
  <c r="T45" i="7"/>
  <c r="S45" i="7"/>
  <c r="N45" i="7"/>
  <c r="J45" i="7"/>
  <c r="H45" i="7"/>
  <c r="F45" i="7"/>
  <c r="U44" i="7"/>
  <c r="T44" i="7"/>
  <c r="S44" i="7"/>
  <c r="N44" i="7"/>
  <c r="J44" i="7"/>
  <c r="H44" i="7"/>
  <c r="F44" i="7"/>
  <c r="N43" i="7"/>
  <c r="J43" i="7"/>
  <c r="H43" i="7"/>
  <c r="F43" i="7"/>
  <c r="T42" i="7"/>
  <c r="S42" i="7"/>
  <c r="N42" i="7"/>
  <c r="J42" i="7"/>
  <c r="H42" i="7"/>
  <c r="F42" i="7"/>
  <c r="U41" i="7"/>
  <c r="T41" i="7"/>
  <c r="S41" i="7"/>
  <c r="N41" i="7"/>
  <c r="J41" i="7"/>
  <c r="H41" i="7"/>
  <c r="F41" i="7"/>
  <c r="T40" i="7"/>
  <c r="S40" i="7"/>
  <c r="N40" i="7"/>
  <c r="J40" i="7"/>
  <c r="H40" i="7"/>
  <c r="F40" i="7"/>
  <c r="N39" i="7"/>
  <c r="J39" i="7"/>
  <c r="H39" i="7"/>
  <c r="F39" i="7"/>
  <c r="U38" i="7"/>
  <c r="T38" i="7"/>
  <c r="S38" i="7"/>
  <c r="N38" i="7"/>
  <c r="J38" i="7"/>
  <c r="H38" i="7"/>
  <c r="F38" i="7"/>
  <c r="U37" i="7"/>
  <c r="T37" i="7"/>
  <c r="S37" i="7"/>
  <c r="N37" i="7"/>
  <c r="J37" i="7"/>
  <c r="H37" i="7"/>
  <c r="F37" i="7"/>
  <c r="N36" i="7"/>
  <c r="J36" i="7"/>
  <c r="H36" i="7"/>
  <c r="F36" i="7"/>
  <c r="T35" i="7"/>
  <c r="N35" i="7"/>
  <c r="J35" i="7"/>
  <c r="H35" i="7"/>
  <c r="F35" i="7"/>
  <c r="T34" i="7"/>
  <c r="S34" i="7"/>
  <c r="N34" i="7"/>
  <c r="J34" i="7"/>
  <c r="H34" i="7"/>
  <c r="F34" i="7"/>
  <c r="U33" i="7"/>
  <c r="T33" i="7"/>
  <c r="S33" i="7"/>
  <c r="N33" i="7"/>
  <c r="J33" i="7"/>
  <c r="H33" i="7"/>
  <c r="F33" i="7"/>
  <c r="T32" i="7"/>
  <c r="S32" i="7"/>
  <c r="N32" i="7"/>
  <c r="J32" i="7"/>
  <c r="H32" i="7"/>
  <c r="F32" i="7"/>
  <c r="N31" i="7"/>
  <c r="J31" i="7"/>
  <c r="H31" i="7"/>
  <c r="F31" i="7"/>
  <c r="U30" i="7"/>
  <c r="T30" i="7"/>
  <c r="S30" i="7"/>
  <c r="N30" i="7"/>
  <c r="J30" i="7"/>
  <c r="H30" i="7"/>
  <c r="F30" i="7"/>
  <c r="U29" i="7"/>
  <c r="T29" i="7"/>
  <c r="S29" i="7"/>
  <c r="N29" i="7"/>
  <c r="J29" i="7"/>
  <c r="H29" i="7"/>
  <c r="F29" i="7"/>
  <c r="N28" i="7"/>
  <c r="J28" i="7"/>
  <c r="H28" i="7"/>
  <c r="F28" i="7"/>
  <c r="U27" i="7"/>
  <c r="T27" i="7"/>
  <c r="S27" i="7"/>
  <c r="N27" i="7"/>
  <c r="J27" i="7"/>
  <c r="H27" i="7"/>
  <c r="F27" i="7"/>
  <c r="N26" i="7"/>
  <c r="J26" i="7"/>
  <c r="H26" i="7"/>
  <c r="F26" i="7"/>
  <c r="U25" i="7"/>
  <c r="T25" i="7"/>
  <c r="S25" i="7"/>
  <c r="N25" i="7"/>
  <c r="J25" i="7"/>
  <c r="H25" i="7"/>
  <c r="F25" i="7"/>
  <c r="D25" i="7"/>
  <c r="I20" i="7"/>
  <c r="N19" i="7"/>
  <c r="L19" i="7"/>
  <c r="K19" i="7"/>
  <c r="T18" i="7"/>
  <c r="N18" i="7"/>
  <c r="L18" i="7"/>
  <c r="P18" i="7" s="1"/>
  <c r="Q18" i="7" s="1"/>
  <c r="K18" i="7"/>
  <c r="J17" i="7"/>
  <c r="I14" i="7"/>
  <c r="K14" i="7" s="1"/>
  <c r="J13" i="7"/>
  <c r="T12" i="7"/>
  <c r="Q12" i="7"/>
  <c r="N12" i="7"/>
  <c r="L12" i="7"/>
  <c r="P12" i="7" s="1"/>
  <c r="I12" i="7"/>
  <c r="J11" i="7"/>
  <c r="I11" i="7"/>
  <c r="I10" i="7" s="1"/>
  <c r="V10" i="7"/>
  <c r="O10" i="7"/>
  <c r="O9" i="7"/>
  <c r="J9" i="7"/>
  <c r="J8" i="7"/>
  <c r="B1" i="7"/>
  <c r="N57" i="6"/>
  <c r="J20" i="6" s="1"/>
  <c r="M57" i="6"/>
  <c r="L57" i="6"/>
  <c r="K57" i="6"/>
  <c r="T18" i="6" s="1"/>
  <c r="J57" i="6"/>
  <c r="I57" i="6"/>
  <c r="G57" i="6"/>
  <c r="E57" i="6"/>
  <c r="D57" i="6"/>
  <c r="U56" i="6"/>
  <c r="T56" i="6"/>
  <c r="S56" i="6"/>
  <c r="N56" i="6"/>
  <c r="J56" i="6"/>
  <c r="H56" i="6"/>
  <c r="F56" i="6"/>
  <c r="U55" i="6"/>
  <c r="T55" i="6"/>
  <c r="S55" i="6"/>
  <c r="N55" i="6"/>
  <c r="J55" i="6"/>
  <c r="H55" i="6"/>
  <c r="F55" i="6"/>
  <c r="U54" i="6"/>
  <c r="T54" i="6"/>
  <c r="S54" i="6"/>
  <c r="N54" i="6"/>
  <c r="J54" i="6"/>
  <c r="H54" i="6"/>
  <c r="F54" i="6"/>
  <c r="U53" i="6"/>
  <c r="T53" i="6"/>
  <c r="S53" i="6"/>
  <c r="N53" i="6"/>
  <c r="J53" i="6"/>
  <c r="H53" i="6"/>
  <c r="F53" i="6"/>
  <c r="U52" i="6"/>
  <c r="T52" i="6"/>
  <c r="S52" i="6"/>
  <c r="N52" i="6"/>
  <c r="J52" i="6"/>
  <c r="H52" i="6"/>
  <c r="F52" i="6"/>
  <c r="U51" i="6"/>
  <c r="T51" i="6"/>
  <c r="S51" i="6"/>
  <c r="N51" i="6"/>
  <c r="J51" i="6"/>
  <c r="H51" i="6"/>
  <c r="F51" i="6"/>
  <c r="U50" i="6"/>
  <c r="T50" i="6"/>
  <c r="S50" i="6"/>
  <c r="N50" i="6"/>
  <c r="J50" i="6"/>
  <c r="H50" i="6"/>
  <c r="F50" i="6"/>
  <c r="U49" i="6"/>
  <c r="T49" i="6"/>
  <c r="S49" i="6"/>
  <c r="N49" i="6"/>
  <c r="J49" i="6"/>
  <c r="H49" i="6"/>
  <c r="F49" i="6"/>
  <c r="U48" i="6"/>
  <c r="T48" i="6"/>
  <c r="S48" i="6"/>
  <c r="N48" i="6"/>
  <c r="J48" i="6"/>
  <c r="H48" i="6"/>
  <c r="F48" i="6"/>
  <c r="U47" i="6"/>
  <c r="T47" i="6"/>
  <c r="S47" i="6"/>
  <c r="N47" i="6"/>
  <c r="J47" i="6"/>
  <c r="H47" i="6"/>
  <c r="F47" i="6"/>
  <c r="U46" i="6"/>
  <c r="T46" i="6"/>
  <c r="S46" i="6"/>
  <c r="N46" i="6"/>
  <c r="J46" i="6"/>
  <c r="H46" i="6"/>
  <c r="F46" i="6"/>
  <c r="U45" i="6"/>
  <c r="T45" i="6"/>
  <c r="S45" i="6"/>
  <c r="N45" i="6"/>
  <c r="J45" i="6"/>
  <c r="H45" i="6"/>
  <c r="F45" i="6"/>
  <c r="U44" i="6"/>
  <c r="T44" i="6"/>
  <c r="S44" i="6"/>
  <c r="N44" i="6"/>
  <c r="J44" i="6"/>
  <c r="H44" i="6"/>
  <c r="F44" i="6"/>
  <c r="U43" i="6"/>
  <c r="T43" i="6"/>
  <c r="S43" i="6"/>
  <c r="N43" i="6"/>
  <c r="J43" i="6"/>
  <c r="H43" i="6"/>
  <c r="F43" i="6"/>
  <c r="U42" i="6"/>
  <c r="T42" i="6"/>
  <c r="S42" i="6"/>
  <c r="N42" i="6"/>
  <c r="J42" i="6"/>
  <c r="H42" i="6"/>
  <c r="F42" i="6"/>
  <c r="U41" i="6"/>
  <c r="T41" i="6"/>
  <c r="S41" i="6"/>
  <c r="N41" i="6"/>
  <c r="J41" i="6"/>
  <c r="H41" i="6"/>
  <c r="F41" i="6"/>
  <c r="U40" i="6"/>
  <c r="T40" i="6"/>
  <c r="S40" i="6"/>
  <c r="N40" i="6"/>
  <c r="J40" i="6"/>
  <c r="H40" i="6"/>
  <c r="F40" i="6"/>
  <c r="U39" i="6"/>
  <c r="T39" i="6"/>
  <c r="S39" i="6"/>
  <c r="N39" i="6"/>
  <c r="J39" i="6"/>
  <c r="H39" i="6"/>
  <c r="F39" i="6"/>
  <c r="U38" i="6"/>
  <c r="T38" i="6"/>
  <c r="S38" i="6"/>
  <c r="N38" i="6"/>
  <c r="J38" i="6"/>
  <c r="H38" i="6"/>
  <c r="F38" i="6"/>
  <c r="N37" i="6"/>
  <c r="J37" i="6"/>
  <c r="H37" i="6"/>
  <c r="F37" i="6"/>
  <c r="T36" i="6"/>
  <c r="S36" i="6"/>
  <c r="N36" i="6"/>
  <c r="J36" i="6"/>
  <c r="H36" i="6"/>
  <c r="F36" i="6"/>
  <c r="U35" i="6"/>
  <c r="S35" i="6"/>
  <c r="N35" i="6"/>
  <c r="J35" i="6"/>
  <c r="H35" i="6"/>
  <c r="F35" i="6"/>
  <c r="N34" i="6"/>
  <c r="J34" i="6"/>
  <c r="H34" i="6"/>
  <c r="F34" i="6"/>
  <c r="U33" i="6"/>
  <c r="T33" i="6"/>
  <c r="S33" i="6"/>
  <c r="N33" i="6"/>
  <c r="J33" i="6"/>
  <c r="H33" i="6"/>
  <c r="F33" i="6"/>
  <c r="U32" i="6"/>
  <c r="T32" i="6"/>
  <c r="S32" i="6"/>
  <c r="N32" i="6"/>
  <c r="J32" i="6"/>
  <c r="H32" i="6"/>
  <c r="F32" i="6"/>
  <c r="D32" i="6"/>
  <c r="N31" i="6"/>
  <c r="J31" i="6"/>
  <c r="H31" i="6"/>
  <c r="F31" i="6"/>
  <c r="U30" i="6"/>
  <c r="T30" i="6"/>
  <c r="S30" i="6"/>
  <c r="N30" i="6"/>
  <c r="J30" i="6"/>
  <c r="H30" i="6"/>
  <c r="F30" i="6"/>
  <c r="U29" i="6"/>
  <c r="T29" i="6"/>
  <c r="S29" i="6"/>
  <c r="N29" i="6"/>
  <c r="J29" i="6"/>
  <c r="H29" i="6"/>
  <c r="F29" i="6"/>
  <c r="U28" i="6"/>
  <c r="T28" i="6"/>
  <c r="S28" i="6"/>
  <c r="N28" i="6"/>
  <c r="J28" i="6"/>
  <c r="H28" i="6"/>
  <c r="F28" i="6"/>
  <c r="U27" i="6"/>
  <c r="T27" i="6"/>
  <c r="S27" i="6"/>
  <c r="N27" i="6"/>
  <c r="J27" i="6"/>
  <c r="H27" i="6"/>
  <c r="F27" i="6"/>
  <c r="T26" i="6"/>
  <c r="S26" i="6"/>
  <c r="N26" i="6"/>
  <c r="J26" i="6"/>
  <c r="H26" i="6"/>
  <c r="F26" i="6"/>
  <c r="U25" i="6"/>
  <c r="T25" i="6"/>
  <c r="S25" i="6"/>
  <c r="N25" i="6"/>
  <c r="J25" i="6"/>
  <c r="H25" i="6"/>
  <c r="F25" i="6"/>
  <c r="I20" i="6"/>
  <c r="N19" i="6"/>
  <c r="L19" i="6"/>
  <c r="K19" i="6"/>
  <c r="N18" i="6"/>
  <c r="L18" i="6"/>
  <c r="K18" i="6"/>
  <c r="J17" i="6"/>
  <c r="I14" i="6"/>
  <c r="L14" i="6" s="1"/>
  <c r="M14" i="6" s="1"/>
  <c r="J13" i="6"/>
  <c r="W12" i="6"/>
  <c r="T12" i="6"/>
  <c r="P12" i="6"/>
  <c r="Q12" i="6" s="1"/>
  <c r="L12" i="6"/>
  <c r="J12" i="6"/>
  <c r="I12" i="6"/>
  <c r="I11" i="6"/>
  <c r="V10" i="6"/>
  <c r="O10" i="6"/>
  <c r="I10" i="6"/>
  <c r="O9" i="6"/>
  <c r="J9" i="6"/>
  <c r="J3" i="6"/>
  <c r="B1" i="6"/>
  <c r="M57" i="5"/>
  <c r="L57" i="5"/>
  <c r="T12" i="5" s="1"/>
  <c r="K57" i="5"/>
  <c r="I57" i="5"/>
  <c r="G57" i="5"/>
  <c r="E57" i="5"/>
  <c r="U56" i="5"/>
  <c r="T56" i="5"/>
  <c r="S56" i="5"/>
  <c r="N56" i="5"/>
  <c r="J56" i="5"/>
  <c r="H56" i="5"/>
  <c r="F56" i="5"/>
  <c r="U55" i="5"/>
  <c r="T55" i="5"/>
  <c r="S55" i="5"/>
  <c r="N55" i="5"/>
  <c r="J55" i="5"/>
  <c r="H55" i="5"/>
  <c r="F55" i="5"/>
  <c r="U54" i="5"/>
  <c r="T54" i="5"/>
  <c r="S54" i="5"/>
  <c r="N54" i="5"/>
  <c r="J54" i="5"/>
  <c r="H54" i="5"/>
  <c r="F54" i="5"/>
  <c r="U53" i="5"/>
  <c r="T53" i="5"/>
  <c r="S53" i="5"/>
  <c r="N53" i="5"/>
  <c r="J53" i="5"/>
  <c r="H53" i="5"/>
  <c r="F53" i="5"/>
  <c r="U52" i="5"/>
  <c r="T52" i="5"/>
  <c r="S52" i="5"/>
  <c r="N52" i="5"/>
  <c r="J52" i="5"/>
  <c r="H52" i="5"/>
  <c r="F52" i="5"/>
  <c r="U51" i="5"/>
  <c r="T51" i="5"/>
  <c r="S51" i="5"/>
  <c r="N51" i="5"/>
  <c r="J51" i="5"/>
  <c r="H51" i="5"/>
  <c r="F51" i="5"/>
  <c r="U50" i="5"/>
  <c r="T50" i="5"/>
  <c r="S50" i="5"/>
  <c r="N50" i="5"/>
  <c r="J50" i="5"/>
  <c r="H50" i="5"/>
  <c r="F50" i="5"/>
  <c r="T49" i="5"/>
  <c r="S49" i="5"/>
  <c r="N49" i="5"/>
  <c r="J49" i="5"/>
  <c r="H49" i="5"/>
  <c r="F49" i="5"/>
  <c r="D49" i="5"/>
  <c r="N48" i="5"/>
  <c r="J48" i="5"/>
  <c r="H48" i="5"/>
  <c r="F48" i="5"/>
  <c r="N47" i="5"/>
  <c r="J47" i="5"/>
  <c r="H47" i="5"/>
  <c r="F47" i="5"/>
  <c r="N46" i="5"/>
  <c r="J46" i="5"/>
  <c r="H46" i="5"/>
  <c r="F46" i="5"/>
  <c r="U45" i="5"/>
  <c r="T45" i="5"/>
  <c r="S45" i="5"/>
  <c r="N45" i="5"/>
  <c r="J45" i="5"/>
  <c r="H45" i="5"/>
  <c r="F45" i="5"/>
  <c r="T44" i="5"/>
  <c r="S44" i="5"/>
  <c r="N44" i="5"/>
  <c r="J44" i="5"/>
  <c r="H44" i="5"/>
  <c r="F44" i="5"/>
  <c r="N43" i="5"/>
  <c r="J43" i="5"/>
  <c r="H43" i="5"/>
  <c r="F43" i="5"/>
  <c r="N42" i="5"/>
  <c r="J42" i="5"/>
  <c r="H42" i="5"/>
  <c r="F42" i="5"/>
  <c r="U41" i="5"/>
  <c r="T41" i="5"/>
  <c r="S41" i="5"/>
  <c r="N41" i="5"/>
  <c r="J41" i="5"/>
  <c r="H41" i="5"/>
  <c r="F41" i="5"/>
  <c r="D41" i="5"/>
  <c r="T40" i="5"/>
  <c r="S40" i="5"/>
  <c r="N40" i="5"/>
  <c r="J40" i="5"/>
  <c r="H40" i="5"/>
  <c r="F40" i="5"/>
  <c r="T39" i="5"/>
  <c r="S39" i="5"/>
  <c r="N39" i="5"/>
  <c r="J39" i="5"/>
  <c r="H39" i="5"/>
  <c r="F39" i="5"/>
  <c r="T38" i="5"/>
  <c r="S38" i="5"/>
  <c r="N38" i="5"/>
  <c r="J38" i="5"/>
  <c r="H38" i="5"/>
  <c r="F38" i="5"/>
  <c r="N37" i="5"/>
  <c r="J37" i="5"/>
  <c r="H37" i="5"/>
  <c r="F37" i="5"/>
  <c r="T36" i="5"/>
  <c r="S36" i="5"/>
  <c r="N36" i="5"/>
  <c r="J36" i="5"/>
  <c r="H36" i="5"/>
  <c r="F36" i="5"/>
  <c r="T35" i="5"/>
  <c r="S35" i="5"/>
  <c r="N35" i="5"/>
  <c r="J35" i="5"/>
  <c r="H35" i="5"/>
  <c r="F35" i="5"/>
  <c r="T34" i="5"/>
  <c r="S34" i="5"/>
  <c r="N34" i="5"/>
  <c r="J34" i="5"/>
  <c r="H34" i="5"/>
  <c r="F34" i="5"/>
  <c r="U33" i="5"/>
  <c r="T33" i="5"/>
  <c r="S33" i="5"/>
  <c r="N33" i="5"/>
  <c r="J33" i="5"/>
  <c r="H33" i="5"/>
  <c r="F33" i="5"/>
  <c r="U32" i="5"/>
  <c r="T32" i="5"/>
  <c r="N32" i="5"/>
  <c r="J32" i="5"/>
  <c r="D32" i="5"/>
  <c r="U31" i="5"/>
  <c r="T31" i="5"/>
  <c r="S31" i="5"/>
  <c r="N31" i="5"/>
  <c r="J31" i="5"/>
  <c r="H31" i="5"/>
  <c r="F31" i="5"/>
  <c r="U30" i="5"/>
  <c r="T30" i="5"/>
  <c r="S30" i="5"/>
  <c r="N30" i="5"/>
  <c r="J30" i="5"/>
  <c r="H30" i="5"/>
  <c r="F30" i="5"/>
  <c r="T29" i="5"/>
  <c r="S29" i="5"/>
  <c r="N29" i="5"/>
  <c r="J29" i="5"/>
  <c r="H29" i="5"/>
  <c r="F29" i="5"/>
  <c r="T28" i="5"/>
  <c r="S28" i="5"/>
  <c r="N28" i="5"/>
  <c r="J28" i="5"/>
  <c r="F28" i="5"/>
  <c r="D28" i="5"/>
  <c r="H28" i="5" s="1"/>
  <c r="T27" i="5"/>
  <c r="S27" i="5"/>
  <c r="N27" i="5"/>
  <c r="J27" i="5"/>
  <c r="H27" i="5"/>
  <c r="T26" i="5"/>
  <c r="S26" i="5"/>
  <c r="N26" i="5"/>
  <c r="J26" i="5"/>
  <c r="D26" i="5"/>
  <c r="H26" i="5" s="1"/>
  <c r="U25" i="5"/>
  <c r="T25" i="5"/>
  <c r="S25" i="5"/>
  <c r="N25" i="5"/>
  <c r="J25" i="5"/>
  <c r="H25" i="5"/>
  <c r="F25" i="5"/>
  <c r="D25" i="5"/>
  <c r="D57" i="5" s="1"/>
  <c r="I20" i="5"/>
  <c r="P19" i="5"/>
  <c r="Q19" i="5" s="1"/>
  <c r="N19" i="5"/>
  <c r="M19" i="5"/>
  <c r="L19" i="5"/>
  <c r="K19" i="5"/>
  <c r="T18" i="5"/>
  <c r="H13" i="3" s="1"/>
  <c r="P18" i="5"/>
  <c r="Q18" i="5" s="1"/>
  <c r="N18" i="5"/>
  <c r="M18" i="5"/>
  <c r="L18" i="5"/>
  <c r="K18" i="5"/>
  <c r="I14" i="5"/>
  <c r="K14" i="5" s="1"/>
  <c r="W12" i="5"/>
  <c r="I12" i="5"/>
  <c r="I11" i="5"/>
  <c r="V10" i="5"/>
  <c r="O10" i="5"/>
  <c r="O9" i="5"/>
  <c r="J9" i="5"/>
  <c r="J3" i="5"/>
  <c r="B1" i="5"/>
  <c r="A10" i="4"/>
  <c r="D7" i="4"/>
  <c r="D5" i="4"/>
  <c r="D3" i="4" s="1"/>
  <c r="D4" i="4"/>
  <c r="D2" i="4" s="1"/>
  <c r="M16" i="3"/>
  <c r="O15" i="3"/>
  <c r="N15" i="3"/>
  <c r="M15" i="3"/>
  <c r="K15" i="3"/>
  <c r="H15" i="3"/>
  <c r="E15" i="3"/>
  <c r="A15" i="3"/>
  <c r="O14" i="3"/>
  <c r="N14" i="3"/>
  <c r="M14" i="3"/>
  <c r="K14" i="3"/>
  <c r="H14" i="3"/>
  <c r="O13" i="3"/>
  <c r="N13" i="3"/>
  <c r="M13" i="3"/>
  <c r="K13" i="3"/>
  <c r="O12" i="3"/>
  <c r="N12" i="3"/>
  <c r="M12" i="3"/>
  <c r="K12" i="3"/>
  <c r="F12" i="3"/>
  <c r="O11" i="3"/>
  <c r="N11" i="3"/>
  <c r="M11" i="3"/>
  <c r="N10" i="3"/>
  <c r="M10" i="3"/>
  <c r="K10" i="3"/>
  <c r="H10" i="3"/>
  <c r="G10" i="3"/>
  <c r="E10" i="3"/>
  <c r="O9" i="3"/>
  <c r="N9" i="3"/>
  <c r="M9" i="3"/>
  <c r="K9" i="3"/>
  <c r="O8" i="3"/>
  <c r="N8" i="3"/>
  <c r="M8" i="3"/>
  <c r="K8" i="3"/>
  <c r="O7" i="3"/>
  <c r="N7" i="3"/>
  <c r="M7" i="3"/>
  <c r="O6" i="3"/>
  <c r="N6" i="3"/>
  <c r="M6" i="3"/>
  <c r="O5" i="3"/>
  <c r="N5" i="3"/>
  <c r="M5" i="3"/>
  <c r="K5" i="3"/>
  <c r="H5" i="3"/>
  <c r="O4" i="3"/>
  <c r="N4" i="3"/>
  <c r="M4" i="3"/>
  <c r="M2" i="3"/>
  <c r="J2" i="3"/>
  <c r="G2" i="3"/>
  <c r="Z5" i="2"/>
  <c r="C5" i="2"/>
  <c r="B5" i="2"/>
  <c r="A5" i="2"/>
  <c r="Z4" i="2"/>
  <c r="B4" i="2"/>
  <c r="A4" i="2"/>
  <c r="Z3" i="2"/>
  <c r="A3" i="2"/>
  <c r="M58" i="1"/>
  <c r="L58" i="1"/>
  <c r="K58" i="1"/>
  <c r="I58" i="1"/>
  <c r="G58" i="1"/>
  <c r="E58" i="1"/>
  <c r="I57" i="1"/>
  <c r="N56" i="1"/>
  <c r="M56" i="1"/>
  <c r="W12" i="1" s="1"/>
  <c r="D10" i="4" s="1"/>
  <c r="L56" i="1"/>
  <c r="T12" i="1" s="1"/>
  <c r="K56" i="1"/>
  <c r="T18" i="1" s="1"/>
  <c r="I56" i="1"/>
  <c r="G56" i="1"/>
  <c r="E56" i="1"/>
  <c r="J56" i="1" s="1"/>
  <c r="J12" i="1" s="1"/>
  <c r="E8" i="3" s="1"/>
  <c r="D56" i="1"/>
  <c r="U55" i="1"/>
  <c r="T55" i="1"/>
  <c r="S55" i="1"/>
  <c r="N55" i="1"/>
  <c r="J55" i="1"/>
  <c r="H55" i="1"/>
  <c r="F55" i="1"/>
  <c r="N54" i="1"/>
  <c r="J54" i="1"/>
  <c r="H54" i="1"/>
  <c r="F54" i="1"/>
  <c r="U53" i="1"/>
  <c r="T53" i="1"/>
  <c r="S53" i="1"/>
  <c r="N53" i="1"/>
  <c r="J53" i="1"/>
  <c r="H53" i="1"/>
  <c r="F53" i="1"/>
  <c r="U52" i="1"/>
  <c r="T52" i="1"/>
  <c r="S52" i="1"/>
  <c r="N52" i="1"/>
  <c r="J52" i="1"/>
  <c r="H52" i="1"/>
  <c r="F52" i="1"/>
  <c r="U51" i="1"/>
  <c r="T51" i="1"/>
  <c r="S51" i="1"/>
  <c r="N51" i="1"/>
  <c r="J51" i="1"/>
  <c r="H51" i="1"/>
  <c r="F51" i="1"/>
  <c r="N50" i="1"/>
  <c r="J50" i="1"/>
  <c r="H50" i="1"/>
  <c r="F50" i="1"/>
  <c r="U49" i="1"/>
  <c r="T49" i="1"/>
  <c r="S49" i="1"/>
  <c r="N49" i="1"/>
  <c r="J49" i="1"/>
  <c r="H49" i="1"/>
  <c r="F49" i="1"/>
  <c r="U48" i="1"/>
  <c r="T48" i="1"/>
  <c r="S48" i="1"/>
  <c r="N48" i="1"/>
  <c r="J48" i="1"/>
  <c r="H48" i="1"/>
  <c r="F48" i="1"/>
  <c r="U47" i="1"/>
  <c r="T47" i="1"/>
  <c r="S47" i="1"/>
  <c r="N47" i="1"/>
  <c r="J47" i="1"/>
  <c r="H47" i="1"/>
  <c r="F47" i="1"/>
  <c r="U46" i="1"/>
  <c r="T46" i="1"/>
  <c r="S46" i="1"/>
  <c r="N46" i="1"/>
  <c r="J46" i="1"/>
  <c r="H46" i="1"/>
  <c r="F46" i="1"/>
  <c r="U45" i="1"/>
  <c r="T45" i="1"/>
  <c r="S45" i="1"/>
  <c r="N45" i="1"/>
  <c r="J45" i="1"/>
  <c r="H45" i="1"/>
  <c r="F45" i="1"/>
  <c r="S44" i="1"/>
  <c r="N44" i="1"/>
  <c r="J44" i="1"/>
  <c r="H44" i="1"/>
  <c r="F44" i="1"/>
  <c r="U43" i="1"/>
  <c r="T43" i="1"/>
  <c r="S43" i="1"/>
  <c r="N43" i="1"/>
  <c r="J43" i="1"/>
  <c r="H43" i="1"/>
  <c r="F43" i="1"/>
  <c r="U42" i="1"/>
  <c r="T42" i="1"/>
  <c r="S42" i="1"/>
  <c r="N42" i="1"/>
  <c r="J42" i="1"/>
  <c r="H42" i="1"/>
  <c r="F42" i="1"/>
  <c r="U41" i="1"/>
  <c r="T41" i="1"/>
  <c r="S41" i="1"/>
  <c r="N41" i="1"/>
  <c r="J41" i="1"/>
  <c r="H41" i="1"/>
  <c r="F41" i="1"/>
  <c r="U40" i="1"/>
  <c r="T40" i="1"/>
  <c r="S40" i="1"/>
  <c r="N40" i="1"/>
  <c r="J40" i="1"/>
  <c r="H40" i="1"/>
  <c r="F40" i="1"/>
  <c r="U39" i="1"/>
  <c r="T39" i="1"/>
  <c r="S39" i="1"/>
  <c r="N39" i="1"/>
  <c r="J39" i="1"/>
  <c r="H39" i="1"/>
  <c r="F39" i="1"/>
  <c r="U38" i="1"/>
  <c r="T38" i="1"/>
  <c r="S38" i="1"/>
  <c r="N38" i="1"/>
  <c r="J38" i="1"/>
  <c r="H38" i="1"/>
  <c r="F38" i="1"/>
  <c r="S37" i="1"/>
  <c r="N37" i="1"/>
  <c r="J37" i="1"/>
  <c r="U36" i="1"/>
  <c r="T36" i="1"/>
  <c r="S36" i="1"/>
  <c r="N36" i="1"/>
  <c r="J36" i="1"/>
  <c r="H36" i="1"/>
  <c r="F36" i="1"/>
  <c r="U35" i="1"/>
  <c r="T35" i="1"/>
  <c r="S35" i="1"/>
  <c r="N35" i="1"/>
  <c r="J35" i="1"/>
  <c r="H35" i="1"/>
  <c r="F35" i="1"/>
  <c r="U34" i="1"/>
  <c r="T34" i="1"/>
  <c r="S34" i="1"/>
  <c r="N34" i="1"/>
  <c r="J34" i="1"/>
  <c r="H34" i="1"/>
  <c r="F34" i="1"/>
  <c r="U33" i="1"/>
  <c r="T33" i="1"/>
  <c r="S33" i="1"/>
  <c r="N33" i="1"/>
  <c r="J33" i="1"/>
  <c r="H33" i="1"/>
  <c r="F33" i="1"/>
  <c r="U32" i="1"/>
  <c r="T32" i="1"/>
  <c r="S32" i="1"/>
  <c r="N32" i="1"/>
  <c r="J32" i="1"/>
  <c r="H32" i="1"/>
  <c r="F32" i="1"/>
  <c r="U31" i="1"/>
  <c r="T31" i="1"/>
  <c r="S31" i="1"/>
  <c r="N31" i="1"/>
  <c r="J31" i="1"/>
  <c r="H31" i="1"/>
  <c r="F31" i="1"/>
  <c r="U30" i="1"/>
  <c r="T30" i="1"/>
  <c r="S30" i="1"/>
  <c r="N30" i="1"/>
  <c r="J30" i="1"/>
  <c r="H30" i="1"/>
  <c r="F30" i="1"/>
  <c r="U29" i="1"/>
  <c r="T29" i="1"/>
  <c r="S29" i="1"/>
  <c r="N29" i="1"/>
  <c r="J29" i="1"/>
  <c r="H29" i="1"/>
  <c r="F29" i="1"/>
  <c r="U28" i="1"/>
  <c r="T28" i="1"/>
  <c r="S28" i="1"/>
  <c r="N28" i="1"/>
  <c r="J28" i="1"/>
  <c r="H28" i="1"/>
  <c r="F28" i="1"/>
  <c r="U27" i="1"/>
  <c r="T27" i="1"/>
  <c r="S27" i="1"/>
  <c r="N27" i="1"/>
  <c r="J27" i="1"/>
  <c r="H27" i="1"/>
  <c r="F27" i="1"/>
  <c r="U26" i="1"/>
  <c r="T26" i="1"/>
  <c r="S26" i="1"/>
  <c r="N26" i="1"/>
  <c r="J26" i="1"/>
  <c r="H26" i="1"/>
  <c r="F26" i="1"/>
  <c r="U25" i="1"/>
  <c r="T25" i="1"/>
  <c r="S25" i="1"/>
  <c r="N25" i="1"/>
  <c r="J25" i="1"/>
  <c r="H25" i="1"/>
  <c r="F25" i="1"/>
  <c r="D25" i="1"/>
  <c r="J20" i="1"/>
  <c r="K20" i="1" s="1"/>
  <c r="S19" i="1"/>
  <c r="T19" i="1" s="1"/>
  <c r="F13" i="3" s="1"/>
  <c r="N19" i="1"/>
  <c r="L19" i="1"/>
  <c r="K19" i="1"/>
  <c r="P18" i="1"/>
  <c r="Q18" i="1" s="1"/>
  <c r="N18" i="1"/>
  <c r="L18" i="1"/>
  <c r="M18" i="1" s="1"/>
  <c r="K18" i="1"/>
  <c r="Q17" i="1"/>
  <c r="N17" i="1"/>
  <c r="M17" i="1"/>
  <c r="L17" i="1"/>
  <c r="P17" i="1" s="1"/>
  <c r="J17" i="1"/>
  <c r="E12" i="3" s="1"/>
  <c r="S16" i="1"/>
  <c r="L14" i="1"/>
  <c r="N14" i="1" s="1"/>
  <c r="K14" i="1"/>
  <c r="D10" i="3" s="1"/>
  <c r="W13" i="1"/>
  <c r="F15" i="3" s="1"/>
  <c r="V13" i="1"/>
  <c r="D15" i="3" s="1"/>
  <c r="J13" i="1"/>
  <c r="E9" i="3" s="1"/>
  <c r="I13" i="1"/>
  <c r="V10" i="1"/>
  <c r="S10" i="1"/>
  <c r="O10" i="1"/>
  <c r="I10" i="1"/>
  <c r="O9" i="1"/>
  <c r="I3" i="1"/>
  <c r="D2" i="3" s="1"/>
  <c r="B1" i="1"/>
  <c r="G16" i="11" l="1"/>
  <c r="D12" i="11" s="1"/>
  <c r="G4" i="11" s="1"/>
  <c r="K24" i="11"/>
  <c r="K14" i="6"/>
  <c r="J10" i="3" s="1"/>
  <c r="I24" i="10"/>
  <c r="P14" i="6"/>
  <c r="Q14" i="6" s="1"/>
  <c r="N14" i="6"/>
  <c r="B24" i="9"/>
  <c r="L17" i="7"/>
  <c r="P17" i="7" s="1"/>
  <c r="Q17" i="7" s="1"/>
  <c r="L17" i="6"/>
  <c r="P17" i="6" s="1"/>
  <c r="Q17" i="6" s="1"/>
  <c r="L24" i="11"/>
  <c r="AK31" i="12"/>
  <c r="J8" i="1"/>
  <c r="D13" i="3"/>
  <c r="K12" i="1"/>
  <c r="D8" i="3" s="1"/>
  <c r="S13" i="1"/>
  <c r="D8" i="4"/>
  <c r="E14" i="3"/>
  <c r="P18" i="6"/>
  <c r="Q18" i="6" s="1"/>
  <c r="M18" i="6"/>
  <c r="L12" i="1"/>
  <c r="P19" i="1"/>
  <c r="Q19" i="1" s="1"/>
  <c r="M19" i="1"/>
  <c r="I8" i="1"/>
  <c r="F57" i="5"/>
  <c r="J11" i="5" s="1"/>
  <c r="J8" i="5"/>
  <c r="K10" i="1"/>
  <c r="D6" i="3" s="1"/>
  <c r="D6" i="4"/>
  <c r="J15" i="7"/>
  <c r="L10" i="8"/>
  <c r="K13" i="1"/>
  <c r="D9" i="3" s="1"/>
  <c r="D9" i="4"/>
  <c r="E13" i="3"/>
  <c r="F56" i="1"/>
  <c r="J11" i="1" s="1"/>
  <c r="U49" i="5"/>
  <c r="U40" i="5"/>
  <c r="U27" i="5"/>
  <c r="U44" i="5"/>
  <c r="U34" i="5"/>
  <c r="U29" i="5"/>
  <c r="F26" i="5"/>
  <c r="U26" i="5"/>
  <c r="P19" i="6"/>
  <c r="Q19" i="6" s="1"/>
  <c r="M19" i="6"/>
  <c r="P10" i="8"/>
  <c r="Q10" i="8" s="1"/>
  <c r="K10" i="6"/>
  <c r="J6" i="3" s="1"/>
  <c r="M14" i="1"/>
  <c r="H56" i="1"/>
  <c r="J10" i="1" s="1"/>
  <c r="P19" i="7"/>
  <c r="Q19" i="7" s="1"/>
  <c r="M19" i="7"/>
  <c r="H32" i="5"/>
  <c r="S32" i="5"/>
  <c r="F32" i="5"/>
  <c r="J9" i="1"/>
  <c r="P14" i="1"/>
  <c r="Q14" i="1" s="1"/>
  <c r="I10" i="5"/>
  <c r="K12" i="5"/>
  <c r="G8" i="3" s="1"/>
  <c r="L14" i="5"/>
  <c r="U28" i="5"/>
  <c r="U39" i="5"/>
  <c r="H57" i="6"/>
  <c r="J10" i="6" s="1"/>
  <c r="J8" i="6"/>
  <c r="F57" i="6"/>
  <c r="J11" i="6" s="1"/>
  <c r="K20" i="6"/>
  <c r="K17" i="1"/>
  <c r="D12" i="3" s="1"/>
  <c r="M14" i="5"/>
  <c r="U35" i="5"/>
  <c r="U36" i="5"/>
  <c r="U38" i="5"/>
  <c r="K24" i="10"/>
  <c r="I24" i="11"/>
  <c r="I17" i="7"/>
  <c r="S12" i="7"/>
  <c r="U12" i="7" s="1"/>
  <c r="S18" i="7"/>
  <c r="S19" i="7" s="1"/>
  <c r="T19" i="7" s="1"/>
  <c r="L24" i="10"/>
  <c r="N24" i="10" s="1"/>
  <c r="V12" i="8"/>
  <c r="X12" i="8" s="1"/>
  <c r="S12" i="8"/>
  <c r="L23" i="9"/>
  <c r="N23" i="9" s="1"/>
  <c r="V12" i="7"/>
  <c r="X12" i="7" s="1"/>
  <c r="S18" i="8"/>
  <c r="S19" i="8" s="1"/>
  <c r="T19" i="8" s="1"/>
  <c r="I17" i="8"/>
  <c r="I17" i="6"/>
  <c r="I17" i="5"/>
  <c r="V12" i="6"/>
  <c r="J57" i="5"/>
  <c r="J12" i="5" s="1"/>
  <c r="H57" i="5"/>
  <c r="J10" i="5" s="1"/>
  <c r="J17" i="5"/>
  <c r="N57" i="5"/>
  <c r="J20" i="5" s="1"/>
  <c r="K11" i="7"/>
  <c r="J13" i="5"/>
  <c r="K14" i="8"/>
  <c r="L14" i="8"/>
  <c r="P14" i="8" s="1"/>
  <c r="Q14" i="8" s="1"/>
  <c r="U26" i="6"/>
  <c r="U36" i="6"/>
  <c r="M12" i="6"/>
  <c r="L8" i="3" s="1"/>
  <c r="K12" i="6"/>
  <c r="J8" i="3" s="1"/>
  <c r="M18" i="7"/>
  <c r="N12" i="6"/>
  <c r="F24" i="10"/>
  <c r="G24" i="10" s="1"/>
  <c r="D19" i="10" s="1"/>
  <c r="H57" i="7"/>
  <c r="J10" i="7" s="1"/>
  <c r="U26" i="8"/>
  <c r="N12" i="8"/>
  <c r="L12" i="8"/>
  <c r="P12" i="8" s="1"/>
  <c r="Q12" i="8" s="1"/>
  <c r="L17" i="8"/>
  <c r="P17" i="8" s="1"/>
  <c r="Q17" i="8" s="1"/>
  <c r="K20" i="8"/>
  <c r="AM28" i="12"/>
  <c r="AM31" i="12" s="1"/>
  <c r="AL28" i="12"/>
  <c r="AL31" i="12" s="1"/>
  <c r="I10" i="8"/>
  <c r="N10" i="8" s="1"/>
  <c r="B16" i="11"/>
  <c r="L14" i="7"/>
  <c r="N14" i="7" s="1"/>
  <c r="K23" i="9"/>
  <c r="G15" i="9"/>
  <c r="D11" i="9" s="1"/>
  <c r="G4" i="9" s="1"/>
  <c r="K10" i="7"/>
  <c r="M12" i="7"/>
  <c r="U34" i="7"/>
  <c r="U42" i="7"/>
  <c r="C16" i="10"/>
  <c r="C16" i="11"/>
  <c r="U32" i="7"/>
  <c r="U40" i="7"/>
  <c r="S18" i="6" l="1"/>
  <c r="S19" i="6" s="1"/>
  <c r="J13" i="3" s="1"/>
  <c r="V13" i="7"/>
  <c r="W13" i="7" s="1"/>
  <c r="S13" i="7"/>
  <c r="T13" i="7" s="1"/>
  <c r="L19" i="10"/>
  <c r="I4" i="10" s="1"/>
  <c r="K4" i="10" s="1"/>
  <c r="M4" i="10" s="1"/>
  <c r="S18" i="5"/>
  <c r="S19" i="5" s="1"/>
  <c r="T19" i="5" s="1"/>
  <c r="I13" i="3" s="1"/>
  <c r="V12" i="5"/>
  <c r="V13" i="5" s="1"/>
  <c r="W13" i="5" s="1"/>
  <c r="I15" i="3" s="1"/>
  <c r="S12" i="5"/>
  <c r="S13" i="5" s="1"/>
  <c r="T13" i="5" s="1"/>
  <c r="I14" i="3" s="1"/>
  <c r="S12" i="6"/>
  <c r="K17" i="5"/>
  <c r="G12" i="3" s="1"/>
  <c r="V13" i="8"/>
  <c r="W13" i="8" s="1"/>
  <c r="I8" i="8"/>
  <c r="I8" i="6"/>
  <c r="P53" i="1"/>
  <c r="O53" i="1" s="1"/>
  <c r="P45" i="1"/>
  <c r="O45" i="1" s="1"/>
  <c r="P37" i="1"/>
  <c r="O37" i="1" s="1"/>
  <c r="P31" i="1"/>
  <c r="O31" i="1" s="1"/>
  <c r="P46" i="1"/>
  <c r="O46" i="1" s="1"/>
  <c r="P43" i="1"/>
  <c r="O43" i="1" s="1"/>
  <c r="P40" i="1"/>
  <c r="O40" i="1" s="1"/>
  <c r="P32" i="1"/>
  <c r="O32" i="1" s="1"/>
  <c r="P29" i="1"/>
  <c r="O29" i="1" s="1"/>
  <c r="P26" i="1"/>
  <c r="O26" i="1" s="1"/>
  <c r="P52" i="1"/>
  <c r="O52" i="1" s="1"/>
  <c r="P49" i="1"/>
  <c r="O49" i="1" s="1"/>
  <c r="P39" i="1"/>
  <c r="O39" i="1" s="1"/>
  <c r="P35" i="1"/>
  <c r="O35" i="1" s="1"/>
  <c r="P25" i="1"/>
  <c r="K8" i="1"/>
  <c r="I9" i="1"/>
  <c r="P51" i="1"/>
  <c r="O51" i="1" s="1"/>
  <c r="P55" i="1"/>
  <c r="O55" i="1" s="1"/>
  <c r="P42" i="1"/>
  <c r="O42" i="1" s="1"/>
  <c r="P28" i="1"/>
  <c r="O28" i="1" s="1"/>
  <c r="P54" i="1"/>
  <c r="O54" i="1" s="1"/>
  <c r="S50" i="1"/>
  <c r="P38" i="1"/>
  <c r="O38" i="1" s="1"/>
  <c r="P48" i="1"/>
  <c r="O48" i="1" s="1"/>
  <c r="I8" i="7"/>
  <c r="P30" i="1"/>
  <c r="O30" i="1" s="1"/>
  <c r="I15" i="1"/>
  <c r="I8" i="5"/>
  <c r="P36" i="1"/>
  <c r="O36" i="1" s="1"/>
  <c r="P27" i="1"/>
  <c r="O27" i="1" s="1"/>
  <c r="E4" i="1"/>
  <c r="P50" i="1"/>
  <c r="P47" i="1"/>
  <c r="O47" i="1" s="1"/>
  <c r="P41" i="1"/>
  <c r="O41" i="1" s="1"/>
  <c r="P33" i="1"/>
  <c r="O33" i="1" s="1"/>
  <c r="P34" i="1"/>
  <c r="O34" i="1" s="1"/>
  <c r="C4" i="1"/>
  <c r="D5" i="1" s="1"/>
  <c r="P44" i="1"/>
  <c r="O44" i="1" s="1"/>
  <c r="M17" i="6"/>
  <c r="L12" i="3" s="1"/>
  <c r="K17" i="6"/>
  <c r="J12" i="3" s="1"/>
  <c r="K20" i="5"/>
  <c r="T19" i="6"/>
  <c r="L13" i="3" s="1"/>
  <c r="K7" i="3"/>
  <c r="K10" i="5"/>
  <c r="G6" i="3" s="1"/>
  <c r="E7" i="3"/>
  <c r="K11" i="1"/>
  <c r="D7" i="3" s="1"/>
  <c r="L18" i="9"/>
  <c r="I4" i="9" s="1"/>
  <c r="N24" i="11"/>
  <c r="L19" i="11" s="1"/>
  <c r="I4" i="11" s="1"/>
  <c r="E4" i="3"/>
  <c r="J16" i="1"/>
  <c r="J15" i="1"/>
  <c r="N17" i="6"/>
  <c r="L17" i="5"/>
  <c r="P17" i="5" s="1"/>
  <c r="Q17" i="5" s="1"/>
  <c r="H12" i="3"/>
  <c r="M17" i="8"/>
  <c r="K17" i="8"/>
  <c r="F24" i="11"/>
  <c r="G24" i="11" s="1"/>
  <c r="D19" i="11" s="1"/>
  <c r="H4" i="11" s="1"/>
  <c r="K4" i="11" s="1"/>
  <c r="M4" i="11" s="1"/>
  <c r="J15" i="6"/>
  <c r="K4" i="3"/>
  <c r="H9" i="3"/>
  <c r="E5" i="3"/>
  <c r="F23" i="9"/>
  <c r="G23" i="9" s="1"/>
  <c r="D18" i="9" s="1"/>
  <c r="H4" i="9" s="1"/>
  <c r="D58" i="1"/>
  <c r="H4" i="3"/>
  <c r="J15" i="5"/>
  <c r="N14" i="8"/>
  <c r="H6" i="3"/>
  <c r="L10" i="5"/>
  <c r="P10" i="5" s="1"/>
  <c r="Q10" i="5" s="1"/>
  <c r="M17" i="7"/>
  <c r="N17" i="7"/>
  <c r="K17" i="7"/>
  <c r="N10" i="6"/>
  <c r="L10" i="6"/>
  <c r="K6" i="3"/>
  <c r="D14" i="3"/>
  <c r="T13" i="1"/>
  <c r="F14" i="3" s="1"/>
  <c r="L10" i="7"/>
  <c r="N17" i="8"/>
  <c r="G15" i="3"/>
  <c r="L15" i="7"/>
  <c r="P15" i="7" s="1"/>
  <c r="Q15" i="7" s="1"/>
  <c r="H7" i="3"/>
  <c r="K11" i="5"/>
  <c r="G7" i="3" s="1"/>
  <c r="K10" i="8"/>
  <c r="M10" i="8"/>
  <c r="B3" i="2"/>
  <c r="L12" i="5"/>
  <c r="N12" i="5" s="1"/>
  <c r="H8" i="3"/>
  <c r="M14" i="7"/>
  <c r="P14" i="7"/>
  <c r="Q14" i="7" s="1"/>
  <c r="M12" i="8"/>
  <c r="M14" i="8"/>
  <c r="X12" i="6"/>
  <c r="V13" i="6"/>
  <c r="S13" i="8"/>
  <c r="T13" i="8" s="1"/>
  <c r="U12" i="8"/>
  <c r="K11" i="6"/>
  <c r="J7" i="3" s="1"/>
  <c r="P14" i="5"/>
  <c r="Q14" i="5" s="1"/>
  <c r="N14" i="5"/>
  <c r="E6" i="3"/>
  <c r="L10" i="1"/>
  <c r="N10" i="1" s="1"/>
  <c r="P12" i="1"/>
  <c r="Q12" i="1" s="1"/>
  <c r="N12" i="1"/>
  <c r="M12" i="1"/>
  <c r="F8" i="3" s="1"/>
  <c r="G13" i="3" l="1"/>
  <c r="G14" i="3"/>
  <c r="U12" i="6"/>
  <c r="S13" i="6"/>
  <c r="P10" i="7"/>
  <c r="Q10" i="7" s="1"/>
  <c r="M10" i="7"/>
  <c r="H11" i="3"/>
  <c r="L15" i="5"/>
  <c r="P15" i="5" s="1"/>
  <c r="Q15" i="5" s="1"/>
  <c r="K16" i="11"/>
  <c r="K16" i="10"/>
  <c r="K15" i="9"/>
  <c r="L20" i="1"/>
  <c r="D4" i="3"/>
  <c r="W13" i="6"/>
  <c r="L15" i="3" s="1"/>
  <c r="J15" i="3"/>
  <c r="S56" i="1"/>
  <c r="P56" i="1"/>
  <c r="O56" i="1" s="1"/>
  <c r="L8" i="1"/>
  <c r="O25" i="1"/>
  <c r="P54" i="6"/>
  <c r="O54" i="6" s="1"/>
  <c r="P46" i="6"/>
  <c r="O46" i="6" s="1"/>
  <c r="P38" i="6"/>
  <c r="O38" i="6" s="1"/>
  <c r="P25" i="6"/>
  <c r="I9" i="6"/>
  <c r="P51" i="6"/>
  <c r="O51" i="6" s="1"/>
  <c r="P43" i="6"/>
  <c r="O43" i="6" s="1"/>
  <c r="P35" i="6"/>
  <c r="O35" i="6" s="1"/>
  <c r="P30" i="6"/>
  <c r="O30" i="6" s="1"/>
  <c r="P53" i="6"/>
  <c r="O53" i="6" s="1"/>
  <c r="P45" i="6"/>
  <c r="O45" i="6" s="1"/>
  <c r="P37" i="6"/>
  <c r="O37" i="6" s="1"/>
  <c r="S31" i="6"/>
  <c r="P28" i="6"/>
  <c r="O28" i="6" s="1"/>
  <c r="P27" i="6"/>
  <c r="O27" i="6" s="1"/>
  <c r="P26" i="6"/>
  <c r="O26" i="6" s="1"/>
  <c r="K8" i="6"/>
  <c r="P56" i="6"/>
  <c r="O56" i="6" s="1"/>
  <c r="P41" i="6"/>
  <c r="O41" i="6" s="1"/>
  <c r="P40" i="6"/>
  <c r="O40" i="6" s="1"/>
  <c r="P33" i="6"/>
  <c r="O33" i="6" s="1"/>
  <c r="P32" i="6"/>
  <c r="O32" i="6" s="1"/>
  <c r="P55" i="6"/>
  <c r="O55" i="6" s="1"/>
  <c r="P50" i="6"/>
  <c r="O50" i="6" s="1"/>
  <c r="P39" i="6"/>
  <c r="O39" i="6" s="1"/>
  <c r="P31" i="6"/>
  <c r="O31" i="6" s="1"/>
  <c r="C4" i="6"/>
  <c r="E4" i="6" s="1"/>
  <c r="P44" i="6"/>
  <c r="O44" i="6" s="1"/>
  <c r="P36" i="6"/>
  <c r="O36" i="6" s="1"/>
  <c r="P29" i="6"/>
  <c r="O29" i="6" s="1"/>
  <c r="P49" i="6"/>
  <c r="O49" i="6" s="1"/>
  <c r="P48" i="6"/>
  <c r="O48" i="6" s="1"/>
  <c r="P47" i="6"/>
  <c r="O47" i="6" s="1"/>
  <c r="P52" i="6"/>
  <c r="O52" i="6" s="1"/>
  <c r="P34" i="6"/>
  <c r="O34" i="6" s="1"/>
  <c r="P42" i="6"/>
  <c r="O42" i="6" s="1"/>
  <c r="P53" i="8"/>
  <c r="O53" i="8" s="1"/>
  <c r="P55" i="8"/>
  <c r="O55" i="8" s="1"/>
  <c r="P47" i="8"/>
  <c r="O47" i="8" s="1"/>
  <c r="P39" i="8"/>
  <c r="O39" i="8" s="1"/>
  <c r="P31" i="8"/>
  <c r="O31" i="8" s="1"/>
  <c r="K8" i="8"/>
  <c r="L20" i="8" s="1"/>
  <c r="P52" i="8"/>
  <c r="O52" i="8" s="1"/>
  <c r="P44" i="8"/>
  <c r="O44" i="8" s="1"/>
  <c r="P49" i="8"/>
  <c r="O49" i="8" s="1"/>
  <c r="P41" i="8"/>
  <c r="O41" i="8" s="1"/>
  <c r="P33" i="8"/>
  <c r="O33" i="8" s="1"/>
  <c r="P25" i="8"/>
  <c r="I9" i="8"/>
  <c r="P51" i="8"/>
  <c r="O51" i="8" s="1"/>
  <c r="P43" i="8"/>
  <c r="O43" i="8" s="1"/>
  <c r="P35" i="8"/>
  <c r="O35" i="8" s="1"/>
  <c r="P27" i="8"/>
  <c r="O27" i="8" s="1"/>
  <c r="C4" i="8"/>
  <c r="E4" i="8" s="1"/>
  <c r="P30" i="8"/>
  <c r="O30" i="8" s="1"/>
  <c r="P29" i="8"/>
  <c r="O29" i="8" s="1"/>
  <c r="P50" i="8"/>
  <c r="O50" i="8" s="1"/>
  <c r="P28" i="8"/>
  <c r="O28" i="8" s="1"/>
  <c r="P40" i="8"/>
  <c r="O40" i="8" s="1"/>
  <c r="P26" i="8"/>
  <c r="O26" i="8" s="1"/>
  <c r="P56" i="8"/>
  <c r="O56" i="8" s="1"/>
  <c r="P54" i="8"/>
  <c r="O54" i="8" s="1"/>
  <c r="P32" i="8"/>
  <c r="O32" i="8" s="1"/>
  <c r="P34" i="8"/>
  <c r="O34" i="8" s="1"/>
  <c r="P45" i="8"/>
  <c r="O45" i="8" s="1"/>
  <c r="P48" i="8"/>
  <c r="O48" i="8" s="1"/>
  <c r="P37" i="8"/>
  <c r="O37" i="8" s="1"/>
  <c r="P38" i="8"/>
  <c r="O38" i="8" s="1"/>
  <c r="P36" i="8"/>
  <c r="O36" i="8" s="1"/>
  <c r="P46" i="8"/>
  <c r="O46" i="8" s="1"/>
  <c r="P42" i="8"/>
  <c r="O42" i="8" s="1"/>
  <c r="S28" i="8"/>
  <c r="P55" i="5"/>
  <c r="O55" i="5" s="1"/>
  <c r="P52" i="5"/>
  <c r="O52" i="5" s="1"/>
  <c r="P47" i="5"/>
  <c r="O47" i="5" s="1"/>
  <c r="P54" i="5"/>
  <c r="O54" i="5" s="1"/>
  <c r="P51" i="5"/>
  <c r="O51" i="5" s="1"/>
  <c r="P39" i="5"/>
  <c r="O39" i="5" s="1"/>
  <c r="P46" i="5"/>
  <c r="O46" i="5" s="1"/>
  <c r="P42" i="5"/>
  <c r="O42" i="5" s="1"/>
  <c r="P36" i="5"/>
  <c r="O36" i="5" s="1"/>
  <c r="P31" i="5"/>
  <c r="O31" i="5" s="1"/>
  <c r="P41" i="5"/>
  <c r="O41" i="5" s="1"/>
  <c r="P33" i="5"/>
  <c r="O33" i="5" s="1"/>
  <c r="P28" i="5"/>
  <c r="O28" i="5" s="1"/>
  <c r="P56" i="5"/>
  <c r="O56" i="5" s="1"/>
  <c r="P38" i="5"/>
  <c r="O38" i="5" s="1"/>
  <c r="P32" i="5"/>
  <c r="O32" i="5" s="1"/>
  <c r="P27" i="5"/>
  <c r="O27" i="5" s="1"/>
  <c r="P49" i="5"/>
  <c r="O49" i="5" s="1"/>
  <c r="P48" i="5"/>
  <c r="O48" i="5" s="1"/>
  <c r="P45" i="5"/>
  <c r="O45" i="5" s="1"/>
  <c r="S37" i="5"/>
  <c r="I9" i="5"/>
  <c r="C4" i="5"/>
  <c r="E4" i="5" s="1"/>
  <c r="P40" i="5"/>
  <c r="O40" i="5" s="1"/>
  <c r="P44" i="5"/>
  <c r="O44" i="5" s="1"/>
  <c r="P43" i="5"/>
  <c r="O43" i="5" s="1"/>
  <c r="P30" i="5"/>
  <c r="O30" i="5" s="1"/>
  <c r="P25" i="5"/>
  <c r="P37" i="5"/>
  <c r="P35" i="5"/>
  <c r="O35" i="5" s="1"/>
  <c r="P29" i="5"/>
  <c r="O29" i="5" s="1"/>
  <c r="P50" i="5"/>
  <c r="O50" i="5" s="1"/>
  <c r="P26" i="5"/>
  <c r="O26" i="5" s="1"/>
  <c r="K8" i="5"/>
  <c r="P53" i="5"/>
  <c r="O53" i="5" s="1"/>
  <c r="P34" i="5"/>
  <c r="O34" i="5" s="1"/>
  <c r="M10" i="1"/>
  <c r="F6" i="3" s="1"/>
  <c r="P10" i="1"/>
  <c r="Q10" i="1" s="1"/>
  <c r="P12" i="5"/>
  <c r="Q12" i="5" s="1"/>
  <c r="M12" i="5"/>
  <c r="I8" i="3" s="1"/>
  <c r="K4" i="9"/>
  <c r="M4" i="9" s="1"/>
  <c r="I15" i="8"/>
  <c r="I15" i="5"/>
  <c r="N15" i="5" s="1"/>
  <c r="I15" i="6"/>
  <c r="I15" i="7"/>
  <c r="K15" i="1"/>
  <c r="D11" i="3" s="1"/>
  <c r="N10" i="5"/>
  <c r="N17" i="5"/>
  <c r="P10" i="6"/>
  <c r="Q10" i="6" s="1"/>
  <c r="M10" i="6"/>
  <c r="L6" i="3" s="1"/>
  <c r="L15" i="6"/>
  <c r="P15" i="6" s="1"/>
  <c r="Q15" i="6" s="1"/>
  <c r="N15" i="6"/>
  <c r="K11" i="3"/>
  <c r="M17" i="5"/>
  <c r="I12" i="3" s="1"/>
  <c r="O50" i="1"/>
  <c r="D57" i="1"/>
  <c r="P55" i="7"/>
  <c r="O55" i="7" s="1"/>
  <c r="P47" i="7"/>
  <c r="O47" i="7" s="1"/>
  <c r="P39" i="7"/>
  <c r="O39" i="7" s="1"/>
  <c r="P31" i="7"/>
  <c r="O31" i="7" s="1"/>
  <c r="P49" i="7"/>
  <c r="O49" i="7" s="1"/>
  <c r="P41" i="7"/>
  <c r="O41" i="7" s="1"/>
  <c r="P33" i="7"/>
  <c r="O33" i="7" s="1"/>
  <c r="P25" i="7"/>
  <c r="P51" i="7"/>
  <c r="O51" i="7" s="1"/>
  <c r="P43" i="7"/>
  <c r="O43" i="7" s="1"/>
  <c r="P35" i="7"/>
  <c r="O35" i="7" s="1"/>
  <c r="P27" i="7"/>
  <c r="O27" i="7" s="1"/>
  <c r="S26" i="7"/>
  <c r="S28" i="7" s="1"/>
  <c r="S31" i="7" s="1"/>
  <c r="P53" i="7"/>
  <c r="O53" i="7" s="1"/>
  <c r="P40" i="7"/>
  <c r="O40" i="7" s="1"/>
  <c r="P32" i="7"/>
  <c r="O32" i="7" s="1"/>
  <c r="C4" i="7"/>
  <c r="E4" i="7" s="1"/>
  <c r="P52" i="7"/>
  <c r="O52" i="7" s="1"/>
  <c r="P56" i="7"/>
  <c r="O56" i="7" s="1"/>
  <c r="P46" i="7"/>
  <c r="O46" i="7" s="1"/>
  <c r="P38" i="7"/>
  <c r="O38" i="7" s="1"/>
  <c r="P30" i="7"/>
  <c r="O30" i="7" s="1"/>
  <c r="P54" i="7"/>
  <c r="O54" i="7" s="1"/>
  <c r="P28" i="7"/>
  <c r="O28" i="7" s="1"/>
  <c r="P26" i="7"/>
  <c r="O26" i="7" s="1"/>
  <c r="P48" i="7"/>
  <c r="O48" i="7" s="1"/>
  <c r="P44" i="7"/>
  <c r="O44" i="7" s="1"/>
  <c r="P42" i="7"/>
  <c r="O42" i="7" s="1"/>
  <c r="P29" i="7"/>
  <c r="O29" i="7" s="1"/>
  <c r="I9" i="7"/>
  <c r="P50" i="7"/>
  <c r="O50" i="7" s="1"/>
  <c r="P36" i="7"/>
  <c r="O36" i="7" s="1"/>
  <c r="P34" i="7"/>
  <c r="O34" i="7" s="1"/>
  <c r="P45" i="7"/>
  <c r="O45" i="7" s="1"/>
  <c r="P37" i="7"/>
  <c r="O37" i="7" s="1"/>
  <c r="K8" i="7"/>
  <c r="L20" i="7" s="1"/>
  <c r="S54" i="1"/>
  <c r="E11" i="3"/>
  <c r="L15" i="1"/>
  <c r="P15" i="1" s="1"/>
  <c r="Q15" i="1" s="1"/>
  <c r="N10" i="7"/>
  <c r="N16" i="1"/>
  <c r="D16" i="3"/>
  <c r="K16" i="1"/>
  <c r="L16" i="1"/>
  <c r="M10" i="5"/>
  <c r="I6" i="3" s="1"/>
  <c r="Q50" i="1"/>
  <c r="R50" i="1" s="1"/>
  <c r="Q42" i="1"/>
  <c r="R42" i="1" s="1"/>
  <c r="Q36" i="1"/>
  <c r="R36" i="1" s="1"/>
  <c r="Q28" i="1"/>
  <c r="R28" i="1" s="1"/>
  <c r="Q52" i="1"/>
  <c r="R52" i="1" s="1"/>
  <c r="Q49" i="1"/>
  <c r="R49" i="1" s="1"/>
  <c r="U44" i="1"/>
  <c r="Q39" i="1"/>
  <c r="R39" i="1" s="1"/>
  <c r="Q35" i="1"/>
  <c r="R35" i="1" s="1"/>
  <c r="Q25" i="1"/>
  <c r="Q55" i="1"/>
  <c r="R55" i="1" s="1"/>
  <c r="K9" i="1"/>
  <c r="D5" i="3" s="1"/>
  <c r="U37" i="1"/>
  <c r="Q44" i="1"/>
  <c r="R44" i="1" s="1"/>
  <c r="Q41" i="1"/>
  <c r="R41" i="1" s="1"/>
  <c r="Q45" i="1"/>
  <c r="R45" i="1" s="1"/>
  <c r="Q31" i="1"/>
  <c r="R31" i="1" s="1"/>
  <c r="Q47" i="1"/>
  <c r="R47" i="1" s="1"/>
  <c r="Q54" i="1"/>
  <c r="R54" i="1" s="1"/>
  <c r="Q51" i="1"/>
  <c r="R51" i="1" s="1"/>
  <c r="Q48" i="1"/>
  <c r="R48" i="1" s="1"/>
  <c r="Q38" i="1"/>
  <c r="R38" i="1" s="1"/>
  <c r="T37" i="1"/>
  <c r="Q34" i="1"/>
  <c r="R34" i="1" s="1"/>
  <c r="Q32" i="1"/>
  <c r="R32" i="1" s="1"/>
  <c r="Q29" i="1"/>
  <c r="R29" i="1" s="1"/>
  <c r="Q27" i="1"/>
  <c r="R27" i="1" s="1"/>
  <c r="Q37" i="1"/>
  <c r="R37" i="1" s="1"/>
  <c r="Q26" i="1"/>
  <c r="R26" i="1" s="1"/>
  <c r="Q46" i="1"/>
  <c r="R46" i="1" s="1"/>
  <c r="Q40" i="1"/>
  <c r="R40" i="1" s="1"/>
  <c r="Q53" i="1"/>
  <c r="R53" i="1" s="1"/>
  <c r="Q43" i="1"/>
  <c r="R43" i="1" s="1"/>
  <c r="Q33" i="1"/>
  <c r="R33" i="1" s="1"/>
  <c r="Q30" i="1"/>
  <c r="R30" i="1" s="1"/>
  <c r="S34" i="6" l="1"/>
  <c r="S37" i="6" s="1"/>
  <c r="S57" i="6" s="1"/>
  <c r="T13" i="6"/>
  <c r="L14" i="3" s="1"/>
  <c r="J14" i="3"/>
  <c r="S35" i="7"/>
  <c r="Q51" i="6"/>
  <c r="R51" i="6" s="1"/>
  <c r="Q43" i="6"/>
  <c r="R43" i="6" s="1"/>
  <c r="Q35" i="6"/>
  <c r="R35" i="6" s="1"/>
  <c r="Q30" i="6"/>
  <c r="R30" i="6" s="1"/>
  <c r="Q56" i="6"/>
  <c r="R56" i="6" s="1"/>
  <c r="Q48" i="6"/>
  <c r="R48" i="6" s="1"/>
  <c r="Q40" i="6"/>
  <c r="R40" i="6" s="1"/>
  <c r="Q32" i="6"/>
  <c r="R32" i="6" s="1"/>
  <c r="Q27" i="6"/>
  <c r="R27" i="6" s="1"/>
  <c r="Q50" i="6"/>
  <c r="R50" i="6" s="1"/>
  <c r="Q42" i="6"/>
  <c r="R42" i="6" s="1"/>
  <c r="Q34" i="6"/>
  <c r="R34" i="6" s="1"/>
  <c r="Q29" i="6"/>
  <c r="R29" i="6" s="1"/>
  <c r="Q46" i="6"/>
  <c r="R46" i="6" s="1"/>
  <c r="Q45" i="6"/>
  <c r="R45" i="6" s="1"/>
  <c r="Q41" i="6"/>
  <c r="R41" i="6" s="1"/>
  <c r="Q33" i="6"/>
  <c r="R33" i="6" s="1"/>
  <c r="Q55" i="6"/>
  <c r="R55" i="6" s="1"/>
  <c r="Q39" i="6"/>
  <c r="R39" i="6" s="1"/>
  <c r="Q31" i="6"/>
  <c r="R31" i="6" s="1"/>
  <c r="I13" i="6"/>
  <c r="Q44" i="6"/>
  <c r="R44" i="6" s="1"/>
  <c r="Q25" i="6"/>
  <c r="Q37" i="6"/>
  <c r="R37" i="6" s="1"/>
  <c r="K9" i="6"/>
  <c r="J5" i="3" s="1"/>
  <c r="Q54" i="6"/>
  <c r="R54" i="6" s="1"/>
  <c r="Q53" i="6"/>
  <c r="R53" i="6" s="1"/>
  <c r="Q36" i="6"/>
  <c r="R36" i="6" s="1"/>
  <c r="T31" i="6"/>
  <c r="T34" i="6" s="1"/>
  <c r="Q49" i="6"/>
  <c r="R49" i="6" s="1"/>
  <c r="Q26" i="6"/>
  <c r="R26" i="6" s="1"/>
  <c r="Q47" i="6"/>
  <c r="R47" i="6" s="1"/>
  <c r="Q52" i="6"/>
  <c r="R52" i="6" s="1"/>
  <c r="Q38" i="6"/>
  <c r="R38" i="6" s="1"/>
  <c r="Q28" i="6"/>
  <c r="R28" i="6" s="1"/>
  <c r="U31" i="6"/>
  <c r="M15" i="8"/>
  <c r="K15" i="8"/>
  <c r="J16" i="8"/>
  <c r="N15" i="8"/>
  <c r="P57" i="5"/>
  <c r="O57" i="5" s="1"/>
  <c r="O25" i="5"/>
  <c r="L8" i="5"/>
  <c r="P57" i="6"/>
  <c r="O57" i="6" s="1"/>
  <c r="O25" i="6"/>
  <c r="L8" i="6"/>
  <c r="Q52" i="8"/>
  <c r="R52" i="8" s="1"/>
  <c r="Q44" i="8"/>
  <c r="R44" i="8" s="1"/>
  <c r="Q36" i="8"/>
  <c r="R36" i="8" s="1"/>
  <c r="Q28" i="8"/>
  <c r="R28" i="8" s="1"/>
  <c r="K9" i="8"/>
  <c r="Q49" i="8"/>
  <c r="R49" i="8" s="1"/>
  <c r="Q41" i="8"/>
  <c r="R41" i="8" s="1"/>
  <c r="Q54" i="8"/>
  <c r="R54" i="8" s="1"/>
  <c r="Q46" i="8"/>
  <c r="R46" i="8" s="1"/>
  <c r="Q38" i="8"/>
  <c r="R38" i="8" s="1"/>
  <c r="Q30" i="8"/>
  <c r="R30" i="8" s="1"/>
  <c r="Q56" i="8"/>
  <c r="R56" i="8" s="1"/>
  <c r="Q48" i="8"/>
  <c r="R48" i="8" s="1"/>
  <c r="Q40" i="8"/>
  <c r="R40" i="8" s="1"/>
  <c r="Q32" i="8"/>
  <c r="R32" i="8" s="1"/>
  <c r="Q50" i="8"/>
  <c r="R50" i="8" s="1"/>
  <c r="Q47" i="8"/>
  <c r="R47" i="8" s="1"/>
  <c r="Q27" i="8"/>
  <c r="R27" i="8" s="1"/>
  <c r="Q26" i="8"/>
  <c r="R26" i="8" s="1"/>
  <c r="Q25" i="8"/>
  <c r="Q55" i="8"/>
  <c r="R55" i="8" s="1"/>
  <c r="Q53" i="8"/>
  <c r="R53" i="8" s="1"/>
  <c r="Q43" i="8"/>
  <c r="R43" i="8" s="1"/>
  <c r="Q29" i="8"/>
  <c r="R29" i="8" s="1"/>
  <c r="Q51" i="8"/>
  <c r="R51" i="8" s="1"/>
  <c r="Q34" i="8"/>
  <c r="R34" i="8" s="1"/>
  <c r="Q33" i="8"/>
  <c r="R33" i="8" s="1"/>
  <c r="Q45" i="8"/>
  <c r="R45" i="8" s="1"/>
  <c r="Q35" i="8"/>
  <c r="R35" i="8" s="1"/>
  <c r="Q31" i="8"/>
  <c r="R31" i="8" s="1"/>
  <c r="Q37" i="8"/>
  <c r="R37" i="8" s="1"/>
  <c r="I13" i="8"/>
  <c r="Q42" i="8"/>
  <c r="R42" i="8" s="1"/>
  <c r="Q39" i="8"/>
  <c r="R39" i="8" s="1"/>
  <c r="T28" i="8"/>
  <c r="T29" i="8" s="1"/>
  <c r="U28" i="8"/>
  <c r="U29" i="8" s="1"/>
  <c r="L20" i="6"/>
  <c r="C4" i="2"/>
  <c r="J4" i="3"/>
  <c r="G4" i="3"/>
  <c r="L20" i="5"/>
  <c r="C3" i="2"/>
  <c r="S42" i="5"/>
  <c r="S43" i="5" s="1"/>
  <c r="S29" i="8"/>
  <c r="S30" i="8" s="1"/>
  <c r="P16" i="1"/>
  <c r="Q16" i="1" s="1"/>
  <c r="M16" i="1"/>
  <c r="O37" i="5"/>
  <c r="D58" i="5"/>
  <c r="N15" i="1"/>
  <c r="S36" i="7"/>
  <c r="P57" i="8"/>
  <c r="O57" i="8" s="1"/>
  <c r="O25" i="8"/>
  <c r="L8" i="8"/>
  <c r="T44" i="1"/>
  <c r="M15" i="1"/>
  <c r="F11" i="3" s="1"/>
  <c r="P20" i="8"/>
  <c r="Q20" i="8" s="1"/>
  <c r="M20" i="8"/>
  <c r="N20" i="8"/>
  <c r="P20" i="1"/>
  <c r="Q20" i="1" s="1"/>
  <c r="M20" i="1"/>
  <c r="N20" i="1"/>
  <c r="M15" i="5"/>
  <c r="I11" i="3" s="1"/>
  <c r="K15" i="5"/>
  <c r="G11" i="3" s="1"/>
  <c r="J16" i="5"/>
  <c r="Q49" i="5"/>
  <c r="R49" i="5" s="1"/>
  <c r="Q44" i="5"/>
  <c r="R44" i="5" s="1"/>
  <c r="Q39" i="5"/>
  <c r="R39" i="5" s="1"/>
  <c r="Q51" i="5"/>
  <c r="R51" i="5" s="1"/>
  <c r="Q46" i="5"/>
  <c r="R46" i="5" s="1"/>
  <c r="Q47" i="5"/>
  <c r="R47" i="5" s="1"/>
  <c r="Q42" i="5"/>
  <c r="R42" i="5" s="1"/>
  <c r="Q36" i="5"/>
  <c r="R36" i="5" s="1"/>
  <c r="Q55" i="5"/>
  <c r="R55" i="5" s="1"/>
  <c r="Q54" i="5"/>
  <c r="R54" i="5" s="1"/>
  <c r="Q41" i="5"/>
  <c r="R41" i="5" s="1"/>
  <c r="Q33" i="5"/>
  <c r="R33" i="5" s="1"/>
  <c r="Q28" i="5"/>
  <c r="R28" i="5" s="1"/>
  <c r="Q50" i="5"/>
  <c r="R50" i="5" s="1"/>
  <c r="Q38" i="5"/>
  <c r="R38" i="5" s="1"/>
  <c r="T37" i="5"/>
  <c r="T42" i="5" s="1"/>
  <c r="Q53" i="5"/>
  <c r="R53" i="5" s="1"/>
  <c r="Q52" i="5"/>
  <c r="R52" i="5" s="1"/>
  <c r="Q37" i="5"/>
  <c r="R37" i="5" s="1"/>
  <c r="Q43" i="5"/>
  <c r="R43" i="5" s="1"/>
  <c r="Q32" i="5"/>
  <c r="R32" i="5" s="1"/>
  <c r="Q31" i="5"/>
  <c r="R31" i="5" s="1"/>
  <c r="Q30" i="5"/>
  <c r="R30" i="5" s="1"/>
  <c r="Q25" i="5"/>
  <c r="Q29" i="5"/>
  <c r="R29" i="5" s="1"/>
  <c r="Q40" i="5"/>
  <c r="R40" i="5" s="1"/>
  <c r="Q35" i="5"/>
  <c r="R35" i="5" s="1"/>
  <c r="Q56" i="5"/>
  <c r="R56" i="5" s="1"/>
  <c r="Q27" i="5"/>
  <c r="R27" i="5" s="1"/>
  <c r="K9" i="5"/>
  <c r="G5" i="3" s="1"/>
  <c r="Q45" i="5"/>
  <c r="R45" i="5" s="1"/>
  <c r="Q48" i="5"/>
  <c r="R48" i="5" s="1"/>
  <c r="Q34" i="5"/>
  <c r="R34" i="5" s="1"/>
  <c r="Q26" i="5"/>
  <c r="R26" i="5" s="1"/>
  <c r="U37" i="5"/>
  <c r="I13" i="5"/>
  <c r="P57" i="7"/>
  <c r="O57" i="7" s="1"/>
  <c r="O25" i="7"/>
  <c r="L8" i="7"/>
  <c r="P20" i="7"/>
  <c r="Q20" i="7" s="1"/>
  <c r="M20" i="7"/>
  <c r="N20" i="7"/>
  <c r="Q52" i="7"/>
  <c r="R52" i="7" s="1"/>
  <c r="Q44" i="7"/>
  <c r="R44" i="7" s="1"/>
  <c r="Q36" i="7"/>
  <c r="R36" i="7" s="1"/>
  <c r="Q28" i="7"/>
  <c r="R28" i="7" s="1"/>
  <c r="Q54" i="7"/>
  <c r="R54" i="7" s="1"/>
  <c r="Q46" i="7"/>
  <c r="R46" i="7" s="1"/>
  <c r="Q38" i="7"/>
  <c r="R38" i="7" s="1"/>
  <c r="Q30" i="7"/>
  <c r="R30" i="7" s="1"/>
  <c r="Q56" i="7"/>
  <c r="R56" i="7" s="1"/>
  <c r="Q48" i="7"/>
  <c r="R48" i="7" s="1"/>
  <c r="Q40" i="7"/>
  <c r="R40" i="7" s="1"/>
  <c r="Q32" i="7"/>
  <c r="R32" i="7" s="1"/>
  <c r="Q47" i="7"/>
  <c r="R47" i="7" s="1"/>
  <c r="Q39" i="7"/>
  <c r="R39" i="7" s="1"/>
  <c r="Q31" i="7"/>
  <c r="R31" i="7" s="1"/>
  <c r="Q51" i="7"/>
  <c r="R51" i="7" s="1"/>
  <c r="Q45" i="7"/>
  <c r="R45" i="7" s="1"/>
  <c r="Q37" i="7"/>
  <c r="R37" i="7" s="1"/>
  <c r="Q29" i="7"/>
  <c r="R29" i="7" s="1"/>
  <c r="T26" i="7"/>
  <c r="T28" i="7" s="1"/>
  <c r="T31" i="7" s="1"/>
  <c r="Q53" i="7"/>
  <c r="R53" i="7" s="1"/>
  <c r="Q42" i="7"/>
  <c r="R42" i="7" s="1"/>
  <c r="Q27" i="7"/>
  <c r="R27" i="7" s="1"/>
  <c r="Q25" i="7"/>
  <c r="K9" i="7"/>
  <c r="Q41" i="7"/>
  <c r="R41" i="7" s="1"/>
  <c r="Q35" i="7"/>
  <c r="R35" i="7" s="1"/>
  <c r="Q49" i="7"/>
  <c r="R49" i="7" s="1"/>
  <c r="Q55" i="7"/>
  <c r="R55" i="7" s="1"/>
  <c r="Q43" i="7"/>
  <c r="R43" i="7" s="1"/>
  <c r="Q26" i="7"/>
  <c r="R26" i="7" s="1"/>
  <c r="Q34" i="7"/>
  <c r="R34" i="7" s="1"/>
  <c r="Q33" i="7"/>
  <c r="R33" i="7" s="1"/>
  <c r="Q50" i="7"/>
  <c r="R50" i="7" s="1"/>
  <c r="U26" i="7"/>
  <c r="U28" i="7" s="1"/>
  <c r="I13" i="7"/>
  <c r="M15" i="7"/>
  <c r="K15" i="7"/>
  <c r="J16" i="7"/>
  <c r="N15" i="7"/>
  <c r="R25" i="1"/>
  <c r="L9" i="1"/>
  <c r="Q56" i="1"/>
  <c r="M15" i="6"/>
  <c r="L11" i="3" s="1"/>
  <c r="K15" i="6"/>
  <c r="J11" i="3" s="1"/>
  <c r="J16" i="6"/>
  <c r="P8" i="1"/>
  <c r="Q8" i="1" s="1"/>
  <c r="N8" i="1"/>
  <c r="M8" i="1"/>
  <c r="F4" i="3" s="1"/>
  <c r="T43" i="5" l="1"/>
  <c r="S39" i="7"/>
  <c r="S43" i="7"/>
  <c r="S57" i="7" s="1"/>
  <c r="Q57" i="7"/>
  <c r="L9" i="7"/>
  <c r="R25" i="7"/>
  <c r="L11" i="1"/>
  <c r="P9" i="1"/>
  <c r="Q9" i="1" s="1"/>
  <c r="N9" i="1"/>
  <c r="M9" i="1"/>
  <c r="F5" i="3" s="1"/>
  <c r="Q57" i="8"/>
  <c r="L9" i="8"/>
  <c r="R25" i="8"/>
  <c r="P8" i="5"/>
  <c r="Q8" i="5" s="1"/>
  <c r="N8" i="5"/>
  <c r="G16" i="3" s="1"/>
  <c r="M8" i="5"/>
  <c r="I4" i="3" s="1"/>
  <c r="U34" i="6"/>
  <c r="U37" i="6" s="1"/>
  <c r="U57" i="6" s="1"/>
  <c r="P8" i="7"/>
  <c r="Q8" i="7" s="1"/>
  <c r="N8" i="7"/>
  <c r="M8" i="7"/>
  <c r="T35" i="6"/>
  <c r="T37" i="6" s="1"/>
  <c r="R56" i="1"/>
  <c r="L13" i="1"/>
  <c r="U42" i="5"/>
  <c r="U43" i="5" s="1"/>
  <c r="N16" i="7"/>
  <c r="L16" i="7"/>
  <c r="K16" i="7"/>
  <c r="U30" i="8"/>
  <c r="U50" i="1"/>
  <c r="T50" i="1"/>
  <c r="U54" i="1" s="1"/>
  <c r="N16" i="6"/>
  <c r="K16" i="6"/>
  <c r="L16" i="6"/>
  <c r="T36" i="7"/>
  <c r="U31" i="7"/>
  <c r="U35" i="7" s="1"/>
  <c r="S46" i="5"/>
  <c r="T30" i="8"/>
  <c r="K13" i="6"/>
  <c r="J9" i="3" s="1"/>
  <c r="S31" i="8"/>
  <c r="P20" i="5"/>
  <c r="Q20" i="5" s="1"/>
  <c r="M20" i="5"/>
  <c r="N20" i="5"/>
  <c r="P8" i="6"/>
  <c r="Q8" i="6" s="1"/>
  <c r="N8" i="6"/>
  <c r="J16" i="3" s="1"/>
  <c r="M8" i="6"/>
  <c r="L4" i="3" s="1"/>
  <c r="N16" i="8"/>
  <c r="L16" i="8"/>
  <c r="K16" i="8"/>
  <c r="R25" i="6"/>
  <c r="L9" i="6"/>
  <c r="Q57" i="6"/>
  <c r="Q57" i="5"/>
  <c r="L9" i="5"/>
  <c r="R25" i="5"/>
  <c r="P8" i="8"/>
  <c r="Q8" i="8" s="1"/>
  <c r="N8" i="8"/>
  <c r="M8" i="8"/>
  <c r="P20" i="6"/>
  <c r="Q20" i="6" s="1"/>
  <c r="M20" i="6"/>
  <c r="N20" i="6"/>
  <c r="K13" i="5"/>
  <c r="G9" i="3" s="1"/>
  <c r="K16" i="5"/>
  <c r="L16" i="5"/>
  <c r="N16" i="5"/>
  <c r="K13" i="7"/>
  <c r="K13" i="8"/>
  <c r="U36" i="7" l="1"/>
  <c r="U39" i="7" s="1"/>
  <c r="T46" i="5"/>
  <c r="R57" i="5"/>
  <c r="L13" i="5"/>
  <c r="U46" i="5"/>
  <c r="R57" i="8"/>
  <c r="L13" i="8"/>
  <c r="T57" i="6"/>
  <c r="T54" i="1"/>
  <c r="T56" i="1" s="1"/>
  <c r="L11" i="5"/>
  <c r="P9" i="5"/>
  <c r="Q9" i="5" s="1"/>
  <c r="N9" i="5"/>
  <c r="M9" i="5"/>
  <c r="I5" i="3" s="1"/>
  <c r="L11" i="8"/>
  <c r="P9" i="8"/>
  <c r="Q9" i="8" s="1"/>
  <c r="N9" i="8"/>
  <c r="M9" i="8"/>
  <c r="P13" i="1"/>
  <c r="Q13" i="1" s="1"/>
  <c r="M13" i="1"/>
  <c r="F9" i="3" s="1"/>
  <c r="N13" i="1"/>
  <c r="P16" i="5"/>
  <c r="Q16" i="5" s="1"/>
  <c r="M16" i="5"/>
  <c r="U56" i="1"/>
  <c r="T39" i="7"/>
  <c r="P11" i="1"/>
  <c r="Q11" i="1" s="1"/>
  <c r="M11" i="1"/>
  <c r="F7" i="3" s="1"/>
  <c r="N11" i="1"/>
  <c r="U31" i="8"/>
  <c r="R57" i="6"/>
  <c r="L13" i="6"/>
  <c r="S32" i="8"/>
  <c r="R57" i="7"/>
  <c r="L13" i="7"/>
  <c r="M16" i="6"/>
  <c r="P16" i="6"/>
  <c r="Q16" i="6" s="1"/>
  <c r="T31" i="8"/>
  <c r="T32" i="8" s="1"/>
  <c r="P16" i="7"/>
  <c r="Q16" i="7" s="1"/>
  <c r="M16" i="7"/>
  <c r="L11" i="7"/>
  <c r="P9" i="7"/>
  <c r="Q9" i="7" s="1"/>
  <c r="M9" i="7"/>
  <c r="N9" i="7"/>
  <c r="L11" i="6"/>
  <c r="P9" i="6"/>
  <c r="Q9" i="6" s="1"/>
  <c r="M9" i="6"/>
  <c r="L5" i="3" s="1"/>
  <c r="N9" i="6"/>
  <c r="S47" i="5"/>
  <c r="S48" i="5" s="1"/>
  <c r="S57" i="5" s="1"/>
  <c r="P16" i="8"/>
  <c r="Q16" i="8" s="1"/>
  <c r="M16" i="8"/>
  <c r="U43" i="7" l="1"/>
  <c r="U57" i="7" s="1"/>
  <c r="T47" i="5"/>
  <c r="P11" i="7"/>
  <c r="Q11" i="7" s="1"/>
  <c r="N11" i="7"/>
  <c r="M11" i="7"/>
  <c r="T33" i="8"/>
  <c r="T34" i="8" s="1"/>
  <c r="P13" i="6"/>
  <c r="Q13" i="6" s="1"/>
  <c r="N13" i="6"/>
  <c r="M13" i="6"/>
  <c r="L9" i="3" s="1"/>
  <c r="P13" i="7"/>
  <c r="Q13" i="7" s="1"/>
  <c r="M13" i="7"/>
  <c r="N13" i="7"/>
  <c r="M11" i="8"/>
  <c r="P11" i="8"/>
  <c r="Q11" i="8" s="1"/>
  <c r="N11" i="8"/>
  <c r="P13" i="5"/>
  <c r="Q13" i="5" s="1"/>
  <c r="M13" i="5"/>
  <c r="I9" i="3" s="1"/>
  <c r="N13" i="5"/>
  <c r="U47" i="5"/>
  <c r="U48" i="5" s="1"/>
  <c r="U57" i="5" s="1"/>
  <c r="S33" i="8"/>
  <c r="S34" i="8" s="1"/>
  <c r="U32" i="8"/>
  <c r="P11" i="5"/>
  <c r="Q11" i="5" s="1"/>
  <c r="M11" i="5"/>
  <c r="I7" i="3" s="1"/>
  <c r="N11" i="5"/>
  <c r="T43" i="7"/>
  <c r="T57" i="7" s="1"/>
  <c r="P11" i="6"/>
  <c r="Q11" i="6" s="1"/>
  <c r="M11" i="6"/>
  <c r="L7" i="3" s="1"/>
  <c r="N11" i="6"/>
  <c r="P13" i="8"/>
  <c r="Q13" i="8" s="1"/>
  <c r="N13" i="8"/>
  <c r="M13" i="8"/>
  <c r="T48" i="5" l="1"/>
  <c r="T57" i="5" s="1"/>
  <c r="S35" i="8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7" i="8" s="1"/>
  <c r="U33" i="8"/>
  <c r="T35" i="8"/>
  <c r="T36" i="8" l="1"/>
  <c r="U34" i="8"/>
  <c r="U35" i="8" l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7" i="8" s="1"/>
  <c r="T37" i="8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7" i="8" s="1"/>
</calcChain>
</file>

<file path=xl/sharedStrings.xml><?xml version="1.0" encoding="utf-8"?>
<sst xmlns="http://schemas.openxmlformats.org/spreadsheetml/2006/main" count="665" uniqueCount="139">
  <si>
    <t>(отчетная дата)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</si>
  <si>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</si>
  <si>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</si>
  <si>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</si>
  <si>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</si>
  <si>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</si>
  <si>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</si>
  <si>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</si>
  <si>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</si>
  <si>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</si>
  <si>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</si>
  <si>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</si>
  <si>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</si>
  <si>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</si>
  <si>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</si>
  <si>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</si>
  <si>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</si>
  <si>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</si>
  <si>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</si>
  <si>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</si>
  <si>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</si>
  <si>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</si>
  <si>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</si>
  <si>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</si>
  <si>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</si>
  <si>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</si>
  <si>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</si>
  <si>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</si>
  <si>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</si>
  <si>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</si>
  <si>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</si>
  <si>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</si>
  <si>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</si>
  <si>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</si>
  <si>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</si>
  <si>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UNOde50</t>
  </si>
  <si>
    <t>IS</t>
  </si>
  <si>
    <t>Agafi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</si>
  <si>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</si>
  <si>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</si>
  <si>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</si>
  <si>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</si>
  <si>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</si>
  <si>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</si>
  <si>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</si>
  <si>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</si>
  <si>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</si>
  <si>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Рогалевич,Уразгильдеева,Арапова</t>
  </si>
  <si>
    <t>сб</t>
  </si>
  <si>
    <t>Рогалевич,Уразгильдеева</t>
  </si>
  <si>
    <t>вс</t>
  </si>
  <si>
    <t>Рогалевич,Арапова</t>
  </si>
  <si>
    <t>пн</t>
  </si>
  <si>
    <t>вт</t>
  </si>
  <si>
    <t>Рогалевич</t>
  </si>
  <si>
    <t>ср</t>
  </si>
  <si>
    <t>чт</t>
  </si>
  <si>
    <t>пт</t>
  </si>
  <si>
    <t>Уразгильдеева,Арапова</t>
  </si>
  <si>
    <t>итого</t>
  </si>
  <si>
    <t>КВП</t>
  </si>
  <si>
    <t>Итого</t>
  </si>
  <si>
    <t>1-20.08</t>
  </si>
  <si>
    <t xml:space="preserve">Факт </t>
  </si>
  <si>
    <t>Прогноз</t>
  </si>
  <si>
    <t>Кол-во смен план/отработано</t>
  </si>
  <si>
    <t>Отклонение от плана</t>
  </si>
  <si>
    <t>Конверсия</t>
  </si>
  <si>
    <t xml:space="preserve">                          ЕЖЕДНЕВНЫЙ ОТЧЕТ О ПРОДАЖАХ</t>
  </si>
  <si>
    <t>в</t>
  </si>
  <si>
    <t>Арапова Анна -Мария</t>
  </si>
  <si>
    <t>Доп сотрудник</t>
  </si>
  <si>
    <t>08.11.2025НАСТЯ</t>
  </si>
  <si>
    <t>19.11.2025Лера</t>
  </si>
  <si>
    <t>21.11.2025 Настя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</si>
  <si>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</si>
  <si>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</si>
  <si>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</si>
  <si>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</si>
  <si>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</si>
  <si>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</si>
  <si>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</si>
  <si>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</si>
  <si>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</si>
  <si>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</si>
  <si>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</si>
  <si>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</si>
  <si>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</si>
  <si>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</si>
  <si>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НДФЛ ноябрь 2025</t>
  </si>
  <si>
    <t>Административный %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</si>
  <si>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</si>
  <si>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</si>
  <si>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</si>
  <si>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</si>
  <si>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</si>
  <si>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</si>
  <si>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</si>
  <si>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</si>
  <si>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</si>
  <si>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</si>
  <si>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</si>
  <si>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</si>
  <si>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</si>
  <si>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</si>
  <si>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</si>
  <si>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</si>
  <si>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</si>
  <si>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пб</t>
  </si>
  <si>
    <t>Ноябрь, 2025</t>
  </si>
  <si>
    <t>г. Ялта</t>
  </si>
  <si>
    <t>ул. Набережная Ленина, 18</t>
  </si>
  <si>
    <t>GL-0005</t>
  </si>
  <si>
    <t>10.00-22.00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</si>
  <si>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</si>
  <si>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</si>
  <si>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</si>
  <si>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</si>
  <si>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</si>
  <si>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</si>
  <si>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</si>
  <si>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</si>
  <si>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</si>
  <si>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</si>
  <si>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Арапова Анна-Мария</t>
  </si>
  <si>
    <t>Уразгильдеева Екатерина</t>
  </si>
  <si>
    <t>о</t>
  </si>
  <si>
    <t>Рогалевич Ирина</t>
  </si>
  <si>
    <t>УМ</t>
  </si>
  <si>
    <t>Итого магазин</t>
  </si>
  <si>
    <t>я</t>
  </si>
  <si>
    <t>Выделять рабочие дни цветом, выходные не выделять.</t>
  </si>
  <si>
    <t xml:space="preserve">    </t>
  </si>
  <si>
    <t>Указывать темной или светлой заливкой вечернюю или утреннюю смену.</t>
  </si>
  <si>
    <t>Отпускные 03-15.11</t>
  </si>
  <si>
    <t>Корж Анастасия</t>
  </si>
  <si>
    <t>Козлова Валерия</t>
  </si>
  <si>
    <t>Корж</t>
  </si>
  <si>
    <t>Козлова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</si>
</sst>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₽&quot;;\-#,##0\ &quot;₽&quot;"/>
    <numFmt numFmtId="164" formatCode="dddd&quot;, &quot;mmmm\ dd&quot;, &quot;yyyy"/>
    <numFmt numFmtId="165" formatCode="0.0%"/>
    <numFmt numFmtId="166" formatCode="#,##0\ &quot;₽&quot;"/>
    <numFmt numFmtId="167" formatCode="#,##0.0"/>
    <numFmt numFmtId="168" formatCode="_-* #,##0.00_р_._-;\-* #,##0.00_р_._-;_-* \-??_р_._-;_-@_-"/>
    <numFmt numFmtId="169" formatCode="#,##0.00\ &quot;₽&quot;"/>
    <numFmt numFmtId="170" formatCode="#,##0\ _₽"/>
    <numFmt numFmtId="171" formatCode="#,##0.00\ _₽"/>
    <numFmt numFmtId="172" formatCode="0.0"/>
    <numFmt numFmtId="173" formatCode="mmmm\ yyyy;@"/>
  </numFmts>
  <fonts count="55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b/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theme="1"/>
      <name val="Clinica Pro Regular"/>
    </font>
    <font>
      <sz val="8"/>
      <color indexed="63"/>
      <name val="Clinica Pro Regular"/>
    </font>
    <font>
      <sz val="9"/>
      <color theme="1"/>
      <name val="Clinica Pro Regular"/>
    </font>
    <font>
      <sz val="10"/>
      <name val="Clinica Pro Regular"/>
    </font>
    <font>
      <sz val="10"/>
      <color indexed="63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sz val="10"/>
      <color theme="0"/>
      <name val="Clinica Pro Regular"/>
    </font>
    <font>
      <b/>
      <sz val="11"/>
      <name val="Clinica Pro Regular"/>
    </font>
    <font>
      <sz val="12"/>
      <color theme="1"/>
      <name val="Clinica Pro Regular"/>
    </font>
    <font>
      <sz val="12"/>
      <color indexed="2"/>
      <name val="Clinica Pro Regular"/>
    </font>
    <font>
      <sz val="11"/>
      <color indexed="6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6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2"/>
      </patternFill>
    </fill>
    <fill>
      <patternFill patternType="solid">
        <fgColor theme="9" tint="0.79998168889431442"/>
        <bgColor theme="2"/>
      </patternFill>
    </fill>
    <fill>
      <patternFill patternType="solid">
        <fgColor theme="4" tint="0.79998168889431442"/>
        <bgColor theme="3" tint="0.79998168889431442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theme="7" tint="0.59999389629810485"/>
      </patternFill>
    </fill>
  </fills>
  <borders count="1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54" fillId="0" borderId="0" applyFont="0" applyFill="0" applyBorder="0" applyProtection="0"/>
  </cellStyleXfs>
  <cellXfs count="6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1" fontId="2" fillId="2" borderId="0" xfId="0" applyNumberFormat="1" applyFont="1" applyFill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0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0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0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166" fontId="16" fillId="7" borderId="19" xfId="1" applyNumberFormat="1" applyFont="1" applyFill="1" applyBorder="1" applyAlignment="1" applyProtection="1">
      <alignment horizontal="right" vertical="center"/>
    </xf>
    <xf numFmtId="166" fontId="2" fillId="8" borderId="24" xfId="0" applyNumberFormat="1" applyFont="1" applyFill="1" applyBorder="1"/>
    <xf numFmtId="3" fontId="16" fillId="3" borderId="16" xfId="0" applyNumberFormat="1" applyFont="1" applyFill="1" applyBorder="1" applyAlignment="1">
      <alignment horizontal="center" vertical="center"/>
    </xf>
    <xf numFmtId="10" fontId="16" fillId="6" borderId="24" xfId="1" applyNumberFormat="1" applyFont="1" applyFill="1" applyBorder="1" applyAlignment="1" applyProtection="1">
      <alignment vertical="center"/>
    </xf>
    <xf numFmtId="10" fontId="0" fillId="2" borderId="0" xfId="0" applyNumberFormat="1" applyFill="1"/>
    <xf numFmtId="3" fontId="16" fillId="9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10" fontId="16" fillId="4" borderId="30" xfId="0" applyNumberFormat="1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3" fontId="16" fillId="3" borderId="31" xfId="0" applyNumberFormat="1" applyFont="1" applyFill="1" applyBorder="1" applyAlignment="1">
      <alignment horizontal="center" vertical="center"/>
    </xf>
    <xf numFmtId="3" fontId="24" fillId="0" borderId="30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8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3" fontId="16" fillId="4" borderId="31" xfId="0" applyNumberFormat="1" applyFont="1" applyFill="1" applyBorder="1" applyAlignment="1">
      <alignment horizontal="center" vertical="center"/>
    </xf>
    <xf numFmtId="10" fontId="19" fillId="3" borderId="33" xfId="0" applyNumberFormat="1" applyFont="1" applyFill="1" applyBorder="1" applyAlignment="1">
      <alignment horizontal="center" vertical="center"/>
    </xf>
    <xf numFmtId="10" fontId="19" fillId="10" borderId="34" xfId="1" applyNumberFormat="1" applyFont="1" applyFill="1" applyBorder="1" applyAlignment="1" applyProtection="1">
      <alignment horizontal="center" vertical="center"/>
    </xf>
    <xf numFmtId="10" fontId="19" fillId="6" borderId="34" xfId="1" applyNumberFormat="1" applyFont="1" applyFill="1" applyBorder="1" applyAlignment="1" applyProtection="1">
      <alignment horizontal="center" vertical="center"/>
    </xf>
    <xf numFmtId="10" fontId="24" fillId="0" borderId="34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165" fontId="20" fillId="0" borderId="34" xfId="0" applyNumberFormat="1" applyFont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11" borderId="24" xfId="0" applyFont="1" applyFill="1" applyBorder="1" applyAlignment="1">
      <alignment horizontal="center" vertical="center" wrapText="1"/>
    </xf>
    <xf numFmtId="0" fontId="17" fillId="12" borderId="24" xfId="0" applyFont="1" applyFill="1" applyBorder="1" applyAlignment="1">
      <alignment horizontal="center" vertical="center" wrapText="1"/>
    </xf>
    <xf numFmtId="0" fontId="26" fillId="11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11" borderId="24" xfId="0" applyFont="1" applyFill="1" applyBorder="1" applyAlignment="1">
      <alignment horizontal="center" vertical="top" wrapText="1"/>
    </xf>
    <xf numFmtId="0" fontId="17" fillId="11" borderId="24" xfId="0" applyFont="1" applyFill="1" applyBorder="1" applyAlignment="1">
      <alignment horizontal="center" vertical="top" wrapText="1"/>
    </xf>
    <xf numFmtId="0" fontId="27" fillId="0" borderId="24" xfId="0" applyFont="1" applyBorder="1" applyAlignment="1">
      <alignment horizontal="center" vertical="center"/>
    </xf>
    <xf numFmtId="16" fontId="16" fillId="0" borderId="24" xfId="0" applyNumberFormat="1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right"/>
    </xf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3" fontId="16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vertical="center"/>
    </xf>
    <xf numFmtId="0" fontId="29" fillId="0" borderId="0" xfId="0" applyFont="1"/>
    <xf numFmtId="3" fontId="30" fillId="0" borderId="24" xfId="0" applyNumberFormat="1" applyFont="1" applyBorder="1" applyAlignment="1">
      <alignment horizontal="center" vertical="top"/>
    </xf>
    <xf numFmtId="168" fontId="2" fillId="0" borderId="0" xfId="0" applyNumberFormat="1" applyFont="1"/>
    <xf numFmtId="0" fontId="27" fillId="13" borderId="24" xfId="0" applyFont="1" applyFill="1" applyBorder="1" applyAlignment="1">
      <alignment horizontal="center" vertical="center"/>
    </xf>
    <xf numFmtId="4" fontId="16" fillId="13" borderId="24" xfId="0" applyNumberFormat="1" applyFont="1" applyFill="1" applyBorder="1" applyAlignment="1">
      <alignment horizontal="center" vertical="top"/>
    </xf>
    <xf numFmtId="3" fontId="16" fillId="13" borderId="24" xfId="0" applyNumberFormat="1" applyFont="1" applyFill="1" applyBorder="1" applyAlignment="1">
      <alignment horizontal="center" vertical="top"/>
    </xf>
    <xf numFmtId="165" fontId="16" fillId="13" borderId="24" xfId="0" applyNumberFormat="1" applyFont="1" applyFill="1" applyBorder="1" applyAlignment="1">
      <alignment horizontal="center" vertical="top"/>
    </xf>
    <xf numFmtId="9" fontId="3" fillId="13" borderId="24" xfId="0" applyNumberFormat="1" applyFont="1" applyFill="1" applyBorder="1" applyAlignment="1">
      <alignment horizontal="center" vertical="center"/>
    </xf>
    <xf numFmtId="3" fontId="16" fillId="13" borderId="24" xfId="0" applyNumberFormat="1" applyFont="1" applyFill="1" applyBorder="1" applyAlignment="1">
      <alignment horizontal="center"/>
    </xf>
    <xf numFmtId="3" fontId="16" fillId="13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1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1" fillId="0" borderId="0" xfId="0" applyNumberFormat="1" applyFont="1"/>
    <xf numFmtId="4" fontId="3" fillId="0" borderId="0" xfId="0" applyNumberFormat="1" applyFont="1"/>
    <xf numFmtId="3" fontId="3" fillId="14" borderId="0" xfId="0" applyNumberFormat="1" applyFont="1" applyFill="1"/>
    <xf numFmtId="3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3" fontId="3" fillId="4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42" xfId="0" applyBorder="1"/>
    <xf numFmtId="4" fontId="0" fillId="0" borderId="43" xfId="0" applyNumberFormat="1" applyBorder="1"/>
    <xf numFmtId="10" fontId="0" fillId="0" borderId="21" xfId="0" applyNumberFormat="1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44" xfId="0" applyBorder="1"/>
    <xf numFmtId="4" fontId="0" fillId="0" borderId="45" xfId="0" applyNumberFormat="1" applyBorder="1"/>
    <xf numFmtId="10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1" xfId="0" applyBorder="1"/>
    <xf numFmtId="4" fontId="0" fillId="0" borderId="32" xfId="0" applyNumberFormat="1" applyBorder="1"/>
    <xf numFmtId="10" fontId="0" fillId="0" borderId="36" xfId="0" applyNumberFormat="1" applyBorder="1"/>
    <xf numFmtId="3" fontId="17" fillId="5" borderId="35" xfId="0" applyNumberFormat="1" applyFont="1" applyFill="1" applyBorder="1" applyAlignment="1">
      <alignment horizontal="center" vertical="center"/>
    </xf>
    <xf numFmtId="3" fontId="17" fillId="5" borderId="27" xfId="0" applyNumberFormat="1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 wrapText="1"/>
    </xf>
    <xf numFmtId="10" fontId="32" fillId="0" borderId="18" xfId="0" applyNumberFormat="1" applyFont="1" applyBorder="1" applyAlignment="1">
      <alignment horizontal="center" vertical="center"/>
    </xf>
    <xf numFmtId="166" fontId="32" fillId="0" borderId="40" xfId="0" applyNumberFormat="1" applyFont="1" applyBorder="1" applyAlignment="1">
      <alignment horizontal="center" vertical="center"/>
    </xf>
    <xf numFmtId="10" fontId="32" fillId="0" borderId="49" xfId="0" applyNumberFormat="1" applyFont="1" applyBorder="1" applyAlignment="1">
      <alignment horizontal="center" vertical="center"/>
    </xf>
    <xf numFmtId="10" fontId="32" fillId="0" borderId="53" xfId="1" applyNumberFormat="1" applyFont="1" applyBorder="1" applyAlignment="1" applyProtection="1">
      <alignment horizontal="center" vertical="center"/>
    </xf>
    <xf numFmtId="166" fontId="32" fillId="0" borderId="54" xfId="1" applyNumberFormat="1" applyFont="1" applyBorder="1" applyAlignment="1" applyProtection="1">
      <alignment horizontal="center" vertical="center"/>
    </xf>
    <xf numFmtId="10" fontId="32" fillId="0" borderId="55" xfId="0" applyNumberFormat="1" applyFont="1" applyBorder="1" applyAlignment="1">
      <alignment horizontal="center" vertical="center"/>
    </xf>
    <xf numFmtId="10" fontId="32" fillId="0" borderId="18" xfId="1" applyNumberFormat="1" applyFont="1" applyBorder="1" applyAlignment="1" applyProtection="1">
      <alignment horizontal="center" vertical="center"/>
    </xf>
    <xf numFmtId="10" fontId="20" fillId="0" borderId="49" xfId="0" applyNumberFormat="1" applyFont="1" applyBorder="1" applyAlignment="1">
      <alignment horizontal="center" vertical="center"/>
    </xf>
    <xf numFmtId="10" fontId="32" fillId="0" borderId="56" xfId="0" applyNumberFormat="1" applyFont="1" applyBorder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/>
    </xf>
    <xf numFmtId="10" fontId="32" fillId="0" borderId="26" xfId="0" applyNumberFormat="1" applyFont="1" applyBorder="1" applyAlignment="1">
      <alignment horizontal="center" vertical="center"/>
    </xf>
    <xf numFmtId="10" fontId="32" fillId="0" borderId="23" xfId="1" applyNumberFormat="1" applyFont="1" applyBorder="1" applyAlignment="1" applyProtection="1">
      <alignment horizontal="center" vertical="center"/>
    </xf>
    <xf numFmtId="1" fontId="32" fillId="0" borderId="24" xfId="1" applyNumberFormat="1" applyFont="1" applyBorder="1" applyAlignment="1" applyProtection="1">
      <alignment horizontal="center" vertical="center"/>
    </xf>
    <xf numFmtId="10" fontId="32" fillId="0" borderId="25" xfId="0" applyNumberFormat="1" applyFont="1" applyBorder="1" applyAlignment="1">
      <alignment horizontal="center" vertical="center"/>
    </xf>
    <xf numFmtId="10" fontId="32" fillId="0" borderId="56" xfId="1" applyNumberFormat="1" applyFont="1" applyBorder="1" applyAlignment="1" applyProtection="1">
      <alignment horizontal="center" vertical="center"/>
    </xf>
    <xf numFmtId="3" fontId="32" fillId="0" borderId="24" xfId="1" applyNumberFormat="1" applyFont="1" applyBorder="1" applyAlignment="1" applyProtection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166" fontId="32" fillId="0" borderId="16" xfId="0" applyNumberFormat="1" applyFont="1" applyBorder="1" applyAlignment="1">
      <alignment horizontal="center" vertical="center"/>
    </xf>
    <xf numFmtId="166" fontId="32" fillId="0" borderId="24" xfId="1" applyNumberFormat="1" applyFont="1" applyBorder="1" applyAlignment="1" applyProtection="1">
      <alignment horizontal="center" vertical="center"/>
    </xf>
    <xf numFmtId="2" fontId="32" fillId="0" borderId="16" xfId="0" applyNumberFormat="1" applyFont="1" applyBorder="1" applyAlignment="1">
      <alignment horizontal="center" vertical="center"/>
    </xf>
    <xf numFmtId="2" fontId="32" fillId="0" borderId="24" xfId="1" applyNumberFormat="1" applyFont="1" applyBorder="1" applyAlignment="1" applyProtection="1">
      <alignment horizontal="center" vertical="center"/>
    </xf>
    <xf numFmtId="4" fontId="32" fillId="0" borderId="24" xfId="1" applyNumberFormat="1" applyFont="1" applyBorder="1" applyAlignment="1" applyProtection="1">
      <alignment horizontal="center" vertical="center"/>
    </xf>
    <xf numFmtId="1" fontId="32" fillId="0" borderId="24" xfId="0" applyNumberFormat="1" applyFont="1" applyBorder="1" applyAlignment="1">
      <alignment horizontal="center" vertical="center"/>
    </xf>
    <xf numFmtId="166" fontId="32" fillId="0" borderId="24" xfId="0" applyNumberFormat="1" applyFont="1" applyBorder="1" applyAlignment="1">
      <alignment horizontal="center" vertical="center"/>
    </xf>
    <xf numFmtId="169" fontId="32" fillId="0" borderId="24" xfId="1" applyNumberFormat="1" applyFont="1" applyBorder="1" applyAlignment="1" applyProtection="1">
      <alignment horizontal="center" vertical="center"/>
    </xf>
    <xf numFmtId="10" fontId="32" fillId="0" borderId="52" xfId="0" applyNumberFormat="1" applyFont="1" applyBorder="1" applyAlignment="1">
      <alignment horizontal="center" vertical="center"/>
    </xf>
    <xf numFmtId="10" fontId="32" fillId="0" borderId="17" xfId="0" applyNumberFormat="1" applyFont="1" applyBorder="1" applyAlignment="1">
      <alignment horizontal="center" vertical="center"/>
    </xf>
    <xf numFmtId="10" fontId="32" fillId="0" borderId="6" xfId="0" applyNumberFormat="1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0" fontId="32" fillId="0" borderId="8" xfId="0" applyNumberFormat="1" applyFont="1" applyBorder="1" applyAlignment="1">
      <alignment horizontal="center" vertical="center"/>
    </xf>
    <xf numFmtId="10" fontId="32" fillId="0" borderId="58" xfId="1" applyNumberFormat="1" applyFont="1" applyBorder="1" applyAlignment="1" applyProtection="1">
      <alignment horizontal="center" vertical="center"/>
    </xf>
    <xf numFmtId="166" fontId="32" fillId="0" borderId="57" xfId="1" applyNumberFormat="1" applyFont="1" applyBorder="1" applyAlignment="1" applyProtection="1">
      <alignment horizontal="center" vertical="center"/>
    </xf>
    <xf numFmtId="10" fontId="32" fillId="0" borderId="59" xfId="0" applyNumberFormat="1" applyFont="1" applyBorder="1" applyAlignment="1">
      <alignment horizontal="center" vertical="center"/>
    </xf>
    <xf numFmtId="10" fontId="32" fillId="0" borderId="60" xfId="1" applyNumberFormat="1" applyFont="1" applyBorder="1" applyAlignment="1" applyProtection="1">
      <alignment horizontal="center" vertical="center"/>
    </xf>
    <xf numFmtId="10" fontId="20" fillId="0" borderId="61" xfId="0" applyNumberFormat="1" applyFont="1" applyBorder="1" applyAlignment="1">
      <alignment horizontal="center" vertical="center"/>
    </xf>
    <xf numFmtId="0" fontId="27" fillId="0" borderId="0" xfId="0" applyFont="1"/>
    <xf numFmtId="3" fontId="3" fillId="0" borderId="39" xfId="0" applyNumberFormat="1" applyFont="1" applyBorder="1" applyAlignment="1">
      <alignment horizontal="center" vertical="center" wrapText="1"/>
    </xf>
    <xf numFmtId="3" fontId="33" fillId="6" borderId="15" xfId="0" applyNumberFormat="1" applyFont="1" applyFill="1" applyBorder="1" applyAlignment="1">
      <alignment horizontal="center" vertical="center" wrapText="1"/>
    </xf>
    <xf numFmtId="3" fontId="33" fillId="4" borderId="15" xfId="0" applyNumberFormat="1" applyFont="1" applyFill="1" applyBorder="1" applyAlignment="1">
      <alignment horizontal="center" vertical="center"/>
    </xf>
    <xf numFmtId="3" fontId="33" fillId="3" borderId="15" xfId="0" applyNumberFormat="1" applyFont="1" applyFill="1" applyBorder="1" applyAlignment="1">
      <alignment horizontal="center" vertical="center"/>
    </xf>
    <xf numFmtId="4" fontId="33" fillId="3" borderId="15" xfId="0" applyNumberFormat="1" applyFont="1" applyFill="1" applyBorder="1" applyAlignment="1">
      <alignment horizontal="center" vertical="center"/>
    </xf>
    <xf numFmtId="10" fontId="33" fillId="6" borderId="15" xfId="0" applyNumberFormat="1" applyFont="1" applyFill="1" applyBorder="1" applyAlignment="1">
      <alignment horizontal="center" vertical="center"/>
    </xf>
    <xf numFmtId="170" fontId="34" fillId="0" borderId="15" xfId="0" applyNumberFormat="1" applyFont="1" applyBorder="1" applyAlignment="1">
      <alignment horizontal="center"/>
    </xf>
    <xf numFmtId="170" fontId="34" fillId="0" borderId="63" xfId="0" applyNumberFormat="1" applyFont="1" applyBorder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64" xfId="0" applyNumberFormat="1" applyFont="1" applyFill="1" applyBorder="1"/>
    <xf numFmtId="0" fontId="38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10" fontId="23" fillId="0" borderId="25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22" fillId="0" borderId="25" xfId="0" applyNumberFormat="1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0" fontId="23" fillId="0" borderId="27" xfId="0" applyNumberFormat="1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165" fontId="19" fillId="3" borderId="33" xfId="0" applyNumberFormat="1" applyFont="1" applyFill="1" applyBorder="1" applyAlignment="1">
      <alignment horizontal="center" vertical="center"/>
    </xf>
    <xf numFmtId="165" fontId="19" fillId="4" borderId="34" xfId="0" applyNumberFormat="1" applyFont="1" applyFill="1" applyBorder="1" applyAlignment="1">
      <alignment horizontal="center" vertical="center"/>
    </xf>
    <xf numFmtId="10" fontId="19" fillId="4" borderId="34" xfId="0" applyNumberFormat="1" applyFont="1" applyFill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 wrapText="1"/>
    </xf>
    <xf numFmtId="0" fontId="26" fillId="15" borderId="24" xfId="0" applyFont="1" applyFill="1" applyBorder="1" applyAlignment="1">
      <alignment horizontal="center" vertical="center" wrapText="1"/>
    </xf>
    <xf numFmtId="0" fontId="16" fillId="15" borderId="24" xfId="0" applyFont="1" applyFill="1" applyBorder="1" applyAlignment="1">
      <alignment horizontal="center" vertical="top" wrapText="1"/>
    </xf>
    <xf numFmtId="0" fontId="16" fillId="15" borderId="30" xfId="0" applyFont="1" applyFill="1" applyBorder="1" applyAlignment="1">
      <alignment horizontal="center" vertical="top" wrapText="1"/>
    </xf>
    <xf numFmtId="0" fontId="17" fillId="15" borderId="24" xfId="0" applyFont="1" applyFill="1" applyBorder="1" applyAlignment="1">
      <alignment horizontal="center" vertical="top" wrapText="1"/>
    </xf>
    <xf numFmtId="0" fontId="31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 vertical="top"/>
    </xf>
    <xf numFmtId="4" fontId="16" fillId="0" borderId="0" xfId="0" applyNumberFormat="1" applyFont="1" applyAlignment="1">
      <alignment horizontal="center" vertical="top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vertical="top"/>
    </xf>
    <xf numFmtId="0" fontId="27" fillId="0" borderId="0" xfId="0" applyFont="1" applyAlignment="1">
      <alignment horizontal="center"/>
    </xf>
    <xf numFmtId="10" fontId="3" fillId="2" borderId="0" xfId="0" applyNumberFormat="1" applyFont="1" applyFill="1"/>
    <xf numFmtId="10" fontId="23" fillId="0" borderId="19" xfId="0" applyNumberFormat="1" applyFont="1" applyBorder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0" fontId="23" fillId="0" borderId="24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66" fontId="3" fillId="2" borderId="0" xfId="0" applyNumberFormat="1" applyFont="1" applyFill="1"/>
    <xf numFmtId="166" fontId="3" fillId="0" borderId="0" xfId="0" applyNumberFormat="1" applyFont="1"/>
    <xf numFmtId="10" fontId="18" fillId="0" borderId="0" xfId="0" applyNumberFormat="1" applyFont="1" applyAlignment="1">
      <alignment horizontal="center" vertical="center"/>
    </xf>
    <xf numFmtId="10" fontId="18" fillId="0" borderId="24" xfId="0" applyNumberFormat="1" applyFont="1" applyBorder="1" applyAlignment="1">
      <alignment horizontal="center" vertical="center"/>
    </xf>
    <xf numFmtId="0" fontId="0" fillId="14" borderId="0" xfId="0" applyFill="1"/>
    <xf numFmtId="3" fontId="30" fillId="0" borderId="0" xfId="0" applyNumberFormat="1" applyFont="1" applyAlignment="1">
      <alignment horizontal="center" vertical="top"/>
    </xf>
    <xf numFmtId="3" fontId="16" fillId="0" borderId="46" xfId="0" applyNumberFormat="1" applyFont="1" applyBorder="1" applyAlignment="1">
      <alignment horizontal="center" vertical="top"/>
    </xf>
    <xf numFmtId="10" fontId="16" fillId="0" borderId="46" xfId="0" applyNumberFormat="1" applyFont="1" applyBorder="1" applyAlignment="1">
      <alignment horizontal="center" vertical="top"/>
    </xf>
    <xf numFmtId="3" fontId="28" fillId="0" borderId="46" xfId="0" applyNumberFormat="1" applyFont="1" applyBorder="1" applyAlignment="1">
      <alignment horizontal="center"/>
    </xf>
    <xf numFmtId="0" fontId="3" fillId="0" borderId="28" xfId="0" applyFont="1" applyBorder="1"/>
    <xf numFmtId="10" fontId="16" fillId="0" borderId="47" xfId="0" applyNumberFormat="1" applyFont="1" applyBorder="1" applyAlignment="1">
      <alignment horizontal="center" vertical="top"/>
    </xf>
    <xf numFmtId="3" fontId="28" fillId="0" borderId="66" xfId="0" applyNumberFormat="1" applyFont="1" applyBorder="1" applyAlignment="1">
      <alignment horizontal="center"/>
    </xf>
    <xf numFmtId="3" fontId="16" fillId="0" borderId="46" xfId="0" applyNumberFormat="1" applyFont="1" applyBorder="1" applyAlignment="1">
      <alignment horizontal="center"/>
    </xf>
    <xf numFmtId="2" fontId="16" fillId="0" borderId="46" xfId="0" applyNumberFormat="1" applyFont="1" applyBorder="1" applyAlignment="1">
      <alignment horizontal="right"/>
    </xf>
    <xf numFmtId="10" fontId="16" fillId="0" borderId="25" xfId="0" applyNumberFormat="1" applyFont="1" applyBorder="1" applyAlignment="1">
      <alignment horizontal="center" vertical="top"/>
    </xf>
    <xf numFmtId="3" fontId="28" fillId="0" borderId="23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33" fillId="17" borderId="69" xfId="0" applyFont="1" applyFill="1" applyBorder="1" applyAlignment="1">
      <alignment horizontal="center" vertical="center" wrapText="1"/>
    </xf>
    <xf numFmtId="0" fontId="33" fillId="17" borderId="70" xfId="0" applyFont="1" applyFill="1" applyBorder="1" applyAlignment="1">
      <alignment horizontal="center" vertical="center" wrapText="1"/>
    </xf>
    <xf numFmtId="0" fontId="33" fillId="17" borderId="18" xfId="0" applyFont="1" applyFill="1" applyBorder="1" applyAlignment="1">
      <alignment horizontal="center" vertical="center" wrapText="1"/>
    </xf>
    <xf numFmtId="0" fontId="33" fillId="17" borderId="54" xfId="0" applyFont="1" applyFill="1" applyBorder="1" applyAlignment="1">
      <alignment horizontal="center" vertical="center" wrapText="1"/>
    </xf>
    <xf numFmtId="0" fontId="33" fillId="17" borderId="55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0" fontId="33" fillId="17" borderId="71" xfId="0" applyFont="1" applyFill="1" applyBorder="1" applyAlignment="1">
      <alignment horizontal="center" vertical="center" wrapText="1"/>
    </xf>
    <xf numFmtId="0" fontId="33" fillId="17" borderId="72" xfId="0" applyFont="1" applyFill="1" applyBorder="1" applyAlignment="1">
      <alignment horizontal="center" vertical="center" wrapText="1"/>
    </xf>
    <xf numFmtId="0" fontId="33" fillId="17" borderId="39" xfId="0" applyFont="1" applyFill="1" applyBorder="1" applyAlignment="1">
      <alignment horizontal="center" vertical="center" wrapText="1"/>
    </xf>
    <xf numFmtId="0" fontId="33" fillId="17" borderId="73" xfId="0" applyFont="1" applyFill="1" applyBorder="1" applyAlignment="1">
      <alignment horizontal="center" vertical="center" wrapText="1"/>
    </xf>
    <xf numFmtId="171" fontId="21" fillId="18" borderId="75" xfId="0" applyNumberFormat="1" applyFont="1" applyFill="1" applyBorder="1" applyAlignment="1">
      <alignment horizontal="right" vertical="top" wrapText="1" indent="1"/>
    </xf>
    <xf numFmtId="171" fontId="21" fillId="18" borderId="72" xfId="0" applyNumberFormat="1" applyFont="1" applyFill="1" applyBorder="1" applyAlignment="1">
      <alignment horizontal="right" vertical="top" wrapText="1"/>
    </xf>
    <xf numFmtId="171" fontId="21" fillId="18" borderId="76" xfId="0" applyNumberFormat="1" applyFont="1" applyFill="1" applyBorder="1" applyAlignment="1">
      <alignment horizontal="right" vertical="top" wrapText="1" indent="1"/>
    </xf>
    <xf numFmtId="171" fontId="21" fillId="18" borderId="77" xfId="0" applyNumberFormat="1" applyFont="1" applyFill="1" applyBorder="1" applyAlignment="1">
      <alignment horizontal="right" vertical="top" wrapText="1" indent="1"/>
    </xf>
    <xf numFmtId="171" fontId="21" fillId="18" borderId="34" xfId="0" applyNumberFormat="1" applyFont="1" applyFill="1" applyBorder="1" applyAlignment="1">
      <alignment horizontal="right" vertical="top" wrapText="1" indent="1"/>
    </xf>
    <xf numFmtId="171" fontId="21" fillId="18" borderId="35" xfId="0" applyNumberFormat="1" applyFont="1" applyFill="1" applyBorder="1" applyAlignment="1">
      <alignment horizontal="right" vertical="top" wrapText="1" indent="1"/>
    </xf>
    <xf numFmtId="171" fontId="21" fillId="0" borderId="37" xfId="0" applyNumberFormat="1" applyFont="1" applyBorder="1" applyAlignment="1">
      <alignment horizontal="right" vertical="top" wrapText="1" indent="1"/>
    </xf>
    <xf numFmtId="171" fontId="21" fillId="0" borderId="71" xfId="0" applyNumberFormat="1" applyFont="1" applyBorder="1" applyAlignment="1">
      <alignment horizontal="right" vertical="top" wrapText="1" indent="1"/>
    </xf>
    <xf numFmtId="171" fontId="21" fillId="18" borderId="72" xfId="0" applyNumberFormat="1" applyFont="1" applyFill="1" applyBorder="1" applyAlignment="1">
      <alignment horizontal="right" vertical="top" wrapText="1" indent="1"/>
    </xf>
    <xf numFmtId="171" fontId="21" fillId="18" borderId="78" xfId="0" applyNumberFormat="1" applyFont="1" applyFill="1" applyBorder="1" applyAlignment="1">
      <alignment horizontal="right" vertical="top" wrapText="1" indent="1"/>
    </xf>
    <xf numFmtId="171" fontId="21" fillId="18" borderId="73" xfId="0" applyNumberFormat="1" applyFont="1" applyFill="1" applyBorder="1" applyAlignment="1">
      <alignment horizontal="right" vertical="top" wrapText="1"/>
    </xf>
    <xf numFmtId="0" fontId="39" fillId="4" borderId="44" xfId="0" applyFont="1" applyFill="1" applyBorder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0" fontId="39" fillId="4" borderId="0" xfId="0" applyFont="1" applyFill="1" applyAlignment="1">
      <alignment horizontal="left" vertical="top"/>
    </xf>
    <xf numFmtId="2" fontId="39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67" xfId="0" applyFont="1" applyFill="1" applyBorder="1" applyAlignment="1">
      <alignment horizontal="left"/>
    </xf>
    <xf numFmtId="0" fontId="39" fillId="4" borderId="44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7" xfId="0" applyFont="1" applyFill="1" applyBorder="1" applyAlignment="1">
      <alignment horizontal="center" vertical="center"/>
    </xf>
    <xf numFmtId="14" fontId="39" fillId="4" borderId="24" xfId="0" applyNumberFormat="1" applyFont="1" applyFill="1" applyBorder="1" applyAlignment="1">
      <alignment horizontal="center" vertical="top"/>
    </xf>
    <xf numFmtId="4" fontId="39" fillId="4" borderId="24" xfId="0" applyNumberFormat="1" applyFont="1" applyFill="1" applyBorder="1" applyAlignment="1">
      <alignment horizontal="right" vertical="top"/>
    </xf>
    <xf numFmtId="0" fontId="39" fillId="4" borderId="24" xfId="0" applyFont="1" applyFill="1" applyBorder="1" applyAlignment="1">
      <alignment horizontal="left" vertical="top" wrapText="1"/>
    </xf>
    <xf numFmtId="0" fontId="39" fillId="19" borderId="44" xfId="0" applyFont="1" applyFill="1" applyBorder="1" applyAlignment="1">
      <alignment horizontal="left" vertical="top"/>
    </xf>
    <xf numFmtId="0" fontId="39" fillId="19" borderId="0" xfId="0" applyFont="1" applyFill="1" applyAlignment="1">
      <alignment horizontal="left" vertical="top"/>
    </xf>
    <xf numFmtId="4" fontId="40" fillId="19" borderId="0" xfId="0" applyNumberFormat="1" applyFont="1" applyFill="1" applyAlignment="1">
      <alignment horizontal="right" vertical="top"/>
    </xf>
    <xf numFmtId="0" fontId="39" fillId="19" borderId="0" xfId="0" applyFont="1" applyFill="1" applyAlignment="1">
      <alignment horizontal="right" vertical="top"/>
    </xf>
    <xf numFmtId="0" fontId="16" fillId="19" borderId="0" xfId="0" applyFont="1" applyFill="1" applyAlignment="1">
      <alignment horizontal="left"/>
    </xf>
    <xf numFmtId="2" fontId="40" fillId="19" borderId="0" xfId="0" applyNumberFormat="1" applyFont="1" applyFill="1" applyAlignment="1">
      <alignment horizontal="left" vertical="top"/>
    </xf>
    <xf numFmtId="2" fontId="39" fillId="19" borderId="0" xfId="0" applyNumberFormat="1" applyFont="1" applyFill="1" applyAlignment="1">
      <alignment horizontal="left" vertical="top"/>
    </xf>
    <xf numFmtId="0" fontId="16" fillId="19" borderId="67" xfId="0" applyFont="1" applyFill="1" applyBorder="1" applyAlignment="1">
      <alignment horizontal="left"/>
    </xf>
    <xf numFmtId="0" fontId="39" fillId="4" borderId="0" xfId="0" applyFont="1" applyFill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4" fontId="0" fillId="0" borderId="0" xfId="0" applyNumberFormat="1"/>
    <xf numFmtId="1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top"/>
    </xf>
    <xf numFmtId="2" fontId="40" fillId="4" borderId="24" xfId="0" applyNumberFormat="1" applyFont="1" applyFill="1" applyBorder="1" applyAlignment="1">
      <alignment horizontal="right" vertical="center" wrapText="1" indent="1"/>
    </xf>
    <xf numFmtId="4" fontId="39" fillId="4" borderId="0" xfId="0" applyNumberFormat="1" applyFont="1" applyFill="1" applyAlignment="1">
      <alignment horizontal="left" vertical="top"/>
    </xf>
    <xf numFmtId="10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center"/>
    </xf>
    <xf numFmtId="172" fontId="39" fillId="4" borderId="24" xfId="0" applyNumberFormat="1" applyFont="1" applyFill="1" applyBorder="1" applyAlignment="1">
      <alignment horizontal="center" vertical="center" wrapText="1"/>
    </xf>
    <xf numFmtId="10" fontId="39" fillId="4" borderId="24" xfId="0" applyNumberFormat="1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left" vertical="center"/>
    </xf>
    <xf numFmtId="172" fontId="39" fillId="4" borderId="0" xfId="0" applyNumberFormat="1" applyFont="1" applyFill="1" applyAlignment="1">
      <alignment horizontal="center" vertical="center" wrapText="1"/>
    </xf>
    <xf numFmtId="2" fontId="40" fillId="4" borderId="0" xfId="0" applyNumberFormat="1" applyFont="1" applyFill="1" applyAlignment="1">
      <alignment horizontal="right" vertical="center" wrapText="1"/>
    </xf>
    <xf numFmtId="4" fontId="17" fillId="19" borderId="0" xfId="0" applyNumberFormat="1" applyFont="1" applyFill="1" applyAlignment="1">
      <alignment horizontal="right"/>
    </xf>
    <xf numFmtId="0" fontId="16" fillId="19" borderId="0" xfId="0" applyFont="1" applyFill="1" applyAlignment="1">
      <alignment horizontal="right"/>
    </xf>
    <xf numFmtId="2" fontId="16" fillId="19" borderId="0" xfId="0" applyNumberFormat="1" applyFont="1" applyFill="1" applyAlignment="1">
      <alignment horizontal="left"/>
    </xf>
    <xf numFmtId="0" fontId="16" fillId="4" borderId="44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67" xfId="0" applyFont="1" applyBorder="1"/>
    <xf numFmtId="0" fontId="40" fillId="4" borderId="21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16" fillId="4" borderId="65" xfId="0" applyFont="1" applyFill="1" applyBorder="1" applyAlignment="1">
      <alignment horizontal="left"/>
    </xf>
    <xf numFmtId="0" fontId="16" fillId="4" borderId="44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2" fontId="40" fillId="4" borderId="24" xfId="0" applyNumberFormat="1" applyFont="1" applyFill="1" applyBorder="1" applyAlignment="1">
      <alignment horizontal="right" vertical="top" indent="1"/>
    </xf>
    <xf numFmtId="3" fontId="39" fillId="4" borderId="24" xfId="0" applyNumberFormat="1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vertical="top"/>
    </xf>
    <xf numFmtId="3" fontId="16" fillId="4" borderId="24" xfId="0" applyNumberFormat="1" applyFont="1" applyFill="1" applyBorder="1" applyAlignment="1">
      <alignment vertical="top"/>
    </xf>
    <xf numFmtId="2" fontId="40" fillId="4" borderId="26" xfId="0" applyNumberFormat="1" applyFont="1" applyFill="1" applyBorder="1" applyAlignment="1">
      <alignment horizontal="right" vertical="top" indent="1"/>
    </xf>
    <xf numFmtId="4" fontId="39" fillId="4" borderId="24" xfId="0" applyNumberFormat="1" applyFont="1" applyFill="1" applyBorder="1" applyAlignment="1">
      <alignment horizontal="right" vertical="center" wrapText="1"/>
    </xf>
    <xf numFmtId="3" fontId="39" fillId="4" borderId="24" xfId="0" applyNumberFormat="1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vertical="center"/>
    </xf>
    <xf numFmtId="172" fontId="39" fillId="4" borderId="24" xfId="0" applyNumberFormat="1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top" wrapText="1"/>
    </xf>
    <xf numFmtId="10" fontId="39" fillId="4" borderId="24" xfId="0" applyNumberFormat="1" applyFont="1" applyFill="1" applyBorder="1" applyAlignment="1">
      <alignment horizontal="center" vertical="top" wrapText="1"/>
    </xf>
    <xf numFmtId="2" fontId="40" fillId="4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1" fillId="13" borderId="30" xfId="0" applyFont="1" applyFill="1" applyBorder="1" applyAlignment="1">
      <alignment horizontal="center" vertical="center"/>
    </xf>
    <xf numFmtId="0" fontId="33" fillId="17" borderId="24" xfId="0" applyFont="1" applyFill="1" applyBorder="1" applyAlignment="1">
      <alignment horizontal="center" vertical="center" wrapText="1"/>
    </xf>
    <xf numFmtId="0" fontId="33" fillId="17" borderId="25" xfId="0" applyFont="1" applyFill="1" applyBorder="1" applyAlignment="1">
      <alignment horizontal="center" vertical="center" wrapText="1"/>
    </xf>
    <xf numFmtId="0" fontId="33" fillId="17" borderId="3" xfId="0" applyFont="1" applyFill="1" applyBorder="1" applyAlignment="1">
      <alignment horizontal="center" vertical="center" wrapText="1"/>
    </xf>
    <xf numFmtId="171" fontId="33" fillId="18" borderId="24" xfId="0" applyNumberFormat="1" applyFont="1" applyFill="1" applyBorder="1" applyAlignment="1">
      <alignment horizontal="right" vertical="top" wrapText="1" indent="1"/>
    </xf>
    <xf numFmtId="171" fontId="33" fillId="18" borderId="25" xfId="0" applyNumberFormat="1" applyFont="1" applyFill="1" applyBorder="1" applyAlignment="1">
      <alignment horizontal="right" vertical="top" wrapText="1"/>
    </xf>
    <xf numFmtId="171" fontId="33" fillId="18" borderId="76" xfId="0" applyNumberFormat="1" applyFont="1" applyFill="1" applyBorder="1" applyAlignment="1">
      <alignment horizontal="right" vertical="top" wrapText="1" indent="1"/>
    </xf>
    <xf numFmtId="171" fontId="33" fillId="18" borderId="77" xfId="0" applyNumberFormat="1" applyFont="1" applyFill="1" applyBorder="1" applyAlignment="1">
      <alignment horizontal="right" vertical="top" wrapText="1" indent="1"/>
    </xf>
    <xf numFmtId="171" fontId="33" fillId="18" borderId="34" xfId="0" applyNumberFormat="1" applyFont="1" applyFill="1" applyBorder="1" applyAlignment="1">
      <alignment horizontal="right" vertical="top" wrapText="1" indent="1"/>
    </xf>
    <xf numFmtId="171" fontId="33" fillId="18" borderId="35" xfId="0" applyNumberFormat="1" applyFont="1" applyFill="1" applyBorder="1" applyAlignment="1">
      <alignment horizontal="right" vertical="top" wrapText="1" indent="1"/>
    </xf>
    <xf numFmtId="171" fontId="33" fillId="0" borderId="35" xfId="0" applyNumberFormat="1" applyFont="1" applyBorder="1" applyAlignment="1">
      <alignment horizontal="right" vertical="top" wrapText="1" indent="1"/>
    </xf>
    <xf numFmtId="171" fontId="21" fillId="0" borderId="77" xfId="0" applyNumberFormat="1" applyFont="1" applyBorder="1" applyAlignment="1">
      <alignment horizontal="right" vertical="top" wrapText="1" indent="1"/>
    </xf>
    <xf numFmtId="171" fontId="21" fillId="18" borderId="37" xfId="0" applyNumberFormat="1" applyFont="1" applyFill="1" applyBorder="1" applyAlignment="1">
      <alignment horizontal="right" vertical="top" wrapText="1" indent="1"/>
    </xf>
    <xf numFmtId="171" fontId="21" fillId="18" borderId="80" xfId="0" applyNumberFormat="1" applyFont="1" applyFill="1" applyBorder="1" applyAlignment="1">
      <alignment horizontal="right" vertical="top" wrapText="1" indent="1"/>
    </xf>
    <xf numFmtId="14" fontId="39" fillId="4" borderId="0" xfId="0" applyNumberFormat="1" applyFont="1" applyFill="1" applyAlignment="1">
      <alignment horizontal="center" vertical="top"/>
    </xf>
    <xf numFmtId="4" fontId="39" fillId="4" borderId="0" xfId="0" applyNumberFormat="1" applyFont="1" applyFill="1" applyAlignment="1">
      <alignment horizontal="center" vertical="top"/>
    </xf>
    <xf numFmtId="0" fontId="39" fillId="4" borderId="0" xfId="0" applyFont="1" applyFill="1" applyAlignment="1">
      <alignment horizontal="left" vertical="top" wrapText="1"/>
    </xf>
    <xf numFmtId="2" fontId="17" fillId="19" borderId="0" xfId="0" applyNumberFormat="1" applyFont="1" applyFill="1" applyAlignment="1">
      <alignment horizontal="left"/>
    </xf>
    <xf numFmtId="0" fontId="33" fillId="17" borderId="11" xfId="0" applyFont="1" applyFill="1" applyBorder="1" applyAlignment="1">
      <alignment horizontal="center" vertical="center" wrapText="1"/>
    </xf>
    <xf numFmtId="171" fontId="33" fillId="18" borderId="75" xfId="0" applyNumberFormat="1" applyFont="1" applyFill="1" applyBorder="1" applyAlignment="1">
      <alignment horizontal="right" vertical="top" wrapText="1" indent="1"/>
    </xf>
    <xf numFmtId="171" fontId="33" fillId="18" borderId="72" xfId="0" applyNumberFormat="1" applyFont="1" applyFill="1" applyBorder="1" applyAlignment="1">
      <alignment horizontal="right" vertical="top" wrapText="1"/>
    </xf>
    <xf numFmtId="171" fontId="33" fillId="0" borderId="37" xfId="0" applyNumberFormat="1" applyFont="1" applyBorder="1" applyAlignment="1">
      <alignment horizontal="right" vertical="top" wrapText="1" indent="1"/>
    </xf>
    <xf numFmtId="0" fontId="21" fillId="20" borderId="81" xfId="0" applyFont="1" applyFill="1" applyBorder="1"/>
    <xf numFmtId="173" fontId="41" fillId="21" borderId="82" xfId="0" applyNumberFormat="1" applyFont="1" applyFill="1" applyBorder="1" applyAlignment="1" applyProtection="1">
      <alignment horizontal="left"/>
      <protection locked="0"/>
    </xf>
    <xf numFmtId="0" fontId="33" fillId="20" borderId="83" xfId="0" applyFont="1" applyFill="1" applyBorder="1"/>
    <xf numFmtId="0" fontId="42" fillId="21" borderId="84" xfId="0" applyFont="1" applyFill="1" applyBorder="1" applyProtection="1">
      <protection locked="0"/>
    </xf>
    <xf numFmtId="0" fontId="43" fillId="20" borderId="0" xfId="0" applyFont="1" applyFill="1" applyAlignment="1">
      <alignment vertical="center"/>
    </xf>
    <xf numFmtId="0" fontId="33" fillId="20" borderId="0" xfId="0" applyFont="1" applyFill="1"/>
    <xf numFmtId="0" fontId="42" fillId="22" borderId="85" xfId="0" applyFont="1" applyFill="1" applyBorder="1"/>
    <xf numFmtId="0" fontId="43" fillId="23" borderId="0" xfId="0" applyFont="1" applyFill="1" applyAlignment="1">
      <alignment vertical="center"/>
    </xf>
    <xf numFmtId="0" fontId="33" fillId="23" borderId="0" xfId="0" applyFont="1" applyFill="1"/>
    <xf numFmtId="0" fontId="44" fillId="22" borderId="85" xfId="0" applyFont="1" applyFill="1" applyBorder="1"/>
    <xf numFmtId="0" fontId="42" fillId="22" borderId="86" xfId="0" applyFont="1" applyFill="1" applyBorder="1"/>
    <xf numFmtId="0" fontId="47" fillId="20" borderId="87" xfId="0" applyFont="1" applyFill="1" applyBorder="1" applyAlignment="1">
      <alignment horizontal="center" wrapText="1"/>
    </xf>
    <xf numFmtId="0" fontId="21" fillId="20" borderId="90" xfId="0" applyFont="1" applyFill="1" applyBorder="1" applyAlignment="1">
      <alignment horizontal="center"/>
    </xf>
    <xf numFmtId="0" fontId="33" fillId="24" borderId="0" xfId="0" applyFont="1" applyFill="1"/>
    <xf numFmtId="0" fontId="21" fillId="20" borderId="91" xfId="0" applyFont="1" applyFill="1" applyBorder="1"/>
    <xf numFmtId="2" fontId="47" fillId="20" borderId="92" xfId="0" applyNumberFormat="1" applyFont="1" applyFill="1" applyBorder="1" applyAlignment="1">
      <alignment horizontal="center"/>
    </xf>
    <xf numFmtId="3" fontId="48" fillId="20" borderId="87" xfId="0" applyNumberFormat="1" applyFont="1" applyFill="1" applyBorder="1" applyAlignment="1">
      <alignment horizontal="center"/>
    </xf>
    <xf numFmtId="10" fontId="33" fillId="24" borderId="0" xfId="0" applyNumberFormat="1" applyFont="1" applyFill="1"/>
    <xf numFmtId="0" fontId="21" fillId="20" borderId="93" xfId="0" applyFont="1" applyFill="1" applyBorder="1"/>
    <xf numFmtId="0" fontId="33" fillId="20" borderId="89" xfId="0" applyFont="1" applyFill="1" applyBorder="1"/>
    <xf numFmtId="0" fontId="33" fillId="20" borderId="94" xfId="0" applyFont="1" applyFill="1" applyBorder="1"/>
    <xf numFmtId="0" fontId="21" fillId="25" borderId="95" xfId="0" applyFont="1" applyFill="1" applyBorder="1" applyAlignment="1" applyProtection="1">
      <alignment wrapText="1"/>
      <protection locked="0"/>
    </xf>
    <xf numFmtId="0" fontId="33" fillId="26" borderId="96" xfId="0" applyFont="1" applyFill="1" applyBorder="1"/>
    <xf numFmtId="0" fontId="21" fillId="27" borderId="96" xfId="0" applyFont="1" applyFill="1" applyBorder="1" applyAlignment="1">
      <alignment horizontal="center" vertical="center" wrapText="1"/>
    </xf>
    <xf numFmtId="0" fontId="33" fillId="20" borderId="97" xfId="0" applyFont="1" applyFill="1" applyBorder="1"/>
    <xf numFmtId="0" fontId="33" fillId="20" borderId="98" xfId="0" applyFont="1" applyFill="1" applyBorder="1"/>
    <xf numFmtId="0" fontId="33" fillId="26" borderId="98" xfId="0" applyFont="1" applyFill="1" applyBorder="1"/>
    <xf numFmtId="0" fontId="21" fillId="27" borderId="99" xfId="0" applyFont="1" applyFill="1" applyBorder="1" applyAlignment="1">
      <alignment horizontal="center" vertical="center" wrapText="1"/>
    </xf>
    <xf numFmtId="0" fontId="21" fillId="20" borderId="9" xfId="0" applyFont="1" applyFill="1" applyBorder="1" applyAlignment="1">
      <alignment vertical="center" wrapText="1"/>
    </xf>
    <xf numFmtId="0" fontId="21" fillId="20" borderId="100" xfId="0" applyFont="1" applyFill="1" applyBorder="1" applyAlignment="1">
      <alignment horizontal="center" vertical="center"/>
    </xf>
    <xf numFmtId="0" fontId="48" fillId="20" borderId="101" xfId="0" applyFont="1" applyFill="1" applyBorder="1" applyAlignment="1">
      <alignment horizontal="center" vertical="center"/>
    </xf>
    <xf numFmtId="0" fontId="48" fillId="20" borderId="95" xfId="0" applyFont="1" applyFill="1" applyBorder="1" applyAlignment="1">
      <alignment horizontal="center" vertical="center"/>
    </xf>
    <xf numFmtId="0" fontId="48" fillId="26" borderId="95" xfId="0" applyFont="1" applyFill="1" applyBorder="1" applyAlignment="1">
      <alignment horizontal="center" vertical="center"/>
    </xf>
    <xf numFmtId="0" fontId="21" fillId="27" borderId="95" xfId="0" applyFont="1" applyFill="1" applyBorder="1" applyAlignment="1">
      <alignment horizontal="center" vertical="center" wrapText="1"/>
    </xf>
    <xf numFmtId="0" fontId="21" fillId="27" borderId="102" xfId="0" applyFont="1" applyFill="1" applyBorder="1" applyAlignment="1">
      <alignment horizontal="center" vertical="center" wrapText="1"/>
    </xf>
    <xf numFmtId="0" fontId="21" fillId="20" borderId="82" xfId="0" applyFont="1" applyFill="1" applyBorder="1"/>
    <xf numFmtId="0" fontId="49" fillId="0" borderId="105" xfId="0" applyFont="1" applyBorder="1"/>
    <xf numFmtId="0" fontId="33" fillId="0" borderId="106" xfId="0" applyFont="1" applyBorder="1"/>
    <xf numFmtId="0" fontId="3" fillId="0" borderId="106" xfId="0" applyFont="1" applyBorder="1"/>
    <xf numFmtId="0" fontId="33" fillId="0" borderId="107" xfId="0" applyFont="1" applyBorder="1"/>
    <xf numFmtId="3" fontId="33" fillId="26" borderId="19" xfId="0" applyNumberFormat="1" applyFont="1" applyFill="1" applyBorder="1" applyAlignment="1">
      <alignment horizontal="center"/>
    </xf>
    <xf numFmtId="3" fontId="33" fillId="27" borderId="105" xfId="0" applyNumberFormat="1" applyFont="1" applyFill="1" applyBorder="1" applyAlignment="1">
      <alignment horizontal="center"/>
    </xf>
    <xf numFmtId="3" fontId="33" fillId="27" borderId="106" xfId="0" applyNumberFormat="1" applyFont="1" applyFill="1" applyBorder="1" applyAlignment="1">
      <alignment horizontal="center"/>
    </xf>
    <xf numFmtId="3" fontId="33" fillId="0" borderId="106" xfId="0" applyNumberFormat="1" applyFont="1" applyBorder="1" applyAlignment="1">
      <alignment horizontal="center"/>
    </xf>
    <xf numFmtId="0" fontId="21" fillId="20" borderId="84" xfId="0" applyFont="1" applyFill="1" applyBorder="1"/>
    <xf numFmtId="0" fontId="49" fillId="0" borderId="108" xfId="0" applyFont="1" applyBorder="1"/>
    <xf numFmtId="0" fontId="33" fillId="0" borderId="109" xfId="0" applyFont="1" applyBorder="1"/>
    <xf numFmtId="0" fontId="3" fillId="0" borderId="109" xfId="0" applyFont="1" applyBorder="1"/>
    <xf numFmtId="0" fontId="33" fillId="0" borderId="110" xfId="0" applyFont="1" applyBorder="1"/>
    <xf numFmtId="3" fontId="33" fillId="26" borderId="24" xfId="0" applyNumberFormat="1" applyFont="1" applyFill="1" applyBorder="1" applyAlignment="1">
      <alignment horizontal="center"/>
    </xf>
    <xf numFmtId="3" fontId="33" fillId="27" borderId="108" xfId="0" applyNumberFormat="1" applyFont="1" applyFill="1" applyBorder="1" applyAlignment="1">
      <alignment horizontal="center"/>
    </xf>
    <xf numFmtId="3" fontId="33" fillId="27" borderId="109" xfId="0" applyNumberFormat="1" applyFont="1" applyFill="1" applyBorder="1" applyAlignment="1">
      <alignment horizontal="center"/>
    </xf>
    <xf numFmtId="3" fontId="33" fillId="0" borderId="109" xfId="0" applyNumberFormat="1" applyFont="1" applyBorder="1" applyAlignment="1">
      <alignment horizontal="center"/>
    </xf>
    <xf numFmtId="0" fontId="33" fillId="14" borderId="109" xfId="0" applyFont="1" applyFill="1" applyBorder="1"/>
    <xf numFmtId="0" fontId="50" fillId="0" borderId="109" xfId="0" applyFont="1" applyBorder="1"/>
    <xf numFmtId="0" fontId="49" fillId="0" borderId="108" xfId="0" applyFont="1" applyBorder="1" applyProtection="1">
      <protection locked="0"/>
    </xf>
    <xf numFmtId="0" fontId="49" fillId="0" borderId="109" xfId="0" applyFont="1" applyBorder="1" applyProtection="1">
      <protection locked="0"/>
    </xf>
    <xf numFmtId="0" fontId="3" fillId="0" borderId="109" xfId="0" applyFont="1" applyBorder="1" applyProtection="1">
      <protection locked="0"/>
    </xf>
    <xf numFmtId="0" fontId="49" fillId="0" borderId="24" xfId="0" applyFont="1" applyBorder="1"/>
    <xf numFmtId="0" fontId="49" fillId="0" borderId="0" xfId="0" applyFont="1" applyProtection="1">
      <protection locked="0"/>
    </xf>
    <xf numFmtId="0" fontId="49" fillId="0" borderId="110" xfId="0" applyFont="1" applyBorder="1" applyProtection="1">
      <protection locked="0"/>
    </xf>
    <xf numFmtId="0" fontId="43" fillId="0" borderId="108" xfId="0" applyFont="1" applyBorder="1" applyProtection="1">
      <protection locked="0"/>
    </xf>
    <xf numFmtId="0" fontId="43" fillId="0" borderId="109" xfId="0" applyFont="1" applyBorder="1" applyProtection="1">
      <protection locked="0"/>
    </xf>
    <xf numFmtId="0" fontId="43" fillId="0" borderId="24" xfId="0" applyFont="1" applyBorder="1"/>
    <xf numFmtId="0" fontId="21" fillId="28" borderId="84" xfId="0" applyFont="1" applyFill="1" applyBorder="1" applyProtection="1">
      <protection locked="0"/>
    </xf>
    <xf numFmtId="0" fontId="43" fillId="29" borderId="24" xfId="0" applyFont="1" applyFill="1" applyBorder="1"/>
    <xf numFmtId="0" fontId="49" fillId="14" borderId="24" xfId="0" applyFont="1" applyFill="1" applyBorder="1"/>
    <xf numFmtId="0" fontId="49" fillId="14" borderId="109" xfId="0" applyFont="1" applyFill="1" applyBorder="1" applyProtection="1">
      <protection locked="0"/>
    </xf>
    <xf numFmtId="0" fontId="49" fillId="14" borderId="111" xfId="0" applyFont="1" applyFill="1" applyBorder="1" applyProtection="1">
      <protection locked="0"/>
    </xf>
    <xf numFmtId="3" fontId="33" fillId="30" borderId="24" xfId="0" applyNumberFormat="1" applyFont="1" applyFill="1" applyBorder="1" applyAlignment="1" applyProtection="1">
      <alignment horizontal="center"/>
      <protection hidden="1"/>
    </xf>
    <xf numFmtId="3" fontId="33" fillId="31" borderId="108" xfId="0" applyNumberFormat="1" applyFont="1" applyFill="1" applyBorder="1" applyAlignment="1" applyProtection="1">
      <alignment horizontal="center"/>
      <protection hidden="1"/>
    </xf>
    <xf numFmtId="3" fontId="33" fillId="31" borderId="109" xfId="0" applyNumberFormat="1" applyFont="1" applyFill="1" applyBorder="1" applyAlignment="1" applyProtection="1">
      <alignment horizontal="center"/>
      <protection hidden="1"/>
    </xf>
    <xf numFmtId="3" fontId="33" fillId="0" borderId="109" xfId="0" applyNumberFormat="1" applyFont="1" applyBorder="1" applyAlignment="1" applyProtection="1">
      <alignment horizontal="center"/>
      <protection hidden="1"/>
    </xf>
    <xf numFmtId="0" fontId="51" fillId="20" borderId="84" xfId="0" applyFont="1" applyFill="1" applyBorder="1"/>
    <xf numFmtId="3" fontId="49" fillId="26" borderId="24" xfId="0" applyNumberFormat="1" applyFont="1" applyFill="1" applyBorder="1" applyAlignment="1">
      <alignment horizontal="center"/>
    </xf>
    <xf numFmtId="3" fontId="49" fillId="27" borderId="108" xfId="0" applyNumberFormat="1" applyFont="1" applyFill="1" applyBorder="1" applyAlignment="1">
      <alignment horizontal="center"/>
    </xf>
    <xf numFmtId="3" fontId="49" fillId="27" borderId="109" xfId="0" applyNumberFormat="1" applyFont="1" applyFill="1" applyBorder="1" applyAlignment="1">
      <alignment horizontal="center"/>
    </xf>
    <xf numFmtId="3" fontId="49" fillId="0" borderId="109" xfId="0" applyNumberFormat="1" applyFont="1" applyBorder="1" applyAlignment="1">
      <alignment horizontal="center"/>
    </xf>
    <xf numFmtId="0" fontId="21" fillId="28" borderId="112" xfId="0" applyFont="1" applyFill="1" applyBorder="1" applyProtection="1">
      <protection locked="0"/>
    </xf>
    <xf numFmtId="0" fontId="43" fillId="0" borderId="24" xfId="0" applyFont="1" applyBorder="1" applyProtection="1">
      <protection locked="0"/>
    </xf>
    <xf numFmtId="0" fontId="43" fillId="32" borderId="24" xfId="0" applyFont="1" applyFill="1" applyBorder="1"/>
    <xf numFmtId="0" fontId="49" fillId="32" borderId="109" xfId="0" applyFont="1" applyFill="1" applyBorder="1" applyProtection="1">
      <protection locked="0"/>
    </xf>
    <xf numFmtId="0" fontId="49" fillId="32" borderId="24" xfId="0" applyFont="1" applyFill="1" applyBorder="1"/>
    <xf numFmtId="3" fontId="33" fillId="30" borderId="23" xfId="0" applyNumberFormat="1" applyFont="1" applyFill="1" applyBorder="1" applyAlignment="1" applyProtection="1">
      <alignment horizontal="center"/>
      <protection hidden="1"/>
    </xf>
    <xf numFmtId="3" fontId="33" fillId="0" borderId="111" xfId="0" applyNumberFormat="1" applyFont="1" applyBorder="1" applyAlignment="1" applyProtection="1">
      <alignment horizontal="center"/>
      <protection hidden="1"/>
    </xf>
    <xf numFmtId="0" fontId="43" fillId="33" borderId="24" xfId="0" applyFont="1" applyFill="1" applyBorder="1"/>
    <xf numFmtId="0" fontId="43" fillId="34" borderId="24" xfId="0" applyFont="1" applyFill="1" applyBorder="1"/>
    <xf numFmtId="0" fontId="43" fillId="16" borderId="24" xfId="0" applyFont="1" applyFill="1" applyBorder="1"/>
    <xf numFmtId="0" fontId="49" fillId="34" borderId="24" xfId="0" applyFont="1" applyFill="1" applyBorder="1"/>
    <xf numFmtId="0" fontId="43" fillId="35" borderId="24" xfId="0" applyFont="1" applyFill="1" applyBorder="1"/>
    <xf numFmtId="0" fontId="49" fillId="35" borderId="24" xfId="0" applyFont="1" applyFill="1" applyBorder="1"/>
    <xf numFmtId="0" fontId="49" fillId="33" borderId="24" xfId="0" applyFont="1" applyFill="1" applyBorder="1"/>
    <xf numFmtId="0" fontId="43" fillId="0" borderId="113" xfId="0" applyFont="1" applyBorder="1" applyProtection="1">
      <protection locked="0"/>
    </xf>
    <xf numFmtId="0" fontId="51" fillId="20" borderId="114" xfId="0" applyFont="1" applyFill="1" applyBorder="1"/>
    <xf numFmtId="0" fontId="43" fillId="0" borderId="31" xfId="0" applyFont="1" applyBorder="1" applyProtection="1">
      <protection locked="0"/>
    </xf>
    <xf numFmtId="0" fontId="43" fillId="0" borderId="30" xfId="0" applyFont="1" applyBorder="1" applyProtection="1">
      <protection locked="0"/>
    </xf>
    <xf numFmtId="0" fontId="52" fillId="0" borderId="24" xfId="0" applyFont="1" applyBorder="1"/>
    <xf numFmtId="0" fontId="43" fillId="0" borderId="0" xfId="0" applyFont="1"/>
    <xf numFmtId="0" fontId="53" fillId="0" borderId="23" xfId="0" applyFont="1" applyBorder="1"/>
    <xf numFmtId="0" fontId="43" fillId="0" borderId="23" xfId="0" applyFont="1" applyBorder="1"/>
    <xf numFmtId="3" fontId="49" fillId="26" borderId="28" xfId="0" applyNumberFormat="1" applyFont="1" applyFill="1" applyBorder="1" applyAlignment="1">
      <alignment horizontal="center"/>
    </xf>
    <xf numFmtId="3" fontId="49" fillId="27" borderId="111" xfId="0" applyNumberFormat="1" applyFont="1" applyFill="1" applyBorder="1" applyAlignment="1">
      <alignment horizontal="center"/>
    </xf>
    <xf numFmtId="3" fontId="49" fillId="0" borderId="111" xfId="0" applyNumberFormat="1" applyFont="1" applyBorder="1" applyAlignment="1">
      <alignment horizontal="center"/>
    </xf>
    <xf numFmtId="3" fontId="21" fillId="20" borderId="115" xfId="0" applyNumberFormat="1" applyFont="1" applyFill="1" applyBorder="1" applyAlignment="1">
      <alignment horizontal="center"/>
    </xf>
    <xf numFmtId="3" fontId="21" fillId="26" borderId="95" xfId="0" applyNumberFormat="1" applyFont="1" applyFill="1" applyBorder="1" applyAlignment="1">
      <alignment horizontal="center"/>
    </xf>
    <xf numFmtId="3" fontId="21" fillId="26" borderId="116" xfId="0" applyNumberFormat="1" applyFont="1" applyFill="1" applyBorder="1" applyAlignment="1">
      <alignment horizontal="center"/>
    </xf>
    <xf numFmtId="3" fontId="21" fillId="26" borderId="115" xfId="0" applyNumberFormat="1" applyFont="1" applyFill="1" applyBorder="1" applyAlignment="1">
      <alignment horizontal="center"/>
    </xf>
    <xf numFmtId="3" fontId="21" fillId="26" borderId="102" xfId="0" applyNumberFormat="1" applyFont="1" applyFill="1" applyBorder="1" applyAlignment="1">
      <alignment horizontal="center"/>
    </xf>
    <xf numFmtId="3" fontId="21" fillId="26" borderId="13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165" fontId="16" fillId="6" borderId="27" xfId="1" applyNumberFormat="1" applyFont="1" applyFill="1" applyBorder="1" applyAlignment="1" applyProtection="1">
      <alignment horizontal="center" vertical="center" wrapText="1"/>
    </xf>
    <xf numFmtId="165" fontId="16" fillId="6" borderId="28" xfId="1" applyNumberFormat="1" applyFont="1" applyFill="1" applyBorder="1" applyAlignment="1" applyProtection="1">
      <alignment horizontal="center" vertical="center" wrapText="1"/>
    </xf>
    <xf numFmtId="165" fontId="16" fillId="6" borderId="20" xfId="1" applyNumberFormat="1" applyFont="1" applyFill="1" applyBorder="1" applyAlignment="1" applyProtection="1">
      <alignment horizontal="center" vertical="center" wrapText="1"/>
    </xf>
    <xf numFmtId="165" fontId="16" fillId="6" borderId="29" xfId="1" applyNumberFormat="1" applyFont="1" applyFill="1" applyBorder="1" applyAlignment="1" applyProtection="1">
      <alignment horizontal="center" vertical="center" wrapText="1"/>
    </xf>
    <xf numFmtId="165" fontId="16" fillId="6" borderId="24" xfId="1" applyNumberFormat="1" applyFont="1" applyFill="1" applyBorder="1" applyAlignment="1" applyProtection="1">
      <alignment horizontal="center" vertical="center" wrapText="1"/>
    </xf>
    <xf numFmtId="0" fontId="19" fillId="0" borderId="32" xfId="0" applyFont="1" applyBorder="1" applyAlignment="1">
      <alignment horizontal="left" vertical="center"/>
    </xf>
    <xf numFmtId="0" fontId="15" fillId="11" borderId="24" xfId="0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/>
    </xf>
    <xf numFmtId="0" fontId="25" fillId="11" borderId="24" xfId="0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top"/>
    </xf>
    <xf numFmtId="0" fontId="2" fillId="0" borderId="0" xfId="0" applyFont="1"/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48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48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 wrapText="1"/>
    </xf>
    <xf numFmtId="3" fontId="17" fillId="5" borderId="49" xfId="0" applyNumberFormat="1" applyFont="1" applyFill="1" applyBorder="1" applyAlignment="1">
      <alignment horizontal="center" vertical="center" wrapText="1"/>
    </xf>
    <xf numFmtId="3" fontId="17" fillId="5" borderId="41" xfId="0" applyNumberFormat="1" applyFont="1" applyFill="1" applyBorder="1" applyAlignment="1">
      <alignment horizontal="center" vertical="center"/>
    </xf>
    <xf numFmtId="3" fontId="17" fillId="5" borderId="33" xfId="0" applyNumberFormat="1" applyFont="1" applyFill="1" applyBorder="1" applyAlignment="1">
      <alignment horizontal="center" vertical="center"/>
    </xf>
    <xf numFmtId="3" fontId="17" fillId="5" borderId="50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3" fontId="17" fillId="5" borderId="41" xfId="0" applyNumberFormat="1" applyFont="1" applyFill="1" applyBorder="1" applyAlignment="1">
      <alignment horizontal="center" vertical="center" wrapText="1"/>
    </xf>
    <xf numFmtId="3" fontId="17" fillId="5" borderId="33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/>
    </xf>
    <xf numFmtId="0" fontId="20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5" fontId="32" fillId="0" borderId="9" xfId="0" applyNumberFormat="1" applyFont="1" applyBorder="1" applyAlignment="1">
      <alignment horizontal="center" vertical="center"/>
    </xf>
    <xf numFmtId="5" fontId="32" fillId="0" borderId="10" xfId="0" applyNumberFormat="1" applyFont="1" applyBorder="1" applyAlignment="1">
      <alignment horizontal="center" vertical="center"/>
    </xf>
    <xf numFmtId="5" fontId="32" fillId="0" borderId="4" xfId="0" applyNumberFormat="1" applyFont="1" applyBorder="1" applyAlignment="1">
      <alignment horizontal="center" vertical="center"/>
    </xf>
    <xf numFmtId="166" fontId="32" fillId="0" borderId="62" xfId="1" applyNumberFormat="1" applyFont="1" applyBorder="1" applyAlignment="1" applyProtection="1">
      <alignment horizontal="center" vertical="center"/>
    </xf>
    <xf numFmtId="166" fontId="32" fillId="0" borderId="13" xfId="1" applyNumberFormat="1" applyFont="1" applyBorder="1" applyAlignment="1" applyProtection="1">
      <alignment horizontal="center" vertical="center"/>
    </xf>
    <xf numFmtId="166" fontId="32" fillId="0" borderId="14" xfId="1" applyNumberFormat="1" applyFont="1" applyBorder="1" applyAlignment="1" applyProtection="1">
      <alignment horizontal="center" vertical="center"/>
    </xf>
    <xf numFmtId="166" fontId="32" fillId="0" borderId="58" xfId="1" applyNumberFormat="1" applyFont="1" applyBorder="1" applyAlignment="1" applyProtection="1">
      <alignment horizontal="center" vertical="center"/>
    </xf>
    <xf numFmtId="166" fontId="32" fillId="0" borderId="57" xfId="1" applyNumberFormat="1" applyFont="1" applyBorder="1" applyAlignment="1" applyProtection="1">
      <alignment horizontal="center" vertical="center"/>
    </xf>
    <xf numFmtId="166" fontId="32" fillId="0" borderId="61" xfId="1" applyNumberFormat="1" applyFont="1" applyBorder="1" applyAlignment="1" applyProtection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7" fillId="0" borderId="56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27" fillId="0" borderId="60" xfId="0" applyFont="1" applyBorder="1" applyAlignment="1">
      <alignment horizontal="left"/>
    </xf>
    <xf numFmtId="0" fontId="27" fillId="0" borderId="57" xfId="0" applyFont="1" applyBorder="1" applyAlignment="1">
      <alignment horizontal="left"/>
    </xf>
    <xf numFmtId="0" fontId="27" fillId="0" borderId="59" xfId="0" applyFont="1" applyBorder="1" applyAlignment="1">
      <alignment horizontal="left"/>
    </xf>
    <xf numFmtId="164" fontId="35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3" fontId="11" fillId="2" borderId="64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65" xfId="0" applyFont="1" applyBorder="1" applyAlignment="1">
      <alignment horizontal="left" vertical="center"/>
    </xf>
    <xf numFmtId="0" fontId="15" fillId="15" borderId="24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 wrapText="1"/>
    </xf>
    <xf numFmtId="0" fontId="17" fillId="13" borderId="25" xfId="0" applyFont="1" applyFill="1" applyBorder="1" applyAlignment="1">
      <alignment horizontal="center" vertical="top"/>
    </xf>
    <xf numFmtId="0" fontId="17" fillId="13" borderId="23" xfId="0" applyFont="1" applyFill="1" applyBorder="1" applyAlignment="1">
      <alignment horizontal="center" vertical="top"/>
    </xf>
    <xf numFmtId="17" fontId="21" fillId="16" borderId="38" xfId="0" applyNumberFormat="1" applyFont="1" applyFill="1" applyBorder="1" applyAlignment="1">
      <alignment horizontal="left" vertical="center" wrapText="1"/>
    </xf>
    <xf numFmtId="17" fontId="21" fillId="16" borderId="40" xfId="0" applyNumberFormat="1" applyFont="1" applyFill="1" applyBorder="1" applyAlignment="1">
      <alignment horizontal="left" vertical="center" wrapText="1"/>
    </xf>
    <xf numFmtId="17" fontId="21" fillId="16" borderId="53" xfId="0" applyNumberFormat="1" applyFont="1" applyFill="1" applyBorder="1" applyAlignment="1">
      <alignment horizontal="left" vertical="center" wrapText="1"/>
    </xf>
    <xf numFmtId="0" fontId="21" fillId="4" borderId="56" xfId="0" applyFont="1" applyFill="1" applyBorder="1" applyAlignment="1">
      <alignment horizontal="left" vertical="center" wrapText="1"/>
    </xf>
    <xf numFmtId="0" fontId="21" fillId="4" borderId="24" xfId="0" applyFont="1" applyFill="1" applyBorder="1" applyAlignment="1">
      <alignment horizontal="left" vertical="center" wrapText="1"/>
    </xf>
    <xf numFmtId="0" fontId="33" fillId="17" borderId="68" xfId="0" applyFont="1" applyFill="1" applyBorder="1" applyAlignment="1">
      <alignment horizontal="center" vertical="center" wrapText="1"/>
    </xf>
    <xf numFmtId="0" fontId="33" fillId="17" borderId="69" xfId="0" applyFont="1" applyFill="1" applyBorder="1" applyAlignment="1">
      <alignment horizontal="center" vertical="center" wrapText="1"/>
    </xf>
    <xf numFmtId="3" fontId="21" fillId="18" borderId="74" xfId="0" applyNumberFormat="1" applyFont="1" applyFill="1" applyBorder="1" applyAlignment="1">
      <alignment horizontal="left" vertical="top" wrapText="1"/>
    </xf>
    <xf numFmtId="0" fontId="21" fillId="18" borderId="75" xfId="0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center" vertical="top"/>
    </xf>
    <xf numFmtId="0" fontId="17" fillId="4" borderId="0" xfId="0" applyFont="1" applyFill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left" vertical="top"/>
    </xf>
    <xf numFmtId="0" fontId="39" fillId="4" borderId="24" xfId="0" applyFont="1" applyFill="1" applyBorder="1" applyAlignment="1">
      <alignment horizontal="left" vertical="center"/>
    </xf>
    <xf numFmtId="0" fontId="21" fillId="4" borderId="79" xfId="0" applyFont="1" applyFill="1" applyBorder="1" applyAlignment="1">
      <alignment horizontal="left" vertical="center" wrapText="1"/>
    </xf>
    <xf numFmtId="0" fontId="21" fillId="4" borderId="30" xfId="0" applyFont="1" applyFill="1" applyBorder="1" applyAlignment="1">
      <alignment horizontal="left" vertical="center" wrapText="1"/>
    </xf>
    <xf numFmtId="0" fontId="33" fillId="17" borderId="24" xfId="0" applyFont="1" applyFill="1" applyBorder="1" applyAlignment="1">
      <alignment horizontal="center" vertical="center" wrapText="1"/>
    </xf>
    <xf numFmtId="3" fontId="21" fillId="18" borderId="24" xfId="0" applyNumberFormat="1" applyFont="1" applyFill="1" applyBorder="1" applyAlignment="1">
      <alignment horizontal="left" vertical="top" wrapText="1"/>
    </xf>
    <xf numFmtId="0" fontId="21" fillId="18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right" vertical="top"/>
    </xf>
    <xf numFmtId="0" fontId="45" fillId="20" borderId="87" xfId="0" applyFont="1" applyFill="1" applyBorder="1" applyAlignment="1">
      <alignment horizontal="center"/>
    </xf>
    <xf numFmtId="0" fontId="45" fillId="20" borderId="88" xfId="0" applyFont="1" applyFill="1" applyBorder="1" applyAlignment="1">
      <alignment horizontal="center"/>
    </xf>
    <xf numFmtId="3" fontId="46" fillId="20" borderId="87" xfId="0" applyNumberFormat="1" applyFont="1" applyFill="1" applyBorder="1" applyAlignment="1">
      <alignment horizontal="center"/>
    </xf>
    <xf numFmtId="3" fontId="46" fillId="20" borderId="89" xfId="0" applyNumberFormat="1" applyFont="1" applyFill="1" applyBorder="1" applyAlignment="1">
      <alignment horizontal="center"/>
    </xf>
    <xf numFmtId="3" fontId="46" fillId="20" borderId="88" xfId="0" applyNumberFormat="1" applyFont="1" applyFill="1" applyBorder="1" applyAlignment="1">
      <alignment horizontal="center"/>
    </xf>
    <xf numFmtId="0" fontId="33" fillId="20" borderId="87" xfId="0" applyFont="1" applyFill="1" applyBorder="1" applyAlignment="1">
      <alignment horizontal="left" wrapText="1"/>
    </xf>
    <xf numFmtId="0" fontId="33" fillId="20" borderId="89" xfId="0" applyFont="1" applyFill="1" applyBorder="1" applyAlignment="1">
      <alignment horizontal="left" wrapText="1"/>
    </xf>
    <xf numFmtId="0" fontId="33" fillId="20" borderId="88" xfId="0" applyFont="1" applyFill="1" applyBorder="1" applyAlignment="1">
      <alignment horizontal="left" wrapText="1"/>
    </xf>
    <xf numFmtId="0" fontId="21" fillId="27" borderId="96" xfId="0" applyFont="1" applyFill="1" applyBorder="1" applyAlignment="1">
      <alignment horizontal="center" vertical="center" wrapText="1"/>
    </xf>
    <xf numFmtId="0" fontId="21" fillId="27" borderId="98" xfId="0" applyFont="1" applyFill="1" applyBorder="1" applyAlignment="1">
      <alignment horizontal="center" vertical="center" wrapText="1"/>
    </xf>
    <xf numFmtId="0" fontId="21" fillId="27" borderId="103" xfId="0" applyFont="1" applyFill="1" applyBorder="1" applyAlignment="1">
      <alignment horizontal="center" vertical="center" wrapText="1"/>
    </xf>
    <xf numFmtId="0" fontId="21" fillId="27" borderId="104" xfId="0" applyFont="1" applyFill="1" applyBorder="1" applyAlignment="1">
      <alignment horizontal="center" vertical="center" wrapText="1"/>
    </xf>
    <xf numFmtId="0" fontId="48" fillId="24" borderId="96" xfId="0" applyFont="1" applyFill="1" applyBorder="1" applyAlignment="1">
      <alignment horizontal="center" vertical="center" wrapText="1"/>
    </xf>
    <xf numFmtId="0" fontId="48" fillId="24" borderId="98" xfId="0" applyFont="1" applyFill="1" applyBorder="1" applyAlignment="1">
      <alignment horizontal="center" vertical="center" wrapText="1"/>
    </xf>
    <xf numFmtId="0" fontId="48" fillId="24" borderId="104" xfId="0" applyFont="1" applyFill="1" applyBorder="1" applyAlignment="1">
      <alignment horizontal="center" vertical="center" wrapText="1"/>
    </xf>
    <xf numFmtId="0" fontId="52" fillId="36" borderId="24" xfId="0" applyFont="1" applyFill="1" applyBorder="1"/>
    <xf numFmtId="0" fontId="43" fillId="36" borderId="24" xfId="0" applyFont="1" applyFill="1" applyBorder="1"/>
    <xf numFmtId="0" fontId="43" fillId="37" borderId="117" xfId="0" applyFont="1" applyFill="1" applyBorder="1"/>
  </cellXfs>
  <cellStyles count="2">
    <cellStyle name="Обычный" xfId="0" builtinId="0"/>
    <cellStyle name="Процентный" xfId="1" builtinId="5"/>
  </cellStyles>
  <dxfs count="32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ковенко А. 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opLeftCell="A4" workbookViewId="0">
      <pane xSplit="3" topLeftCell="D1" activePane="topRight" state="frozen"/>
      <selection activeCell="D12" sqref="D12"/>
      <selection pane="topRight" activeCell="J8" sqref="J8"/>
    </sheetView>
  </sheetViews>
  <sheetFormatPr baseColWidth="10" defaultColWidth="9.1640625" defaultRowHeight="15"/>
  <cols>
    <col min="1" max="1" width="24.1640625" style="1" customWidth="1"/>
    <col min="2" max="2" width="10.33203125" style="2" customWidth="1"/>
    <col min="3" max="3" width="10.83203125" style="2" customWidth="1"/>
    <col min="4" max="4" width="17.1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1.5" style="2" customWidth="1"/>
    <col min="13" max="13" width="12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11.3320312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492">
        <f ca="1">TODAY()-1</f>
        <v>46000</v>
      </c>
      <c r="C1" s="492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493"/>
      <c r="R1" s="493"/>
      <c r="S1" s="493"/>
      <c r="T1" s="493"/>
      <c r="U1" s="8"/>
      <c r="V1" s="6"/>
      <c r="W1" s="6"/>
    </row>
    <row r="2" spans="1:23" ht="21.75" customHeight="1">
      <c r="A2" s="4"/>
      <c r="B2" s="494" t="s">
        <v>0</v>
      </c>
      <c r="C2" s="494"/>
      <c r="D2" s="5"/>
      <c r="E2" s="5"/>
      <c r="F2" s="6"/>
      <c r="G2" s="6"/>
      <c r="H2" s="6"/>
      <c r="I2" s="6"/>
      <c r="J2" s="495"/>
      <c r="K2" s="495"/>
      <c r="L2" s="495"/>
      <c r="M2" s="495"/>
      <c r="N2" s="495"/>
      <c r="O2" s="495"/>
      <c r="P2" s="495"/>
      <c r="Q2" s="493"/>
      <c r="R2" s="493"/>
      <c r="S2" s="493"/>
      <c r="T2" s="493"/>
      <c r="U2" s="8"/>
      <c r="V2" s="6"/>
      <c r="W2" s="6"/>
    </row>
    <row r="3" spans="1:23" ht="14" customHeight="1">
      <c r="A3" s="4"/>
      <c r="B3" s="9"/>
      <c r="C3" s="10" t="s">
        <v>1</v>
      </c>
      <c r="D3" s="11"/>
      <c r="E3" s="11"/>
      <c r="F3" s="12"/>
      <c r="G3" s="12"/>
      <c r="H3" s="12"/>
      <c r="I3" s="496" t="str">
        <f>График!B3</f>
        <v>ул. Набережная Ленина, 18</v>
      </c>
      <c r="J3" s="497"/>
      <c r="K3" s="497"/>
      <c r="L3" s="497"/>
      <c r="M3" s="498"/>
      <c r="N3" s="7"/>
      <c r="O3" s="7"/>
      <c r="P3" s="13"/>
      <c r="Q3" s="493"/>
      <c r="R3" s="493"/>
      <c r="S3" s="493"/>
      <c r="T3" s="493"/>
      <c r="U3" s="8"/>
      <c r="V3" s="6"/>
      <c r="W3" s="6"/>
    </row>
    <row r="4" spans="1:23" ht="15" customHeight="1">
      <c r="A4" s="4"/>
      <c r="B4" s="5"/>
      <c r="C4" s="502">
        <f>I8-D56</f>
        <v>946704</v>
      </c>
      <c r="D4" s="503"/>
      <c r="E4" s="14">
        <f>IF(I8&lt;&gt;0, C4/I8, 0)</f>
        <v>0.45815278147458077</v>
      </c>
      <c r="F4" s="12"/>
      <c r="G4" s="12"/>
      <c r="H4" s="12"/>
      <c r="I4" s="499"/>
      <c r="J4" s="500"/>
      <c r="K4" s="500"/>
      <c r="L4" s="500"/>
      <c r="M4" s="501"/>
      <c r="N4" s="7"/>
      <c r="O4" s="6"/>
      <c r="P4" s="6"/>
      <c r="Q4" s="493"/>
      <c r="R4" s="493"/>
      <c r="S4" s="493"/>
      <c r="T4" s="493"/>
      <c r="U4" s="8"/>
      <c r="V4" s="6"/>
      <c r="W4" s="6"/>
    </row>
    <row r="5" spans="1:23">
      <c r="A5" s="4"/>
      <c r="B5" s="6"/>
      <c r="C5" s="6"/>
      <c r="D5" s="15" t="e">
        <f>C4/(I14-J14)</f>
        <v>#DIV/0!</v>
      </c>
      <c r="E5" s="6"/>
      <c r="F5" s="6"/>
      <c r="G5" s="6"/>
      <c r="H5" s="6"/>
      <c r="I5" s="6"/>
      <c r="J5" s="504"/>
      <c r="K5" s="504"/>
      <c r="L5" s="504"/>
      <c r="M5" s="504"/>
      <c r="N5" s="504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6"/>
      <c r="C6" s="6"/>
      <c r="D6" s="6"/>
      <c r="E6" s="6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0"/>
      <c r="S6" s="21"/>
      <c r="T6" s="6"/>
      <c r="U6" s="8"/>
      <c r="V6" s="6"/>
      <c r="W6" s="6"/>
    </row>
    <row r="7" spans="1:23" ht="50.75" customHeight="1">
      <c r="A7" s="4"/>
      <c r="B7" s="16"/>
      <c r="C7" s="16"/>
      <c r="D7" s="16"/>
      <c r="E7" s="6"/>
      <c r="F7" s="505" t="s">
        <v>3</v>
      </c>
      <c r="G7" s="506"/>
      <c r="H7" s="50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08" t="s">
        <v>11</v>
      </c>
      <c r="Q7" s="509"/>
      <c r="R7" s="20"/>
      <c r="S7" s="21"/>
      <c r="T7" s="6"/>
      <c r="U7" s="8"/>
      <c r="V7" s="6"/>
      <c r="W7" s="6"/>
    </row>
    <row r="8" spans="1:23" ht="15.75" customHeight="1">
      <c r="A8" s="4"/>
      <c r="B8" s="16"/>
      <c r="C8" s="16"/>
      <c r="D8" s="27"/>
      <c r="E8" s="6"/>
      <c r="F8" s="510" t="s">
        <v>12</v>
      </c>
      <c r="G8" s="511"/>
      <c r="H8" s="512"/>
      <c r="I8" s="28">
        <f>I11*I12*I13</f>
        <v>2066350</v>
      </c>
      <c r="J8" s="29">
        <f>D56</f>
        <v>1119646</v>
      </c>
      <c r="K8" s="30">
        <f>IF(AND(I8&lt;&gt;"",I8&lt;&gt;0,J8&lt;&gt;""),J8/I8,"")</f>
        <v>0.54184721852541917</v>
      </c>
      <c r="L8" s="31">
        <f>IF(SUMIF($D$25:$D$55,"&gt;=0",$P$25:$P$55)&lt;&gt;0,I8*D56/SUMIF($D$25:$D$55,"&gt;=0",$P$25:$P$55),0)</f>
        <v>1181910.8262137945</v>
      </c>
      <c r="M8" s="32">
        <f t="shared" ref="M8:M9" si="0">IF(AND(I8&lt;&gt;"", I8&lt;&gt;0, L8&lt;&gt;"", L8&lt;&gt;0), L8/I8, "")</f>
        <v>0.57197997735804418</v>
      </c>
      <c r="N8" s="33">
        <f t="shared" ref="N8:N9" si="1">IF(AND(J8&lt;&gt;0, J8&lt;&gt;"", I8&lt;&gt;0, I8&lt;&gt;""), L8-I8, "")</f>
        <v>-884439.17378620547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0"/>
      <c r="S8" s="37"/>
      <c r="T8" s="6"/>
      <c r="U8" s="8"/>
      <c r="V8" s="6"/>
      <c r="W8" s="6"/>
    </row>
    <row r="9" spans="1:23" ht="15.75" customHeight="1">
      <c r="A9" s="4"/>
      <c r="B9" s="16"/>
      <c r="C9" s="16"/>
      <c r="D9" s="16"/>
      <c r="E9" s="6"/>
      <c r="F9" s="513" t="s">
        <v>13</v>
      </c>
      <c r="G9" s="514"/>
      <c r="H9" s="515"/>
      <c r="I9" s="38">
        <f>I8/I11</f>
        <v>317.89999999999998</v>
      </c>
      <c r="J9" s="39">
        <f>E56</f>
        <v>152</v>
      </c>
      <c r="K9" s="40">
        <f>IF(AND(I9&lt;&gt;"", I9&lt;&gt;0, J9&lt;&gt;""), J9/I9, "")</f>
        <v>0.47813777917584149</v>
      </c>
      <c r="L9" s="41">
        <f>IF(SUMIF($E$25:$E$55, "&gt;=0", $Q$25:$Q$55)&lt;&gt;0, I9*E56/SUMIF($E$25:$E$55, "&gt;=0", $Q$25:$Q$55), 0)</f>
        <v>171.28475859048356</v>
      </c>
      <c r="M9" s="42">
        <f t="shared" si="0"/>
        <v>0.53880075052055232</v>
      </c>
      <c r="N9" s="43">
        <f t="shared" si="1"/>
        <v>-146.61524140951641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0"/>
      <c r="S9" s="37"/>
      <c r="T9" s="6"/>
      <c r="U9" s="8"/>
      <c r="V9" s="6"/>
      <c r="W9" s="6"/>
    </row>
    <row r="10" spans="1:23" ht="15.75" customHeight="1">
      <c r="A10" s="4"/>
      <c r="B10" s="16"/>
      <c r="C10" s="16"/>
      <c r="D10" s="16"/>
      <c r="E10" s="6"/>
      <c r="F10" s="510" t="s">
        <v>14</v>
      </c>
      <c r="G10" s="511"/>
      <c r="H10" s="512"/>
      <c r="I10" s="38">
        <f>I11*I12</f>
        <v>11050</v>
      </c>
      <c r="J10" s="46">
        <f>H56</f>
        <v>11542.742268041236</v>
      </c>
      <c r="K10" s="47">
        <f t="shared" ref="K10:K19" si="4">IF(AND(I10&lt;&gt;"", I10&lt;&gt;0, J10&lt;&gt;""), J10/I10, "")</f>
        <v>1.0445920604562204</v>
      </c>
      <c r="L10" s="41">
        <f>J10</f>
        <v>11542.742268041236</v>
      </c>
      <c r="M10" s="48">
        <f t="shared" ref="M10:M20" si="5">IF(AND(I10&lt;&gt;"", I10&lt;&gt;0, L10&lt;&gt;"", L10&lt;&gt;0), L10/I10, "")</f>
        <v>1.0445920604562204</v>
      </c>
      <c r="N10" s="49">
        <f t="shared" ref="N10:N20" si="6">IF(AND(J10&lt;&gt;0, J10&lt;&gt;"", I10&lt;&gt;0, I10&lt;&gt;""), L10-I10, "")</f>
        <v>492.74226804123646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0"/>
      <c r="S10" s="516" t="str">
        <f>L23</f>
        <v>IS</v>
      </c>
      <c r="T10" s="517"/>
      <c r="U10" s="8"/>
      <c r="V10" s="520" t="str">
        <f>M23</f>
        <v>Agafi</v>
      </c>
      <c r="W10" s="520"/>
    </row>
    <row r="11" spans="1:23" ht="15.75" customHeight="1">
      <c r="A11" s="4"/>
      <c r="B11" s="16"/>
      <c r="C11" s="16"/>
      <c r="D11" s="16"/>
      <c r="E11" s="6"/>
      <c r="F11" s="513" t="s">
        <v>15</v>
      </c>
      <c r="G11" s="514"/>
      <c r="H11" s="515"/>
      <c r="I11" s="52">
        <v>6500</v>
      </c>
      <c r="J11" s="39">
        <f>F56</f>
        <v>7366.0921052631575</v>
      </c>
      <c r="K11" s="40">
        <f t="shared" si="4"/>
        <v>1.1332449392712549</v>
      </c>
      <c r="L11" s="41">
        <f>IF(L9&gt;0, L8/L9, "")</f>
        <v>6900.2685115700688</v>
      </c>
      <c r="M11" s="42">
        <f t="shared" si="5"/>
        <v>1.0615797710107797</v>
      </c>
      <c r="N11" s="43">
        <f t="shared" si="6"/>
        <v>400.26851157006877</v>
      </c>
      <c r="O11" s="53"/>
      <c r="P11" s="43" t="str">
        <f t="shared" si="7"/>
        <v/>
      </c>
      <c r="Q11" s="45" t="str">
        <f t="shared" si="8"/>
        <v/>
      </c>
      <c r="R11" s="20"/>
      <c r="S11" s="518"/>
      <c r="T11" s="519"/>
      <c r="U11" s="8"/>
      <c r="V11" s="520"/>
      <c r="W11" s="520"/>
    </row>
    <row r="12" spans="1:23" ht="15.75" customHeight="1">
      <c r="A12" s="4"/>
      <c r="B12" s="16"/>
      <c r="C12" s="6"/>
      <c r="D12" s="6"/>
      <c r="E12" s="6"/>
      <c r="F12" s="513" t="s">
        <v>16</v>
      </c>
      <c r="G12" s="514"/>
      <c r="H12" s="515"/>
      <c r="I12" s="54">
        <v>1.7</v>
      </c>
      <c r="J12" s="55">
        <f>J56</f>
        <v>1.5670103092783505</v>
      </c>
      <c r="K12" s="40">
        <f t="shared" si="4"/>
        <v>0.92177077016373565</v>
      </c>
      <c r="L12" s="56">
        <f>J12</f>
        <v>1.5670103092783505</v>
      </c>
      <c r="M12" s="42">
        <f t="shared" si="5"/>
        <v>0.92177077016373565</v>
      </c>
      <c r="N12" s="57">
        <f t="shared" si="6"/>
        <v>-0.13298969072164946</v>
      </c>
      <c r="O12" s="58"/>
      <c r="P12" s="43" t="str">
        <f t="shared" si="7"/>
        <v/>
      </c>
      <c r="Q12" s="45" t="str">
        <f t="shared" si="8"/>
        <v/>
      </c>
      <c r="R12" s="20"/>
      <c r="S12" s="59">
        <v>510000</v>
      </c>
      <c r="T12" s="60">
        <f>L56</f>
        <v>46449</v>
      </c>
      <c r="U12" s="8"/>
      <c r="V12" s="59">
        <v>480000</v>
      </c>
      <c r="W12" s="60">
        <f>M56</f>
        <v>72847</v>
      </c>
    </row>
    <row r="13" spans="1:23" ht="15.75" customHeight="1">
      <c r="A13" s="4"/>
      <c r="B13" s="16"/>
      <c r="C13" s="6"/>
      <c r="D13" s="6"/>
      <c r="E13" s="6"/>
      <c r="F13" s="513" t="s">
        <v>17</v>
      </c>
      <c r="G13" s="514"/>
      <c r="H13" s="515"/>
      <c r="I13" s="38">
        <f>I17*I20</f>
        <v>187</v>
      </c>
      <c r="J13" s="39">
        <f>G56</f>
        <v>97</v>
      </c>
      <c r="K13" s="40">
        <f t="shared" si="4"/>
        <v>0.51871657754010692</v>
      </c>
      <c r="L13" s="41">
        <f>IF(SUMIF($G$25:$G$55, "&gt;=0", $R$25:$R$55)&lt;&gt;0, I13*G56/SUMIF($G$25:$G$55, "&gt;=0", $R$25:$R$55), "")</f>
        <v>109.30672094261128</v>
      </c>
      <c r="M13" s="42">
        <f t="shared" si="5"/>
        <v>0.58452791947920468</v>
      </c>
      <c r="N13" s="57">
        <f t="shared" si="6"/>
        <v>-77.693279057388722</v>
      </c>
      <c r="O13" s="61"/>
      <c r="P13" s="43" t="str">
        <f t="shared" si="7"/>
        <v/>
      </c>
      <c r="Q13" s="45" t="str">
        <f t="shared" si="8"/>
        <v/>
      </c>
      <c r="R13" s="20"/>
      <c r="S13" s="62">
        <f>T12/S12</f>
        <v>9.10764705882353E-2</v>
      </c>
      <c r="T13" s="62">
        <f>S13/J14*I14</f>
        <v>9.10764705882353E-2</v>
      </c>
      <c r="U13" s="63"/>
      <c r="V13" s="62">
        <f>W12/V12</f>
        <v>0.15176458333333334</v>
      </c>
      <c r="W13" s="62">
        <f>V13/J14*I14</f>
        <v>0.15176458333333334</v>
      </c>
    </row>
    <row r="14" spans="1:23" ht="15.75" customHeight="1">
      <c r="A14" s="4"/>
      <c r="B14" s="16"/>
      <c r="C14" s="6"/>
      <c r="D14" s="6"/>
      <c r="E14" s="6"/>
      <c r="F14" s="513" t="s">
        <v>18</v>
      </c>
      <c r="G14" s="514"/>
      <c r="H14" s="515"/>
      <c r="I14" s="52">
        <v>30</v>
      </c>
      <c r="J14" s="64">
        <v>30</v>
      </c>
      <c r="K14" s="40">
        <f t="shared" si="4"/>
        <v>1</v>
      </c>
      <c r="L14" s="41">
        <f>I14</f>
        <v>30</v>
      </c>
      <c r="M14" s="42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0"/>
      <c r="S14" s="65"/>
      <c r="T14" s="6"/>
      <c r="U14" s="8"/>
      <c r="V14" s="6"/>
      <c r="W14" s="6"/>
    </row>
    <row r="15" spans="1:23" ht="15.75" customHeight="1">
      <c r="A15" s="4"/>
      <c r="B15" s="16"/>
      <c r="C15" s="6"/>
      <c r="D15" s="6"/>
      <c r="E15" s="6"/>
      <c r="F15" s="513" t="s">
        <v>19</v>
      </c>
      <c r="G15" s="514"/>
      <c r="H15" s="515"/>
      <c r="I15" s="66">
        <f>I8/I14</f>
        <v>68878.333333333328</v>
      </c>
      <c r="J15" s="67">
        <f>J8/J14</f>
        <v>37321.533333333333</v>
      </c>
      <c r="K15" s="68">
        <f t="shared" si="4"/>
        <v>0.54184721852541928</v>
      </c>
      <c r="L15" s="69">
        <f t="shared" ref="L15:L16" si="9">J15</f>
        <v>37321.533333333333</v>
      </c>
      <c r="M15" s="70">
        <f t="shared" si="5"/>
        <v>0.54184721852541928</v>
      </c>
      <c r="N15" s="43">
        <f t="shared" si="6"/>
        <v>-31556.799999999996</v>
      </c>
      <c r="O15" s="71"/>
      <c r="P15" s="43" t="str">
        <f t="shared" si="7"/>
        <v/>
      </c>
      <c r="Q15" s="45" t="str">
        <f t="shared" si="8"/>
        <v/>
      </c>
      <c r="R15" s="20"/>
      <c r="S15" s="37"/>
      <c r="T15" s="6"/>
      <c r="U15" s="8"/>
      <c r="V15" s="6"/>
      <c r="W15" s="6"/>
    </row>
    <row r="16" spans="1:23" ht="15.75" customHeight="1">
      <c r="A16" s="4"/>
      <c r="B16" s="16"/>
      <c r="C16" s="6"/>
      <c r="D16" s="6"/>
      <c r="E16" s="6"/>
      <c r="F16" s="513" t="s">
        <v>20</v>
      </c>
      <c r="G16" s="514"/>
      <c r="H16" s="515"/>
      <c r="I16" s="66"/>
      <c r="J16" s="67">
        <f>J8-I15*J14</f>
        <v>-946703.99999999977</v>
      </c>
      <c r="K16" s="68" t="str">
        <f t="shared" si="4"/>
        <v/>
      </c>
      <c r="L16" s="72">
        <f t="shared" si="9"/>
        <v>-946703.99999999977</v>
      </c>
      <c r="M16" s="73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0"/>
      <c r="S16" s="520" t="str">
        <f>K23</f>
        <v>UNOde50</v>
      </c>
      <c r="T16" s="520"/>
      <c r="U16" s="8"/>
      <c r="V16" s="6"/>
      <c r="W16" s="6"/>
    </row>
    <row r="17" spans="1:255" ht="15.75" customHeight="1">
      <c r="A17" s="4"/>
      <c r="B17" s="16"/>
      <c r="C17" s="6"/>
      <c r="D17" s="74"/>
      <c r="E17" s="6"/>
      <c r="F17" s="513" t="s">
        <v>21</v>
      </c>
      <c r="G17" s="514"/>
      <c r="H17" s="515"/>
      <c r="I17" s="75">
        <v>1700</v>
      </c>
      <c r="J17" s="67">
        <f>I56</f>
        <v>1555.2</v>
      </c>
      <c r="K17" s="68">
        <f t="shared" si="4"/>
        <v>0.9148235294117647</v>
      </c>
      <c r="L17" s="72">
        <f>J17/J14*I14</f>
        <v>1555.2</v>
      </c>
      <c r="M17" s="73">
        <f t="shared" si="5"/>
        <v>0.9148235294117647</v>
      </c>
      <c r="N17" s="43">
        <f t="shared" si="6"/>
        <v>-144.79999999999995</v>
      </c>
      <c r="O17" s="71"/>
      <c r="P17" s="43" t="str">
        <f t="shared" si="7"/>
        <v/>
      </c>
      <c r="Q17" s="45" t="str">
        <f t="shared" si="8"/>
        <v/>
      </c>
      <c r="R17" s="20"/>
      <c r="S17" s="520"/>
      <c r="T17" s="520"/>
      <c r="U17" s="8"/>
      <c r="V17" s="6"/>
      <c r="W17" s="6"/>
    </row>
    <row r="18" spans="1:255" ht="15.75" customHeight="1">
      <c r="A18" s="4"/>
      <c r="B18" s="16"/>
      <c r="C18" s="6"/>
      <c r="D18" s="6"/>
      <c r="E18" s="6"/>
      <c r="F18" s="513"/>
      <c r="G18" s="514"/>
      <c r="H18" s="515"/>
      <c r="I18" s="76"/>
      <c r="J18" s="67"/>
      <c r="K18" s="77" t="str">
        <f t="shared" si="4"/>
        <v/>
      </c>
      <c r="L18" s="78">
        <f t="shared" ref="L18:L19" si="10">J18</f>
        <v>0</v>
      </c>
      <c r="M18" s="73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0"/>
      <c r="S18" s="59">
        <v>1020000</v>
      </c>
      <c r="T18" s="60">
        <f>K56</f>
        <v>416418</v>
      </c>
      <c r="U18" s="8"/>
      <c r="V18" s="6"/>
      <c r="W18" s="6"/>
    </row>
    <row r="19" spans="1:255" ht="15.75" customHeight="1">
      <c r="A19" s="4"/>
      <c r="B19" s="16"/>
      <c r="C19" s="6"/>
      <c r="D19" s="6"/>
      <c r="E19" s="6"/>
      <c r="F19" s="513"/>
      <c r="G19" s="514"/>
      <c r="H19" s="515"/>
      <c r="I19" s="76"/>
      <c r="J19" s="67"/>
      <c r="K19" s="77" t="str">
        <f t="shared" si="4"/>
        <v/>
      </c>
      <c r="L19" s="78">
        <f t="shared" si="10"/>
        <v>0</v>
      </c>
      <c r="M19" s="73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0"/>
      <c r="S19" s="62">
        <f>T18/S18</f>
        <v>0.4082529411764706</v>
      </c>
      <c r="T19" s="62">
        <f>S19/J14*I14</f>
        <v>0.4082529411764706</v>
      </c>
      <c r="U19" s="63"/>
      <c r="V19" s="6"/>
      <c r="W19" s="6"/>
    </row>
    <row r="20" spans="1:255" ht="15.75" customHeight="1">
      <c r="A20" s="4"/>
      <c r="B20" s="16"/>
      <c r="C20" s="6"/>
      <c r="D20" s="6"/>
      <c r="E20" s="6"/>
      <c r="F20" s="521" t="s">
        <v>22</v>
      </c>
      <c r="G20" s="521"/>
      <c r="H20" s="521"/>
      <c r="I20" s="80">
        <v>0.11</v>
      </c>
      <c r="J20" s="81">
        <f>N56</f>
        <v>6.237139917695473E-2</v>
      </c>
      <c r="K20" s="82">
        <f>J20/I20</f>
        <v>0.5670127197904975</v>
      </c>
      <c r="L20" s="83">
        <f>IF(AND(K8&lt;&gt;0, I14&lt;&gt;0, I56&lt;&gt;0), (I56*N56+(I56/K8-I56)*I20)/(I56/K8), 0)</f>
        <v>8.4192575121775429E-2</v>
      </c>
      <c r="M20" s="84">
        <f t="shared" si="5"/>
        <v>0.76538704656159484</v>
      </c>
      <c r="N20" s="85">
        <f t="shared" si="6"/>
        <v>-2.5807424878224572E-2</v>
      </c>
      <c r="O20" s="86"/>
      <c r="P20" s="87" t="str">
        <f t="shared" si="7"/>
        <v/>
      </c>
      <c r="Q20" s="88" t="str">
        <f t="shared" si="8"/>
        <v/>
      </c>
      <c r="R20" s="20"/>
      <c r="S20" s="21"/>
      <c r="T20" s="6"/>
      <c r="U20" s="8"/>
      <c r="V20" s="6"/>
      <c r="W20" s="6"/>
    </row>
    <row r="21" spans="1:255" ht="15.75" customHeight="1">
      <c r="A21" s="4"/>
      <c r="B21" s="16"/>
      <c r="C21" s="6"/>
      <c r="D21" s="8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0"/>
      <c r="S21" s="21"/>
      <c r="T21" s="6"/>
      <c r="U21" s="8"/>
      <c r="V21" s="6"/>
      <c r="W21" s="6"/>
    </row>
    <row r="22" spans="1:255" ht="21" customHeight="1">
      <c r="A22" s="522" t="s">
        <v>23</v>
      </c>
      <c r="B22" s="522"/>
      <c r="C22" s="522"/>
      <c r="D22" s="522"/>
      <c r="E22" s="522"/>
      <c r="F22" s="522"/>
      <c r="G22" s="522"/>
      <c r="H22" s="522"/>
      <c r="I22" s="522"/>
      <c r="J22" s="522"/>
      <c r="K22" s="522"/>
      <c r="L22" s="522"/>
      <c r="M22" s="522"/>
      <c r="N22" s="522"/>
      <c r="O22" s="523" t="s">
        <v>24</v>
      </c>
      <c r="P22" s="522" t="s">
        <v>25</v>
      </c>
      <c r="Q22" s="522"/>
      <c r="R22" s="522"/>
      <c r="S22" s="522"/>
      <c r="T22" s="522"/>
      <c r="U22" s="522"/>
      <c r="V22" s="522"/>
      <c r="W22" s="522"/>
    </row>
    <row r="23" spans="1:255" ht="36">
      <c r="A23" s="524" t="s">
        <v>26</v>
      </c>
      <c r="B23" s="90" t="s">
        <v>27</v>
      </c>
      <c r="C23" s="90" t="s">
        <v>28</v>
      </c>
      <c r="D23" s="90" t="s">
        <v>29</v>
      </c>
      <c r="E23" s="90" t="s">
        <v>30</v>
      </c>
      <c r="F23" s="90" t="s">
        <v>31</v>
      </c>
      <c r="G23" s="90" t="s">
        <v>32</v>
      </c>
      <c r="H23" s="90" t="s">
        <v>33</v>
      </c>
      <c r="I23" s="90" t="s">
        <v>21</v>
      </c>
      <c r="J23" s="90" t="s">
        <v>34</v>
      </c>
      <c r="K23" s="91" t="s">
        <v>35</v>
      </c>
      <c r="L23" s="91" t="s">
        <v>36</v>
      </c>
      <c r="M23" s="91" t="s">
        <v>37</v>
      </c>
      <c r="N23" s="90" t="s">
        <v>38</v>
      </c>
      <c r="O23" s="523"/>
      <c r="P23" s="90" t="s">
        <v>39</v>
      </c>
      <c r="Q23" s="90" t="s">
        <v>40</v>
      </c>
      <c r="R23" s="90" t="s">
        <v>41</v>
      </c>
      <c r="S23" s="90" t="s">
        <v>42</v>
      </c>
      <c r="T23" s="90" t="s">
        <v>43</v>
      </c>
      <c r="U23" s="90" t="s">
        <v>44</v>
      </c>
      <c r="V23" s="92" t="s">
        <v>45</v>
      </c>
      <c r="W23" s="92" t="s">
        <v>46</v>
      </c>
      <c r="X23" s="93"/>
    </row>
    <row r="24" spans="1:255">
      <c r="A24" s="524"/>
      <c r="B24" s="94">
        <v>1</v>
      </c>
      <c r="C24" s="94">
        <v>2</v>
      </c>
      <c r="D24" s="94">
        <v>3</v>
      </c>
      <c r="E24" s="94">
        <v>4</v>
      </c>
      <c r="F24" s="94">
        <v>5</v>
      </c>
      <c r="G24" s="94">
        <v>6</v>
      </c>
      <c r="H24" s="94">
        <v>7</v>
      </c>
      <c r="I24" s="94">
        <v>8</v>
      </c>
      <c r="J24" s="94">
        <v>9</v>
      </c>
      <c r="K24" s="94">
        <v>10</v>
      </c>
      <c r="L24" s="94">
        <v>11</v>
      </c>
      <c r="M24" s="94">
        <v>12</v>
      </c>
      <c r="N24" s="94">
        <v>13</v>
      </c>
      <c r="O24" s="523"/>
      <c r="P24" s="95">
        <v>1</v>
      </c>
      <c r="Q24" s="95">
        <v>2</v>
      </c>
      <c r="R24" s="95">
        <v>3</v>
      </c>
      <c r="S24" s="95">
        <v>4</v>
      </c>
      <c r="T24" s="95">
        <v>5</v>
      </c>
      <c r="U24" s="95">
        <v>6</v>
      </c>
      <c r="V24" s="95">
        <v>10</v>
      </c>
      <c r="W24" s="95">
        <v>11</v>
      </c>
    </row>
    <row r="25" spans="1:255">
      <c r="A25" s="96" t="s">
        <v>47</v>
      </c>
      <c r="B25" s="97">
        <v>45962</v>
      </c>
      <c r="C25" s="98" t="s">
        <v>48</v>
      </c>
      <c r="D25" s="99">
        <f>29951+10268+6992+20506</f>
        <v>67717</v>
      </c>
      <c r="E25" s="100">
        <v>12</v>
      </c>
      <c r="F25" s="100">
        <f t="shared" ref="F25:F55" si="11">IF(AND(E25&lt;&gt;"",E25&lt;&gt;0),D25/E25,"")</f>
        <v>5643.083333333333</v>
      </c>
      <c r="G25" s="100">
        <v>9</v>
      </c>
      <c r="H25" s="100">
        <f t="shared" ref="H25:H55" si="12">IF(AND(G25&lt;&gt;"",G25&lt;&gt;0),D25/G25,"")</f>
        <v>7524.1111111111113</v>
      </c>
      <c r="I25" s="100">
        <v>103</v>
      </c>
      <c r="J25" s="99">
        <f t="shared" ref="J25:J55" si="13">IF(AND(G25&lt;&gt;"",G25&lt;&gt;0),E25/G25,"")</f>
        <v>1.3333333333333333</v>
      </c>
      <c r="K25" s="100">
        <v>10268</v>
      </c>
      <c r="L25" s="100">
        <v>20506</v>
      </c>
      <c r="M25" s="100">
        <v>6992</v>
      </c>
      <c r="N25" s="101">
        <f t="shared" ref="N25:N55" si="14">IF(AND(I25&lt;&gt;"",I25&lt;&gt;0),G25/I25,"")</f>
        <v>8.7378640776699032E-2</v>
      </c>
      <c r="O25" s="102">
        <f t="shared" ref="O25:O56" si="15">D25/P25</f>
        <v>0.89835134401277938</v>
      </c>
      <c r="P25" s="103">
        <f t="shared" ref="P25:P55" si="16">$I$8*V25*W25/SUMPRODUCT($W$25:$W$55,$V$25:$V$55)</f>
        <v>75379.193732287327</v>
      </c>
      <c r="Q25" s="104">
        <f t="shared" ref="Q25:Q55" si="17">$I$9*V25*W25/SUMPRODUCT($W$25:$W$55,$V$25:$V$55)</f>
        <v>11.596799035736511</v>
      </c>
      <c r="R25" s="104">
        <f t="shared" ref="R25:R55" si="18">IF($I$12="","",Q25/$I$12)</f>
        <v>6.8216464916097124</v>
      </c>
      <c r="S25" s="103">
        <f>IF(D25&lt;&gt;"",D25,P25)</f>
        <v>67717</v>
      </c>
      <c r="T25" s="104">
        <f>IF(E25&lt;&gt;"",E25,Q25)</f>
        <v>12</v>
      </c>
      <c r="U25" s="104">
        <f>IF(G25&lt;&gt;"",G25,R25)</f>
        <v>9</v>
      </c>
      <c r="V25" s="105">
        <v>0.9414554019711151</v>
      </c>
      <c r="W25" s="105">
        <v>0.9414554019711151</v>
      </c>
      <c r="X25" s="106"/>
      <c r="Y25" s="107"/>
    </row>
    <row r="26" spans="1:255">
      <c r="A26" s="96" t="s">
        <v>49</v>
      </c>
      <c r="B26" s="97">
        <v>45963</v>
      </c>
      <c r="C26" s="98" t="s">
        <v>50</v>
      </c>
      <c r="D26" s="99">
        <v>147496</v>
      </c>
      <c r="E26" s="100">
        <v>19</v>
      </c>
      <c r="F26" s="100">
        <f t="shared" si="11"/>
        <v>7762.9473684210525</v>
      </c>
      <c r="G26" s="100">
        <v>11</v>
      </c>
      <c r="H26" s="100">
        <f t="shared" si="12"/>
        <v>13408.727272727272</v>
      </c>
      <c r="I26" s="100">
        <v>131</v>
      </c>
      <c r="J26" s="99">
        <f t="shared" si="13"/>
        <v>1.7272727272727273</v>
      </c>
      <c r="K26" s="100">
        <v>63254</v>
      </c>
      <c r="L26" s="100"/>
      <c r="M26" s="100">
        <v>31287</v>
      </c>
      <c r="N26" s="101">
        <f t="shared" si="14"/>
        <v>8.3969465648854963E-2</v>
      </c>
      <c r="O26" s="102">
        <f t="shared" si="15"/>
        <v>2.3830107148601116</v>
      </c>
      <c r="P26" s="103">
        <f t="shared" si="16"/>
        <v>61894.811920163083</v>
      </c>
      <c r="Q26" s="104">
        <f t="shared" si="17"/>
        <v>9.5222787569481646</v>
      </c>
      <c r="R26" s="104">
        <f t="shared" si="18"/>
        <v>5.6013404452636264</v>
      </c>
      <c r="S26" s="103">
        <f t="shared" ref="S26:S55" si="19">IF(W26&lt;&gt;"",IF(D26&lt;&gt;"",D26,($I$8-SUM($S$25:S25))*V26*W26/SUMPRODUCT($W26:$W$55,$V26:$V$55)),"")</f>
        <v>147496</v>
      </c>
      <c r="T26" s="104">
        <f t="shared" ref="T26:T55" si="20">IF(W26&lt;&gt;"",IF(E26&lt;&gt;"",E26,($I$9-SUM($T$25:T25))*V26*W26/SUMPRODUCT($W26:$W$55,$V26:$V$55)),"")</f>
        <v>19</v>
      </c>
      <c r="U26" s="104">
        <f t="shared" ref="U26:U55" si="21">IF(W26&lt;&gt;"",IF(E26&lt;&gt;"",E26,($I$9-SUM($T$25:T25))*V26*W26/SUMPRODUCT($W26:$W$55,$V26:$V$55)),"")</f>
        <v>19</v>
      </c>
      <c r="V26" s="105">
        <v>0.85310233682514103</v>
      </c>
      <c r="W26" s="105">
        <v>0.85310233682514103</v>
      </c>
      <c r="X26" s="108"/>
      <c r="Y26" s="107"/>
    </row>
    <row r="27" spans="1:255">
      <c r="A27" s="96" t="s">
        <v>51</v>
      </c>
      <c r="B27" s="97">
        <v>45964</v>
      </c>
      <c r="C27" s="98" t="s">
        <v>52</v>
      </c>
      <c r="D27" s="99">
        <v>8692</v>
      </c>
      <c r="E27" s="109">
        <v>1</v>
      </c>
      <c r="F27" s="100">
        <f t="shared" si="11"/>
        <v>8692</v>
      </c>
      <c r="G27" s="109">
        <v>1</v>
      </c>
      <c r="H27" s="100">
        <f t="shared" si="12"/>
        <v>8692</v>
      </c>
      <c r="I27" s="109">
        <v>81</v>
      </c>
      <c r="J27" s="99">
        <f t="shared" si="13"/>
        <v>1</v>
      </c>
      <c r="K27" s="100">
        <v>8692</v>
      </c>
      <c r="L27" s="100"/>
      <c r="M27" s="100"/>
      <c r="N27" s="101">
        <f t="shared" si="14"/>
        <v>1.2345679012345678E-2</v>
      </c>
      <c r="O27" s="102">
        <f t="shared" si="15"/>
        <v>0.14043180244592457</v>
      </c>
      <c r="P27" s="103">
        <f t="shared" si="16"/>
        <v>61894.811920163083</v>
      </c>
      <c r="Q27" s="104">
        <f t="shared" si="17"/>
        <v>9.5222787569481646</v>
      </c>
      <c r="R27" s="104">
        <f t="shared" si="18"/>
        <v>5.6013404452636264</v>
      </c>
      <c r="S27" s="103">
        <f t="shared" si="19"/>
        <v>8692</v>
      </c>
      <c r="T27" s="104">
        <f t="shared" si="20"/>
        <v>1</v>
      </c>
      <c r="U27" s="104">
        <f t="shared" si="21"/>
        <v>1</v>
      </c>
      <c r="V27" s="105">
        <v>0.85310233682514103</v>
      </c>
      <c r="W27" s="105">
        <v>0.85310233682514103</v>
      </c>
      <c r="X27" s="108"/>
      <c r="Y27" s="107"/>
    </row>
    <row r="28" spans="1:255">
      <c r="A28" s="96" t="s">
        <v>51</v>
      </c>
      <c r="B28" s="97">
        <v>45965</v>
      </c>
      <c r="C28" s="98" t="s">
        <v>53</v>
      </c>
      <c r="D28" s="99">
        <v>30422</v>
      </c>
      <c r="E28" s="100">
        <v>4</v>
      </c>
      <c r="F28" s="100">
        <f t="shared" si="11"/>
        <v>7605.5</v>
      </c>
      <c r="G28" s="100">
        <v>3</v>
      </c>
      <c r="H28" s="100">
        <f t="shared" si="12"/>
        <v>10140.666666666666</v>
      </c>
      <c r="I28" s="100">
        <v>92</v>
      </c>
      <c r="J28" s="99">
        <f t="shared" si="13"/>
        <v>1.3333333333333333</v>
      </c>
      <c r="K28" s="100">
        <v>16490</v>
      </c>
      <c r="L28" s="100"/>
      <c r="M28" s="100"/>
      <c r="N28" s="101">
        <f t="shared" si="14"/>
        <v>3.2608695652173912E-2</v>
      </c>
      <c r="O28" s="102">
        <f t="shared" si="15"/>
        <v>0.49151130856073605</v>
      </c>
      <c r="P28" s="103">
        <f t="shared" si="16"/>
        <v>61894.811920163083</v>
      </c>
      <c r="Q28" s="104">
        <f t="shared" si="17"/>
        <v>9.5222787569481646</v>
      </c>
      <c r="R28" s="104">
        <f t="shared" si="18"/>
        <v>5.6013404452636264</v>
      </c>
      <c r="S28" s="103">
        <f t="shared" si="19"/>
        <v>30422</v>
      </c>
      <c r="T28" s="104">
        <f t="shared" si="20"/>
        <v>4</v>
      </c>
      <c r="U28" s="104">
        <f t="shared" si="21"/>
        <v>4</v>
      </c>
      <c r="V28" s="105">
        <v>0.85310233682514103</v>
      </c>
      <c r="W28" s="105">
        <v>0.85310233682514103</v>
      </c>
      <c r="X28" s="108"/>
      <c r="Y28" s="110"/>
    </row>
    <row r="29" spans="1:255" s="111" customFormat="1">
      <c r="A29" s="96" t="s">
        <v>54</v>
      </c>
      <c r="B29" s="97">
        <v>45966</v>
      </c>
      <c r="C29" s="98" t="s">
        <v>55</v>
      </c>
      <c r="D29" s="99">
        <v>28069</v>
      </c>
      <c r="E29" s="100">
        <v>6</v>
      </c>
      <c r="F29" s="100">
        <f t="shared" si="11"/>
        <v>4678.166666666667</v>
      </c>
      <c r="G29" s="100">
        <v>2</v>
      </c>
      <c r="H29" s="100">
        <f t="shared" si="12"/>
        <v>14034.5</v>
      </c>
      <c r="I29" s="100">
        <v>46</v>
      </c>
      <c r="J29" s="99">
        <f t="shared" si="13"/>
        <v>3</v>
      </c>
      <c r="K29" s="100"/>
      <c r="L29" s="100"/>
      <c r="M29" s="100"/>
      <c r="N29" s="101">
        <f t="shared" si="14"/>
        <v>4.3478260869565216E-2</v>
      </c>
      <c r="O29" s="102">
        <f t="shared" si="15"/>
        <v>0.45681158009742318</v>
      </c>
      <c r="P29" s="103">
        <f t="shared" si="16"/>
        <v>61445.465095288935</v>
      </c>
      <c r="Q29" s="104">
        <f t="shared" si="17"/>
        <v>9.4531484761982973</v>
      </c>
      <c r="R29" s="104">
        <f t="shared" si="18"/>
        <v>5.5606755742342928</v>
      </c>
      <c r="S29" s="103">
        <f t="shared" si="19"/>
        <v>28069</v>
      </c>
      <c r="T29" s="104">
        <f t="shared" si="20"/>
        <v>6</v>
      </c>
      <c r="U29" s="104">
        <f t="shared" si="21"/>
        <v>6</v>
      </c>
      <c r="V29" s="105">
        <v>0.85</v>
      </c>
      <c r="W29" s="105">
        <v>0.85</v>
      </c>
      <c r="X29" s="108"/>
      <c r="Y29" s="107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>
      <c r="A30" s="96" t="s">
        <v>51</v>
      </c>
      <c r="B30" s="97">
        <v>45967</v>
      </c>
      <c r="C30" s="98" t="s">
        <v>56</v>
      </c>
      <c r="D30" s="99">
        <v>14400</v>
      </c>
      <c r="E30" s="100">
        <v>4</v>
      </c>
      <c r="F30" s="100">
        <f t="shared" si="11"/>
        <v>3600</v>
      </c>
      <c r="G30" s="100">
        <v>2</v>
      </c>
      <c r="H30" s="100">
        <f t="shared" si="12"/>
        <v>7200</v>
      </c>
      <c r="I30" s="100">
        <v>49</v>
      </c>
      <c r="J30" s="99">
        <f t="shared" si="13"/>
        <v>2</v>
      </c>
      <c r="K30" s="100"/>
      <c r="L30" s="100"/>
      <c r="M30" s="100"/>
      <c r="N30" s="101">
        <f t="shared" si="14"/>
        <v>4.0816326530612242E-2</v>
      </c>
      <c r="O30" s="102">
        <f t="shared" si="15"/>
        <v>0.1693208763879579</v>
      </c>
      <c r="P30" s="103">
        <f t="shared" si="16"/>
        <v>85045.626429465658</v>
      </c>
      <c r="Q30" s="104">
        <f t="shared" si="17"/>
        <v>13.0839425276101</v>
      </c>
      <c r="R30" s="104">
        <f t="shared" si="18"/>
        <v>7.6964367809471179</v>
      </c>
      <c r="S30" s="103">
        <f t="shared" si="19"/>
        <v>14400</v>
      </c>
      <c r="T30" s="104">
        <f t="shared" si="20"/>
        <v>4</v>
      </c>
      <c r="U30" s="104">
        <f t="shared" si="21"/>
        <v>4</v>
      </c>
      <c r="V30" s="105">
        <v>1</v>
      </c>
      <c r="W30" s="105">
        <v>1</v>
      </c>
      <c r="X30" s="108"/>
      <c r="Y30" s="107"/>
    </row>
    <row r="31" spans="1:255">
      <c r="A31" s="96" t="s">
        <v>51</v>
      </c>
      <c r="B31" s="97">
        <v>45968</v>
      </c>
      <c r="C31" s="98" t="s">
        <v>57</v>
      </c>
      <c r="D31" s="99">
        <v>40625</v>
      </c>
      <c r="E31" s="100">
        <v>9</v>
      </c>
      <c r="F31" s="100">
        <f t="shared" si="11"/>
        <v>4513.8888888888887</v>
      </c>
      <c r="G31" s="100">
        <v>6</v>
      </c>
      <c r="H31" s="100">
        <f t="shared" si="12"/>
        <v>6770.833333333333</v>
      </c>
      <c r="I31" s="100">
        <v>64</v>
      </c>
      <c r="J31" s="99">
        <f t="shared" si="13"/>
        <v>1.5</v>
      </c>
      <c r="K31" s="100"/>
      <c r="L31" s="100"/>
      <c r="M31" s="100"/>
      <c r="N31" s="101">
        <f t="shared" si="14"/>
        <v>9.375E-2</v>
      </c>
      <c r="O31" s="102">
        <f t="shared" si="15"/>
        <v>0.47768476411533262</v>
      </c>
      <c r="P31" s="103">
        <f t="shared" si="16"/>
        <v>85045.626429465658</v>
      </c>
      <c r="Q31" s="104">
        <f t="shared" si="17"/>
        <v>13.0839425276101</v>
      </c>
      <c r="R31" s="104">
        <f t="shared" si="18"/>
        <v>7.6964367809471179</v>
      </c>
      <c r="S31" s="103">
        <f t="shared" si="19"/>
        <v>40625</v>
      </c>
      <c r="T31" s="104">
        <f t="shared" si="20"/>
        <v>9</v>
      </c>
      <c r="U31" s="104">
        <f t="shared" si="21"/>
        <v>9</v>
      </c>
      <c r="V31" s="105">
        <v>1</v>
      </c>
      <c r="W31" s="105">
        <v>1</v>
      </c>
      <c r="X31" s="108"/>
      <c r="Y31" s="107"/>
    </row>
    <row r="32" spans="1:255">
      <c r="A32" s="96" t="s">
        <v>51</v>
      </c>
      <c r="B32" s="97">
        <v>45969</v>
      </c>
      <c r="C32" s="98" t="s">
        <v>48</v>
      </c>
      <c r="D32" s="99">
        <v>46958</v>
      </c>
      <c r="E32" s="100">
        <v>8</v>
      </c>
      <c r="F32" s="100">
        <f t="shared" si="11"/>
        <v>5869.75</v>
      </c>
      <c r="G32" s="100">
        <v>6</v>
      </c>
      <c r="H32" s="100">
        <f t="shared" si="12"/>
        <v>7826.333333333333</v>
      </c>
      <c r="I32" s="112">
        <v>101</v>
      </c>
      <c r="J32" s="99">
        <f t="shared" si="13"/>
        <v>1.3333333333333333</v>
      </c>
      <c r="K32" s="100">
        <v>20809</v>
      </c>
      <c r="L32" s="100"/>
      <c r="M32" s="100"/>
      <c r="N32" s="101">
        <f t="shared" si="14"/>
        <v>5.9405940594059403E-2</v>
      </c>
      <c r="O32" s="102">
        <f t="shared" si="15"/>
        <v>0.7586742497993243</v>
      </c>
      <c r="P32" s="103">
        <f t="shared" si="16"/>
        <v>61894.811920163083</v>
      </c>
      <c r="Q32" s="104">
        <f t="shared" si="17"/>
        <v>9.5222787569481646</v>
      </c>
      <c r="R32" s="104">
        <f t="shared" si="18"/>
        <v>5.6013404452636264</v>
      </c>
      <c r="S32" s="103">
        <f t="shared" si="19"/>
        <v>46958</v>
      </c>
      <c r="T32" s="104">
        <f t="shared" si="20"/>
        <v>8</v>
      </c>
      <c r="U32" s="104">
        <f t="shared" si="21"/>
        <v>8</v>
      </c>
      <c r="V32" s="105">
        <v>0.85310233682514103</v>
      </c>
      <c r="W32" s="105">
        <v>0.85310233682514103</v>
      </c>
      <c r="X32" s="108"/>
      <c r="Y32" s="107"/>
    </row>
    <row r="33" spans="1:26">
      <c r="A33" s="96" t="s">
        <v>54</v>
      </c>
      <c r="B33" s="97">
        <v>45970</v>
      </c>
      <c r="C33" s="98" t="s">
        <v>50</v>
      </c>
      <c r="D33" s="99">
        <v>6992</v>
      </c>
      <c r="E33" s="100">
        <v>1</v>
      </c>
      <c r="F33" s="100">
        <f t="shared" si="11"/>
        <v>6992</v>
      </c>
      <c r="G33" s="100">
        <v>1</v>
      </c>
      <c r="H33" s="100">
        <f t="shared" si="12"/>
        <v>6992</v>
      </c>
      <c r="I33" s="112">
        <v>84</v>
      </c>
      <c r="J33" s="99">
        <f t="shared" si="13"/>
        <v>1</v>
      </c>
      <c r="K33" s="100"/>
      <c r="L33" s="100"/>
      <c r="M33" s="100">
        <v>6992</v>
      </c>
      <c r="N33" s="101">
        <f t="shared" si="14"/>
        <v>1.1904761904761904E-2</v>
      </c>
      <c r="O33" s="102">
        <f t="shared" si="15"/>
        <v>0.11296584936745337</v>
      </c>
      <c r="P33" s="103">
        <f t="shared" si="16"/>
        <v>61894.811920163083</v>
      </c>
      <c r="Q33" s="104">
        <f t="shared" si="17"/>
        <v>9.5222787569481646</v>
      </c>
      <c r="R33" s="104">
        <f t="shared" si="18"/>
        <v>5.6013404452636264</v>
      </c>
      <c r="S33" s="103">
        <f t="shared" si="19"/>
        <v>6992</v>
      </c>
      <c r="T33" s="104">
        <f t="shared" si="20"/>
        <v>1</v>
      </c>
      <c r="U33" s="104">
        <f t="shared" si="21"/>
        <v>1</v>
      </c>
      <c r="V33" s="105">
        <v>0.85310233682514103</v>
      </c>
      <c r="W33" s="105">
        <v>0.85310233682514103</v>
      </c>
      <c r="X33" s="108"/>
      <c r="Y33" s="107"/>
    </row>
    <row r="34" spans="1:26">
      <c r="A34" s="96" t="s">
        <v>54</v>
      </c>
      <c r="B34" s="97">
        <v>45971</v>
      </c>
      <c r="C34" s="98" t="s">
        <v>52</v>
      </c>
      <c r="D34" s="99">
        <v>30575</v>
      </c>
      <c r="E34" s="100">
        <v>3</v>
      </c>
      <c r="F34" s="100">
        <f t="shared" si="11"/>
        <v>10191.666666666666</v>
      </c>
      <c r="G34" s="100">
        <v>2</v>
      </c>
      <c r="H34" s="100">
        <f t="shared" si="12"/>
        <v>15287.5</v>
      </c>
      <c r="I34" s="100">
        <v>58</v>
      </c>
      <c r="J34" s="99">
        <f t="shared" si="13"/>
        <v>1.5</v>
      </c>
      <c r="K34" s="100">
        <v>15292</v>
      </c>
      <c r="L34" s="100"/>
      <c r="M34" s="100"/>
      <c r="N34" s="101">
        <f t="shared" si="14"/>
        <v>3.4482758620689655E-2</v>
      </c>
      <c r="O34" s="102">
        <f t="shared" si="15"/>
        <v>0.49398324433779844</v>
      </c>
      <c r="P34" s="103">
        <f t="shared" si="16"/>
        <v>61894.811920163083</v>
      </c>
      <c r="Q34" s="104">
        <f t="shared" si="17"/>
        <v>9.5222787569481646</v>
      </c>
      <c r="R34" s="104">
        <f t="shared" si="18"/>
        <v>5.6013404452636264</v>
      </c>
      <c r="S34" s="103">
        <f t="shared" si="19"/>
        <v>30575</v>
      </c>
      <c r="T34" s="104">
        <f t="shared" si="20"/>
        <v>3</v>
      </c>
      <c r="U34" s="104">
        <f t="shared" si="21"/>
        <v>3</v>
      </c>
      <c r="V34" s="105">
        <v>0.85310233682514103</v>
      </c>
      <c r="W34" s="105">
        <v>0.85310233682514103</v>
      </c>
      <c r="X34" s="108"/>
      <c r="Y34" s="107"/>
    </row>
    <row r="35" spans="1:26">
      <c r="A35" s="96" t="s">
        <v>51</v>
      </c>
      <c r="B35" s="97">
        <v>45972</v>
      </c>
      <c r="C35" s="98" t="s">
        <v>53</v>
      </c>
      <c r="D35" s="99">
        <v>71465</v>
      </c>
      <c r="E35" s="100">
        <v>4</v>
      </c>
      <c r="F35" s="100">
        <f t="shared" si="11"/>
        <v>17866.25</v>
      </c>
      <c r="G35" s="100">
        <v>2</v>
      </c>
      <c r="H35" s="100">
        <f t="shared" si="12"/>
        <v>35732.5</v>
      </c>
      <c r="I35" s="100">
        <v>64</v>
      </c>
      <c r="J35" s="99">
        <f t="shared" si="13"/>
        <v>2</v>
      </c>
      <c r="K35" s="100">
        <v>68170</v>
      </c>
      <c r="L35" s="100"/>
      <c r="M35" s="100"/>
      <c r="N35" s="101">
        <f t="shared" si="14"/>
        <v>3.125E-2</v>
      </c>
      <c r="O35" s="102">
        <f t="shared" si="15"/>
        <v>0.58355113961542304</v>
      </c>
      <c r="P35" s="103">
        <f t="shared" si="16"/>
        <v>122465.70205843054</v>
      </c>
      <c r="Q35" s="104">
        <f t="shared" si="17"/>
        <v>18.840877239758544</v>
      </c>
      <c r="R35" s="104">
        <f t="shared" si="18"/>
        <v>11.082868964563851</v>
      </c>
      <c r="S35" s="103">
        <f t="shared" si="19"/>
        <v>71465</v>
      </c>
      <c r="T35" s="104">
        <f t="shared" si="20"/>
        <v>4</v>
      </c>
      <c r="U35" s="104">
        <f t="shared" si="21"/>
        <v>4</v>
      </c>
      <c r="V35" s="105">
        <v>1.2</v>
      </c>
      <c r="W35" s="105">
        <v>1.2</v>
      </c>
      <c r="X35" s="108"/>
      <c r="Y35" s="107"/>
    </row>
    <row r="36" spans="1:26">
      <c r="A36" s="96" t="s">
        <v>51</v>
      </c>
      <c r="B36" s="97">
        <v>45973</v>
      </c>
      <c r="C36" s="98" t="s">
        <v>55</v>
      </c>
      <c r="D36" s="99">
        <v>56481</v>
      </c>
      <c r="E36" s="112">
        <v>5</v>
      </c>
      <c r="F36" s="100">
        <f t="shared" si="11"/>
        <v>11296.2</v>
      </c>
      <c r="G36" s="100">
        <v>3</v>
      </c>
      <c r="H36" s="100">
        <f t="shared" si="12"/>
        <v>18827</v>
      </c>
      <c r="I36" s="100">
        <v>69</v>
      </c>
      <c r="J36" s="99">
        <f t="shared" si="13"/>
        <v>1.6666666666666667</v>
      </c>
      <c r="K36" s="100">
        <v>36977</v>
      </c>
      <c r="L36" s="100">
        <v>16902</v>
      </c>
      <c r="M36" s="100"/>
      <c r="N36" s="101">
        <f t="shared" si="14"/>
        <v>4.3478260869565216E-2</v>
      </c>
      <c r="O36" s="102">
        <f t="shared" si="15"/>
        <v>0.91253205636772505</v>
      </c>
      <c r="P36" s="103">
        <f t="shared" si="16"/>
        <v>61894.811920163083</v>
      </c>
      <c r="Q36" s="104">
        <f t="shared" si="17"/>
        <v>9.5222787569481646</v>
      </c>
      <c r="R36" s="104">
        <f t="shared" si="18"/>
        <v>5.6013404452636264</v>
      </c>
      <c r="S36" s="103">
        <f t="shared" si="19"/>
        <v>56481</v>
      </c>
      <c r="T36" s="104">
        <f t="shared" si="20"/>
        <v>5</v>
      </c>
      <c r="U36" s="104">
        <f t="shared" si="21"/>
        <v>5</v>
      </c>
      <c r="V36" s="105">
        <v>0.85310233682514103</v>
      </c>
      <c r="W36" s="105">
        <v>0.85310233682514103</v>
      </c>
      <c r="X36" s="108"/>
      <c r="Y36" s="107"/>
    </row>
    <row r="37" spans="1:26" ht="15.25" customHeight="1">
      <c r="A37" s="96" t="s">
        <v>54</v>
      </c>
      <c r="B37" s="97">
        <v>45974</v>
      </c>
      <c r="C37" s="98" t="s">
        <v>56</v>
      </c>
      <c r="D37" s="99">
        <v>0</v>
      </c>
      <c r="E37" s="100"/>
      <c r="F37" s="100"/>
      <c r="G37" s="100"/>
      <c r="H37" s="100">
        <v>0</v>
      </c>
      <c r="I37" s="100">
        <v>50</v>
      </c>
      <c r="J37" s="99" t="str">
        <f t="shared" si="13"/>
        <v/>
      </c>
      <c r="K37" s="100"/>
      <c r="L37" s="100"/>
      <c r="M37" s="100"/>
      <c r="N37" s="101">
        <f t="shared" si="14"/>
        <v>0</v>
      </c>
      <c r="O37" s="102">
        <f t="shared" si="15"/>
        <v>0</v>
      </c>
      <c r="P37" s="103">
        <f t="shared" si="16"/>
        <v>61894.811920163083</v>
      </c>
      <c r="Q37" s="104">
        <f t="shared" si="17"/>
        <v>9.5222787569481646</v>
      </c>
      <c r="R37" s="104">
        <f t="shared" si="18"/>
        <v>5.6013404452636264</v>
      </c>
      <c r="S37" s="103">
        <f t="shared" si="19"/>
        <v>0</v>
      </c>
      <c r="T37" s="104">
        <f t="shared" si="20"/>
        <v>12.438561524671561</v>
      </c>
      <c r="U37" s="104">
        <f t="shared" si="21"/>
        <v>12.438561524671561</v>
      </c>
      <c r="V37" s="105">
        <v>0.85310233682514103</v>
      </c>
      <c r="W37" s="105">
        <v>0.85310233682514103</v>
      </c>
      <c r="X37" s="108"/>
      <c r="Y37" s="107"/>
    </row>
    <row r="38" spans="1:26">
      <c r="A38" s="96" t="s">
        <v>51</v>
      </c>
      <c r="B38" s="97">
        <v>45975</v>
      </c>
      <c r="C38" s="98" t="s">
        <v>57</v>
      </c>
      <c r="D38" s="99">
        <v>56141</v>
      </c>
      <c r="E38" s="100">
        <v>7</v>
      </c>
      <c r="F38" s="100">
        <f t="shared" si="11"/>
        <v>8020.1428571428569</v>
      </c>
      <c r="G38" s="100">
        <v>4</v>
      </c>
      <c r="H38" s="100">
        <f t="shared" si="12"/>
        <v>14035.25</v>
      </c>
      <c r="I38" s="100">
        <v>72</v>
      </c>
      <c r="J38" s="99">
        <f t="shared" si="13"/>
        <v>1.75</v>
      </c>
      <c r="K38" s="100"/>
      <c r="L38" s="100"/>
      <c r="M38" s="100">
        <v>19883</v>
      </c>
      <c r="N38" s="101">
        <f t="shared" si="14"/>
        <v>5.5555555555555552E-2</v>
      </c>
      <c r="O38" s="102">
        <f t="shared" si="15"/>
        <v>0.81497284990537933</v>
      </c>
      <c r="P38" s="103">
        <f t="shared" si="16"/>
        <v>68886.957407867187</v>
      </c>
      <c r="Q38" s="104">
        <f t="shared" si="17"/>
        <v>10.597993447364184</v>
      </c>
      <c r="R38" s="104">
        <f t="shared" si="18"/>
        <v>6.2341137925671672</v>
      </c>
      <c r="S38" s="103">
        <f t="shared" si="19"/>
        <v>56141</v>
      </c>
      <c r="T38" s="104">
        <f t="shared" si="20"/>
        <v>7</v>
      </c>
      <c r="U38" s="104">
        <f t="shared" si="21"/>
        <v>7</v>
      </c>
      <c r="V38" s="105">
        <v>0.9</v>
      </c>
      <c r="W38" s="105">
        <v>0.9</v>
      </c>
      <c r="X38" s="108"/>
      <c r="Y38" s="107"/>
    </row>
    <row r="39" spans="1:26">
      <c r="A39" s="96" t="s">
        <v>49</v>
      </c>
      <c r="B39" s="97">
        <v>45976</v>
      </c>
      <c r="C39" s="98" t="s">
        <v>48</v>
      </c>
      <c r="D39" s="99">
        <v>32254</v>
      </c>
      <c r="E39" s="100">
        <v>4</v>
      </c>
      <c r="F39" s="100">
        <f t="shared" si="11"/>
        <v>8063.5</v>
      </c>
      <c r="G39" s="100">
        <v>2</v>
      </c>
      <c r="H39" s="100">
        <f t="shared" si="12"/>
        <v>16127</v>
      </c>
      <c r="I39" s="100">
        <v>66</v>
      </c>
      <c r="J39" s="99">
        <f t="shared" si="13"/>
        <v>2</v>
      </c>
      <c r="K39" s="100">
        <v>19147</v>
      </c>
      <c r="L39" s="100"/>
      <c r="M39" s="100"/>
      <c r="N39" s="101">
        <f t="shared" si="14"/>
        <v>3.0303030303030304E-2</v>
      </c>
      <c r="O39" s="102">
        <f t="shared" si="15"/>
        <v>0.3134340878682963</v>
      </c>
      <c r="P39" s="103">
        <f t="shared" si="16"/>
        <v>102905.20797965344</v>
      </c>
      <c r="Q39" s="104">
        <f t="shared" si="17"/>
        <v>15.831570458408224</v>
      </c>
      <c r="R39" s="104">
        <f t="shared" si="18"/>
        <v>9.3126885049460153</v>
      </c>
      <c r="S39" s="103">
        <f t="shared" si="19"/>
        <v>32254</v>
      </c>
      <c r="T39" s="104">
        <f t="shared" si="20"/>
        <v>4</v>
      </c>
      <c r="U39" s="104">
        <f t="shared" si="21"/>
        <v>4</v>
      </c>
      <c r="V39" s="105">
        <v>1.1000000000000001</v>
      </c>
      <c r="W39" s="105">
        <v>1.1000000000000001</v>
      </c>
      <c r="X39" s="108"/>
      <c r="Y39" s="107"/>
    </row>
    <row r="40" spans="1:26">
      <c r="A40" s="96" t="s">
        <v>58</v>
      </c>
      <c r="B40" s="97">
        <v>45977</v>
      </c>
      <c r="C40" s="98" t="s">
        <v>50</v>
      </c>
      <c r="D40" s="99">
        <v>25235</v>
      </c>
      <c r="E40" s="100">
        <v>5</v>
      </c>
      <c r="F40" s="100">
        <f t="shared" si="11"/>
        <v>5047</v>
      </c>
      <c r="G40" s="100">
        <v>4</v>
      </c>
      <c r="H40" s="100">
        <f t="shared" si="12"/>
        <v>6308.75</v>
      </c>
      <c r="I40" s="100">
        <v>70</v>
      </c>
      <c r="J40" s="99">
        <f t="shared" si="13"/>
        <v>1.25</v>
      </c>
      <c r="K40" s="100"/>
      <c r="L40" s="100"/>
      <c r="M40" s="100"/>
      <c r="N40" s="101">
        <f t="shared" si="14"/>
        <v>5.7142857142857141E-2</v>
      </c>
      <c r="O40" s="102">
        <f t="shared" si="15"/>
        <v>0.29672307747570259</v>
      </c>
      <c r="P40" s="103">
        <f t="shared" si="16"/>
        <v>85045.626429465658</v>
      </c>
      <c r="Q40" s="104">
        <f t="shared" si="17"/>
        <v>13.0839425276101</v>
      </c>
      <c r="R40" s="104">
        <f t="shared" si="18"/>
        <v>7.6964367809471179</v>
      </c>
      <c r="S40" s="103">
        <f t="shared" si="19"/>
        <v>25235</v>
      </c>
      <c r="T40" s="104">
        <f t="shared" si="20"/>
        <v>5</v>
      </c>
      <c r="U40" s="104">
        <f t="shared" si="21"/>
        <v>5</v>
      </c>
      <c r="V40" s="105">
        <v>1</v>
      </c>
      <c r="W40" s="105">
        <v>1</v>
      </c>
      <c r="X40" s="108"/>
      <c r="Y40" s="107"/>
    </row>
    <row r="41" spans="1:26">
      <c r="A41" s="96" t="s">
        <v>58</v>
      </c>
      <c r="B41" s="97">
        <v>45978</v>
      </c>
      <c r="C41" s="98" t="s">
        <v>52</v>
      </c>
      <c r="D41" s="99">
        <v>76121</v>
      </c>
      <c r="E41" s="100">
        <v>8</v>
      </c>
      <c r="F41" s="100">
        <f t="shared" si="11"/>
        <v>9515.125</v>
      </c>
      <c r="G41" s="100">
        <v>2</v>
      </c>
      <c r="H41" s="100">
        <f t="shared" si="12"/>
        <v>38060.5</v>
      </c>
      <c r="I41" s="100">
        <v>51</v>
      </c>
      <c r="J41" s="99">
        <f t="shared" si="13"/>
        <v>4</v>
      </c>
      <c r="K41" s="100">
        <v>45170</v>
      </c>
      <c r="L41" s="100"/>
      <c r="M41" s="100"/>
      <c r="N41" s="101">
        <f t="shared" si="14"/>
        <v>3.9215686274509803E-2</v>
      </c>
      <c r="O41" s="102">
        <f t="shared" si="15"/>
        <v>1.2298445966390044</v>
      </c>
      <c r="P41" s="103">
        <f t="shared" si="16"/>
        <v>61894.811920163083</v>
      </c>
      <c r="Q41" s="104">
        <f t="shared" si="17"/>
        <v>9.5222787569481646</v>
      </c>
      <c r="R41" s="104">
        <f t="shared" si="18"/>
        <v>5.6013404452636264</v>
      </c>
      <c r="S41" s="103">
        <f t="shared" si="19"/>
        <v>76121</v>
      </c>
      <c r="T41" s="104">
        <f t="shared" si="20"/>
        <v>8</v>
      </c>
      <c r="U41" s="104">
        <f t="shared" si="21"/>
        <v>8</v>
      </c>
      <c r="V41" s="105">
        <v>0.85310233682514103</v>
      </c>
      <c r="W41" s="105">
        <v>0.85310233682514103</v>
      </c>
      <c r="X41" s="108"/>
      <c r="Y41" s="107"/>
    </row>
    <row r="42" spans="1:26">
      <c r="A42" s="96" t="s">
        <v>51</v>
      </c>
      <c r="B42" s="97">
        <v>45979</v>
      </c>
      <c r="C42" s="98" t="s">
        <v>53</v>
      </c>
      <c r="D42" s="99">
        <v>25769</v>
      </c>
      <c r="E42" s="100">
        <v>4</v>
      </c>
      <c r="F42" s="100">
        <f t="shared" si="11"/>
        <v>6442.25</v>
      </c>
      <c r="G42" s="100">
        <v>3</v>
      </c>
      <c r="H42" s="100">
        <f t="shared" si="12"/>
        <v>8589.6666666666661</v>
      </c>
      <c r="I42" s="100">
        <v>43</v>
      </c>
      <c r="J42" s="99">
        <f t="shared" si="13"/>
        <v>1.3333333333333333</v>
      </c>
      <c r="K42" s="100">
        <v>6890</v>
      </c>
      <c r="L42" s="100"/>
      <c r="M42" s="100"/>
      <c r="N42" s="101">
        <f t="shared" si="14"/>
        <v>6.9767441860465115E-2</v>
      </c>
      <c r="O42" s="102">
        <f t="shared" si="15"/>
        <v>0.41633537934066162</v>
      </c>
      <c r="P42" s="103">
        <f t="shared" si="16"/>
        <v>61894.811920163083</v>
      </c>
      <c r="Q42" s="104">
        <f t="shared" si="17"/>
        <v>9.5222787569481646</v>
      </c>
      <c r="R42" s="104">
        <f t="shared" si="18"/>
        <v>5.6013404452636264</v>
      </c>
      <c r="S42" s="103">
        <f t="shared" si="19"/>
        <v>25769</v>
      </c>
      <c r="T42" s="104">
        <f t="shared" si="20"/>
        <v>4</v>
      </c>
      <c r="U42" s="104">
        <f t="shared" si="21"/>
        <v>4</v>
      </c>
      <c r="V42" s="105">
        <v>0.85310233682514103</v>
      </c>
      <c r="W42" s="105">
        <v>0.85310233682514103</v>
      </c>
      <c r="X42" s="108"/>
      <c r="Y42" s="107"/>
    </row>
    <row r="43" spans="1:26">
      <c r="A43" s="96" t="s">
        <v>49</v>
      </c>
      <c r="B43" s="97">
        <v>45980</v>
      </c>
      <c r="C43" s="98" t="s">
        <v>55</v>
      </c>
      <c r="D43" s="99">
        <v>34562</v>
      </c>
      <c r="E43" s="100">
        <v>5</v>
      </c>
      <c r="F43" s="100">
        <f t="shared" si="11"/>
        <v>6912.4</v>
      </c>
      <c r="G43" s="100">
        <v>4</v>
      </c>
      <c r="H43" s="100">
        <f t="shared" si="12"/>
        <v>8640.5</v>
      </c>
      <c r="I43" s="100">
        <v>52</v>
      </c>
      <c r="J43" s="99">
        <f t="shared" si="13"/>
        <v>1.25</v>
      </c>
      <c r="K43" s="100">
        <v>6993</v>
      </c>
      <c r="L43" s="100"/>
      <c r="M43" s="100"/>
      <c r="N43" s="101">
        <f t="shared" si="14"/>
        <v>7.6923076923076927E-2</v>
      </c>
      <c r="O43" s="102">
        <f t="shared" si="15"/>
        <v>0.5624825191965207</v>
      </c>
      <c r="P43" s="103">
        <f t="shared" si="16"/>
        <v>61445.465095288935</v>
      </c>
      <c r="Q43" s="104">
        <f t="shared" si="17"/>
        <v>9.4531484761982973</v>
      </c>
      <c r="R43" s="104">
        <f t="shared" si="18"/>
        <v>5.5606755742342928</v>
      </c>
      <c r="S43" s="103">
        <f t="shared" si="19"/>
        <v>34562</v>
      </c>
      <c r="T43" s="104">
        <f t="shared" si="20"/>
        <v>5</v>
      </c>
      <c r="U43" s="104">
        <f t="shared" si="21"/>
        <v>5</v>
      </c>
      <c r="V43" s="105">
        <v>0.85</v>
      </c>
      <c r="W43" s="105">
        <v>0.85</v>
      </c>
      <c r="X43" s="108"/>
      <c r="Y43" s="107"/>
      <c r="Z43" s="113"/>
    </row>
    <row r="44" spans="1:26">
      <c r="A44" s="96" t="s">
        <v>49</v>
      </c>
      <c r="B44" s="97">
        <v>45981</v>
      </c>
      <c r="C44" s="98" t="s">
        <v>56</v>
      </c>
      <c r="D44" s="99">
        <v>0</v>
      </c>
      <c r="E44" s="100"/>
      <c r="F44" s="100" t="str">
        <f t="shared" si="11"/>
        <v/>
      </c>
      <c r="G44" s="100"/>
      <c r="H44" s="100" t="str">
        <f t="shared" si="12"/>
        <v/>
      </c>
      <c r="I44" s="100">
        <v>39</v>
      </c>
      <c r="J44" s="99" t="str">
        <f t="shared" si="13"/>
        <v/>
      </c>
      <c r="K44" s="100"/>
      <c r="L44" s="100"/>
      <c r="M44" s="100"/>
      <c r="N44" s="101">
        <f t="shared" si="14"/>
        <v>0</v>
      </c>
      <c r="O44" s="102">
        <f t="shared" si="15"/>
        <v>0</v>
      </c>
      <c r="P44" s="103">
        <f t="shared" si="16"/>
        <v>61894.811920163083</v>
      </c>
      <c r="Q44" s="104">
        <f t="shared" si="17"/>
        <v>9.5222787569481646</v>
      </c>
      <c r="R44" s="104">
        <f t="shared" si="18"/>
        <v>5.6013404452636264</v>
      </c>
      <c r="S44" s="103">
        <f t="shared" si="19"/>
        <v>0</v>
      </c>
      <c r="T44" s="104">
        <f t="shared" si="20"/>
        <v>17.377877127782838</v>
      </c>
      <c r="U44" s="104">
        <f t="shared" si="21"/>
        <v>17.377877127782838</v>
      </c>
      <c r="V44" s="105">
        <v>0.85310233682514103</v>
      </c>
      <c r="W44" s="105">
        <v>0.85310233682514103</v>
      </c>
      <c r="X44" s="108"/>
      <c r="Y44" s="107"/>
      <c r="Z44" s="113"/>
    </row>
    <row r="45" spans="1:26">
      <c r="A45" s="96" t="s">
        <v>51</v>
      </c>
      <c r="B45" s="97">
        <v>45982</v>
      </c>
      <c r="C45" s="98" t="s">
        <v>57</v>
      </c>
      <c r="D45" s="99">
        <v>12506</v>
      </c>
      <c r="E45" s="100">
        <v>2</v>
      </c>
      <c r="F45" s="100">
        <f t="shared" si="11"/>
        <v>6253</v>
      </c>
      <c r="G45" s="100">
        <v>3</v>
      </c>
      <c r="H45" s="100">
        <f t="shared" si="12"/>
        <v>4168.666666666667</v>
      </c>
      <c r="I45" s="100">
        <v>84</v>
      </c>
      <c r="J45" s="99">
        <f t="shared" si="13"/>
        <v>0.66666666666666663</v>
      </c>
      <c r="K45" s="100"/>
      <c r="L45" s="100">
        <v>220</v>
      </c>
      <c r="M45" s="100"/>
      <c r="N45" s="101">
        <f t="shared" si="14"/>
        <v>3.5714285714285712E-2</v>
      </c>
      <c r="O45" s="102">
        <f t="shared" si="15"/>
        <v>0.18154379973489382</v>
      </c>
      <c r="P45" s="103">
        <f t="shared" si="16"/>
        <v>68886.957407867187</v>
      </c>
      <c r="Q45" s="104">
        <f t="shared" si="17"/>
        <v>10.597993447364184</v>
      </c>
      <c r="R45" s="104">
        <f t="shared" si="18"/>
        <v>6.2341137925671672</v>
      </c>
      <c r="S45" s="103">
        <f t="shared" si="19"/>
        <v>12506</v>
      </c>
      <c r="T45" s="104">
        <f t="shared" si="20"/>
        <v>2</v>
      </c>
      <c r="U45" s="104">
        <f t="shared" si="21"/>
        <v>2</v>
      </c>
      <c r="V45" s="105">
        <v>0.9</v>
      </c>
      <c r="W45" s="105">
        <v>0.9</v>
      </c>
      <c r="X45" s="108"/>
      <c r="Y45" s="107"/>
      <c r="Z45" s="113"/>
    </row>
    <row r="46" spans="1:26">
      <c r="A46" s="96" t="s">
        <v>51</v>
      </c>
      <c r="B46" s="97">
        <v>45983</v>
      </c>
      <c r="C46" s="98" t="s">
        <v>48</v>
      </c>
      <c r="D46" s="99">
        <v>89607</v>
      </c>
      <c r="E46" s="100">
        <v>11</v>
      </c>
      <c r="F46" s="100">
        <f t="shared" si="11"/>
        <v>8146.090909090909</v>
      </c>
      <c r="G46" s="100">
        <v>6</v>
      </c>
      <c r="H46" s="100">
        <f t="shared" si="12"/>
        <v>14934.5</v>
      </c>
      <c r="I46" s="100">
        <v>97</v>
      </c>
      <c r="J46" s="99">
        <f t="shared" si="13"/>
        <v>1.8333333333333333</v>
      </c>
      <c r="K46" s="100">
        <v>32577</v>
      </c>
      <c r="L46" s="100"/>
      <c r="M46" s="100"/>
      <c r="N46" s="101">
        <f t="shared" si="14"/>
        <v>6.1855670103092786E-2</v>
      </c>
      <c r="O46" s="102">
        <f t="shared" si="15"/>
        <v>0.87077225496417265</v>
      </c>
      <c r="P46" s="103">
        <f t="shared" si="16"/>
        <v>102905.20797965344</v>
      </c>
      <c r="Q46" s="104">
        <f t="shared" si="17"/>
        <v>15.831570458408224</v>
      </c>
      <c r="R46" s="104">
        <f t="shared" si="18"/>
        <v>9.3126885049460153</v>
      </c>
      <c r="S46" s="103">
        <f t="shared" si="19"/>
        <v>89607</v>
      </c>
      <c r="T46" s="104">
        <f t="shared" si="20"/>
        <v>11</v>
      </c>
      <c r="U46" s="104">
        <f t="shared" si="21"/>
        <v>11</v>
      </c>
      <c r="V46" s="105">
        <v>1.1000000000000001</v>
      </c>
      <c r="W46" s="105">
        <v>1.1000000000000001</v>
      </c>
      <c r="X46" s="108"/>
      <c r="Y46" s="107"/>
      <c r="Z46" s="113"/>
    </row>
    <row r="47" spans="1:26">
      <c r="A47" s="96" t="s">
        <v>49</v>
      </c>
      <c r="B47" s="97">
        <v>45984</v>
      </c>
      <c r="C47" s="98" t="s">
        <v>50</v>
      </c>
      <c r="D47" s="99">
        <v>86009</v>
      </c>
      <c r="E47" s="100">
        <v>9</v>
      </c>
      <c r="F47" s="100">
        <f t="shared" si="11"/>
        <v>9556.5555555555547</v>
      </c>
      <c r="G47" s="100">
        <v>8</v>
      </c>
      <c r="H47" s="100">
        <f t="shared" si="12"/>
        <v>10751.125</v>
      </c>
      <c r="I47" s="100">
        <v>63</v>
      </c>
      <c r="J47" s="99">
        <f t="shared" si="13"/>
        <v>1.125</v>
      </c>
      <c r="K47" s="100">
        <v>58696</v>
      </c>
      <c r="L47" s="100"/>
      <c r="M47" s="100"/>
      <c r="N47" s="101">
        <f t="shared" si="14"/>
        <v>0.12698412698412698</v>
      </c>
      <c r="O47" s="102">
        <f t="shared" si="15"/>
        <v>1.0113277261980467</v>
      </c>
      <c r="P47" s="103">
        <f t="shared" si="16"/>
        <v>85045.626429465658</v>
      </c>
      <c r="Q47" s="104">
        <f t="shared" si="17"/>
        <v>13.0839425276101</v>
      </c>
      <c r="R47" s="104">
        <f t="shared" si="18"/>
        <v>7.6964367809471179</v>
      </c>
      <c r="S47" s="103">
        <f t="shared" si="19"/>
        <v>86009</v>
      </c>
      <c r="T47" s="104">
        <f t="shared" si="20"/>
        <v>9</v>
      </c>
      <c r="U47" s="104">
        <f t="shared" si="21"/>
        <v>9</v>
      </c>
      <c r="V47" s="105">
        <v>1</v>
      </c>
      <c r="W47" s="105">
        <v>1</v>
      </c>
      <c r="X47" s="108"/>
      <c r="Y47" s="107"/>
      <c r="Z47" s="113"/>
    </row>
    <row r="48" spans="1:26">
      <c r="A48" s="96" t="s">
        <v>58</v>
      </c>
      <c r="B48" s="97">
        <v>45985</v>
      </c>
      <c r="C48" s="98" t="s">
        <v>52</v>
      </c>
      <c r="D48" s="99">
        <v>29111</v>
      </c>
      <c r="E48" s="100">
        <v>4</v>
      </c>
      <c r="F48" s="100">
        <f t="shared" si="11"/>
        <v>7277.75</v>
      </c>
      <c r="G48" s="100">
        <v>2</v>
      </c>
      <c r="H48" s="100">
        <f t="shared" si="12"/>
        <v>14555.5</v>
      </c>
      <c r="I48" s="100">
        <v>38</v>
      </c>
      <c r="J48" s="99">
        <f t="shared" si="13"/>
        <v>2</v>
      </c>
      <c r="K48" s="100"/>
      <c r="L48" s="100"/>
      <c r="M48" s="100"/>
      <c r="N48" s="101">
        <f t="shared" si="14"/>
        <v>5.2631578947368418E-2</v>
      </c>
      <c r="O48" s="102">
        <f t="shared" si="15"/>
        <v>0.53484158339082499</v>
      </c>
      <c r="P48" s="103">
        <f t="shared" si="16"/>
        <v>54429.200914858018</v>
      </c>
      <c r="Q48" s="104">
        <f t="shared" si="17"/>
        <v>8.3737232176704648</v>
      </c>
      <c r="R48" s="104">
        <f t="shared" si="18"/>
        <v>4.9257195398061562</v>
      </c>
      <c r="S48" s="103">
        <f t="shared" si="19"/>
        <v>29111</v>
      </c>
      <c r="T48" s="104">
        <f t="shared" si="20"/>
        <v>4</v>
      </c>
      <c r="U48" s="104">
        <f t="shared" si="21"/>
        <v>4</v>
      </c>
      <c r="V48" s="105">
        <v>0.8</v>
      </c>
      <c r="W48" s="105">
        <v>0.8</v>
      </c>
      <c r="X48" s="108"/>
      <c r="Y48" s="107"/>
      <c r="Z48" s="113"/>
    </row>
    <row r="49" spans="1:26">
      <c r="A49" s="96" t="s">
        <v>51</v>
      </c>
      <c r="B49" s="97">
        <v>45986</v>
      </c>
      <c r="C49" s="98" t="s">
        <v>53</v>
      </c>
      <c r="D49" s="99">
        <v>12714</v>
      </c>
      <c r="E49" s="100">
        <v>2</v>
      </c>
      <c r="F49" s="100">
        <f t="shared" si="11"/>
        <v>6357</v>
      </c>
      <c r="G49" s="100">
        <v>2</v>
      </c>
      <c r="H49" s="100">
        <f t="shared" si="12"/>
        <v>6357</v>
      </c>
      <c r="I49" s="100">
        <v>41</v>
      </c>
      <c r="J49" s="99">
        <f t="shared" si="13"/>
        <v>1</v>
      </c>
      <c r="K49" s="100"/>
      <c r="L49" s="100">
        <v>8821</v>
      </c>
      <c r="M49" s="100"/>
      <c r="N49" s="101">
        <f t="shared" si="14"/>
        <v>4.878048780487805E-2</v>
      </c>
      <c r="O49" s="102">
        <f t="shared" si="15"/>
        <v>0.23358784965239765</v>
      </c>
      <c r="P49" s="103">
        <f t="shared" si="16"/>
        <v>54429.200914858018</v>
      </c>
      <c r="Q49" s="104">
        <f t="shared" si="17"/>
        <v>8.3737232176704648</v>
      </c>
      <c r="R49" s="104">
        <f t="shared" si="18"/>
        <v>4.9257195398061562</v>
      </c>
      <c r="S49" s="103">
        <f t="shared" si="19"/>
        <v>12714</v>
      </c>
      <c r="T49" s="104">
        <f t="shared" si="20"/>
        <v>2</v>
      </c>
      <c r="U49" s="104">
        <f t="shared" si="21"/>
        <v>2</v>
      </c>
      <c r="V49" s="105">
        <v>0.8</v>
      </c>
      <c r="W49" s="105">
        <v>0.8</v>
      </c>
      <c r="X49" s="108"/>
      <c r="Y49" s="107"/>
      <c r="Z49" s="113"/>
    </row>
    <row r="50" spans="1:26">
      <c r="A50" s="96" t="s">
        <v>49</v>
      </c>
      <c r="B50" s="97">
        <v>45987</v>
      </c>
      <c r="C50" s="98" t="s">
        <v>55</v>
      </c>
      <c r="D50" s="99"/>
      <c r="E50" s="100"/>
      <c r="F50" s="100" t="str">
        <f t="shared" si="11"/>
        <v/>
      </c>
      <c r="G50" s="100"/>
      <c r="H50" s="100" t="str">
        <f t="shared" si="12"/>
        <v/>
      </c>
      <c r="I50" s="100">
        <v>44</v>
      </c>
      <c r="J50" s="99" t="str">
        <f t="shared" si="13"/>
        <v/>
      </c>
      <c r="K50" s="100"/>
      <c r="L50" s="100"/>
      <c r="M50" s="100"/>
      <c r="N50" s="101">
        <f t="shared" si="14"/>
        <v>0</v>
      </c>
      <c r="O50" s="102">
        <f t="shared" si="15"/>
        <v>0</v>
      </c>
      <c r="P50" s="103">
        <f t="shared" si="16"/>
        <v>54429.200914858018</v>
      </c>
      <c r="Q50" s="104">
        <f t="shared" si="17"/>
        <v>8.3737232176704648</v>
      </c>
      <c r="R50" s="104">
        <f t="shared" si="18"/>
        <v>4.9257195398061562</v>
      </c>
      <c r="S50" s="103">
        <f t="shared" si="19"/>
        <v>207285.8</v>
      </c>
      <c r="T50" s="104">
        <f t="shared" si="20"/>
        <v>30.216712269509113</v>
      </c>
      <c r="U50" s="104">
        <f t="shared" si="21"/>
        <v>30.216712269509113</v>
      </c>
      <c r="V50" s="105">
        <v>0.8</v>
      </c>
      <c r="W50" s="105">
        <v>0.8</v>
      </c>
      <c r="X50" s="108"/>
      <c r="Y50" s="107"/>
      <c r="Z50" s="113"/>
    </row>
    <row r="51" spans="1:26">
      <c r="A51" s="96" t="s">
        <v>49</v>
      </c>
      <c r="B51" s="97">
        <v>45988</v>
      </c>
      <c r="C51" s="98" t="s">
        <v>56</v>
      </c>
      <c r="D51" s="99">
        <v>17908</v>
      </c>
      <c r="E51" s="100">
        <v>3</v>
      </c>
      <c r="F51" s="100">
        <f t="shared" si="11"/>
        <v>5969.333333333333</v>
      </c>
      <c r="G51" s="100">
        <v>2</v>
      </c>
      <c r="H51" s="100">
        <f t="shared" si="12"/>
        <v>8954</v>
      </c>
      <c r="I51" s="100">
        <v>51</v>
      </c>
      <c r="J51" s="99">
        <f t="shared" si="13"/>
        <v>1.5</v>
      </c>
      <c r="K51" s="100"/>
      <c r="L51" s="100"/>
      <c r="M51" s="100"/>
      <c r="N51" s="101">
        <f t="shared" si="14"/>
        <v>3.9215686274509803E-2</v>
      </c>
      <c r="O51" s="102">
        <f t="shared" si="15"/>
        <v>0.3290145675298991</v>
      </c>
      <c r="P51" s="103">
        <f t="shared" si="16"/>
        <v>54429.200914858018</v>
      </c>
      <c r="Q51" s="104">
        <f t="shared" si="17"/>
        <v>8.3737232176704648</v>
      </c>
      <c r="R51" s="104">
        <f t="shared" si="18"/>
        <v>4.9257195398061562</v>
      </c>
      <c r="S51" s="103">
        <f t="shared" si="19"/>
        <v>17908</v>
      </c>
      <c r="T51" s="104">
        <f t="shared" si="20"/>
        <v>3</v>
      </c>
      <c r="U51" s="104">
        <f t="shared" si="21"/>
        <v>3</v>
      </c>
      <c r="V51" s="105">
        <v>0.8</v>
      </c>
      <c r="W51" s="105">
        <v>0.8</v>
      </c>
      <c r="X51" s="108"/>
      <c r="Y51" s="107"/>
      <c r="Z51" s="113"/>
    </row>
    <row r="52" spans="1:26">
      <c r="A52" s="96" t="s">
        <v>51</v>
      </c>
      <c r="B52" s="97">
        <v>45989</v>
      </c>
      <c r="C52" s="98" t="s">
        <v>57</v>
      </c>
      <c r="D52" s="99">
        <v>34481</v>
      </c>
      <c r="E52" s="100">
        <v>4</v>
      </c>
      <c r="F52" s="100">
        <f t="shared" si="11"/>
        <v>8620.25</v>
      </c>
      <c r="G52" s="100">
        <v>3</v>
      </c>
      <c r="H52" s="100">
        <f t="shared" si="12"/>
        <v>11493.666666666666</v>
      </c>
      <c r="I52" s="100">
        <v>47</v>
      </c>
      <c r="J52" s="99">
        <f t="shared" si="13"/>
        <v>1.3333333333333333</v>
      </c>
      <c r="K52" s="100">
        <v>6993</v>
      </c>
      <c r="L52" s="100"/>
      <c r="M52" s="100">
        <v>7693</v>
      </c>
      <c r="N52" s="101">
        <f t="shared" si="14"/>
        <v>6.3829787234042548E-2</v>
      </c>
      <c r="O52" s="102">
        <f t="shared" si="15"/>
        <v>0.63350185967156869</v>
      </c>
      <c r="P52" s="103">
        <f t="shared" si="16"/>
        <v>54429.200914858018</v>
      </c>
      <c r="Q52" s="104">
        <f t="shared" si="17"/>
        <v>8.3737232176704648</v>
      </c>
      <c r="R52" s="104">
        <f t="shared" si="18"/>
        <v>4.9257195398061562</v>
      </c>
      <c r="S52" s="103">
        <f t="shared" si="19"/>
        <v>34481</v>
      </c>
      <c r="T52" s="104">
        <f t="shared" si="20"/>
        <v>4</v>
      </c>
      <c r="U52" s="104">
        <f t="shared" si="21"/>
        <v>4</v>
      </c>
      <c r="V52" s="105">
        <v>0.8</v>
      </c>
      <c r="W52" s="105">
        <v>0.8</v>
      </c>
      <c r="X52" s="108"/>
      <c r="Y52" s="107"/>
      <c r="Z52" s="113"/>
    </row>
    <row r="53" spans="1:26">
      <c r="A53" s="96" t="s">
        <v>58</v>
      </c>
      <c r="B53" s="97">
        <v>45990</v>
      </c>
      <c r="C53" s="98" t="s">
        <v>48</v>
      </c>
      <c r="D53" s="99">
        <v>37336</v>
      </c>
      <c r="E53" s="100">
        <v>8</v>
      </c>
      <c r="F53" s="100">
        <f t="shared" si="11"/>
        <v>4667</v>
      </c>
      <c r="G53" s="100">
        <v>4</v>
      </c>
      <c r="H53" s="100">
        <f t="shared" si="12"/>
        <v>9334</v>
      </c>
      <c r="I53" s="100">
        <v>64</v>
      </c>
      <c r="J53" s="99">
        <f t="shared" si="13"/>
        <v>2</v>
      </c>
      <c r="K53" s="100"/>
      <c r="L53" s="100"/>
      <c r="M53" s="100"/>
      <c r="N53" s="101">
        <f t="shared" si="14"/>
        <v>6.25E-2</v>
      </c>
      <c r="O53" s="102">
        <f t="shared" si="15"/>
        <v>0.68595532126961767</v>
      </c>
      <c r="P53" s="103">
        <f t="shared" si="16"/>
        <v>54429.200914858018</v>
      </c>
      <c r="Q53" s="104">
        <f t="shared" si="17"/>
        <v>8.3737232176704648</v>
      </c>
      <c r="R53" s="104">
        <f t="shared" si="18"/>
        <v>4.9257195398061562</v>
      </c>
      <c r="S53" s="103">
        <f t="shared" si="19"/>
        <v>37336</v>
      </c>
      <c r="T53" s="104">
        <f t="shared" si="20"/>
        <v>8</v>
      </c>
      <c r="U53" s="104">
        <f t="shared" si="21"/>
        <v>8</v>
      </c>
      <c r="V53" s="105">
        <v>0.8</v>
      </c>
      <c r="W53" s="105">
        <v>0.8</v>
      </c>
      <c r="X53" s="108"/>
      <c r="Y53" s="107"/>
      <c r="Z53" s="113"/>
    </row>
    <row r="54" spans="1:26" ht="15" customHeight="1">
      <c r="A54" s="96" t="s">
        <v>58</v>
      </c>
      <c r="B54" s="97">
        <v>45991</v>
      </c>
      <c r="C54" s="98" t="s">
        <v>50</v>
      </c>
      <c r="D54" s="99"/>
      <c r="E54" s="100"/>
      <c r="F54" s="100" t="str">
        <f t="shared" si="11"/>
        <v/>
      </c>
      <c r="G54" s="100"/>
      <c r="H54" s="100" t="str">
        <f t="shared" si="12"/>
        <v/>
      </c>
      <c r="I54" s="100">
        <v>30</v>
      </c>
      <c r="J54" s="99" t="str">
        <f t="shared" si="13"/>
        <v/>
      </c>
      <c r="K54" s="100"/>
      <c r="L54" s="100"/>
      <c r="M54" s="100"/>
      <c r="N54" s="101">
        <f t="shared" si="14"/>
        <v>0</v>
      </c>
      <c r="O54" s="102">
        <f t="shared" si="15"/>
        <v>0</v>
      </c>
      <c r="P54" s="103">
        <f t="shared" si="16"/>
        <v>54429.200914858018</v>
      </c>
      <c r="Q54" s="104">
        <f t="shared" si="17"/>
        <v>8.3737232176704648</v>
      </c>
      <c r="R54" s="104">
        <f t="shared" si="18"/>
        <v>4.9257195398061562</v>
      </c>
      <c r="S54" s="103">
        <f t="shared" si="19"/>
        <v>739418.19999999984</v>
      </c>
      <c r="T54" s="104">
        <f t="shared" si="20"/>
        <v>105.86684907803645</v>
      </c>
      <c r="U54" s="104">
        <f t="shared" si="21"/>
        <v>105.86684907803645</v>
      </c>
      <c r="V54" s="105">
        <v>0.8</v>
      </c>
      <c r="W54" s="105">
        <v>0.8</v>
      </c>
      <c r="X54" s="108"/>
      <c r="Y54" s="107"/>
      <c r="Z54" s="113"/>
    </row>
    <row r="55" spans="1:26" ht="15" customHeight="1">
      <c r="A55" s="96"/>
      <c r="B55" s="97"/>
      <c r="C55" s="98"/>
      <c r="D55" s="99"/>
      <c r="E55" s="100"/>
      <c r="F55" s="100" t="str">
        <f t="shared" si="11"/>
        <v/>
      </c>
      <c r="G55" s="100"/>
      <c r="H55" s="100" t="str">
        <f t="shared" si="12"/>
        <v/>
      </c>
      <c r="I55" s="100"/>
      <c r="J55" s="99" t="str">
        <f t="shared" si="13"/>
        <v/>
      </c>
      <c r="K55" s="100"/>
      <c r="L55" s="100"/>
      <c r="M55" s="100"/>
      <c r="N55" s="101" t="str">
        <f t="shared" si="14"/>
        <v/>
      </c>
      <c r="O55" s="102" t="e">
        <f t="shared" si="15"/>
        <v>#DIV/0!</v>
      </c>
      <c r="P55" s="103">
        <f t="shared" si="16"/>
        <v>0</v>
      </c>
      <c r="Q55" s="104">
        <f t="shared" si="17"/>
        <v>0</v>
      </c>
      <c r="R55" s="104">
        <f t="shared" si="18"/>
        <v>0</v>
      </c>
      <c r="S55" s="103" t="str">
        <f t="shared" si="19"/>
        <v/>
      </c>
      <c r="T55" s="104" t="str">
        <f t="shared" si="20"/>
        <v/>
      </c>
      <c r="U55" s="104" t="str">
        <f t="shared" si="21"/>
        <v/>
      </c>
      <c r="V55" s="105"/>
      <c r="W55" s="105"/>
      <c r="X55" s="108"/>
      <c r="Y55" s="107"/>
    </row>
    <row r="56" spans="1:26" ht="15" customHeight="1">
      <c r="A56" s="114"/>
      <c r="B56" s="525" t="s">
        <v>59</v>
      </c>
      <c r="C56" s="525"/>
      <c r="D56" s="115">
        <f>SUM(D25:D55)</f>
        <v>1119646</v>
      </c>
      <c r="E56" s="116">
        <f>SUM(E25:E55)</f>
        <v>152</v>
      </c>
      <c r="F56" s="116">
        <f>IF(AND(E56&lt;&gt;"", E56&lt;&gt;0), D56/E56, "")</f>
        <v>7366.0921052631575</v>
      </c>
      <c r="G56" s="116">
        <f>SUM(G25:G55)</f>
        <v>97</v>
      </c>
      <c r="H56" s="116">
        <f>IF(AND(G56&lt;&gt;"", G56&lt;&gt;0), D56/G56, "")</f>
        <v>11542.742268041236</v>
      </c>
      <c r="I56" s="116">
        <f>SUM(I25:I55)*0.8</f>
        <v>1555.2</v>
      </c>
      <c r="J56" s="115">
        <f>E56/G56</f>
        <v>1.5670103092783505</v>
      </c>
      <c r="K56" s="116">
        <f>SUM(K25:K55)</f>
        <v>416418</v>
      </c>
      <c r="L56" s="116">
        <f>SUM(L25:L55)</f>
        <v>46449</v>
      </c>
      <c r="M56" s="116">
        <f>SUM(M25:M55)</f>
        <v>72847</v>
      </c>
      <c r="N56" s="117">
        <f>IF(AND(I56&lt;&gt;"", I56&lt;&gt;0), G56/I56, "")</f>
        <v>6.237139917695473E-2</v>
      </c>
      <c r="O56" s="118">
        <f t="shared" si="15"/>
        <v>0.54184721852541962</v>
      </c>
      <c r="P56" s="119">
        <f t="shared" ref="P56:U56" si="22">SUM(P25:P55)</f>
        <v>2066349.9999999986</v>
      </c>
      <c r="Q56" s="119">
        <f t="shared" si="22"/>
        <v>317.90000000000015</v>
      </c>
      <c r="R56" s="119">
        <f t="shared" si="22"/>
        <v>186.99999999999997</v>
      </c>
      <c r="S56" s="119">
        <f t="shared" si="22"/>
        <v>2066350</v>
      </c>
      <c r="T56" s="119">
        <f t="shared" si="22"/>
        <v>317.89999999999998</v>
      </c>
      <c r="U56" s="119">
        <f t="shared" si="22"/>
        <v>314.89999999999998</v>
      </c>
      <c r="V56" s="120"/>
      <c r="W56" s="120"/>
    </row>
    <row r="57" spans="1:26">
      <c r="A57" s="121"/>
      <c r="B57" s="122"/>
      <c r="C57" s="123"/>
      <c r="D57" s="124">
        <f>SUMIF(D25:D55,"",P25:P55)+D56</f>
        <v>1228504.4018297161</v>
      </c>
      <c r="E57" s="125"/>
      <c r="F57" s="123"/>
      <c r="G57" s="123"/>
      <c r="H57" s="126"/>
      <c r="I57" s="127">
        <f>I56/J14</f>
        <v>51.84</v>
      </c>
      <c r="J57" s="126"/>
      <c r="K57" s="3"/>
      <c r="L57" s="128"/>
      <c r="M57" s="125"/>
      <c r="N57" s="128"/>
      <c r="O57" s="128"/>
      <c r="P57" s="128"/>
      <c r="Q57" s="129"/>
      <c r="R57" s="3"/>
      <c r="T57" s="3"/>
      <c r="U57" s="3"/>
      <c r="V57" s="3"/>
      <c r="W57" s="3"/>
    </row>
    <row r="58" spans="1:26">
      <c r="A58" s="121"/>
      <c r="B58" s="3"/>
      <c r="C58" s="130"/>
      <c r="D58" s="130">
        <f>'Рогалевич И. Е. '!J8+'Уразгильдеева Е. Р. '!J8+'Арапова А. В.'!J8+'Доп сотрудник'!D57</f>
        <v>1119646</v>
      </c>
      <c r="E58" s="131">
        <f>'Рогалевич И. Е. '!E57+'Уразгильдеева Е. Р. '!E57+'Арапова А. В.'!E57+'Доп сотрудник'!E57</f>
        <v>152</v>
      </c>
      <c r="F58" s="3"/>
      <c r="G58" s="132">
        <f>'Рогалевич И. Е. '!G57+'Уразгильдеева Е. Р. '!G57+'Арапова А. В.'!G57+'Доп сотрудник'!G57</f>
        <v>98</v>
      </c>
      <c r="H58" s="3"/>
      <c r="I58" s="133">
        <f>'Рогалевич И. Е. '!I57+'Уразгильдеева Е. Р. '!I57</f>
        <v>744</v>
      </c>
      <c r="J58" s="134"/>
      <c r="K58" s="135">
        <f>'Рогалевич И. Е. '!K57+'Уразгильдеева Е. Р. '!K57+'Арапова А. В.'!K57</f>
        <v>416418</v>
      </c>
      <c r="L58" s="132">
        <f>'Рогалевич И. Е. '!L57+'Уразгильдеева Е. Р. '!L57+'Арапова А. В.'!L57</f>
        <v>46449</v>
      </c>
      <c r="M58" s="132">
        <f>'Рогалевич И. Е. '!M57+'Уразгильдеева Е. Р. '!M57</f>
        <v>72847</v>
      </c>
      <c r="N58" s="3"/>
      <c r="O58" s="3"/>
      <c r="P58" s="3"/>
      <c r="Q58" s="3"/>
      <c r="R58" s="3"/>
      <c r="T58" s="3"/>
      <c r="U58" s="3"/>
      <c r="V58" s="3"/>
      <c r="W58" s="3"/>
    </row>
    <row r="59" spans="1:26">
      <c r="D59" s="136"/>
      <c r="F59" s="137"/>
    </row>
    <row r="60" spans="1:26">
      <c r="D60" s="93"/>
      <c r="G60" s="138"/>
      <c r="M60" s="136"/>
    </row>
    <row r="61" spans="1:26">
      <c r="D61" s="93"/>
    </row>
    <row r="62" spans="1:26">
      <c r="M62" s="136"/>
    </row>
    <row r="64" spans="1:26">
      <c r="F64" s="526"/>
    </row>
    <row r="65" spans="4:6">
      <c r="F65" s="526"/>
    </row>
    <row r="68" spans="4:6">
      <c r="D68" s="139"/>
    </row>
  </sheetData>
  <mergeCells count="31">
    <mergeCell ref="P22:W22"/>
    <mergeCell ref="A23:A24"/>
    <mergeCell ref="B56:C56"/>
    <mergeCell ref="F64:F65"/>
    <mergeCell ref="F18:H18"/>
    <mergeCell ref="F19:H19"/>
    <mergeCell ref="F20:H20"/>
    <mergeCell ref="A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25:D55">
    <cfRule type="cellIs" dxfId="324" priority="1" operator="lessThan">
      <formula>$I$15</formula>
    </cfRule>
    <cfRule type="cellIs" dxfId="323" priority="2" operator="greaterThan">
      <formula>$I$15</formula>
    </cfRule>
  </conditionalFormatting>
  <conditionalFormatting sqref="D58">
    <cfRule type="cellIs" dxfId="322" priority="61" operator="notEqual">
      <formula>$D$56</formula>
    </cfRule>
    <cfRule type="cellIs" dxfId="321" priority="62" operator="equal">
      <formula>$D$56</formula>
    </cfRule>
  </conditionalFormatting>
  <conditionalFormatting sqref="G58">
    <cfRule type="cellIs" dxfId="320" priority="20" operator="notEqual">
      <formula>$G$56</formula>
    </cfRule>
  </conditionalFormatting>
  <conditionalFormatting sqref="J16">
    <cfRule type="cellIs" dxfId="319" priority="64" operator="lessThan">
      <formula>0</formula>
    </cfRule>
    <cfRule type="cellIs" dxfId="318" priority="65" operator="greaterThan">
      <formula>0</formula>
    </cfRule>
  </conditionalFormatting>
  <conditionalFormatting sqref="J25:J55">
    <cfRule type="cellIs" dxfId="317" priority="41" operator="lessThan">
      <formula>$I$12</formula>
    </cfRule>
    <cfRule type="cellIs" dxfId="316" priority="42" operator="greaterThan">
      <formula>$I$12</formula>
    </cfRule>
  </conditionalFormatting>
  <conditionalFormatting sqref="J27">
    <cfRule type="cellIs" dxfId="315" priority="76" operator="lessThan">
      <formula>$I$12</formula>
    </cfRule>
  </conditionalFormatting>
  <conditionalFormatting sqref="K8">
    <cfRule type="cellIs" dxfId="314" priority="4" operator="greaterThan">
      <formula>$K$17</formula>
    </cfRule>
    <cfRule type="cellIs" dxfId="313" priority="5" operator="lessThan">
      <formula>$K$17</formula>
    </cfRule>
  </conditionalFormatting>
  <conditionalFormatting sqref="K10:K12 K15">
    <cfRule type="cellIs" dxfId="312" priority="68" operator="lessThan">
      <formula>1</formula>
    </cfRule>
    <cfRule type="cellIs" dxfId="311" priority="69" operator="greaterThan">
      <formula>1</formula>
    </cfRule>
  </conditionalFormatting>
  <conditionalFormatting sqref="K58">
    <cfRule type="cellIs" dxfId="310" priority="21" operator="equal">
      <formula>$K$56</formula>
    </cfRule>
  </conditionalFormatting>
  <conditionalFormatting sqref="L58">
    <cfRule type="cellIs" dxfId="309" priority="24" operator="equal">
      <formula>$L$56</formula>
    </cfRule>
    <cfRule type="cellIs" dxfId="308" priority="25" operator="notEqual">
      <formula>$L$56</formula>
    </cfRule>
  </conditionalFormatting>
  <conditionalFormatting sqref="M8:M15">
    <cfRule type="cellIs" dxfId="307" priority="54" operator="lessThan">
      <formula>1</formula>
    </cfRule>
    <cfRule type="cellIs" dxfId="306" priority="55" operator="greaterThan">
      <formula>1</formula>
    </cfRule>
  </conditionalFormatting>
  <conditionalFormatting sqref="M58">
    <cfRule type="cellIs" dxfId="305" priority="3" operator="equal">
      <formula>$M$56</formula>
    </cfRule>
  </conditionalFormatting>
  <conditionalFormatting sqref="N25:N55">
    <cfRule type="cellIs" dxfId="304" priority="6" operator="lessThan">
      <formula>$I$20</formula>
    </cfRule>
    <cfRule type="cellIs" dxfId="303" priority="7" operator="greaterThan">
      <formula>$I$20</formula>
    </cfRule>
  </conditionalFormatting>
  <conditionalFormatting sqref="O25:O55">
    <cfRule type="cellIs" dxfId="302" priority="32" operator="between">
      <formula>0.9001</formula>
      <formula>0.9999</formula>
    </cfRule>
    <cfRule type="cellIs" dxfId="301" priority="33" operator="lessThan">
      <formula>0.9</formula>
    </cfRule>
    <cfRule type="cellIs" dxfId="300" priority="34" operator="greaterThan">
      <formula>1</formula>
    </cfRule>
    <cfRule type="cellIs" dxfId="299" priority="35" operator="greaterThan">
      <formula>100</formula>
    </cfRule>
    <cfRule type="cellIs" dxfId="298" priority="36" operator="between">
      <formula>0.85</formula>
      <formula>1</formula>
    </cfRule>
    <cfRule type="cellIs" dxfId="297" priority="37" operator="between">
      <formula>0.01</formula>
      <formula>0.99</formula>
    </cfRule>
  </conditionalFormatting>
  <conditionalFormatting sqref="P10:Q10">
    <cfRule type="cellIs" dxfId="296" priority="74" operator="lessThan">
      <formula>0</formula>
    </cfRule>
  </conditionalFormatting>
  <conditionalFormatting sqref="T13">
    <cfRule type="cellIs" dxfId="295" priority="17" operator="between">
      <formula>0.9</formula>
      <formula>0.95</formula>
    </cfRule>
    <cfRule type="cellIs" dxfId="294" priority="18" operator="lessThan">
      <formula>0.9</formula>
    </cfRule>
    <cfRule type="cellIs" dxfId="293" priority="19" operator="greaterThan">
      <formula>0.95</formula>
    </cfRule>
  </conditionalFormatting>
  <conditionalFormatting sqref="T19">
    <cfRule type="cellIs" dxfId="292" priority="14" operator="between">
      <formula>0.9</formula>
      <formula>0.95</formula>
    </cfRule>
    <cfRule type="cellIs" dxfId="291" priority="15" operator="lessThan">
      <formula>0.9</formula>
    </cfRule>
    <cfRule type="cellIs" dxfId="290" priority="16" operator="greaterThan">
      <formula>0.95</formula>
    </cfRule>
  </conditionalFormatting>
  <conditionalFormatting sqref="W13">
    <cfRule type="cellIs" dxfId="289" priority="8" operator="between">
      <formula>0.9</formula>
      <formula>0.95</formula>
    </cfRule>
    <cfRule type="cellIs" dxfId="288" priority="9" operator="lessThan">
      <formula>0.9</formula>
    </cfRule>
    <cfRule type="cellIs" dxfId="287" priority="10" operator="greaterThan">
      <formula>0.95</formula>
    </cfRule>
    <cfRule type="cellIs" dxfId="286" priority="11" operator="lessThan">
      <formula>1</formula>
    </cfRule>
    <cfRule type="cellIs" dxfId="285" priority="12" operator="greaterThan">
      <formula>1</formula>
    </cfRule>
    <cfRule type="cellIs" dxfId="284" priority="13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"/>
  <sheetViews>
    <sheetView topLeftCell="B1" workbookViewId="0">
      <selection activeCell="S23" sqref="S23"/>
    </sheetView>
  </sheetViews>
  <sheetFormatPr baseColWidth="10" defaultColWidth="10" defaultRowHeight="15"/>
  <cols>
    <col min="1" max="1" width="21.1640625" bestFit="1" customWidth="1"/>
    <col min="4" max="25" width="4.1640625" customWidth="1"/>
  </cols>
  <sheetData>
    <row r="1" spans="1:26">
      <c r="A1" s="527" t="s">
        <v>26</v>
      </c>
      <c r="B1" s="529" t="s">
        <v>16</v>
      </c>
      <c r="C1" s="531" t="s">
        <v>60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>
      <c r="A2" s="528"/>
      <c r="B2" s="530"/>
      <c r="C2" s="532"/>
      <c r="D2" s="140">
        <v>9</v>
      </c>
      <c r="E2" s="140">
        <v>10</v>
      </c>
      <c r="F2" s="140">
        <v>11</v>
      </c>
      <c r="G2" s="140">
        <v>12</v>
      </c>
      <c r="H2" s="140">
        <v>13</v>
      </c>
      <c r="I2" s="140">
        <v>14</v>
      </c>
      <c r="J2" s="140">
        <v>15</v>
      </c>
      <c r="K2" s="140">
        <v>16</v>
      </c>
      <c r="L2" s="140">
        <v>17</v>
      </c>
      <c r="M2" s="140">
        <v>18</v>
      </c>
      <c r="N2" s="140">
        <v>19</v>
      </c>
      <c r="O2" s="140">
        <v>20</v>
      </c>
      <c r="P2" s="138">
        <v>21</v>
      </c>
      <c r="Q2" s="140">
        <v>22</v>
      </c>
      <c r="R2" s="140">
        <v>23</v>
      </c>
      <c r="S2" s="140">
        <v>24</v>
      </c>
      <c r="T2" s="140">
        <v>25</v>
      </c>
      <c r="U2" s="140">
        <v>26</v>
      </c>
      <c r="V2" s="140">
        <v>27</v>
      </c>
      <c r="W2" s="140">
        <v>28</v>
      </c>
      <c r="X2" s="140">
        <v>29</v>
      </c>
      <c r="Y2" s="141">
        <v>30</v>
      </c>
      <c r="Z2" s="142" t="s">
        <v>61</v>
      </c>
    </row>
    <row r="3" spans="1:26">
      <c r="A3" s="143" t="str">
        <f>График!B29</f>
        <v>Рогалевич Ирина</v>
      </c>
      <c r="B3" s="144">
        <f>'Рогалевич И. Е. '!J12</f>
        <v>1.62</v>
      </c>
      <c r="C3" s="145">
        <f>'Рогалевич И. Е. '!K8</f>
        <v>0.76619216772122389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38"/>
      <c r="Q3" s="146"/>
      <c r="R3" s="146"/>
      <c r="S3" s="146"/>
      <c r="T3" s="146"/>
      <c r="U3" s="146"/>
      <c r="V3" s="146"/>
      <c r="W3" s="146"/>
      <c r="X3" s="146"/>
      <c r="Y3" s="147"/>
      <c r="Z3" s="148">
        <f t="shared" ref="Z3:Z5" si="0">SUM(D3:Y3)</f>
        <v>0</v>
      </c>
    </row>
    <row r="4" spans="1:26">
      <c r="A4" s="149" t="str">
        <f>График!B28</f>
        <v>Уразгильдеева Екатерина</v>
      </c>
      <c r="B4" s="150">
        <f>'Уразгильдеева Е. Р. '!J12</f>
        <v>1.6818181818181819</v>
      </c>
      <c r="C4" s="151">
        <f>'Уразгильдеева Е. Р. '!K8</f>
        <v>0.56110974750674536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3"/>
      <c r="Z4" s="148">
        <f t="shared" si="0"/>
        <v>0</v>
      </c>
    </row>
    <row r="5" spans="1:26">
      <c r="A5" s="154" t="str">
        <f>График!B27</f>
        <v>Арапова Анна-Мария</v>
      </c>
      <c r="B5" s="155" t="e">
        <f>'[1]Яковенко А. К'!J12</f>
        <v>#REF!</v>
      </c>
      <c r="C5" s="156" t="e">
        <f>'[1]Яковенко А. К'!K8</f>
        <v>#REF!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1"/>
      <c r="Z5" s="142">
        <f t="shared" si="0"/>
        <v>0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D16" sqref="D16:F16"/>
    </sheetView>
  </sheetViews>
  <sheetFormatPr baseColWidth="10" defaultColWidth="10" defaultRowHeight="15"/>
  <cols>
    <col min="1" max="1" width="10.83203125" style="3"/>
    <col min="2" max="2" width="10" style="3" customWidth="1"/>
    <col min="3" max="3" width="1.6640625" style="3" customWidth="1"/>
    <col min="4" max="11" width="11.6640625" style="3" customWidth="1"/>
    <col min="12" max="12" width="13.1640625" style="3" customWidth="1"/>
    <col min="13" max="14" width="11.6640625" customWidth="1"/>
    <col min="15" max="15" width="15.33203125" customWidth="1"/>
  </cols>
  <sheetData>
    <row r="1" spans="1:15" ht="22" customHeight="1">
      <c r="A1" s="533" t="s">
        <v>62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5"/>
    </row>
    <row r="2" spans="1:15" ht="18" customHeight="1">
      <c r="A2" s="536" t="s">
        <v>3</v>
      </c>
      <c r="B2" s="537"/>
      <c r="C2" s="537"/>
      <c r="D2" s="540" t="str">
        <f>'Ялта, Ленина, 18'!I3</f>
        <v>ул. Набережная Ленина, 18</v>
      </c>
      <c r="E2" s="541"/>
      <c r="F2" s="541"/>
      <c r="G2" s="542" t="str">
        <f>График!B29</f>
        <v>Рогалевич Ирина</v>
      </c>
      <c r="H2" s="543"/>
      <c r="I2" s="543"/>
      <c r="J2" s="544" t="str">
        <f>График!B28</f>
        <v>Уразгильдеева Екатерина</v>
      </c>
      <c r="K2" s="545"/>
      <c r="L2" s="546"/>
      <c r="M2" s="544" t="str">
        <f>График!B27</f>
        <v>Арапова Анна-Мария</v>
      </c>
      <c r="N2" s="545"/>
      <c r="O2" s="546"/>
    </row>
    <row r="3" spans="1:15" ht="18" customHeight="1">
      <c r="A3" s="538"/>
      <c r="B3" s="539"/>
      <c r="C3" s="539"/>
      <c r="D3" s="547" t="s">
        <v>63</v>
      </c>
      <c r="E3" s="548"/>
      <c r="F3" s="157" t="s">
        <v>64</v>
      </c>
      <c r="G3" s="549" t="s">
        <v>5</v>
      </c>
      <c r="H3" s="550"/>
      <c r="I3" s="158" t="s">
        <v>64</v>
      </c>
      <c r="J3" s="551" t="s">
        <v>5</v>
      </c>
      <c r="K3" s="552"/>
      <c r="L3" s="159" t="s">
        <v>64</v>
      </c>
      <c r="M3" s="551" t="s">
        <v>5</v>
      </c>
      <c r="N3" s="552"/>
      <c r="O3" s="159" t="s">
        <v>64</v>
      </c>
    </row>
    <row r="4" spans="1:15">
      <c r="A4" s="553" t="s">
        <v>12</v>
      </c>
      <c r="B4" s="553"/>
      <c r="C4" s="554"/>
      <c r="D4" s="160">
        <f>'Ялта, Ленина, 18'!K8</f>
        <v>0.54184721852541917</v>
      </c>
      <c r="E4" s="161">
        <f>'Ялта, Ленина, 18'!J8</f>
        <v>1119646</v>
      </c>
      <c r="F4" s="162">
        <f>'Ялта, Ленина, 18'!M8</f>
        <v>0.57197997735804418</v>
      </c>
      <c r="G4" s="163">
        <f>'Рогалевич И. Е. '!K8</f>
        <v>0.76619216772122389</v>
      </c>
      <c r="H4" s="164">
        <f>'Рогалевич И. Е. '!J8</f>
        <v>641915</v>
      </c>
      <c r="I4" s="165">
        <f>'Рогалевич И. Е. '!M8</f>
        <v>1.0081475891068734</v>
      </c>
      <c r="J4" s="166">
        <f>'Уразгильдеева Е. Р. '!K8</f>
        <v>0.56110974750674536</v>
      </c>
      <c r="K4" s="164">
        <f>'Уразгильдеева Е. Р. '!J8</f>
        <v>263849</v>
      </c>
      <c r="L4" s="167">
        <f>'Уразгильдеева Е. Р. '!M8</f>
        <v>0.72944267175876876</v>
      </c>
      <c r="M4" s="166" t="e">
        <f>'[1]Яковенко А. К'!K8</f>
        <v>#REF!</v>
      </c>
      <c r="N4" s="164" t="e">
        <f>'[1]Яковенко А. К'!J8</f>
        <v>#REF!</v>
      </c>
      <c r="O4" s="167" t="e">
        <f>'[1]Яковенко А. К'!M8</f>
        <v>#REF!</v>
      </c>
    </row>
    <row r="5" spans="1:15">
      <c r="A5" s="513" t="s">
        <v>13</v>
      </c>
      <c r="B5" s="513"/>
      <c r="C5" s="555"/>
      <c r="D5" s="168">
        <f>'Ялта, Ленина, 18'!K9</f>
        <v>0.47813777917584149</v>
      </c>
      <c r="E5" s="169">
        <f>'Ялта, Ленина, 18'!J9</f>
        <v>152</v>
      </c>
      <c r="F5" s="170">
        <f>'Ялта, Ленина, 18'!M9</f>
        <v>0.53880075052055232</v>
      </c>
      <c r="G5" s="171">
        <f>'Рогалевич И. Е. '!K9</f>
        <v>0.62843238794112044</v>
      </c>
      <c r="H5" s="172">
        <f>'Рогалевич И. Е. '!J9</f>
        <v>81</v>
      </c>
      <c r="I5" s="173">
        <f>'Рогалевич И. Е. '!M9</f>
        <v>0.82688472097515808</v>
      </c>
      <c r="J5" s="174">
        <f>'Уразгильдеева Е. Р. '!K9</f>
        <v>0.51145501508579627</v>
      </c>
      <c r="K5" s="175">
        <f>'Уразгильдеева Е. Р. '!J9</f>
        <v>37</v>
      </c>
      <c r="L5" s="176">
        <f>'Уразгильдеева Е. Р. '!M9</f>
        <v>0.66489151961153503</v>
      </c>
      <c r="M5" s="174" t="e">
        <f>'[1]Яковенко А. К'!K9</f>
        <v>#REF!</v>
      </c>
      <c r="N5" s="175" t="e">
        <f>'[1]Яковенко А. К'!J9</f>
        <v>#REF!</v>
      </c>
      <c r="O5" s="176" t="e">
        <f>'[1]Яковенко А. К'!M9</f>
        <v>#REF!</v>
      </c>
    </row>
    <row r="6" spans="1:15">
      <c r="A6" s="553" t="s">
        <v>14</v>
      </c>
      <c r="B6" s="553"/>
      <c r="C6" s="554"/>
      <c r="D6" s="168">
        <f>'Ялта, Ленина, 18'!K10</f>
        <v>1.0445920604562204</v>
      </c>
      <c r="E6" s="177">
        <f>'Ялта, Ленина, 18'!J10</f>
        <v>11542.742268041236</v>
      </c>
      <c r="F6" s="170">
        <f>'Ялта, Ленина, 18'!M10</f>
        <v>1.0445920604562204</v>
      </c>
      <c r="G6" s="171">
        <f>'Рогалевич И. Е. '!K10</f>
        <v>1.161837104072398</v>
      </c>
      <c r="H6" s="178">
        <f>'Рогалевич И. Е. '!J10</f>
        <v>12838.3</v>
      </c>
      <c r="I6" s="173">
        <f>'Рогалевич И. Е. '!M10</f>
        <v>1.161837104072398</v>
      </c>
      <c r="J6" s="174">
        <f>'Уразгильдеева Е. Р. '!K10</f>
        <v>1.0853517071164129</v>
      </c>
      <c r="K6" s="178">
        <f>'Уразгильдеева Е. Р. '!J10</f>
        <v>11993.136363636364</v>
      </c>
      <c r="L6" s="176">
        <f>'Уразгильдеева Е. Р. '!M10</f>
        <v>1.0853517071164129</v>
      </c>
      <c r="M6" s="174" t="e">
        <f>'[1]Яковенко А. К'!K10</f>
        <v>#REF!</v>
      </c>
      <c r="N6" s="175" t="e">
        <f>'[1]Яковенко А. К'!J10</f>
        <v>#REF!</v>
      </c>
      <c r="O6" s="176" t="e">
        <f>'[1]Яковенко А. К'!M10</f>
        <v>#REF!</v>
      </c>
    </row>
    <row r="7" spans="1:15">
      <c r="A7" s="513" t="s">
        <v>15</v>
      </c>
      <c r="B7" s="513"/>
      <c r="C7" s="555"/>
      <c r="D7" s="168">
        <f>'Ялта, Ленина, 18'!K11</f>
        <v>1.1332449392712549</v>
      </c>
      <c r="E7" s="177">
        <f>'Ялта, Ленина, 18'!J11</f>
        <v>7366.0921052631575</v>
      </c>
      <c r="F7" s="170">
        <f>'Ялта, Ленина, 18'!M11</f>
        <v>1.0615797710107797</v>
      </c>
      <c r="G7" s="171">
        <f>'Рогалевич И. Е. '!K11</f>
        <v>1.2192117758784424</v>
      </c>
      <c r="H7" s="178">
        <f>'Рогалевич И. Е. '!J11</f>
        <v>7924.8765432098762</v>
      </c>
      <c r="I7" s="173">
        <f>'Рогалевич И. Е. '!M11</f>
        <v>1.2192117758784431</v>
      </c>
      <c r="J7" s="174">
        <f>'Уразгильдеева Е. Р. '!K11</f>
        <v>1.097085239085239</v>
      </c>
      <c r="K7" s="178">
        <f>'Уразгильдеева Е. Р. '!J11</f>
        <v>7131.0540540540542</v>
      </c>
      <c r="L7" s="176">
        <f>'Уразгильдеева Е. Р. '!M11</f>
        <v>1.097085239085239</v>
      </c>
      <c r="M7" s="174" t="e">
        <f>'[1]Яковенко А. К'!K11</f>
        <v>#REF!</v>
      </c>
      <c r="N7" s="175" t="e">
        <f>'[1]Яковенко А. К'!J11</f>
        <v>#REF!</v>
      </c>
      <c r="O7" s="176" t="e">
        <f>'[1]Яковенко А. К'!M11</f>
        <v>#REF!</v>
      </c>
    </row>
    <row r="8" spans="1:15">
      <c r="A8" s="513" t="s">
        <v>16</v>
      </c>
      <c r="B8" s="513"/>
      <c r="C8" s="555"/>
      <c r="D8" s="168">
        <f>'Ялта, Ленина, 18'!K12</f>
        <v>0.92177077016373565</v>
      </c>
      <c r="E8" s="179">
        <f>'Ялта, Ленина, 18'!J12</f>
        <v>1.5670103092783505</v>
      </c>
      <c r="F8" s="170">
        <f>'Ялта, Ленина, 18'!M12</f>
        <v>0.92177077016373565</v>
      </c>
      <c r="G8" s="171">
        <f>'Рогалевич И. Е. '!K12</f>
        <v>0.95294117647058829</v>
      </c>
      <c r="H8" s="180">
        <f>'Рогалевич И. Е. '!J12</f>
        <v>1.62</v>
      </c>
      <c r="I8" s="173">
        <f>'Рогалевич И. Е. '!M12</f>
        <v>0.95294117647058829</v>
      </c>
      <c r="J8" s="174">
        <f>'Уразгильдеева Е. Р. '!K12</f>
        <v>0.98930481283422467</v>
      </c>
      <c r="K8" s="181">
        <f>'Уразгильдеева Е. Р. '!J12</f>
        <v>1.6818181818181819</v>
      </c>
      <c r="L8" s="176">
        <f>'Уразгильдеева Е. Р. '!M12</f>
        <v>0.98930481283422467</v>
      </c>
      <c r="M8" s="174" t="e">
        <f>'[1]Яковенко А. К'!K12</f>
        <v>#REF!</v>
      </c>
      <c r="N8" s="181" t="e">
        <f>'[1]Яковенко А. К'!J12</f>
        <v>#REF!</v>
      </c>
      <c r="O8" s="176" t="e">
        <f>'[1]Яковенко А. К'!M12</f>
        <v>#REF!</v>
      </c>
    </row>
    <row r="9" spans="1:15">
      <c r="A9" s="513" t="s">
        <v>17</v>
      </c>
      <c r="B9" s="513"/>
      <c r="C9" s="555"/>
      <c r="D9" s="168">
        <f>'Ялта, Ленина, 18'!K13</f>
        <v>0.51871657754010692</v>
      </c>
      <c r="E9" s="169">
        <f>'Ялта, Ленина, 18'!J13</f>
        <v>97</v>
      </c>
      <c r="F9" s="170">
        <f>'Ялта, Ленина, 18'!M13</f>
        <v>0.58452791947920468</v>
      </c>
      <c r="G9" s="171">
        <f>'Рогалевич И. Е. '!K13</f>
        <v>0.6594660861110524</v>
      </c>
      <c r="H9" s="172">
        <f>'Рогалевич И. Е. '!J13</f>
        <v>50</v>
      </c>
      <c r="I9" s="173">
        <f>'Рогалевич И. Е. '!M13</f>
        <v>0.8677185343566477</v>
      </c>
      <c r="J9" s="174">
        <f>'Уразгильдеева Е. Р. '!K13</f>
        <v>0.51698425849212926</v>
      </c>
      <c r="K9" s="175">
        <f>'Уразгильдеева Е. Р. '!J13</f>
        <v>22</v>
      </c>
      <c r="L9" s="176">
        <f>'Уразгильдеева Е. Р. '!M13</f>
        <v>0.67207953603976789</v>
      </c>
      <c r="M9" s="174" t="e">
        <f>'[1]Яковенко А. К'!K13</f>
        <v>#REF!</v>
      </c>
      <c r="N9" s="175" t="e">
        <f>'[1]Яковенко А. К'!J13</f>
        <v>#REF!</v>
      </c>
      <c r="O9" s="176" t="e">
        <f>'[1]Яковенко А. К'!M13</f>
        <v>#REF!</v>
      </c>
    </row>
    <row r="10" spans="1:15">
      <c r="A10" s="513" t="s">
        <v>65</v>
      </c>
      <c r="B10" s="513"/>
      <c r="C10" s="555"/>
      <c r="D10" s="168">
        <f>'Ялта, Ленина, 18'!K14</f>
        <v>1</v>
      </c>
      <c r="E10" s="182">
        <f>'Ялта, Ленина, 18'!J14</f>
        <v>30</v>
      </c>
      <c r="F10" s="170"/>
      <c r="G10" s="171">
        <f>'Рогалевич И. Е. '!K14</f>
        <v>1</v>
      </c>
      <c r="H10" s="172">
        <f>'Рогалевич И. Е. '!J14</f>
        <v>25</v>
      </c>
      <c r="I10" s="173"/>
      <c r="J10" s="174">
        <f>'Уразгильдеева Е. Р. '!K14</f>
        <v>1</v>
      </c>
      <c r="K10" s="172">
        <f>'Уразгильдеева Е. Р. '!J14</f>
        <v>13</v>
      </c>
      <c r="L10" s="176"/>
      <c r="M10" s="174" t="e">
        <f>'[1]Яковенко А. К'!K14</f>
        <v>#REF!</v>
      </c>
      <c r="N10" s="175" t="e">
        <f>'[1]Яковенко А. К'!J14</f>
        <v>#REF!</v>
      </c>
      <c r="O10" s="176"/>
    </row>
    <row r="11" spans="1:15">
      <c r="A11" s="513" t="s">
        <v>19</v>
      </c>
      <c r="B11" s="513"/>
      <c r="C11" s="555"/>
      <c r="D11" s="168">
        <f>'Ялта, Ленина, 18'!K15</f>
        <v>0.54184721852541928</v>
      </c>
      <c r="E11" s="183">
        <f>'Ялта, Ленина, 18'!J15</f>
        <v>37321.533333333333</v>
      </c>
      <c r="F11" s="170">
        <f>'Ялта, Ленина, 18'!M15</f>
        <v>0.54184721852541928</v>
      </c>
      <c r="G11" s="171">
        <f>'Рогалевич И. Е. '!K15</f>
        <v>0.37278195852590318</v>
      </c>
      <c r="H11" s="178">
        <f>'Рогалевич И. Е. '!J15</f>
        <v>25676.6</v>
      </c>
      <c r="I11" s="173">
        <f>'Рогалевич И. Е. '!M15</f>
        <v>0.37278195852590318</v>
      </c>
      <c r="J11" s="174">
        <f>'Уразгильдеева Е. Р. '!K15</f>
        <v>0.29466562184156009</v>
      </c>
      <c r="K11" s="178">
        <f>'Уразгильдеева Е. Р. '!J15</f>
        <v>20296.076923076922</v>
      </c>
      <c r="L11" s="176">
        <f>'Уразгильдеева Е. Р. '!M15</f>
        <v>0.29466562184156009</v>
      </c>
      <c r="M11" s="174" t="e">
        <f>'[1]Яковенко А. К'!K15</f>
        <v>#REF!</v>
      </c>
      <c r="N11" s="175" t="e">
        <f>'[1]Яковенко А. К'!J15</f>
        <v>#REF!</v>
      </c>
      <c r="O11" s="176" t="e">
        <f>'[1]Яковенко А. К'!M15</f>
        <v>#REF!</v>
      </c>
    </row>
    <row r="12" spans="1:15">
      <c r="A12" s="556" t="s">
        <v>21</v>
      </c>
      <c r="B12" s="557"/>
      <c r="C12" s="558"/>
      <c r="D12" s="168">
        <f>'Ялта, Ленина, 18'!K17</f>
        <v>0.9148235294117647</v>
      </c>
      <c r="E12" s="182">
        <f>'Ялта, Ленина, 18'!J17</f>
        <v>1555.2</v>
      </c>
      <c r="F12" s="170">
        <f>'Ялта, Ленина, 18'!M17</f>
        <v>0.9148235294117647</v>
      </c>
      <c r="G12" s="171">
        <f>'Рогалевич И. Е. '!K17</f>
        <v>0.73556847244826784</v>
      </c>
      <c r="H12" s="172">
        <f>'Рогалевич И. Е. '!J17</f>
        <v>507</v>
      </c>
      <c r="I12" s="173">
        <f>'Рогалевич И. Е. '!M17</f>
        <v>0.73556847244826784</v>
      </c>
      <c r="J12" s="174">
        <f>'Уразгильдеева Е. Р. '!K17</f>
        <v>0.61262634631317314</v>
      </c>
      <c r="K12" s="172">
        <f>'Уразгильдеева Е. Р. '!J17</f>
        <v>237</v>
      </c>
      <c r="L12" s="176">
        <f>'Уразгильдеева Е. Р. '!M17</f>
        <v>0.61262634631317314</v>
      </c>
      <c r="M12" s="174" t="e">
        <f>'[1]Яковенко А. К'!K17</f>
        <v>#REF!</v>
      </c>
      <c r="N12" s="172" t="e">
        <f>'[1]Яковенко А. К'!J17</f>
        <v>#REF!</v>
      </c>
      <c r="O12" s="176" t="e">
        <f>'[1]Яковенко А. К'!M17</f>
        <v>#REF!</v>
      </c>
    </row>
    <row r="13" spans="1:15">
      <c r="A13" s="556" t="s">
        <v>35</v>
      </c>
      <c r="B13" s="557"/>
      <c r="C13" s="558"/>
      <c r="D13" s="168">
        <f>'Ялта, Ленина, 18'!S19</f>
        <v>0.4082529411764706</v>
      </c>
      <c r="E13" s="183">
        <f>'Ялта, Ленина, 18'!T18</f>
        <v>416418</v>
      </c>
      <c r="F13" s="170">
        <f>'Ялта, Ленина, 18'!T19</f>
        <v>0.4082529411764706</v>
      </c>
      <c r="G13" s="171">
        <f>'Рогалевич И. Е. '!S19</f>
        <v>0.71370211578702625</v>
      </c>
      <c r="H13" s="178">
        <f>'Рогалевич И. Е. '!T18</f>
        <v>295157</v>
      </c>
      <c r="I13" s="173">
        <f>'Рогалевич И. Е. '!T19</f>
        <v>0.71370211578702625</v>
      </c>
      <c r="J13" s="174">
        <f>'Уразгильдеева Е. Р. '!S19</f>
        <v>0.3932699254349627</v>
      </c>
      <c r="K13" s="178">
        <f>'Уразгильдеева Е. Р. '!T18</f>
        <v>91284</v>
      </c>
      <c r="L13" s="176">
        <f>'Уразгильдеева Е. Р. '!T19</f>
        <v>0.3932699254349627</v>
      </c>
      <c r="M13" s="174" t="e">
        <f>'[1]Яковенко А. К'!S19</f>
        <v>#REF!</v>
      </c>
      <c r="N13" s="184" t="e">
        <f>'[1]Яковенко А. К'!T18</f>
        <v>#REF!</v>
      </c>
      <c r="O13" s="176" t="e">
        <f>'[1]Яковенко А. К'!T19</f>
        <v>#REF!</v>
      </c>
    </row>
    <row r="14" spans="1:15">
      <c r="A14" s="556" t="s">
        <v>36</v>
      </c>
      <c r="B14" s="557"/>
      <c r="C14" s="558"/>
      <c r="D14" s="185">
        <f>'Ялта, Ленина, 18'!S13</f>
        <v>9.10764705882353E-2</v>
      </c>
      <c r="E14" s="183">
        <f>'Ялта, Ленина, 18'!T12</f>
        <v>46449</v>
      </c>
      <c r="F14" s="186">
        <f>'Ялта, Ленина, 18'!T13</f>
        <v>9.10764705882353E-2</v>
      </c>
      <c r="G14" s="171">
        <f>'Рогалевич И. Е. '!S13</f>
        <v>5.8531132294815158E-2</v>
      </c>
      <c r="H14" s="178">
        <f>'Рогалевич И. Е. '!T12</f>
        <v>12103</v>
      </c>
      <c r="I14" s="173">
        <f>'Рогалевич И. Е. '!T13</f>
        <v>5.8531132294815158E-2</v>
      </c>
      <c r="J14" s="174">
        <f>'Уразгильдеева Е. Р. '!S13</f>
        <v>0</v>
      </c>
      <c r="K14" s="178">
        <f>'Уразгильдеева Е. Р. '!T12</f>
        <v>0</v>
      </c>
      <c r="L14" s="176">
        <f>'Уразгильдеева Е. Р. '!T13</f>
        <v>0</v>
      </c>
      <c r="M14" s="174" t="e">
        <f>'[1]Яковенко А. К'!S13</f>
        <v>#REF!</v>
      </c>
      <c r="N14" s="178" t="e">
        <f>'[1]Яковенко А. К'!T12</f>
        <v>#REF!</v>
      </c>
      <c r="O14" s="176" t="e">
        <f>'[1]Яковенко А. К'!T13</f>
        <v>#REF!</v>
      </c>
    </row>
    <row r="15" spans="1:15">
      <c r="A15" s="556" t="str">
        <f>'Ялта, Ленина, 18'!M23</f>
        <v>Agafi</v>
      </c>
      <c r="B15" s="557"/>
      <c r="C15" s="558"/>
      <c r="D15" s="187">
        <f>'Ялта, Ленина, 18'!V13</f>
        <v>0.15176458333333334</v>
      </c>
      <c r="E15" s="188">
        <f>'Ялта, Ленина, 18'!W12</f>
        <v>72847</v>
      </c>
      <c r="F15" s="189">
        <f>'Ялта, Ленина, 18'!W13</f>
        <v>0.15176458333333334</v>
      </c>
      <c r="G15" s="190">
        <f>'Рогалевич И. Е. '!V13</f>
        <v>0.37431264822134386</v>
      </c>
      <c r="H15" s="191">
        <f>'Рогалевич И. Е. '!W12</f>
        <v>72847</v>
      </c>
      <c r="I15" s="192">
        <f>'Рогалевич И. Е. '!W13</f>
        <v>0.37431264822134386</v>
      </c>
      <c r="J15" s="193">
        <f>'Уразгильдеева Е. Р. '!V13</f>
        <v>0</v>
      </c>
      <c r="K15" s="191">
        <f>'Уразгильдеева Е. Р. '!W12</f>
        <v>0</v>
      </c>
      <c r="L15" s="194">
        <f>'Уразгильдеева Е. Р. '!W13</f>
        <v>0</v>
      </c>
      <c r="M15" s="193" t="e">
        <f>'[1]Яковенко А. К'!V13</f>
        <v>#REF!</v>
      </c>
      <c r="N15" s="191" t="e">
        <f>'[1]Яковенко А. К'!W12</f>
        <v>#REF!</v>
      </c>
      <c r="O15" s="194" t="e">
        <f>'[1]Яковенко А. К'!W13</f>
        <v>#REF!</v>
      </c>
    </row>
    <row r="16" spans="1:15">
      <c r="A16" s="559" t="s">
        <v>66</v>
      </c>
      <c r="B16" s="559"/>
      <c r="C16" s="559"/>
      <c r="D16" s="560">
        <f>'Ялта, Ленина, 18'!J16</f>
        <v>-946703.99999999977</v>
      </c>
      <c r="E16" s="561"/>
      <c r="F16" s="562"/>
      <c r="G16" s="563">
        <f>'Рогалевич И. Е. '!N8</f>
        <v>6826.0416666666279</v>
      </c>
      <c r="H16" s="564"/>
      <c r="I16" s="565"/>
      <c r="J16" s="566">
        <f>'Уразгильдеева Е. Р. '!N8</f>
        <v>-127223.38333333348</v>
      </c>
      <c r="K16" s="567"/>
      <c r="L16" s="568"/>
      <c r="M16" s="566" t="e">
        <f>'[1]Яковенко А. К'!N8</f>
        <v>#REF!</v>
      </c>
      <c r="N16" s="567"/>
      <c r="O16" s="568"/>
    </row>
  </sheetData>
  <mergeCells count="27">
    <mergeCell ref="J16:L16"/>
    <mergeCell ref="M16:O16"/>
    <mergeCell ref="A14:C14"/>
    <mergeCell ref="A15:C15"/>
    <mergeCell ref="A16:C16"/>
    <mergeCell ref="D16:F16"/>
    <mergeCell ref="G16:I16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</mergeCells>
  <conditionalFormatting sqref="D4 D13:D15">
    <cfRule type="cellIs" dxfId="283" priority="10" operator="greaterThan">
      <formula>$D$10</formula>
    </cfRule>
    <cfRule type="cellIs" dxfId="282" priority="11" operator="lessThan">
      <formula>$D$10</formula>
    </cfRule>
  </conditionalFormatting>
  <conditionalFormatting sqref="D6:D8 G6:G8 J6:J8 M6:M8">
    <cfRule type="cellIs" dxfId="281" priority="1" operator="greaterThan">
      <formula>0.95</formula>
    </cfRule>
    <cfRule type="cellIs" dxfId="280" priority="2" operator="between">
      <formula>0.9</formula>
      <formula>0.95</formula>
    </cfRule>
    <cfRule type="cellIs" dxfId="279" priority="3" operator="lessThan">
      <formula>0.9</formula>
    </cfRule>
  </conditionalFormatting>
  <conditionalFormatting sqref="D16:O16">
    <cfRule type="cellIs" dxfId="278" priority="117" operator="lessThan">
      <formula>0</formula>
    </cfRule>
  </conditionalFormatting>
  <conditionalFormatting sqref="F4:F5 I4:I5 F9 I9 F11 F13:F15">
    <cfRule type="cellIs" dxfId="277" priority="176" operator="lessThan">
      <formula>1</formula>
    </cfRule>
  </conditionalFormatting>
  <conditionalFormatting sqref="F4:F5 I4:I5 L4:L5 O4:O5 F9 I9 L9 O9 F11 I11 L11 O11 F13:F15 I13:I15 L13:L15 O13:O15">
    <cfRule type="cellIs" dxfId="276" priority="143" operator="between">
      <formula>0.9</formula>
      <formula>0.9999</formula>
    </cfRule>
  </conditionalFormatting>
  <conditionalFormatting sqref="F4:F9 I4:I9 L4:L9 O4:O9">
    <cfRule type="cellIs" dxfId="275" priority="14" operator="greaterThan">
      <formula>1</formula>
    </cfRule>
  </conditionalFormatting>
  <conditionalFormatting sqref="F6:F8 I6:I8 L6:L8 O6:O8">
    <cfRule type="cellIs" dxfId="274" priority="12" operator="between">
      <formula>0.9501</formula>
      <formula>0.9999</formula>
    </cfRule>
    <cfRule type="cellIs" dxfId="273" priority="13" operator="lessThan">
      <formula>0.95</formula>
    </cfRule>
  </conditionalFormatting>
  <conditionalFormatting sqref="F11 I11 F13:F15 I13:I15">
    <cfRule type="cellIs" dxfId="272" priority="177" operator="greaterThan">
      <formula>1</formula>
    </cfRule>
  </conditionalFormatting>
  <conditionalFormatting sqref="G4 G13:G15">
    <cfRule type="cellIs" dxfId="271" priority="8" operator="greaterThan">
      <formula>$G$10</formula>
    </cfRule>
    <cfRule type="cellIs" dxfId="270" priority="9" operator="lessThan">
      <formula>$G$10</formula>
    </cfRule>
  </conditionalFormatting>
  <conditionalFormatting sqref="G16:O16">
    <cfRule type="cellIs" dxfId="269" priority="181" operator="greaterThan">
      <formula>0</formula>
    </cfRule>
  </conditionalFormatting>
  <conditionalFormatting sqref="I11 I13:I15">
    <cfRule type="cellIs" dxfId="268" priority="166" operator="lessThan">
      <formula>1</formula>
    </cfRule>
  </conditionalFormatting>
  <conditionalFormatting sqref="J4 J13:J15">
    <cfRule type="cellIs" dxfId="267" priority="6" operator="greaterThan">
      <formula>$J$10</formula>
    </cfRule>
    <cfRule type="cellIs" dxfId="266" priority="7" operator="lessThan">
      <formula>$J$10</formula>
    </cfRule>
  </conditionalFormatting>
  <conditionalFormatting sqref="L4:L5 L9 L11">
    <cfRule type="cellIs" dxfId="265" priority="178" operator="lessThan">
      <formula>1</formula>
    </cfRule>
  </conditionalFormatting>
  <conditionalFormatting sqref="L11 L13:L15">
    <cfRule type="cellIs" dxfId="264" priority="179" operator="greaterThan">
      <formula>1</formula>
    </cfRule>
  </conditionalFormatting>
  <conditionalFormatting sqref="L13:L15">
    <cfRule type="cellIs" dxfId="263" priority="144" operator="lessThan">
      <formula>1</formula>
    </cfRule>
  </conditionalFormatting>
  <conditionalFormatting sqref="M4 M13:M15">
    <cfRule type="cellIs" dxfId="262" priority="4" operator="greaterThan">
      <formula>$M$10</formula>
    </cfRule>
    <cfRule type="cellIs" dxfId="261" priority="5" operator="lessThan">
      <formula>$M$10</formula>
    </cfRule>
  </conditionalFormatting>
  <conditionalFormatting sqref="O4:O5 O9 O11 O13:O15">
    <cfRule type="cellIs" dxfId="260" priority="148" operator="lessThan">
      <formula>1</formula>
    </cfRule>
  </conditionalFormatting>
  <conditionalFormatting sqref="O11 O13:O15">
    <cfRule type="cellIs" dxfId="259" priority="149" operator="greaterThan">
      <formula>1</formula>
    </cfRule>
  </conditionalFormatting>
  <dataValidations count="1">
    <dataValidation type="decimal" allowBlank="1" showErrorMessage="1" sqref="D4:F15" xr:uid="{004A00BC-00AD-498F-8239-00E4006A0061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"/>
  <sheetViews>
    <sheetView showZeros="0" zoomScale="138" workbookViewId="0">
      <selection activeCell="D8" sqref="D8"/>
    </sheetView>
  </sheetViews>
  <sheetFormatPr baseColWidth="10" defaultColWidth="11.5" defaultRowHeight="15"/>
  <cols>
    <col min="1" max="3" width="11.5" style="195"/>
    <col min="4" max="4" width="11.5" style="3"/>
  </cols>
  <sheetData>
    <row r="1" spans="1:4">
      <c r="A1" s="569" t="s">
        <v>12</v>
      </c>
      <c r="B1" s="570"/>
      <c r="C1" s="570"/>
      <c r="D1" s="196">
        <v>85046</v>
      </c>
    </row>
    <row r="2" spans="1:4">
      <c r="A2" s="553" t="s">
        <v>13</v>
      </c>
      <c r="B2" s="571"/>
      <c r="C2" s="571"/>
      <c r="D2" s="197">
        <f>D1/D4</f>
        <v>13.084</v>
      </c>
    </row>
    <row r="3" spans="1:4">
      <c r="A3" s="553" t="s">
        <v>14</v>
      </c>
      <c r="B3" s="571"/>
      <c r="C3" s="571"/>
      <c r="D3" s="198">
        <f>D4*D5</f>
        <v>11050</v>
      </c>
    </row>
    <row r="4" spans="1:4">
      <c r="A4" s="553" t="s">
        <v>15</v>
      </c>
      <c r="B4" s="571"/>
      <c r="C4" s="571"/>
      <c r="D4" s="199">
        <f>'Ялта, Ленина, 18'!I11</f>
        <v>6500</v>
      </c>
    </row>
    <row r="5" spans="1:4">
      <c r="A5" s="553" t="s">
        <v>16</v>
      </c>
      <c r="B5" s="571"/>
      <c r="C5" s="571"/>
      <c r="D5" s="200">
        <f>'Ялта, Ленина, 18'!I12</f>
        <v>1.7</v>
      </c>
    </row>
    <row r="6" spans="1:4">
      <c r="A6" s="553" t="s">
        <v>17</v>
      </c>
      <c r="B6" s="571"/>
      <c r="C6" s="571"/>
      <c r="D6" s="198">
        <f>IF(D5&lt;&gt;0,D2/D5,"")</f>
        <v>7.696470588235294</v>
      </c>
    </row>
    <row r="7" spans="1:4">
      <c r="A7" s="553" t="s">
        <v>67</v>
      </c>
      <c r="B7" s="553"/>
      <c r="C7" s="554"/>
      <c r="D7" s="201">
        <f>'Ялта, Ленина, 18'!I20</f>
        <v>0.11</v>
      </c>
    </row>
    <row r="8" spans="1:4">
      <c r="A8" s="572" t="s">
        <v>36</v>
      </c>
      <c r="B8" s="573"/>
      <c r="C8" s="574"/>
      <c r="D8" s="202" t="e">
        <f>('Ялта, Ленина, 18'!S12-'Ялта, Ленина, 18'!T12)/('Ялта, Ленина, 18'!I14-'Ялта, Ленина, 18'!J14)</f>
        <v>#DIV/0!</v>
      </c>
    </row>
    <row r="9" spans="1:4">
      <c r="A9" s="572" t="s">
        <v>35</v>
      </c>
      <c r="B9" s="573"/>
      <c r="C9" s="574"/>
      <c r="D9" s="202" t="e">
        <f>('Ялта, Ленина, 18'!S18-'Ялта, Ленина, 18'!T18)/('Ялта, Ленина, 18'!I14-'Ялта, Ленина, 18'!J14)</f>
        <v>#DIV/0!</v>
      </c>
    </row>
    <row r="10" spans="1:4">
      <c r="A10" s="575" t="str">
        <f>'Ялта, Ленина, 18'!M23</f>
        <v>Agafi</v>
      </c>
      <c r="B10" s="576"/>
      <c r="C10" s="577"/>
      <c r="D10" s="203" t="e">
        <f>('Ялта, Ленина, 18'!V12-'Ялта, Ленина, 18'!W12)/('Ялта, Ленина, 18'!I14-'Ялта, Ленина, 18'!J14)</f>
        <v>#DIV/0!</v>
      </c>
    </row>
  </sheetData>
  <mergeCells count="10"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7700F9-000F-4BDF-9EA0-002B003A00AA}">
      <formula1>0</formula1>
      <formula2>1000000000000000</formula2>
    </dataValidation>
  </dataValidations>
  <pageMargins left="0.78800000000000003" right="0.78800000000000003" top="0.78800000000000003" bottom="0.78800000000000003" header="0.51200000000000001" footer="0.51200000000000001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62"/>
  <sheetViews>
    <sheetView showZeros="0" workbookViewId="0">
      <pane xSplit="3" topLeftCell="E1" activePane="topRight" state="frozen"/>
      <selection activeCell="M16" sqref="M16"/>
      <selection pane="topRight" activeCell="A22" sqref="A22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578">
        <f ca="1">TODAY()-1</f>
        <v>46000</v>
      </c>
      <c r="C1" s="578"/>
      <c r="D1" s="11"/>
      <c r="E1" s="11"/>
      <c r="F1" s="12"/>
      <c r="G1" s="12"/>
      <c r="H1" s="12"/>
      <c r="I1" s="12"/>
      <c r="J1" s="204"/>
      <c r="K1" s="204"/>
      <c r="L1" s="204"/>
      <c r="M1" s="204"/>
      <c r="N1" s="204"/>
      <c r="O1" s="204"/>
      <c r="P1" s="204"/>
      <c r="Q1" s="579"/>
      <c r="R1" s="579"/>
      <c r="S1" s="579"/>
      <c r="T1" s="579"/>
      <c r="U1" s="12"/>
      <c r="V1" s="12"/>
      <c r="W1" s="12"/>
    </row>
    <row r="2" spans="2:23" ht="21.75" customHeight="1">
      <c r="B2" s="580" t="s">
        <v>0</v>
      </c>
      <c r="C2" s="580"/>
      <c r="D2" s="11"/>
      <c r="E2" s="11"/>
      <c r="F2" s="12"/>
      <c r="G2" s="12"/>
      <c r="H2" s="12"/>
      <c r="I2" s="12"/>
      <c r="J2" s="581" t="s">
        <v>68</v>
      </c>
      <c r="K2" s="581"/>
      <c r="L2" s="581"/>
      <c r="M2" s="581"/>
      <c r="N2" s="581"/>
      <c r="O2" s="581"/>
      <c r="P2" s="581"/>
      <c r="Q2" s="579"/>
      <c r="R2" s="579"/>
      <c r="S2" s="579"/>
      <c r="T2" s="579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2" t="str">
        <f>График!B29</f>
        <v>Рогалевич Ирина</v>
      </c>
      <c r="K3" s="583"/>
      <c r="L3" s="583"/>
      <c r="M3" s="583"/>
      <c r="N3" s="584"/>
      <c r="O3" s="204"/>
      <c r="P3" s="205"/>
      <c r="Q3" s="579"/>
      <c r="R3" s="579"/>
      <c r="S3" s="579"/>
      <c r="T3" s="579"/>
      <c r="U3" s="12"/>
      <c r="V3" s="12"/>
      <c r="W3" s="12"/>
    </row>
    <row r="4" spans="2:23" ht="15" customHeight="1">
      <c r="B4" s="11"/>
      <c r="C4" s="588">
        <f>I8-D57</f>
        <v>195883.95833333337</v>
      </c>
      <c r="D4" s="589"/>
      <c r="E4" s="206">
        <f>IF(I8&lt;&gt;0,C4/I8,0)</f>
        <v>0.23380783227877613</v>
      </c>
      <c r="F4" s="12"/>
      <c r="G4" s="12"/>
      <c r="H4" s="12"/>
      <c r="I4" s="12"/>
      <c r="J4" s="585"/>
      <c r="K4" s="586"/>
      <c r="L4" s="586"/>
      <c r="M4" s="586"/>
      <c r="N4" s="587"/>
      <c r="O4" s="12"/>
      <c r="P4" s="12"/>
      <c r="Q4" s="579"/>
      <c r="R4" s="579"/>
      <c r="S4" s="579"/>
      <c r="T4" s="579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590"/>
      <c r="K5" s="590"/>
      <c r="L5" s="590"/>
      <c r="M5" s="590"/>
      <c r="N5" s="590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7"/>
      <c r="C7" s="12"/>
      <c r="D7" s="12"/>
      <c r="E7" s="12"/>
      <c r="F7" s="591" t="s">
        <v>3</v>
      </c>
      <c r="G7" s="592"/>
      <c r="H7" s="593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08" t="s">
        <v>11</v>
      </c>
      <c r="Q7" s="509"/>
      <c r="R7" s="21"/>
      <c r="S7" s="21"/>
      <c r="T7" s="12"/>
      <c r="U7" s="12"/>
      <c r="V7" s="12"/>
      <c r="W7" s="12"/>
    </row>
    <row r="8" spans="2:23" ht="15.75" customHeight="1">
      <c r="B8" s="207"/>
      <c r="C8" s="12"/>
      <c r="D8" s="12"/>
      <c r="E8" s="12"/>
      <c r="F8" s="594" t="s">
        <v>12</v>
      </c>
      <c r="G8" s="595"/>
      <c r="H8" s="596"/>
      <c r="I8" s="208">
        <f>'Ялта, Ленина, 18'!I8/График!AJ31*График!AJ29</f>
        <v>837798.95833333337</v>
      </c>
      <c r="J8" s="209">
        <f>D57</f>
        <v>641915</v>
      </c>
      <c r="K8" s="30">
        <f t="shared" ref="K8:K9" si="0">IF(AND(I8&lt;&gt;"",I8&lt;&gt;0,J8&lt;&gt;""),J8/I8,"")</f>
        <v>0.76619216772122389</v>
      </c>
      <c r="L8" s="210">
        <f>IF(SUMIF($D$25:$D$56,"&gt;=0",$P$25:$P$56)&lt;&gt;0,I8*D57/SUMIF($D$25:$D$56,"&gt;=0",$P$25:$P$56),0)</f>
        <v>844625</v>
      </c>
      <c r="M8" s="211">
        <f t="shared" ref="M8:M9" si="1">IF(AND(I8&lt;&gt;"",I8&lt;&gt;0,L8&lt;&gt;"",L8&lt;&gt;0),L8/I8,"")</f>
        <v>1.0081475891068734</v>
      </c>
      <c r="N8" s="35">
        <f t="shared" ref="N8:N9" si="2">IF(AND(J8&lt;&gt;0,J8&lt;&gt;"",I8&lt;&gt;0,I8&lt;&gt;""),L8-I8,"")</f>
        <v>6826.0416666666279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7"/>
      <c r="C9" s="12"/>
      <c r="D9" s="12"/>
      <c r="E9" s="12"/>
      <c r="F9" s="513" t="s">
        <v>13</v>
      </c>
      <c r="G9" s="514"/>
      <c r="H9" s="515"/>
      <c r="I9" s="38">
        <f>I8/I11</f>
        <v>128.89214743589744</v>
      </c>
      <c r="J9" s="39">
        <f>E57</f>
        <v>81</v>
      </c>
      <c r="K9" s="40">
        <f t="shared" si="0"/>
        <v>0.62843238794112044</v>
      </c>
      <c r="L9" s="212">
        <f>IF(SUMIF($E$25:$E$54,"&gt;=0",$Q$25:$Q$54)&lt;&gt;0,I9*E57/SUMIF($E$25:$E$54,"&gt;=0",$Q$25:$Q$54),0)</f>
        <v>106.578947368421</v>
      </c>
      <c r="M9" s="213">
        <f t="shared" si="1"/>
        <v>0.82688472097515808</v>
      </c>
      <c r="N9" s="43">
        <f t="shared" si="2"/>
        <v>-22.313200067476444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7"/>
      <c r="C10" s="12"/>
      <c r="D10" s="12"/>
      <c r="E10" s="12"/>
      <c r="F10" s="510" t="s">
        <v>14</v>
      </c>
      <c r="G10" s="511"/>
      <c r="H10" s="512"/>
      <c r="I10" s="50">
        <f>I11*I12</f>
        <v>11050</v>
      </c>
      <c r="J10" s="214">
        <f>H57</f>
        <v>12838.3</v>
      </c>
      <c r="K10" s="215">
        <f t="shared" ref="K10:K19" si="5">IF(AND(I10&lt;&gt;"",I10&lt;&gt;0,J10&lt;&gt;""),J10/I10,"")</f>
        <v>1.161837104072398</v>
      </c>
      <c r="L10" s="212">
        <f>J10</f>
        <v>12838.3</v>
      </c>
      <c r="M10" s="216">
        <f t="shared" ref="M10:M20" si="6">IF(AND(I10&lt;&gt;"",I10&lt;&gt;0,L10&lt;&gt;"",L10&lt;&gt;0),L10/I10,"")</f>
        <v>1.161837104072398</v>
      </c>
      <c r="N10" s="49">
        <f t="shared" ref="N10:N20" si="7">IF(AND(J10&lt;&gt;0,J10&lt;&gt;"",I10&lt;&gt;0,I10&lt;&gt;""),L10-I10,"")</f>
        <v>1788.2999999999993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20" t="s">
        <v>36</v>
      </c>
      <c r="T10" s="520"/>
      <c r="U10" s="12"/>
      <c r="V10" s="520" t="str">
        <f>M23</f>
        <v>Agafi</v>
      </c>
      <c r="W10" s="520"/>
    </row>
    <row r="11" spans="2:23" ht="15.75" customHeight="1">
      <c r="B11" s="207"/>
      <c r="C11" s="12"/>
      <c r="D11" s="12"/>
      <c r="E11" s="12"/>
      <c r="F11" s="513" t="s">
        <v>15</v>
      </c>
      <c r="G11" s="514"/>
      <c r="H11" s="515"/>
      <c r="I11" s="52">
        <f>'Ялта, Ленина, 18'!I11</f>
        <v>6500</v>
      </c>
      <c r="J11" s="39">
        <f>F57</f>
        <v>7924.8765432098762</v>
      </c>
      <c r="K11" s="217">
        <f t="shared" si="5"/>
        <v>1.2192117758784424</v>
      </c>
      <c r="L11" s="212">
        <f>IF(L9&gt;0,L8/L9,"")</f>
        <v>7924.8765432098808</v>
      </c>
      <c r="M11" s="213">
        <f t="shared" si="6"/>
        <v>1.2192117758784431</v>
      </c>
      <c r="N11" s="43">
        <f t="shared" si="7"/>
        <v>1424.8765432098808</v>
      </c>
      <c r="O11" s="53"/>
      <c r="P11" s="43" t="str">
        <f t="shared" si="8"/>
        <v/>
      </c>
      <c r="Q11" s="45" t="str">
        <f t="shared" si="9"/>
        <v/>
      </c>
      <c r="R11" s="21"/>
      <c r="S11" s="520"/>
      <c r="T11" s="520"/>
      <c r="U11" s="12"/>
      <c r="V11" s="520"/>
      <c r="W11" s="520"/>
    </row>
    <row r="12" spans="2:23" ht="15.75" customHeight="1">
      <c r="B12" s="207"/>
      <c r="C12" s="12"/>
      <c r="D12" s="12"/>
      <c r="E12" s="12"/>
      <c r="F12" s="513" t="s">
        <v>16</v>
      </c>
      <c r="G12" s="514"/>
      <c r="H12" s="515"/>
      <c r="I12" s="54">
        <f>'Ялта, Ленина, 18'!I12</f>
        <v>1.7</v>
      </c>
      <c r="J12" s="55">
        <f>J57</f>
        <v>1.62</v>
      </c>
      <c r="K12" s="217">
        <f t="shared" si="5"/>
        <v>0.95294117647058829</v>
      </c>
      <c r="L12" s="218">
        <f>J12</f>
        <v>1.62</v>
      </c>
      <c r="M12" s="213">
        <f t="shared" si="6"/>
        <v>0.95294117647058829</v>
      </c>
      <c r="N12" s="57">
        <f t="shared" si="7"/>
        <v>-7.9999999999999849E-2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18'!S12*График!AJ29/График!AJ31</f>
        <v>206778.84615384616</v>
      </c>
      <c r="T12" s="60">
        <f>L57</f>
        <v>12103</v>
      </c>
      <c r="U12" s="12"/>
      <c r="V12" s="59">
        <f>'Ялта, Ленина, 18'!V12/График!AJ31*График!AJ29</f>
        <v>194615.38461538462</v>
      </c>
      <c r="W12" s="60">
        <f>M57</f>
        <v>72847</v>
      </c>
    </row>
    <row r="13" spans="2:23" ht="15.75" customHeight="1">
      <c r="B13" s="207"/>
      <c r="C13" s="12"/>
      <c r="D13" s="12"/>
      <c r="E13" s="12"/>
      <c r="F13" s="513" t="s">
        <v>17</v>
      </c>
      <c r="G13" s="514"/>
      <c r="H13" s="515"/>
      <c r="I13" s="38">
        <f>IF(I12&lt;&gt;0,I9/I12,"")</f>
        <v>75.818910256410263</v>
      </c>
      <c r="J13" s="39">
        <f>G57</f>
        <v>50</v>
      </c>
      <c r="K13" s="40">
        <f t="shared" si="5"/>
        <v>0.6594660861110524</v>
      </c>
      <c r="L13" s="212">
        <f>IF(SUMIF($G$25:$G$54,"&gt;=0",$R$25:$R$54)&lt;&gt;0,I13*G57/SUMIF($G$25:$G$54,"&gt;=0",$R$25:$R$54),"")</f>
        <v>65.78947368421052</v>
      </c>
      <c r="M13" s="213">
        <f t="shared" si="6"/>
        <v>0.8677185343566477</v>
      </c>
      <c r="N13" s="57">
        <f t="shared" si="7"/>
        <v>-10.029436572199742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5.8531132294815158E-2</v>
      </c>
      <c r="T13" s="62">
        <f>S13/J14*I14</f>
        <v>5.8531132294815158E-2</v>
      </c>
      <c r="U13" s="12"/>
      <c r="V13" s="62">
        <f>W12/V12</f>
        <v>0.37431264822134386</v>
      </c>
      <c r="W13" s="62">
        <f>V13/J14*I14</f>
        <v>0.37431264822134386</v>
      </c>
    </row>
    <row r="14" spans="2:23" ht="15.75" customHeight="1">
      <c r="B14" s="207"/>
      <c r="C14" s="12"/>
      <c r="D14" s="219"/>
      <c r="E14" s="12"/>
      <c r="F14" s="513" t="s">
        <v>65</v>
      </c>
      <c r="G14" s="514"/>
      <c r="H14" s="515"/>
      <c r="I14" s="52">
        <f>График!AI29</f>
        <v>25</v>
      </c>
      <c r="J14" s="64">
        <v>25</v>
      </c>
      <c r="K14" s="40">
        <f t="shared" si="5"/>
        <v>1</v>
      </c>
      <c r="L14" s="41">
        <f>I14</f>
        <v>25</v>
      </c>
      <c r="M14" s="213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7"/>
      <c r="C15" s="12"/>
      <c r="D15" s="12"/>
      <c r="E15" s="12"/>
      <c r="F15" s="513" t="s">
        <v>19</v>
      </c>
      <c r="G15" s="514"/>
      <c r="H15" s="515"/>
      <c r="I15" s="75">
        <f>'Ялта, Ленина, 18'!I15</f>
        <v>68878.333333333328</v>
      </c>
      <c r="J15" s="67">
        <f>J8/J14</f>
        <v>25676.6</v>
      </c>
      <c r="K15" s="68">
        <f t="shared" si="5"/>
        <v>0.37278195852590318</v>
      </c>
      <c r="L15" s="72">
        <f t="shared" ref="L15:L16" si="10">J15</f>
        <v>25676.6</v>
      </c>
      <c r="M15" s="220">
        <f t="shared" si="6"/>
        <v>0.37278195852590318</v>
      </c>
      <c r="N15" s="43">
        <f t="shared" si="7"/>
        <v>-43201.73333333333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7"/>
      <c r="C16" s="12"/>
      <c r="D16" s="12"/>
      <c r="E16" s="12"/>
      <c r="F16" s="513" t="s">
        <v>20</v>
      </c>
      <c r="G16" s="514"/>
      <c r="H16" s="515"/>
      <c r="I16" s="75"/>
      <c r="J16" s="67">
        <f>J8-I15*J14</f>
        <v>-1080043.3333333333</v>
      </c>
      <c r="K16" s="68" t="str">
        <f t="shared" si="5"/>
        <v/>
      </c>
      <c r="L16" s="72">
        <f t="shared" si="10"/>
        <v>-1080043.3333333333</v>
      </c>
      <c r="M16" s="221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20" t="s">
        <v>35</v>
      </c>
      <c r="T16" s="520"/>
      <c r="U16" s="12"/>
      <c r="V16" s="12"/>
      <c r="W16" s="12"/>
    </row>
    <row r="17" spans="1:255" ht="15.75" customHeight="1">
      <c r="B17" s="207"/>
      <c r="C17" s="12"/>
      <c r="D17" s="12"/>
      <c r="E17" s="12"/>
      <c r="F17" s="513" t="s">
        <v>21</v>
      </c>
      <c r="G17" s="514"/>
      <c r="H17" s="515"/>
      <c r="I17" s="75">
        <f>'Ялта, Ленина, 18'!I17/График!AJ31*График!AJ29</f>
        <v>689.26282051282055</v>
      </c>
      <c r="J17" s="67">
        <f>I57</f>
        <v>507</v>
      </c>
      <c r="K17" s="68">
        <f t="shared" si="5"/>
        <v>0.73556847244826784</v>
      </c>
      <c r="L17" s="72">
        <f>J17/J14*I14</f>
        <v>507</v>
      </c>
      <c r="M17" s="221">
        <f t="shared" si="6"/>
        <v>0.73556847244826784</v>
      </c>
      <c r="N17" s="43">
        <f t="shared" si="7"/>
        <v>-182.26282051282055</v>
      </c>
      <c r="O17" s="71"/>
      <c r="P17" s="43" t="str">
        <f t="shared" si="8"/>
        <v/>
      </c>
      <c r="Q17" s="45" t="str">
        <f t="shared" si="9"/>
        <v/>
      </c>
      <c r="R17" s="21"/>
      <c r="S17" s="520"/>
      <c r="T17" s="520"/>
      <c r="U17" s="12"/>
      <c r="V17" s="12"/>
      <c r="W17" s="12"/>
    </row>
    <row r="18" spans="1:255" ht="15.75" customHeight="1">
      <c r="B18" s="207"/>
      <c r="C18" s="12"/>
      <c r="D18" s="12"/>
      <c r="E18" s="12"/>
      <c r="F18" s="513"/>
      <c r="G18" s="514"/>
      <c r="H18" s="515"/>
      <c r="I18" s="76"/>
      <c r="J18" s="67"/>
      <c r="K18" s="68" t="str">
        <f t="shared" si="5"/>
        <v/>
      </c>
      <c r="L18" s="72">
        <f t="shared" ref="L18:L19" si="11">J18</f>
        <v>0</v>
      </c>
      <c r="M18" s="221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18'!S18*График!AJ29/График!AJ31</f>
        <v>413557.69230769231</v>
      </c>
      <c r="T18" s="60">
        <f>K57</f>
        <v>295157</v>
      </c>
      <c r="U18" s="12"/>
      <c r="V18" s="12"/>
      <c r="W18" s="12"/>
    </row>
    <row r="19" spans="1:255" ht="15.75" customHeight="1">
      <c r="B19" s="207"/>
      <c r="C19" s="12"/>
      <c r="D19" s="12"/>
      <c r="E19" s="12"/>
      <c r="F19" s="513"/>
      <c r="G19" s="514"/>
      <c r="H19" s="515"/>
      <c r="I19" s="76"/>
      <c r="J19" s="67"/>
      <c r="K19" s="68" t="str">
        <f t="shared" si="5"/>
        <v/>
      </c>
      <c r="L19" s="72">
        <f t="shared" si="11"/>
        <v>0</v>
      </c>
      <c r="M19" s="221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0.71370211578702625</v>
      </c>
      <c r="T19" s="62">
        <f>S19/J14*I14</f>
        <v>0.71370211578702625</v>
      </c>
      <c r="U19" s="12"/>
      <c r="V19" s="12"/>
      <c r="W19" s="12"/>
    </row>
    <row r="20" spans="1:255" ht="15.75" customHeight="1">
      <c r="B20" s="207"/>
      <c r="C20" s="12"/>
      <c r="D20" s="12"/>
      <c r="E20" s="12"/>
      <c r="F20" s="521" t="s">
        <v>22</v>
      </c>
      <c r="G20" s="521"/>
      <c r="H20" s="521"/>
      <c r="I20" s="222">
        <f>'Ялта, Ленина, 18'!I20</f>
        <v>0.11</v>
      </c>
      <c r="J20" s="223">
        <f>N57</f>
        <v>9.8619329388560162E-2</v>
      </c>
      <c r="K20" s="224">
        <f>J20/I20</f>
        <v>0.8965393580778197</v>
      </c>
      <c r="L20" s="225">
        <f>IF(AND(K8&lt;&gt;0,I14&lt;&gt;0,I57&lt;&gt;0),(I57*N57+(I57/K8-I57)*I20)/(I57/K8),0)</f>
        <v>0.10128021931409968</v>
      </c>
      <c r="M20" s="84">
        <f t="shared" si="6"/>
        <v>0.9207292664918153</v>
      </c>
      <c r="N20" s="85">
        <f t="shared" si="7"/>
        <v>-8.7197806859003191E-3</v>
      </c>
      <c r="O20" s="86"/>
      <c r="P20" s="87" t="str">
        <f t="shared" si="8"/>
        <v/>
      </c>
      <c r="Q20" s="88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0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597" t="s">
        <v>23</v>
      </c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8" t="s">
        <v>24</v>
      </c>
      <c r="P22" s="597" t="s">
        <v>25</v>
      </c>
      <c r="Q22" s="597"/>
      <c r="R22" s="597"/>
      <c r="S22" s="597"/>
      <c r="T22" s="597"/>
      <c r="U22" s="597"/>
      <c r="V22" s="597"/>
      <c r="W22" s="597"/>
    </row>
    <row r="23" spans="1:255" ht="36">
      <c r="B23" s="226" t="s">
        <v>27</v>
      </c>
      <c r="C23" s="226" t="s">
        <v>28</v>
      </c>
      <c r="D23" s="226" t="s">
        <v>29</v>
      </c>
      <c r="E23" s="226" t="s">
        <v>30</v>
      </c>
      <c r="F23" s="226" t="s">
        <v>31</v>
      </c>
      <c r="G23" s="226" t="s">
        <v>32</v>
      </c>
      <c r="H23" s="226" t="s">
        <v>33</v>
      </c>
      <c r="I23" s="226" t="s">
        <v>21</v>
      </c>
      <c r="J23" s="226" t="s">
        <v>34</v>
      </c>
      <c r="K23" s="91" t="s">
        <v>35</v>
      </c>
      <c r="L23" s="91" t="s">
        <v>36</v>
      </c>
      <c r="M23" s="91" t="s">
        <v>37</v>
      </c>
      <c r="N23" s="226" t="s">
        <v>38</v>
      </c>
      <c r="O23" s="598"/>
      <c r="P23" s="226" t="s">
        <v>39</v>
      </c>
      <c r="Q23" s="226" t="s">
        <v>40</v>
      </c>
      <c r="R23" s="226" t="s">
        <v>41</v>
      </c>
      <c r="S23" s="226" t="s">
        <v>42</v>
      </c>
      <c r="T23" s="226" t="s">
        <v>43</v>
      </c>
      <c r="U23" s="226" t="s">
        <v>44</v>
      </c>
      <c r="V23" s="227" t="s">
        <v>45</v>
      </c>
      <c r="W23" s="227" t="s">
        <v>46</v>
      </c>
      <c r="X23" s="132"/>
    </row>
    <row r="24" spans="1:255">
      <c r="B24" s="228">
        <v>1</v>
      </c>
      <c r="C24" s="229">
        <v>2</v>
      </c>
      <c r="D24" s="228">
        <v>3</v>
      </c>
      <c r="E24" s="228">
        <v>4</v>
      </c>
      <c r="F24" s="228">
        <v>5</v>
      </c>
      <c r="G24" s="228">
        <v>6</v>
      </c>
      <c r="H24" s="228">
        <v>7</v>
      </c>
      <c r="I24" s="228">
        <v>8</v>
      </c>
      <c r="J24" s="228">
        <v>9</v>
      </c>
      <c r="K24" s="228">
        <v>10</v>
      </c>
      <c r="L24" s="228">
        <v>11</v>
      </c>
      <c r="M24" s="228">
        <v>12</v>
      </c>
      <c r="N24" s="228">
        <v>13</v>
      </c>
      <c r="O24" s="598"/>
      <c r="P24" s="230">
        <v>1</v>
      </c>
      <c r="Q24" s="230">
        <v>2</v>
      </c>
      <c r="R24" s="230">
        <v>3</v>
      </c>
      <c r="S24" s="230">
        <v>4</v>
      </c>
      <c r="T24" s="230">
        <v>5</v>
      </c>
      <c r="U24" s="230">
        <v>6</v>
      </c>
      <c r="V24" s="230">
        <v>10</v>
      </c>
      <c r="W24" s="230">
        <v>11</v>
      </c>
    </row>
    <row r="25" spans="1:255">
      <c r="A25" s="96">
        <v>1</v>
      </c>
      <c r="B25" s="97">
        <v>45962</v>
      </c>
      <c r="C25" s="98" t="s">
        <v>48</v>
      </c>
      <c r="D25" s="99">
        <f>6983+10268+6992+12103</f>
        <v>36346</v>
      </c>
      <c r="E25" s="100">
        <v>6</v>
      </c>
      <c r="F25" s="100">
        <f t="shared" ref="F25:F57" si="12">IF(AND(E25&lt;&gt;"",E25&lt;&gt;0),D25/E25,"")</f>
        <v>6057.666666666667</v>
      </c>
      <c r="G25" s="100">
        <v>4</v>
      </c>
      <c r="H25" s="100">
        <f t="shared" ref="H25:H57" si="13">IF(AND(G25&lt;&gt;"",G25&lt;&gt;0),D25/G25,"")</f>
        <v>9086.5</v>
      </c>
      <c r="I25" s="100">
        <v>20</v>
      </c>
      <c r="J25" s="99">
        <f t="shared" ref="J25:J57" si="14">IF(AND(G25&lt;&gt;"",G25&lt;&gt;0),E25/G25,"")</f>
        <v>1.5</v>
      </c>
      <c r="K25" s="100">
        <v>10268</v>
      </c>
      <c r="L25" s="100">
        <v>12103</v>
      </c>
      <c r="M25" s="100">
        <v>6992</v>
      </c>
      <c r="N25" s="101">
        <f t="shared" ref="N25:N57" si="15">IF(AND(I25&lt;&gt;"",I25&lt;&gt;0),G25/I25,"")</f>
        <v>0.2</v>
      </c>
      <c r="O25" s="102">
        <f t="shared" ref="O25:O57" si="16">D25/P25</f>
        <v>1.0845680708503307</v>
      </c>
      <c r="P25" s="103">
        <f t="shared" ref="P25:P56" si="17">$I$8*V25*W25/SUMPRODUCT($W$25:$W$56,$V$25:$V$56)</f>
        <v>33511.958333333336</v>
      </c>
      <c r="Q25" s="104">
        <f>$I$9*V25*W25/SUMPRODUCT($W$25:$W$56,$V$25:$V$56)</f>
        <v>5.1556858974358981</v>
      </c>
      <c r="R25" s="104">
        <f t="shared" ref="R25:R56" si="18">IF($I$12="","",Q25/$I$12)</f>
        <v>3.0327564102564106</v>
      </c>
      <c r="S25" s="103">
        <f>IF(D25&lt;&gt;"",D25,P25)</f>
        <v>36346</v>
      </c>
      <c r="T25" s="104">
        <f>IF(E25&lt;&gt;"",E25,Q25)</f>
        <v>6</v>
      </c>
      <c r="U25" s="104">
        <f>IF(G25&lt;&gt;"",G25,R25)</f>
        <v>4</v>
      </c>
      <c r="V25" s="105">
        <v>1</v>
      </c>
      <c r="W25" s="105">
        <v>1</v>
      </c>
      <c r="X25" s="106"/>
      <c r="Y25" s="107"/>
    </row>
    <row r="26" spans="1:255">
      <c r="A26" s="96">
        <v>2</v>
      </c>
      <c r="B26" s="97">
        <v>45963</v>
      </c>
      <c r="C26" s="98" t="s">
        <v>50</v>
      </c>
      <c r="D26" s="99">
        <f>63254+31287+32389</f>
        <v>126930</v>
      </c>
      <c r="E26" s="100">
        <v>15</v>
      </c>
      <c r="F26" s="100">
        <f t="shared" si="12"/>
        <v>8462</v>
      </c>
      <c r="G26" s="100">
        <v>8</v>
      </c>
      <c r="H26" s="100">
        <f t="shared" si="13"/>
        <v>15866.25</v>
      </c>
      <c r="I26" s="100">
        <v>40</v>
      </c>
      <c r="J26" s="99">
        <f t="shared" si="14"/>
        <v>1.875</v>
      </c>
      <c r="K26" s="100">
        <v>63254</v>
      </c>
      <c r="L26" s="100"/>
      <c r="M26" s="100">
        <v>31287</v>
      </c>
      <c r="N26" s="101">
        <f t="shared" si="15"/>
        <v>0.2</v>
      </c>
      <c r="O26" s="102">
        <f t="shared" si="16"/>
        <v>3.7876031814513968</v>
      </c>
      <c r="P26" s="103">
        <f t="shared" si="17"/>
        <v>33511.958333333336</v>
      </c>
      <c r="Q26" s="104">
        <f t="shared" ref="Q26:Q56" si="19">$I$9*V26*W26/SUMPRODUCT($W$25:$W$58,$V$25:$V$58)</f>
        <v>5.1556858974358981</v>
      </c>
      <c r="R26" s="104">
        <f t="shared" si="18"/>
        <v>3.0327564102564106</v>
      </c>
      <c r="S26" s="103">
        <f>IF(W26&lt;&gt;"",IF(D26&lt;&gt;"",D26,($I$8-SUM($S$25:S25))*V26*W26/SUMPRODUCT($W26:$W$56,$V26:$V$56)),"")</f>
        <v>126930</v>
      </c>
      <c r="T26" s="104">
        <f t="shared" ref="T26:T34" si="20">IF(W26&lt;&gt;"",IF(E26&lt;&gt;"",E26,($I$9-SUM($T$25:T25))*V26*W26/SUMPRODUCT($W26:$W$58,$V26:$V$58)),"")</f>
        <v>15</v>
      </c>
      <c r="U26" s="104">
        <f t="shared" ref="U26:U53" si="21">IF(W26&lt;&gt;"",IF($I$12&lt;&gt;"",IF(G26&lt;&gt;"",G26,($I$9/$I$12-SUM($U$25:U25))*V26*W26/SUMPRODUCT($W26:$W$58,$V26:$V$58)),""),"")</f>
        <v>8</v>
      </c>
      <c r="V26" s="105">
        <v>1</v>
      </c>
      <c r="W26" s="105">
        <v>1</v>
      </c>
      <c r="X26" s="108"/>
      <c r="Y26" s="107"/>
    </row>
    <row r="27" spans="1:255">
      <c r="A27" s="96">
        <v>3</v>
      </c>
      <c r="B27" s="97">
        <v>45964</v>
      </c>
      <c r="C27" s="98" t="s">
        <v>52</v>
      </c>
      <c r="D27" s="99">
        <v>8692</v>
      </c>
      <c r="E27" s="100">
        <v>1</v>
      </c>
      <c r="F27" s="100">
        <v>8692</v>
      </c>
      <c r="G27" s="100">
        <v>1</v>
      </c>
      <c r="H27" s="100">
        <f t="shared" si="13"/>
        <v>8692</v>
      </c>
      <c r="I27" s="100">
        <v>25</v>
      </c>
      <c r="J27" s="99">
        <f t="shared" si="14"/>
        <v>1</v>
      </c>
      <c r="K27" s="100">
        <v>8692</v>
      </c>
      <c r="L27" s="100"/>
      <c r="M27" s="100"/>
      <c r="N27" s="101">
        <f t="shared" si="15"/>
        <v>0.04</v>
      </c>
      <c r="O27" s="102">
        <f t="shared" si="16"/>
        <v>0.25937010047408449</v>
      </c>
      <c r="P27" s="103">
        <f t="shared" si="17"/>
        <v>33511.958333333336</v>
      </c>
      <c r="Q27" s="104">
        <f t="shared" si="19"/>
        <v>5.1556858974358981</v>
      </c>
      <c r="R27" s="104">
        <f t="shared" si="18"/>
        <v>3.0327564102564106</v>
      </c>
      <c r="S27" s="103">
        <f t="shared" ref="S27:S53" si="22">IF(W27&lt;&gt;"",IF(D27&lt;&gt;"",D27,($I$8-SUM($S$25:S26))*V27*W27/SUMPRODUCT($W27:$W$58,$V27:$V$58)),"")</f>
        <v>8692</v>
      </c>
      <c r="T27" s="104">
        <f t="shared" si="20"/>
        <v>1</v>
      </c>
      <c r="U27" s="104">
        <f t="shared" si="21"/>
        <v>1</v>
      </c>
      <c r="V27" s="105">
        <v>1</v>
      </c>
      <c r="W27" s="105">
        <v>1</v>
      </c>
      <c r="X27" s="108"/>
      <c r="Y27" s="110"/>
      <c r="Z27" s="2"/>
      <c r="AA27" s="2"/>
      <c r="AB27" s="2"/>
      <c r="AC27" s="2"/>
      <c r="AD27" s="2"/>
    </row>
    <row r="28" spans="1:255" s="111" customFormat="1">
      <c r="A28" s="96">
        <v>4</v>
      </c>
      <c r="B28" s="97">
        <v>45965</v>
      </c>
      <c r="C28" s="98" t="s">
        <v>53</v>
      </c>
      <c r="D28" s="99">
        <f>8539+16490</f>
        <v>25029</v>
      </c>
      <c r="E28" s="100">
        <v>3</v>
      </c>
      <c r="F28" s="100">
        <f t="shared" si="12"/>
        <v>8343</v>
      </c>
      <c r="G28" s="100">
        <v>3</v>
      </c>
      <c r="H28" s="100">
        <f t="shared" si="13"/>
        <v>8343</v>
      </c>
      <c r="I28" s="100">
        <v>30</v>
      </c>
      <c r="J28" s="99">
        <f t="shared" si="14"/>
        <v>1</v>
      </c>
      <c r="K28" s="100">
        <v>16490</v>
      </c>
      <c r="L28" s="100"/>
      <c r="M28" s="100"/>
      <c r="N28" s="101">
        <f t="shared" si="15"/>
        <v>0.1</v>
      </c>
      <c r="O28" s="102">
        <f t="shared" si="16"/>
        <v>0.74686772259156242</v>
      </c>
      <c r="P28" s="103">
        <f t="shared" si="17"/>
        <v>33511.958333333336</v>
      </c>
      <c r="Q28" s="104">
        <f t="shared" si="19"/>
        <v>5.1556858974358981</v>
      </c>
      <c r="R28" s="104">
        <f t="shared" si="18"/>
        <v>3.0327564102564106</v>
      </c>
      <c r="S28" s="103">
        <f t="shared" si="22"/>
        <v>25029</v>
      </c>
      <c r="T28" s="104">
        <f t="shared" si="20"/>
        <v>3</v>
      </c>
      <c r="U28" s="104">
        <f t="shared" si="21"/>
        <v>3</v>
      </c>
      <c r="V28" s="105">
        <v>1</v>
      </c>
      <c r="W28" s="105">
        <v>1</v>
      </c>
      <c r="X28" s="108"/>
      <c r="Y28" s="107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96">
        <v>5</v>
      </c>
      <c r="B29" s="97">
        <v>45966</v>
      </c>
      <c r="C29" s="98" t="s">
        <v>55</v>
      </c>
      <c r="D29" s="99">
        <v>28069</v>
      </c>
      <c r="E29" s="100">
        <v>6</v>
      </c>
      <c r="F29" s="100">
        <f t="shared" si="12"/>
        <v>4678.166666666667</v>
      </c>
      <c r="G29" s="100">
        <v>2</v>
      </c>
      <c r="H29" s="100">
        <f t="shared" si="13"/>
        <v>14034.5</v>
      </c>
      <c r="I29" s="100">
        <v>35</v>
      </c>
      <c r="J29" s="99">
        <f t="shared" si="14"/>
        <v>3</v>
      </c>
      <c r="K29" s="100"/>
      <c r="L29" s="100"/>
      <c r="M29" s="100"/>
      <c r="N29" s="101">
        <f t="shared" si="15"/>
        <v>5.7142857142857141E-2</v>
      </c>
      <c r="O29" s="102">
        <f t="shared" si="16"/>
        <v>0.83758160954982486</v>
      </c>
      <c r="P29" s="103">
        <f t="shared" si="17"/>
        <v>33511.958333333336</v>
      </c>
      <c r="Q29" s="104">
        <f t="shared" si="19"/>
        <v>5.1556858974358981</v>
      </c>
      <c r="R29" s="104">
        <f t="shared" si="18"/>
        <v>3.0327564102564106</v>
      </c>
      <c r="S29" s="103">
        <f t="shared" si="22"/>
        <v>28069</v>
      </c>
      <c r="T29" s="104">
        <f t="shared" si="20"/>
        <v>6</v>
      </c>
      <c r="U29" s="104">
        <f t="shared" si="21"/>
        <v>2</v>
      </c>
      <c r="V29" s="105">
        <v>1</v>
      </c>
      <c r="W29" s="105">
        <v>1</v>
      </c>
      <c r="X29" s="108"/>
      <c r="Y29" s="107"/>
      <c r="Z29" s="2"/>
      <c r="AA29" s="2"/>
      <c r="AB29" s="2"/>
      <c r="AC29" s="2"/>
      <c r="AD29" s="2"/>
    </row>
    <row r="30" spans="1:255">
      <c r="A30" s="96">
        <v>6</v>
      </c>
      <c r="B30" s="97">
        <v>45967</v>
      </c>
      <c r="C30" s="98" t="s">
        <v>56</v>
      </c>
      <c r="D30" s="99">
        <v>14400</v>
      </c>
      <c r="E30" s="100">
        <v>4</v>
      </c>
      <c r="F30" s="100">
        <f t="shared" si="12"/>
        <v>3600</v>
      </c>
      <c r="G30" s="100">
        <v>2</v>
      </c>
      <c r="H30" s="100">
        <f t="shared" si="13"/>
        <v>7200</v>
      </c>
      <c r="I30" s="100">
        <v>30</v>
      </c>
      <c r="J30" s="99">
        <f t="shared" si="14"/>
        <v>2</v>
      </c>
      <c r="K30" s="100"/>
      <c r="L30" s="100"/>
      <c r="M30" s="100"/>
      <c r="N30" s="101">
        <f t="shared" si="15"/>
        <v>6.6666666666666666E-2</v>
      </c>
      <c r="O30" s="102">
        <f t="shared" si="16"/>
        <v>0.4296973592759798</v>
      </c>
      <c r="P30" s="103">
        <f t="shared" si="17"/>
        <v>33511.958333333336</v>
      </c>
      <c r="Q30" s="104">
        <f t="shared" si="19"/>
        <v>5.1556858974358981</v>
      </c>
      <c r="R30" s="104">
        <f t="shared" si="18"/>
        <v>3.0327564102564106</v>
      </c>
      <c r="S30" s="103">
        <f t="shared" si="22"/>
        <v>14400</v>
      </c>
      <c r="T30" s="104">
        <f t="shared" si="20"/>
        <v>4</v>
      </c>
      <c r="U30" s="104">
        <f t="shared" si="21"/>
        <v>2</v>
      </c>
      <c r="V30" s="105">
        <v>1</v>
      </c>
      <c r="W30" s="105">
        <v>1</v>
      </c>
      <c r="X30" s="108"/>
      <c r="Y30" s="107"/>
      <c r="Z30" s="2"/>
      <c r="AA30" s="2"/>
      <c r="AB30" s="2"/>
      <c r="AC30" s="2"/>
      <c r="AD30" s="2"/>
    </row>
    <row r="31" spans="1:255">
      <c r="A31" s="96">
        <v>7</v>
      </c>
      <c r="B31" s="97">
        <v>45968</v>
      </c>
      <c r="C31" s="98" t="s">
        <v>57</v>
      </c>
      <c r="D31" s="99">
        <v>25849</v>
      </c>
      <c r="E31" s="100">
        <v>6</v>
      </c>
      <c r="F31" s="100">
        <f t="shared" si="12"/>
        <v>4308.166666666667</v>
      </c>
      <c r="G31" s="100">
        <v>3</v>
      </c>
      <c r="H31" s="100">
        <f t="shared" si="13"/>
        <v>8616.3333333333339</v>
      </c>
      <c r="I31" s="100">
        <v>20</v>
      </c>
      <c r="J31" s="99">
        <f t="shared" si="14"/>
        <v>2</v>
      </c>
      <c r="K31" s="100"/>
      <c r="L31" s="100"/>
      <c r="M31" s="100"/>
      <c r="N31" s="101">
        <f t="shared" si="15"/>
        <v>0.15</v>
      </c>
      <c r="O31" s="102">
        <f t="shared" si="16"/>
        <v>0.77133659999477788</v>
      </c>
      <c r="P31" s="103">
        <f t="shared" si="17"/>
        <v>33511.958333333336</v>
      </c>
      <c r="Q31" s="104">
        <f t="shared" si="19"/>
        <v>5.1556858974358981</v>
      </c>
      <c r="R31" s="104">
        <f t="shared" si="18"/>
        <v>3.0327564102564106</v>
      </c>
      <c r="S31" s="103">
        <f t="shared" si="22"/>
        <v>25849</v>
      </c>
      <c r="T31" s="104">
        <f t="shared" si="20"/>
        <v>6</v>
      </c>
      <c r="U31" s="104">
        <f t="shared" si="21"/>
        <v>3</v>
      </c>
      <c r="V31" s="105">
        <v>1</v>
      </c>
      <c r="W31" s="105">
        <v>1</v>
      </c>
      <c r="X31" s="108"/>
      <c r="Y31" s="107"/>
    </row>
    <row r="32" spans="1:255">
      <c r="A32" s="96">
        <v>8</v>
      </c>
      <c r="B32" s="97">
        <v>45969</v>
      </c>
      <c r="C32" s="98" t="s">
        <v>48</v>
      </c>
      <c r="D32" s="99">
        <f>20809+5892</f>
        <v>26701</v>
      </c>
      <c r="E32" s="100">
        <v>3</v>
      </c>
      <c r="F32" s="100">
        <f t="shared" si="12"/>
        <v>8900.3333333333339</v>
      </c>
      <c r="G32" s="100">
        <v>3</v>
      </c>
      <c r="H32" s="100">
        <f t="shared" si="13"/>
        <v>8900.3333333333339</v>
      </c>
      <c r="I32" s="100">
        <v>20</v>
      </c>
      <c r="J32" s="99">
        <f t="shared" si="14"/>
        <v>1</v>
      </c>
      <c r="K32" s="231">
        <v>20809</v>
      </c>
      <c r="L32" s="100"/>
      <c r="M32" s="100"/>
      <c r="N32" s="101">
        <f t="shared" si="15"/>
        <v>0.15</v>
      </c>
      <c r="O32" s="102">
        <f t="shared" si="16"/>
        <v>0.79676036041860676</v>
      </c>
      <c r="P32" s="103">
        <f t="shared" si="17"/>
        <v>33511.958333333336</v>
      </c>
      <c r="Q32" s="104">
        <f t="shared" si="19"/>
        <v>5.1556858974358981</v>
      </c>
      <c r="R32" s="104">
        <f t="shared" si="18"/>
        <v>3.0327564102564106</v>
      </c>
      <c r="S32" s="103">
        <f t="shared" si="22"/>
        <v>26701</v>
      </c>
      <c r="T32" s="104">
        <f t="shared" si="20"/>
        <v>3</v>
      </c>
      <c r="U32" s="104">
        <f t="shared" si="21"/>
        <v>3</v>
      </c>
      <c r="V32" s="105">
        <v>1</v>
      </c>
      <c r="W32" s="105">
        <v>1</v>
      </c>
      <c r="X32" s="108"/>
      <c r="Y32" s="107"/>
    </row>
    <row r="33" spans="1:30">
      <c r="A33" s="96">
        <v>9</v>
      </c>
      <c r="B33" s="97">
        <v>45970</v>
      </c>
      <c r="C33" s="98" t="s">
        <v>50</v>
      </c>
      <c r="D33" s="99">
        <v>6992</v>
      </c>
      <c r="E33" s="100">
        <v>1</v>
      </c>
      <c r="F33" s="100">
        <f t="shared" si="12"/>
        <v>6992</v>
      </c>
      <c r="G33" s="100">
        <v>1</v>
      </c>
      <c r="H33" s="100">
        <f t="shared" si="13"/>
        <v>6992</v>
      </c>
      <c r="I33" s="100">
        <v>35</v>
      </c>
      <c r="J33" s="99">
        <f t="shared" si="14"/>
        <v>1</v>
      </c>
      <c r="K33" s="100"/>
      <c r="L33" s="100"/>
      <c r="M33" s="100">
        <v>6992</v>
      </c>
      <c r="N33" s="101">
        <f t="shared" si="15"/>
        <v>2.8571428571428571E-2</v>
      </c>
      <c r="O33" s="102">
        <f t="shared" si="16"/>
        <v>0.20864194000400352</v>
      </c>
      <c r="P33" s="103">
        <f t="shared" si="17"/>
        <v>33511.958333333336</v>
      </c>
      <c r="Q33" s="104">
        <f t="shared" si="19"/>
        <v>5.1556858974358981</v>
      </c>
      <c r="R33" s="104">
        <f t="shared" si="18"/>
        <v>3.0327564102564106</v>
      </c>
      <c r="S33" s="103">
        <f t="shared" si="22"/>
        <v>6992</v>
      </c>
      <c r="T33" s="104">
        <f t="shared" si="20"/>
        <v>1</v>
      </c>
      <c r="U33" s="104">
        <f t="shared" si="21"/>
        <v>1</v>
      </c>
      <c r="V33" s="105">
        <v>1</v>
      </c>
      <c r="W33" s="105">
        <v>1</v>
      </c>
      <c r="X33" s="108"/>
      <c r="Y33" s="107"/>
      <c r="Z33" s="2"/>
      <c r="AA33" s="2"/>
      <c r="AB33" s="2"/>
      <c r="AC33" s="2"/>
      <c r="AD33" s="2"/>
    </row>
    <row r="34" spans="1:30">
      <c r="A34" s="96">
        <v>10</v>
      </c>
      <c r="B34" s="97">
        <v>45971</v>
      </c>
      <c r="C34" s="98" t="s">
        <v>52</v>
      </c>
      <c r="D34" s="99">
        <v>30575</v>
      </c>
      <c r="E34" s="112">
        <v>3</v>
      </c>
      <c r="F34" s="100">
        <f t="shared" si="12"/>
        <v>10191.666666666666</v>
      </c>
      <c r="G34" s="100">
        <v>2</v>
      </c>
      <c r="H34" s="100">
        <f t="shared" si="13"/>
        <v>15287.5</v>
      </c>
      <c r="I34" s="100">
        <v>20</v>
      </c>
      <c r="J34" s="99">
        <f t="shared" si="14"/>
        <v>1.5</v>
      </c>
      <c r="K34" s="100">
        <v>15292</v>
      </c>
      <c r="L34" s="100"/>
      <c r="M34" s="100"/>
      <c r="N34" s="101">
        <f t="shared" si="15"/>
        <v>0.1</v>
      </c>
      <c r="O34" s="102">
        <f t="shared" si="16"/>
        <v>0.91236088610160293</v>
      </c>
      <c r="P34" s="103">
        <f t="shared" si="17"/>
        <v>33511.958333333336</v>
      </c>
      <c r="Q34" s="104">
        <f t="shared" si="19"/>
        <v>5.1556858974358981</v>
      </c>
      <c r="R34" s="104">
        <f t="shared" si="18"/>
        <v>3.0327564102564106</v>
      </c>
      <c r="S34" s="103">
        <f t="shared" si="22"/>
        <v>30575</v>
      </c>
      <c r="T34" s="104">
        <f t="shared" si="20"/>
        <v>3</v>
      </c>
      <c r="U34" s="104">
        <f t="shared" si="21"/>
        <v>2</v>
      </c>
      <c r="V34" s="105">
        <v>1</v>
      </c>
      <c r="W34" s="105">
        <v>1</v>
      </c>
      <c r="X34" s="108"/>
      <c r="Y34" s="107"/>
      <c r="Z34" s="2"/>
      <c r="AA34" s="2"/>
      <c r="AB34" s="2"/>
      <c r="AC34" s="2"/>
      <c r="AD34" s="2"/>
    </row>
    <row r="35" spans="1:30">
      <c r="A35" s="96">
        <v>11</v>
      </c>
      <c r="B35" s="97">
        <v>45972</v>
      </c>
      <c r="C35" s="98" t="s">
        <v>53</v>
      </c>
      <c r="D35" s="99">
        <v>71465</v>
      </c>
      <c r="E35" s="98">
        <v>4</v>
      </c>
      <c r="F35" s="100">
        <f t="shared" si="12"/>
        <v>17866.25</v>
      </c>
      <c r="G35" s="100">
        <v>2</v>
      </c>
      <c r="H35" s="100">
        <f t="shared" si="13"/>
        <v>35732.5</v>
      </c>
      <c r="I35" s="100">
        <v>20</v>
      </c>
      <c r="J35" s="99">
        <f t="shared" si="14"/>
        <v>2</v>
      </c>
      <c r="K35" s="100">
        <v>68170</v>
      </c>
      <c r="L35" s="100"/>
      <c r="M35" s="100"/>
      <c r="N35" s="101">
        <f t="shared" si="15"/>
        <v>0.1</v>
      </c>
      <c r="O35" s="102">
        <f t="shared" si="16"/>
        <v>2.1325223458790208</v>
      </c>
      <c r="P35" s="103">
        <f t="shared" si="17"/>
        <v>33511.958333333336</v>
      </c>
      <c r="Q35" s="104">
        <f t="shared" si="19"/>
        <v>5.1556858974358981</v>
      </c>
      <c r="R35" s="104">
        <f t="shared" si="18"/>
        <v>3.0327564102564106</v>
      </c>
      <c r="S35" s="103">
        <f t="shared" si="22"/>
        <v>71465</v>
      </c>
      <c r="T35" s="104">
        <f t="shared" ref="T35:T36" si="23">IF(W35&lt;&gt;"",IF(E34&lt;&gt;"",E34,($I$9-SUM($T$25:T34))*V35*W35/SUMPRODUCT($W35:$W$58,$V35:$V$58)),"")</f>
        <v>3</v>
      </c>
      <c r="U35" s="104">
        <f t="shared" si="21"/>
        <v>2</v>
      </c>
      <c r="V35" s="105">
        <v>1</v>
      </c>
      <c r="W35" s="105">
        <v>1</v>
      </c>
      <c r="X35" s="108"/>
      <c r="Y35" s="107"/>
      <c r="Z35" s="2"/>
      <c r="AA35" s="2"/>
      <c r="AB35" s="2"/>
      <c r="AC35" s="2"/>
      <c r="AD35" s="2"/>
    </row>
    <row r="36" spans="1:30" ht="15.25" customHeight="1">
      <c r="A36" s="96">
        <v>11</v>
      </c>
      <c r="B36" s="97">
        <v>45973</v>
      </c>
      <c r="C36" s="122" t="s">
        <v>55</v>
      </c>
      <c r="D36" s="99">
        <v>39579</v>
      </c>
      <c r="E36" s="122">
        <v>4</v>
      </c>
      <c r="F36" s="100">
        <f t="shared" si="12"/>
        <v>9894.75</v>
      </c>
      <c r="G36" s="109">
        <v>2</v>
      </c>
      <c r="H36" s="100">
        <f t="shared" si="13"/>
        <v>19789.5</v>
      </c>
      <c r="I36" s="109">
        <v>15</v>
      </c>
      <c r="J36" s="99">
        <f t="shared" si="14"/>
        <v>2</v>
      </c>
      <c r="K36" s="109">
        <v>36977</v>
      </c>
      <c r="L36" s="100"/>
      <c r="M36" s="109"/>
      <c r="N36" s="101">
        <f t="shared" si="15"/>
        <v>0.13333333333333333</v>
      </c>
      <c r="O36" s="232">
        <f t="shared" si="16"/>
        <v>1.1810410960266671</v>
      </c>
      <c r="P36" s="103">
        <f t="shared" si="17"/>
        <v>33511.958333333336</v>
      </c>
      <c r="Q36" s="233">
        <f t="shared" si="19"/>
        <v>5.1556858974358981</v>
      </c>
      <c r="R36" s="104">
        <f t="shared" si="18"/>
        <v>3.0327564102564106</v>
      </c>
      <c r="S36" s="234">
        <f t="shared" si="22"/>
        <v>39579</v>
      </c>
      <c r="T36" s="104">
        <f t="shared" si="23"/>
        <v>4</v>
      </c>
      <c r="U36" s="233">
        <f t="shared" si="21"/>
        <v>2</v>
      </c>
      <c r="V36" s="105">
        <v>1</v>
      </c>
      <c r="W36" s="105">
        <v>1</v>
      </c>
      <c r="X36" s="108"/>
      <c r="Y36" s="107"/>
      <c r="Z36" s="2"/>
      <c r="AA36" s="2"/>
      <c r="AB36" s="2"/>
      <c r="AC36" s="2"/>
      <c r="AD36" s="2"/>
    </row>
    <row r="37" spans="1:30">
      <c r="A37" s="96">
        <v>13</v>
      </c>
      <c r="B37" s="97">
        <v>45974</v>
      </c>
      <c r="C37" s="98" t="s">
        <v>56</v>
      </c>
      <c r="D37" s="99"/>
      <c r="E37" s="100"/>
      <c r="F37" s="100" t="str">
        <f t="shared" si="12"/>
        <v/>
      </c>
      <c r="G37" s="100"/>
      <c r="H37" s="100" t="str">
        <f t="shared" si="13"/>
        <v/>
      </c>
      <c r="I37" s="100">
        <v>15</v>
      </c>
      <c r="J37" s="99" t="str">
        <f t="shared" si="14"/>
        <v/>
      </c>
      <c r="K37" s="100"/>
      <c r="L37" s="100"/>
      <c r="M37" s="100"/>
      <c r="N37" s="101">
        <f t="shared" si="15"/>
        <v>0</v>
      </c>
      <c r="O37" s="102">
        <f t="shared" si="16"/>
        <v>0</v>
      </c>
      <c r="P37" s="103">
        <f t="shared" si="17"/>
        <v>33511.958333333336</v>
      </c>
      <c r="Q37" s="104">
        <f t="shared" si="19"/>
        <v>5.1556858974358981</v>
      </c>
      <c r="R37" s="104">
        <f t="shared" si="18"/>
        <v>3.0327564102564106</v>
      </c>
      <c r="S37" s="103">
        <f t="shared" si="22"/>
        <v>30551.689102564105</v>
      </c>
      <c r="T37" s="104">
        <f t="shared" ref="T37:T53" si="24">IF(W37&lt;&gt;"",IF(E37&lt;&gt;"",E37,($I$9-SUM($T$25:T36))*V37*W37/SUMPRODUCT($W37:$W$58,$V37:$V$58)),"")</f>
        <v>5.6840113412228801</v>
      </c>
      <c r="U37" s="104">
        <f t="shared" si="21"/>
        <v>3.2937623274161743</v>
      </c>
      <c r="V37" s="105">
        <v>1</v>
      </c>
      <c r="W37" s="105">
        <v>1</v>
      </c>
      <c r="X37" s="108"/>
      <c r="Y37" s="107"/>
      <c r="Z37" s="2"/>
      <c r="AA37" s="2"/>
      <c r="AB37" s="2"/>
      <c r="AC37" s="2"/>
      <c r="AD37" s="2"/>
    </row>
    <row r="38" spans="1:30">
      <c r="A38" s="96">
        <v>14</v>
      </c>
      <c r="B38" s="97">
        <v>45975</v>
      </c>
      <c r="C38" s="98" t="s">
        <v>57</v>
      </c>
      <c r="D38" s="99">
        <v>24575</v>
      </c>
      <c r="E38" s="100">
        <v>3</v>
      </c>
      <c r="F38" s="100">
        <f t="shared" si="12"/>
        <v>8191.666666666667</v>
      </c>
      <c r="G38" s="100">
        <v>2</v>
      </c>
      <c r="H38" s="100">
        <f t="shared" si="13"/>
        <v>12287.5</v>
      </c>
      <c r="I38" s="100">
        <v>20</v>
      </c>
      <c r="J38" s="99">
        <f t="shared" si="14"/>
        <v>1.5</v>
      </c>
      <c r="K38" s="100"/>
      <c r="L38" s="100"/>
      <c r="M38" s="100">
        <v>19883</v>
      </c>
      <c r="N38" s="101">
        <f t="shared" si="15"/>
        <v>0.1</v>
      </c>
      <c r="O38" s="102">
        <f t="shared" si="16"/>
        <v>0.73332031973661138</v>
      </c>
      <c r="P38" s="103">
        <f t="shared" si="17"/>
        <v>33511.958333333336</v>
      </c>
      <c r="Q38" s="104">
        <f t="shared" si="19"/>
        <v>5.1556858974358981</v>
      </c>
      <c r="R38" s="104">
        <f t="shared" si="18"/>
        <v>3.0327564102564106</v>
      </c>
      <c r="S38" s="103">
        <f t="shared" si="22"/>
        <v>24575</v>
      </c>
      <c r="T38" s="104">
        <f t="shared" si="24"/>
        <v>3</v>
      </c>
      <c r="U38" s="104">
        <f t="shared" si="21"/>
        <v>2</v>
      </c>
      <c r="V38" s="105">
        <v>1</v>
      </c>
      <c r="W38" s="105">
        <v>1</v>
      </c>
      <c r="X38" s="108"/>
      <c r="Y38" s="107"/>
      <c r="Z38" s="2"/>
      <c r="AA38" s="2"/>
      <c r="AB38" s="2"/>
      <c r="AC38" s="2"/>
      <c r="AD38" s="2"/>
    </row>
    <row r="39" spans="1:30">
      <c r="A39" s="96">
        <v>15</v>
      </c>
      <c r="B39" s="97">
        <v>45976</v>
      </c>
      <c r="C39" s="98" t="s">
        <v>48</v>
      </c>
      <c r="D39" s="99">
        <v>24262</v>
      </c>
      <c r="E39" s="109">
        <v>3</v>
      </c>
      <c r="F39" s="100">
        <f t="shared" si="12"/>
        <v>8087.333333333333</v>
      </c>
      <c r="G39" s="109">
        <v>1</v>
      </c>
      <c r="H39" s="100">
        <f t="shared" si="13"/>
        <v>24262</v>
      </c>
      <c r="I39" s="109">
        <v>15</v>
      </c>
      <c r="J39" s="99">
        <f t="shared" si="14"/>
        <v>3</v>
      </c>
      <c r="K39" s="100">
        <v>11155</v>
      </c>
      <c r="L39" s="100"/>
      <c r="M39" s="109"/>
      <c r="N39" s="101">
        <f t="shared" si="15"/>
        <v>6.6666666666666666E-2</v>
      </c>
      <c r="O39" s="102">
        <f t="shared" si="16"/>
        <v>0.72398037019123762</v>
      </c>
      <c r="P39" s="103">
        <f t="shared" si="17"/>
        <v>33511.958333333336</v>
      </c>
      <c r="Q39" s="104">
        <f t="shared" si="19"/>
        <v>5.1556858974358981</v>
      </c>
      <c r="R39" s="104">
        <f t="shared" si="18"/>
        <v>3.0327564102564106</v>
      </c>
      <c r="S39" s="103">
        <f t="shared" si="22"/>
        <v>24262</v>
      </c>
      <c r="T39" s="104">
        <f t="shared" si="24"/>
        <v>3</v>
      </c>
      <c r="U39" s="104">
        <f t="shared" si="21"/>
        <v>1</v>
      </c>
      <c r="V39" s="105">
        <v>1</v>
      </c>
      <c r="W39" s="105">
        <v>1</v>
      </c>
      <c r="X39" s="108"/>
      <c r="Y39" s="107"/>
      <c r="Z39" s="2"/>
      <c r="AA39" s="2"/>
      <c r="AB39" s="2"/>
      <c r="AC39" s="2"/>
      <c r="AD39" s="2"/>
    </row>
    <row r="40" spans="1:30">
      <c r="A40" s="96">
        <v>16</v>
      </c>
      <c r="B40" s="97">
        <v>45979</v>
      </c>
      <c r="C40" s="98" t="s">
        <v>53</v>
      </c>
      <c r="D40" s="99">
        <v>25769</v>
      </c>
      <c r="E40" s="100">
        <v>4</v>
      </c>
      <c r="F40" s="100">
        <f t="shared" si="12"/>
        <v>6442.25</v>
      </c>
      <c r="G40" s="100">
        <v>3</v>
      </c>
      <c r="H40" s="100">
        <f t="shared" si="13"/>
        <v>8589.6666666666661</v>
      </c>
      <c r="I40" s="100">
        <v>11</v>
      </c>
      <c r="J40" s="99">
        <f t="shared" si="14"/>
        <v>1.3333333333333333</v>
      </c>
      <c r="K40" s="100">
        <v>6890</v>
      </c>
      <c r="L40" s="100"/>
      <c r="M40" s="100"/>
      <c r="N40" s="235">
        <f t="shared" si="15"/>
        <v>0.27272727272727271</v>
      </c>
      <c r="O40" s="102">
        <f t="shared" si="16"/>
        <v>0.76894939244324467</v>
      </c>
      <c r="P40" s="103">
        <f t="shared" si="17"/>
        <v>33511.958333333336</v>
      </c>
      <c r="Q40" s="104">
        <f t="shared" si="19"/>
        <v>5.1556858974358981</v>
      </c>
      <c r="R40" s="104">
        <f t="shared" si="18"/>
        <v>3.0327564102564106</v>
      </c>
      <c r="S40" s="103">
        <f t="shared" si="22"/>
        <v>25769</v>
      </c>
      <c r="T40" s="104">
        <f t="shared" si="24"/>
        <v>4</v>
      </c>
      <c r="U40" s="104">
        <f t="shared" si="21"/>
        <v>3</v>
      </c>
      <c r="V40" s="105">
        <v>1</v>
      </c>
      <c r="W40" s="105">
        <v>1</v>
      </c>
      <c r="X40" s="108"/>
      <c r="Y40" s="107"/>
      <c r="Z40" s="2"/>
      <c r="AA40" s="2"/>
      <c r="AB40" s="2"/>
      <c r="AC40" s="2"/>
      <c r="AD40" s="2"/>
    </row>
    <row r="41" spans="1:30">
      <c r="A41" s="96">
        <v>17</v>
      </c>
      <c r="B41" s="97">
        <v>45980</v>
      </c>
      <c r="C41" s="98" t="s">
        <v>55</v>
      </c>
      <c r="D41" s="99">
        <f>6993+6393</f>
        <v>13386</v>
      </c>
      <c r="E41" s="100">
        <v>2</v>
      </c>
      <c r="F41" s="100">
        <f t="shared" si="12"/>
        <v>6693</v>
      </c>
      <c r="G41" s="100">
        <v>2</v>
      </c>
      <c r="H41" s="100">
        <f t="shared" si="13"/>
        <v>6693</v>
      </c>
      <c r="I41" s="100">
        <v>10</v>
      </c>
      <c r="J41" s="99">
        <f t="shared" si="14"/>
        <v>1</v>
      </c>
      <c r="K41" s="100">
        <v>6993</v>
      </c>
      <c r="L41" s="100"/>
      <c r="M41" s="100"/>
      <c r="N41" s="101">
        <f t="shared" si="15"/>
        <v>0.2</v>
      </c>
      <c r="O41" s="102">
        <f t="shared" si="16"/>
        <v>0.39943950356029623</v>
      </c>
      <c r="P41" s="103">
        <f t="shared" si="17"/>
        <v>33511.958333333336</v>
      </c>
      <c r="Q41" s="104">
        <f t="shared" si="19"/>
        <v>5.1556858974358981</v>
      </c>
      <c r="R41" s="104">
        <f t="shared" si="18"/>
        <v>3.0327564102564106</v>
      </c>
      <c r="S41" s="103">
        <f t="shared" si="22"/>
        <v>13386</v>
      </c>
      <c r="T41" s="104">
        <f t="shared" si="24"/>
        <v>2</v>
      </c>
      <c r="U41" s="104">
        <f t="shared" si="21"/>
        <v>2</v>
      </c>
      <c r="V41" s="105">
        <v>1</v>
      </c>
      <c r="W41" s="105">
        <v>1</v>
      </c>
      <c r="X41" s="108"/>
      <c r="Y41" s="107"/>
      <c r="Z41" s="2"/>
      <c r="AA41" s="2"/>
      <c r="AB41" s="2"/>
      <c r="AC41" s="2"/>
      <c r="AD41" s="2"/>
    </row>
    <row r="42" spans="1:30">
      <c r="A42" s="96">
        <v>18</v>
      </c>
      <c r="B42" s="97">
        <v>45981</v>
      </c>
      <c r="C42" s="98" t="s">
        <v>56</v>
      </c>
      <c r="D42" s="99"/>
      <c r="E42" s="100"/>
      <c r="F42" s="100" t="str">
        <f t="shared" si="12"/>
        <v/>
      </c>
      <c r="G42" s="100"/>
      <c r="H42" s="100" t="str">
        <f t="shared" si="13"/>
        <v/>
      </c>
      <c r="I42" s="100">
        <v>10</v>
      </c>
      <c r="J42" s="99" t="str">
        <f t="shared" si="14"/>
        <v/>
      </c>
      <c r="K42" s="100"/>
      <c r="L42" s="100"/>
      <c r="M42" s="100"/>
      <c r="N42" s="101">
        <f t="shared" si="15"/>
        <v>0</v>
      </c>
      <c r="O42" s="102">
        <f t="shared" si="16"/>
        <v>0</v>
      </c>
      <c r="P42" s="103">
        <f t="shared" si="17"/>
        <v>33511.958333333336</v>
      </c>
      <c r="Q42" s="104">
        <f t="shared" si="19"/>
        <v>5.1556858974358981</v>
      </c>
      <c r="R42" s="104">
        <f t="shared" si="18"/>
        <v>3.0327564102564106</v>
      </c>
      <c r="S42" s="103">
        <f t="shared" si="22"/>
        <v>34828.533653846156</v>
      </c>
      <c r="T42" s="104">
        <f t="shared" si="24"/>
        <v>7.0260170118343197</v>
      </c>
      <c r="U42" s="104">
        <f t="shared" si="21"/>
        <v>3.9406434911242609</v>
      </c>
      <c r="V42" s="105">
        <v>1</v>
      </c>
      <c r="W42" s="105">
        <v>1</v>
      </c>
      <c r="X42" s="108"/>
      <c r="Y42" s="107"/>
      <c r="Z42" s="113"/>
      <c r="AA42" s="2"/>
      <c r="AB42" s="2"/>
      <c r="AC42" s="2"/>
      <c r="AD42" s="2"/>
    </row>
    <row r="43" spans="1:30">
      <c r="A43" s="96">
        <v>19</v>
      </c>
      <c r="B43" s="97">
        <v>45982</v>
      </c>
      <c r="C43" s="98" t="s">
        <v>57</v>
      </c>
      <c r="D43" s="99"/>
      <c r="E43" s="100"/>
      <c r="F43" s="100" t="str">
        <f t="shared" si="12"/>
        <v/>
      </c>
      <c r="G43" s="100"/>
      <c r="H43" s="100" t="str">
        <f t="shared" si="13"/>
        <v/>
      </c>
      <c r="I43" s="100">
        <v>14</v>
      </c>
      <c r="J43" s="99" t="str">
        <f t="shared" si="14"/>
        <v/>
      </c>
      <c r="K43" s="100"/>
      <c r="L43" s="100"/>
      <c r="M43" s="100"/>
      <c r="N43" s="101">
        <f t="shared" si="15"/>
        <v>0</v>
      </c>
      <c r="O43" s="102">
        <f t="shared" si="16"/>
        <v>0</v>
      </c>
      <c r="P43" s="103">
        <f t="shared" si="17"/>
        <v>33511.958333333336</v>
      </c>
      <c r="Q43" s="104">
        <f t="shared" si="19"/>
        <v>5.1556858974358981</v>
      </c>
      <c r="R43" s="104">
        <f t="shared" si="18"/>
        <v>3.0327564102564106</v>
      </c>
      <c r="S43" s="103">
        <f t="shared" si="22"/>
        <v>34828.533653846163</v>
      </c>
      <c r="T43" s="104">
        <f t="shared" si="24"/>
        <v>7.0260170118343206</v>
      </c>
      <c r="U43" s="104">
        <f t="shared" si="21"/>
        <v>3.9406434911242605</v>
      </c>
      <c r="V43" s="105">
        <v>1</v>
      </c>
      <c r="W43" s="105">
        <v>1</v>
      </c>
      <c r="X43" s="108"/>
      <c r="Y43" s="107"/>
      <c r="Z43" s="113"/>
      <c r="AA43" s="2"/>
      <c r="AB43" s="2"/>
      <c r="AC43" s="2"/>
      <c r="AD43" s="2"/>
    </row>
    <row r="44" spans="1:30">
      <c r="A44" s="96">
        <v>20</v>
      </c>
      <c r="B44" s="97">
        <v>45983</v>
      </c>
      <c r="C44" s="98" t="s">
        <v>48</v>
      </c>
      <c r="D44" s="99">
        <v>58441</v>
      </c>
      <c r="E44" s="100">
        <v>7</v>
      </c>
      <c r="F44" s="100">
        <f t="shared" si="12"/>
        <v>8348.7142857142862</v>
      </c>
      <c r="G44" s="100">
        <v>4</v>
      </c>
      <c r="H44" s="100">
        <f t="shared" si="13"/>
        <v>14610.25</v>
      </c>
      <c r="I44" s="100">
        <v>30</v>
      </c>
      <c r="J44" s="99">
        <f t="shared" si="14"/>
        <v>1.75</v>
      </c>
      <c r="K44" s="100">
        <v>21086</v>
      </c>
      <c r="L44" s="100"/>
      <c r="M44" s="100"/>
      <c r="N44" s="101">
        <f t="shared" si="15"/>
        <v>0.13333333333333333</v>
      </c>
      <c r="O44" s="102">
        <f t="shared" si="16"/>
        <v>1.7438849564894123</v>
      </c>
      <c r="P44" s="103">
        <f t="shared" si="17"/>
        <v>33511.958333333336</v>
      </c>
      <c r="Q44" s="104">
        <f t="shared" si="19"/>
        <v>5.1556858974358981</v>
      </c>
      <c r="R44" s="104">
        <f t="shared" si="18"/>
        <v>3.0327564102564106</v>
      </c>
      <c r="S44" s="103">
        <f t="shared" si="22"/>
        <v>58441</v>
      </c>
      <c r="T44" s="104">
        <f t="shared" si="24"/>
        <v>7</v>
      </c>
      <c r="U44" s="104">
        <f t="shared" si="21"/>
        <v>4</v>
      </c>
      <c r="V44" s="105">
        <v>1</v>
      </c>
      <c r="W44" s="105">
        <v>1</v>
      </c>
      <c r="X44" s="108"/>
      <c r="Y44" s="107"/>
      <c r="Z44" s="113"/>
      <c r="AA44" s="2"/>
      <c r="AB44" s="2"/>
      <c r="AC44" s="2"/>
      <c r="AD44" s="2"/>
    </row>
    <row r="45" spans="1:30">
      <c r="A45" s="96">
        <v>21</v>
      </c>
      <c r="B45" s="97">
        <v>45984</v>
      </c>
      <c r="C45" s="98" t="s">
        <v>50</v>
      </c>
      <c r="D45" s="99">
        <v>27367</v>
      </c>
      <c r="E45" s="100">
        <v>3</v>
      </c>
      <c r="F45" s="100">
        <f t="shared" si="12"/>
        <v>9122.3333333333339</v>
      </c>
      <c r="G45" s="100">
        <v>3</v>
      </c>
      <c r="H45" s="100">
        <f t="shared" si="13"/>
        <v>9122.3333333333339</v>
      </c>
      <c r="I45" s="100">
        <v>25</v>
      </c>
      <c r="J45" s="99">
        <f t="shared" si="14"/>
        <v>1</v>
      </c>
      <c r="K45" s="100">
        <v>9081</v>
      </c>
      <c r="L45" s="100"/>
      <c r="M45" s="100"/>
      <c r="N45" s="101">
        <f t="shared" si="15"/>
        <v>0.12</v>
      </c>
      <c r="O45" s="102">
        <f t="shared" si="16"/>
        <v>0.81663386328512078</v>
      </c>
      <c r="P45" s="103">
        <f t="shared" si="17"/>
        <v>33511.958333333336</v>
      </c>
      <c r="Q45" s="104">
        <f t="shared" si="19"/>
        <v>5.1556858974358981</v>
      </c>
      <c r="R45" s="104">
        <f t="shared" si="18"/>
        <v>3.0327564102564106</v>
      </c>
      <c r="S45" s="103">
        <f t="shared" si="22"/>
        <v>27367</v>
      </c>
      <c r="T45" s="104">
        <f t="shared" si="24"/>
        <v>3</v>
      </c>
      <c r="U45" s="104">
        <f t="shared" si="21"/>
        <v>3</v>
      </c>
      <c r="V45" s="105">
        <v>1</v>
      </c>
      <c r="W45" s="105">
        <v>1</v>
      </c>
      <c r="X45" s="108"/>
      <c r="Y45" s="107"/>
      <c r="Z45" s="113"/>
    </row>
    <row r="46" spans="1:30">
      <c r="A46" s="96">
        <v>22</v>
      </c>
      <c r="B46" s="97">
        <v>45986</v>
      </c>
      <c r="C46" s="98" t="s">
        <v>53</v>
      </c>
      <c r="D46" s="99"/>
      <c r="E46" s="100"/>
      <c r="F46" s="100" t="str">
        <f t="shared" si="12"/>
        <v/>
      </c>
      <c r="G46" s="100"/>
      <c r="H46" s="100" t="str">
        <f t="shared" si="13"/>
        <v/>
      </c>
      <c r="I46" s="100">
        <v>7</v>
      </c>
      <c r="J46" s="99" t="str">
        <f t="shared" si="14"/>
        <v/>
      </c>
      <c r="K46" s="100"/>
      <c r="L46" s="100"/>
      <c r="M46" s="100"/>
      <c r="N46" s="101">
        <f t="shared" si="15"/>
        <v>0</v>
      </c>
      <c r="O46" s="102">
        <f t="shared" si="16"/>
        <v>0</v>
      </c>
      <c r="P46" s="103">
        <f t="shared" si="17"/>
        <v>33511.958333333336</v>
      </c>
      <c r="Q46" s="104">
        <f t="shared" si="19"/>
        <v>5.1556858974358981</v>
      </c>
      <c r="R46" s="104">
        <f t="shared" si="18"/>
        <v>3.0327564102564106</v>
      </c>
      <c r="S46" s="103">
        <f t="shared" si="22"/>
        <v>30790.800480769249</v>
      </c>
      <c r="T46" s="104">
        <f t="shared" si="24"/>
        <v>8.0390255177514796</v>
      </c>
      <c r="U46" s="104">
        <f t="shared" si="21"/>
        <v>4.1609652366863905</v>
      </c>
      <c r="V46" s="105">
        <v>1</v>
      </c>
      <c r="W46" s="105">
        <v>1</v>
      </c>
      <c r="X46" s="108"/>
      <c r="Y46" s="107"/>
      <c r="Z46" s="113"/>
      <c r="AA46" s="2"/>
      <c r="AB46" s="2"/>
      <c r="AC46" s="2"/>
      <c r="AD46" s="2"/>
    </row>
    <row r="47" spans="1:30">
      <c r="A47" s="96">
        <v>23</v>
      </c>
      <c r="B47" s="97">
        <v>46352</v>
      </c>
      <c r="C47" s="98" t="s">
        <v>55</v>
      </c>
      <c r="D47" s="99"/>
      <c r="E47" s="100"/>
      <c r="F47" s="100" t="str">
        <f t="shared" si="12"/>
        <v/>
      </c>
      <c r="G47" s="100"/>
      <c r="H47" s="100" t="str">
        <f t="shared" si="13"/>
        <v/>
      </c>
      <c r="I47" s="100">
        <v>13</v>
      </c>
      <c r="J47" s="99" t="str">
        <f t="shared" si="14"/>
        <v/>
      </c>
      <c r="K47" s="100"/>
      <c r="L47" s="100"/>
      <c r="M47" s="100"/>
      <c r="N47" s="101">
        <f t="shared" si="15"/>
        <v>0</v>
      </c>
      <c r="O47" s="102">
        <f t="shared" si="16"/>
        <v>0</v>
      </c>
      <c r="P47" s="103">
        <f t="shared" si="17"/>
        <v>33511.958333333336</v>
      </c>
      <c r="Q47" s="104">
        <f t="shared" si="19"/>
        <v>5.1556858974358981</v>
      </c>
      <c r="R47" s="104">
        <f t="shared" si="18"/>
        <v>3.0327564102564106</v>
      </c>
      <c r="S47" s="103">
        <f t="shared" si="22"/>
        <v>30790.800480769249</v>
      </c>
      <c r="T47" s="104">
        <f t="shared" si="24"/>
        <v>8.0390255177514778</v>
      </c>
      <c r="U47" s="104">
        <f t="shared" si="21"/>
        <v>4.1609652366863896</v>
      </c>
      <c r="V47" s="105">
        <v>1</v>
      </c>
      <c r="W47" s="105">
        <v>1</v>
      </c>
      <c r="X47" s="108"/>
      <c r="Y47" s="107"/>
      <c r="Z47" s="113"/>
      <c r="AA47" s="2"/>
      <c r="AB47" s="2"/>
      <c r="AC47" s="2"/>
      <c r="AD47" s="2"/>
    </row>
    <row r="48" spans="1:30">
      <c r="A48" s="96">
        <v>24</v>
      </c>
      <c r="B48" s="97">
        <v>45988</v>
      </c>
      <c r="C48" s="98" t="s">
        <v>56</v>
      </c>
      <c r="D48" s="99"/>
      <c r="E48" s="100"/>
      <c r="F48" s="100" t="str">
        <f t="shared" si="12"/>
        <v/>
      </c>
      <c r="G48" s="100"/>
      <c r="H48" s="100" t="str">
        <f t="shared" si="13"/>
        <v/>
      </c>
      <c r="I48" s="100">
        <v>12</v>
      </c>
      <c r="J48" s="99" t="str">
        <f t="shared" si="14"/>
        <v/>
      </c>
      <c r="K48" s="100"/>
      <c r="L48" s="100"/>
      <c r="M48" s="100"/>
      <c r="N48" s="101">
        <f t="shared" si="15"/>
        <v>0</v>
      </c>
      <c r="O48" s="102">
        <f t="shared" si="16"/>
        <v>0</v>
      </c>
      <c r="P48" s="103">
        <f t="shared" si="17"/>
        <v>33511.958333333336</v>
      </c>
      <c r="Q48" s="104">
        <f t="shared" si="19"/>
        <v>5.1556858974358981</v>
      </c>
      <c r="R48" s="104">
        <f t="shared" si="18"/>
        <v>3.0327564102564106</v>
      </c>
      <c r="S48" s="103">
        <f t="shared" si="22"/>
        <v>30790.800480769249</v>
      </c>
      <c r="T48" s="104">
        <f t="shared" si="24"/>
        <v>8.039025517751476</v>
      </c>
      <c r="U48" s="104">
        <f t="shared" si="21"/>
        <v>4.160965236686387</v>
      </c>
      <c r="V48" s="105">
        <v>1</v>
      </c>
      <c r="W48" s="105">
        <v>1</v>
      </c>
      <c r="X48" s="108"/>
      <c r="Y48" s="107"/>
      <c r="Z48" s="113"/>
      <c r="AA48" s="2"/>
      <c r="AB48" s="2"/>
      <c r="AC48" s="2"/>
      <c r="AD48" s="2"/>
    </row>
    <row r="49" spans="1:30">
      <c r="A49" s="96">
        <v>25</v>
      </c>
      <c r="B49" s="97">
        <v>45989</v>
      </c>
      <c r="C49" s="98" t="s">
        <v>57</v>
      </c>
      <c r="D49" s="99">
        <f>7693+19795</f>
        <v>27488</v>
      </c>
      <c r="E49" s="100">
        <v>3</v>
      </c>
      <c r="F49" s="100">
        <f t="shared" si="12"/>
        <v>9162.6666666666661</v>
      </c>
      <c r="G49" s="100">
        <v>2</v>
      </c>
      <c r="H49" s="100">
        <f t="shared" si="13"/>
        <v>13744</v>
      </c>
      <c r="I49" s="100">
        <v>15</v>
      </c>
      <c r="J49" s="99">
        <f t="shared" si="14"/>
        <v>1.5</v>
      </c>
      <c r="K49" s="100"/>
      <c r="L49" s="100"/>
      <c r="M49" s="100">
        <v>7693</v>
      </c>
      <c r="N49" s="101">
        <f t="shared" si="15"/>
        <v>0.13333333333333333</v>
      </c>
      <c r="O49" s="102">
        <f t="shared" si="16"/>
        <v>0.82024451470681481</v>
      </c>
      <c r="P49" s="103">
        <f t="shared" si="17"/>
        <v>33511.958333333336</v>
      </c>
      <c r="Q49" s="104">
        <f t="shared" si="19"/>
        <v>5.1556858974358981</v>
      </c>
      <c r="R49" s="104">
        <f t="shared" si="18"/>
        <v>3.0327564102564106</v>
      </c>
      <c r="S49" s="103">
        <f t="shared" si="22"/>
        <v>27488</v>
      </c>
      <c r="T49" s="104">
        <f t="shared" si="24"/>
        <v>3</v>
      </c>
      <c r="U49" s="104">
        <f t="shared" si="21"/>
        <v>2</v>
      </c>
      <c r="V49" s="105">
        <v>1</v>
      </c>
      <c r="W49" s="105">
        <v>1</v>
      </c>
      <c r="X49" s="108"/>
      <c r="Y49" s="107"/>
      <c r="Z49" s="113"/>
      <c r="AA49" s="2"/>
      <c r="AB49" s="2"/>
      <c r="AC49" s="2"/>
      <c r="AD49" s="2"/>
    </row>
    <row r="50" spans="1:30">
      <c r="A50" s="96">
        <v>26</v>
      </c>
      <c r="B50" s="97"/>
      <c r="C50" s="98"/>
      <c r="D50" s="99"/>
      <c r="E50" s="100"/>
      <c r="F50" s="100" t="str">
        <f t="shared" si="12"/>
        <v/>
      </c>
      <c r="G50" s="100"/>
      <c r="H50" s="100" t="str">
        <f t="shared" si="13"/>
        <v/>
      </c>
      <c r="I50" s="100"/>
      <c r="J50" s="99" t="str">
        <f t="shared" si="14"/>
        <v/>
      </c>
      <c r="K50" s="100"/>
      <c r="L50" s="100"/>
      <c r="M50" s="100"/>
      <c r="N50" s="101" t="str">
        <f t="shared" si="15"/>
        <v/>
      </c>
      <c r="O50" s="102" t="e">
        <f t="shared" si="16"/>
        <v>#DIV/0!</v>
      </c>
      <c r="P50" s="103">
        <f t="shared" si="17"/>
        <v>0</v>
      </c>
      <c r="Q50" s="104">
        <f t="shared" si="19"/>
        <v>0</v>
      </c>
      <c r="R50" s="104">
        <f t="shared" si="18"/>
        <v>0</v>
      </c>
      <c r="S50" s="103" t="str">
        <f t="shared" si="22"/>
        <v/>
      </c>
      <c r="T50" s="104" t="str">
        <f t="shared" si="24"/>
        <v/>
      </c>
      <c r="U50" s="104" t="str">
        <f t="shared" si="21"/>
        <v/>
      </c>
      <c r="V50" s="105"/>
      <c r="W50" s="105"/>
      <c r="X50" s="108"/>
      <c r="Y50" s="107"/>
      <c r="Z50" s="113"/>
      <c r="AA50" s="2"/>
      <c r="AB50" s="2"/>
      <c r="AC50" s="2"/>
      <c r="AD50" s="2"/>
    </row>
    <row r="51" spans="1:30">
      <c r="A51" s="96">
        <v>27</v>
      </c>
      <c r="B51" s="97"/>
      <c r="C51" s="122"/>
      <c r="D51" s="99"/>
      <c r="E51" s="109"/>
      <c r="F51" s="100" t="str">
        <f t="shared" si="12"/>
        <v/>
      </c>
      <c r="G51" s="109"/>
      <c r="H51" s="100" t="str">
        <f t="shared" si="13"/>
        <v/>
      </c>
      <c r="I51" s="109"/>
      <c r="J51" s="99" t="str">
        <f t="shared" si="14"/>
        <v/>
      </c>
      <c r="K51" s="109"/>
      <c r="L51" s="100"/>
      <c r="M51" s="109"/>
      <c r="N51" s="101" t="str">
        <f t="shared" si="15"/>
        <v/>
      </c>
      <c r="O51" s="232" t="e">
        <f t="shared" si="16"/>
        <v>#DIV/0!</v>
      </c>
      <c r="P51" s="103">
        <f t="shared" si="17"/>
        <v>0</v>
      </c>
      <c r="Q51" s="233">
        <f t="shared" si="19"/>
        <v>0</v>
      </c>
      <c r="R51" s="104">
        <f t="shared" si="18"/>
        <v>0</v>
      </c>
      <c r="S51" s="234" t="str">
        <f t="shared" si="22"/>
        <v/>
      </c>
      <c r="T51" s="104" t="str">
        <f t="shared" si="24"/>
        <v/>
      </c>
      <c r="U51" s="233" t="str">
        <f t="shared" si="21"/>
        <v/>
      </c>
      <c r="V51" s="105"/>
      <c r="W51" s="105"/>
      <c r="X51" s="108"/>
      <c r="Y51" s="107"/>
      <c r="Z51" s="113"/>
      <c r="AA51" s="2"/>
      <c r="AB51" s="2"/>
      <c r="AC51" s="2"/>
      <c r="AD51" s="2"/>
    </row>
    <row r="52" spans="1:30">
      <c r="A52" s="96">
        <v>28</v>
      </c>
      <c r="B52" s="97"/>
      <c r="C52" s="98"/>
      <c r="D52" s="236"/>
      <c r="E52" s="100"/>
      <c r="F52" s="109" t="str">
        <f t="shared" si="12"/>
        <v/>
      </c>
      <c r="G52" s="100"/>
      <c r="H52" s="109" t="str">
        <f t="shared" si="13"/>
        <v/>
      </c>
      <c r="I52" s="100"/>
      <c r="J52" s="236" t="str">
        <f t="shared" si="14"/>
        <v/>
      </c>
      <c r="K52" s="100"/>
      <c r="L52" s="109"/>
      <c r="M52" s="100"/>
      <c r="N52" s="235" t="str">
        <f t="shared" si="15"/>
        <v/>
      </c>
      <c r="O52" s="102" t="e">
        <f t="shared" si="16"/>
        <v>#DIV/0!</v>
      </c>
      <c r="P52" s="234">
        <f t="shared" si="17"/>
        <v>0</v>
      </c>
      <c r="Q52" s="104">
        <f t="shared" si="19"/>
        <v>0</v>
      </c>
      <c r="R52" s="233">
        <f t="shared" si="18"/>
        <v>0</v>
      </c>
      <c r="S52" s="103" t="str">
        <f t="shared" si="22"/>
        <v/>
      </c>
      <c r="T52" s="233" t="str">
        <f t="shared" si="24"/>
        <v/>
      </c>
      <c r="U52" s="104" t="str">
        <f t="shared" si="21"/>
        <v/>
      </c>
      <c r="V52" s="237"/>
      <c r="W52" s="105"/>
      <c r="X52" s="108"/>
      <c r="Y52" s="107"/>
      <c r="Z52" s="113"/>
      <c r="AA52" s="2"/>
      <c r="AB52" s="2"/>
      <c r="AC52" s="2"/>
      <c r="AD52" s="2"/>
    </row>
    <row r="53" spans="1:30">
      <c r="A53" s="96">
        <v>29</v>
      </c>
      <c r="B53" s="97"/>
      <c r="C53" s="122"/>
      <c r="D53" s="99"/>
      <c r="E53" s="109"/>
      <c r="F53" s="100" t="str">
        <f t="shared" si="12"/>
        <v/>
      </c>
      <c r="G53" s="109"/>
      <c r="H53" s="100" t="str">
        <f t="shared" si="13"/>
        <v/>
      </c>
      <c r="I53" s="109"/>
      <c r="J53" s="99" t="str">
        <f t="shared" si="14"/>
        <v/>
      </c>
      <c r="K53" s="109"/>
      <c r="L53" s="100"/>
      <c r="M53" s="109"/>
      <c r="N53" s="101" t="str">
        <f t="shared" si="15"/>
        <v/>
      </c>
      <c r="O53" s="232" t="e">
        <f t="shared" si="16"/>
        <v>#DIV/0!</v>
      </c>
      <c r="P53" s="103">
        <f t="shared" si="17"/>
        <v>0</v>
      </c>
      <c r="Q53" s="233">
        <f t="shared" si="19"/>
        <v>0</v>
      </c>
      <c r="R53" s="104">
        <f t="shared" si="18"/>
        <v>0</v>
      </c>
      <c r="S53" s="234" t="str">
        <f t="shared" si="22"/>
        <v/>
      </c>
      <c r="T53" s="104" t="str">
        <f t="shared" si="24"/>
        <v/>
      </c>
      <c r="U53" s="233" t="str">
        <f t="shared" si="21"/>
        <v/>
      </c>
      <c r="V53" s="105"/>
      <c r="W53" s="105"/>
      <c r="X53" s="108"/>
      <c r="Y53" s="107"/>
      <c r="Z53" s="113"/>
      <c r="AA53" s="2"/>
      <c r="AB53" s="2"/>
      <c r="AC53" s="2"/>
      <c r="AD53" s="2"/>
    </row>
    <row r="54" spans="1:30">
      <c r="A54" s="96"/>
      <c r="B54" s="97"/>
      <c r="C54" s="98"/>
      <c r="D54" s="99"/>
      <c r="E54" s="100"/>
      <c r="F54" s="100" t="str">
        <f t="shared" si="12"/>
        <v/>
      </c>
      <c r="G54" s="100"/>
      <c r="H54" s="100" t="str">
        <f t="shared" si="13"/>
        <v/>
      </c>
      <c r="I54" s="100"/>
      <c r="J54" s="99" t="str">
        <f t="shared" si="14"/>
        <v/>
      </c>
      <c r="K54" s="100"/>
      <c r="L54" s="100"/>
      <c r="M54" s="100"/>
      <c r="N54" s="101" t="str">
        <f t="shared" si="15"/>
        <v/>
      </c>
      <c r="O54" s="102" t="e">
        <f t="shared" si="16"/>
        <v>#DIV/0!</v>
      </c>
      <c r="P54" s="103">
        <f t="shared" si="17"/>
        <v>0</v>
      </c>
      <c r="Q54" s="104">
        <f t="shared" si="19"/>
        <v>0</v>
      </c>
      <c r="R54" s="104">
        <f t="shared" si="18"/>
        <v>0</v>
      </c>
      <c r="S54" s="103" t="str">
        <f>IF(W54&lt;&gt;"",IF(D54&lt;&gt;"",D54,($I$8-SUM($S$25:S50))*V54*W54/SUMPRODUCT($W54:$W$58,$V54:$V$58)),"")</f>
        <v/>
      </c>
      <c r="T54" s="104" t="str">
        <f>IF(W54&lt;&gt;"",IF(E54&lt;&gt;"",E54,($I$9-SUM($T$25:T50))*V54*W54/SUMPRODUCT($W54:$W$58,$V54:$V$58)),"")</f>
        <v/>
      </c>
      <c r="U54" s="104" t="str">
        <f>IF(W54&lt;&gt;"",IF($I$12&lt;&gt;"",IF(G54&lt;&gt;"",G54,($I$9/$I$12-SUM($U$25:U50))*V54*W54/SUMPRODUCT($W54:$W$58,$V54:$V$58)),""),"")</f>
        <v/>
      </c>
      <c r="V54" s="105"/>
      <c r="W54" s="105"/>
      <c r="X54" s="108"/>
      <c r="Y54" s="107"/>
      <c r="Z54" s="113"/>
      <c r="AA54" s="2"/>
      <c r="AB54" s="2"/>
      <c r="AC54" s="2"/>
      <c r="AD54" s="2"/>
    </row>
    <row r="55" spans="1:30">
      <c r="A55" s="96"/>
      <c r="B55" s="97"/>
      <c r="C55" s="98"/>
      <c r="D55" s="99"/>
      <c r="E55" s="100"/>
      <c r="F55" s="100" t="str">
        <f t="shared" si="12"/>
        <v/>
      </c>
      <c r="G55" s="100"/>
      <c r="H55" s="100" t="str">
        <f t="shared" si="13"/>
        <v/>
      </c>
      <c r="I55" s="100"/>
      <c r="J55" s="99" t="str">
        <f t="shared" si="14"/>
        <v/>
      </c>
      <c r="K55" s="100"/>
      <c r="L55" s="100"/>
      <c r="M55" s="100"/>
      <c r="N55" s="101" t="str">
        <f t="shared" si="15"/>
        <v/>
      </c>
      <c r="O55" s="102" t="e">
        <f t="shared" si="16"/>
        <v>#DIV/0!</v>
      </c>
      <c r="P55" s="103">
        <f t="shared" si="17"/>
        <v>0</v>
      </c>
      <c r="Q55" s="104">
        <f t="shared" si="19"/>
        <v>0</v>
      </c>
      <c r="R55" s="104">
        <f t="shared" si="18"/>
        <v>0</v>
      </c>
      <c r="S55" s="103" t="str">
        <f t="shared" ref="S55:S56" si="25">IF(W55&lt;&gt;"",IF(D55&lt;&gt;"",D55,($I$8-SUM($S$25:S54))*V55*W55/SUMPRODUCT($W55:$W$58,$V55:$V$58)),"")</f>
        <v/>
      </c>
      <c r="T55" s="104" t="str">
        <f t="shared" ref="T55:T56" si="26">IF(W55&lt;&gt;"",IF(E55&lt;&gt;"",E55,($I$9-SUM($T$25:T54))*V55*W55/SUMPRODUCT($W55:$W$58,$V55:$V$58)),"")</f>
        <v/>
      </c>
      <c r="U55" s="104" t="str">
        <f t="shared" ref="U55:U56" si="27">IF(W55&lt;&gt;"",IF($I$12&lt;&gt;"",IF(G55&lt;&gt;"",G55,($I$9/$I$12-SUM($U$25:U54))*V55*W55/SUMPRODUCT($W55:$W$58,$V55:$V$58)),""),"")</f>
        <v/>
      </c>
      <c r="V55" s="105"/>
      <c r="W55" s="105"/>
      <c r="X55" s="108"/>
      <c r="Y55" s="107"/>
      <c r="Z55" s="113"/>
      <c r="AA55" s="2"/>
      <c r="AB55" s="2"/>
      <c r="AC55" s="2"/>
      <c r="AD55" s="2"/>
    </row>
    <row r="56" spans="1:30" ht="15" customHeight="1">
      <c r="A56" s="96"/>
      <c r="B56" s="97"/>
      <c r="C56" s="98"/>
      <c r="D56" s="99"/>
      <c r="E56" s="100"/>
      <c r="F56" s="100" t="str">
        <f t="shared" si="12"/>
        <v/>
      </c>
      <c r="G56" s="100"/>
      <c r="H56" s="100" t="str">
        <f t="shared" si="13"/>
        <v/>
      </c>
      <c r="I56" s="100"/>
      <c r="J56" s="99" t="str">
        <f t="shared" si="14"/>
        <v/>
      </c>
      <c r="K56" s="100"/>
      <c r="L56" s="100"/>
      <c r="M56" s="100"/>
      <c r="N56" s="101" t="str">
        <f t="shared" si="15"/>
        <v/>
      </c>
      <c r="O56" s="102" t="e">
        <f t="shared" si="16"/>
        <v>#DIV/0!</v>
      </c>
      <c r="P56" s="103">
        <f t="shared" si="17"/>
        <v>0</v>
      </c>
      <c r="Q56" s="104">
        <f t="shared" si="19"/>
        <v>0</v>
      </c>
      <c r="R56" s="104">
        <f t="shared" si="18"/>
        <v>0</v>
      </c>
      <c r="S56" s="103" t="str">
        <f t="shared" si="25"/>
        <v/>
      </c>
      <c r="T56" s="104" t="str">
        <f t="shared" si="26"/>
        <v/>
      </c>
      <c r="U56" s="104" t="str">
        <f t="shared" si="27"/>
        <v/>
      </c>
      <c r="V56" s="105"/>
      <c r="W56" s="105"/>
      <c r="X56" s="108"/>
      <c r="Y56" s="107"/>
      <c r="Z56" s="113"/>
      <c r="AA56" s="2"/>
      <c r="AB56" s="2"/>
      <c r="AC56" s="2"/>
      <c r="AD56" s="2"/>
    </row>
    <row r="57" spans="1:30" ht="15" customHeight="1">
      <c r="B57" s="525"/>
      <c r="C57" s="525"/>
      <c r="D57" s="116">
        <f>SUM(D25:D56)</f>
        <v>641915</v>
      </c>
      <c r="E57" s="116">
        <f>SUM(E25:E56)</f>
        <v>81</v>
      </c>
      <c r="F57" s="116">
        <f t="shared" si="12"/>
        <v>7924.8765432098762</v>
      </c>
      <c r="G57" s="116">
        <f>SUM(G25:G56)</f>
        <v>50</v>
      </c>
      <c r="H57" s="116">
        <f t="shared" si="13"/>
        <v>12838.3</v>
      </c>
      <c r="I57" s="116">
        <f>SUM(I25:I56)</f>
        <v>507</v>
      </c>
      <c r="J57" s="115">
        <f t="shared" si="14"/>
        <v>1.62</v>
      </c>
      <c r="K57" s="116">
        <f>SUM(K25:K56)</f>
        <v>295157</v>
      </c>
      <c r="L57" s="116">
        <f>SUM(L25:L56)</f>
        <v>12103</v>
      </c>
      <c r="M57" s="116">
        <f>SUM(M25:M56)</f>
        <v>72847</v>
      </c>
      <c r="N57" s="117">
        <f t="shared" si="15"/>
        <v>9.8619329388560162E-2</v>
      </c>
      <c r="O57" s="118">
        <f t="shared" si="16"/>
        <v>0.76619216772122367</v>
      </c>
      <c r="P57" s="119">
        <f>SUM(P25:P56)</f>
        <v>837798.9583333336</v>
      </c>
      <c r="Q57" s="119">
        <f>SUM(Q25:Q55)</f>
        <v>128.8921474358975</v>
      </c>
      <c r="R57" s="119">
        <f>SUM(R25:R55)</f>
        <v>75.818910256410263</v>
      </c>
      <c r="S57" s="119">
        <f>SUM(S25:S56)</f>
        <v>834496.15785256412</v>
      </c>
      <c r="T57" s="119">
        <f>SUM(T25:T55)</f>
        <v>123.85312191814597</v>
      </c>
      <c r="U57" s="119">
        <f>SUM(U25:U55)</f>
        <v>73.657945019723883</v>
      </c>
      <c r="V57" s="120"/>
      <c r="W57" s="120"/>
    </row>
    <row r="58" spans="1:30">
      <c r="B58" s="122"/>
      <c r="C58" s="123"/>
      <c r="D58" s="124">
        <f>SUMIF(D25:D54,"",P25:P54)+D57</f>
        <v>842986.75</v>
      </c>
      <c r="E58" s="125"/>
      <c r="F58" s="123"/>
      <c r="G58" s="123"/>
      <c r="H58" s="126"/>
      <c r="I58" s="238"/>
      <c r="J58" s="126"/>
      <c r="L58" s="128"/>
      <c r="M58" s="125"/>
      <c r="N58" s="128"/>
      <c r="O58" s="128"/>
      <c r="P58" s="128"/>
      <c r="Q58" s="129"/>
    </row>
    <row r="59" spans="1:30">
      <c r="D59" s="130"/>
    </row>
    <row r="60" spans="1:30">
      <c r="D60" s="130"/>
    </row>
    <row r="61" spans="1:30">
      <c r="D61" s="132"/>
    </row>
    <row r="62" spans="1:30">
      <c r="D62" s="13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258" priority="1807" operator="lessThan">
      <formula>0</formula>
    </cfRule>
    <cfRule type="cellIs" dxfId="257" priority="1808" operator="greaterThan">
      <formula>0</formula>
    </cfRule>
  </conditionalFormatting>
  <conditionalFormatting sqref="J25:J56">
    <cfRule type="cellIs" dxfId="256" priority="30" operator="lessThan">
      <formula>$I$12</formula>
    </cfRule>
    <cfRule type="cellIs" dxfId="255" priority="31" operator="greaterThan">
      <formula>$I$12</formula>
    </cfRule>
  </conditionalFormatting>
  <conditionalFormatting sqref="J36">
    <cfRule type="cellIs" dxfId="254" priority="1854" operator="lessThan">
      <formula>$I$12</formula>
    </cfRule>
  </conditionalFormatting>
  <conditionalFormatting sqref="J39:J40">
    <cfRule type="cellIs" dxfId="253" priority="1826" operator="lessThan">
      <formula>$I$12</formula>
    </cfRule>
  </conditionalFormatting>
  <conditionalFormatting sqref="J51:J53">
    <cfRule type="cellIs" dxfId="252" priority="1853" operator="lessThan">
      <formula>$I$12</formula>
    </cfRule>
  </conditionalFormatting>
  <conditionalFormatting sqref="K8">
    <cfRule type="cellIs" dxfId="251" priority="1" operator="greaterThan">
      <formula>$K$17</formula>
    </cfRule>
    <cfRule type="cellIs" dxfId="250" priority="2" operator="lessThan">
      <formula>$K$17</formula>
    </cfRule>
  </conditionalFormatting>
  <conditionalFormatting sqref="K10:K12 K15">
    <cfRule type="cellIs" dxfId="249" priority="1805" operator="lessThan">
      <formula>1</formula>
    </cfRule>
    <cfRule type="cellIs" dxfId="248" priority="1806" operator="greaterThan">
      <formula>1</formula>
    </cfRule>
  </conditionalFormatting>
  <conditionalFormatting sqref="K13">
    <cfRule type="cellIs" dxfId="247" priority="1455" operator="lessThan">
      <formula>$K$14</formula>
    </cfRule>
    <cfRule type="cellIs" dxfId="246" priority="1456" operator="greaterThan">
      <formula>$K$14</formula>
    </cfRule>
  </conditionalFormatting>
  <conditionalFormatting sqref="M8:M15">
    <cfRule type="cellIs" dxfId="245" priority="1804" operator="greaterThan">
      <formula>1</formula>
    </cfRule>
    <cfRule type="cellIs" dxfId="244" priority="1823" operator="lessThan">
      <formula>1</formula>
    </cfRule>
  </conditionalFormatting>
  <conditionalFormatting sqref="N25:N38">
    <cfRule type="cellIs" dxfId="243" priority="27" operator="between">
      <formula>0.2</formula>
      <formula>0.25</formula>
    </cfRule>
    <cfRule type="cellIs" dxfId="242" priority="28" operator="greaterThanOrEqual">
      <formula>0.25</formula>
    </cfRule>
  </conditionalFormatting>
  <conditionalFormatting sqref="N25:N56">
    <cfRule type="cellIs" dxfId="241" priority="29" operator="lessThan">
      <formula>0.2</formula>
    </cfRule>
  </conditionalFormatting>
  <conditionalFormatting sqref="N36">
    <cfRule type="cellIs" dxfId="240" priority="1858" operator="between">
      <formula>0.2</formula>
      <formula>0.25</formula>
    </cfRule>
  </conditionalFormatting>
  <conditionalFormatting sqref="N39:N40">
    <cfRule type="cellIs" dxfId="239" priority="1832" operator="between">
      <formula>0.2</formula>
      <formula>0.25</formula>
    </cfRule>
  </conditionalFormatting>
  <conditionalFormatting sqref="N39:N56">
    <cfRule type="cellIs" dxfId="238" priority="50" operator="greaterThanOrEqual">
      <formula>0.25</formula>
    </cfRule>
  </conditionalFormatting>
  <conditionalFormatting sqref="N41:N56">
    <cfRule type="cellIs" dxfId="237" priority="49" operator="between">
      <formula>0.2</formula>
      <formula>0.25</formula>
    </cfRule>
  </conditionalFormatting>
  <conditionalFormatting sqref="N51:N53">
    <cfRule type="cellIs" dxfId="236" priority="1846" operator="between">
      <formula>0.2</formula>
      <formula>0.25</formula>
    </cfRule>
  </conditionalFormatting>
  <conditionalFormatting sqref="O25:O38">
    <cfRule type="cellIs" dxfId="235" priority="21" operator="between">
      <formula>0.9001</formula>
      <formula>0.9999</formula>
    </cfRule>
    <cfRule type="cellIs" dxfId="234" priority="22" operator="lessThan">
      <formula>0.9</formula>
    </cfRule>
    <cfRule type="cellIs" dxfId="233" priority="25" operator="between">
      <formula>0.85</formula>
      <formula>1</formula>
    </cfRule>
    <cfRule type="cellIs" dxfId="232" priority="26" operator="between">
      <formula>0.01</formula>
      <formula>0.99</formula>
    </cfRule>
  </conditionalFormatting>
  <conditionalFormatting sqref="O25:O56">
    <cfRule type="cellIs" dxfId="231" priority="23" operator="greaterThan">
      <formula>1</formula>
    </cfRule>
    <cfRule type="cellIs" dxfId="230" priority="24" operator="greaterThan">
      <formula>100</formula>
    </cfRule>
  </conditionalFormatting>
  <conditionalFormatting sqref="O36">
    <cfRule type="cellIs" dxfId="229" priority="1860" operator="between">
      <formula>0.85</formula>
      <formula>1</formula>
    </cfRule>
    <cfRule type="cellIs" dxfId="228" priority="1865" operator="lessThan">
      <formula>0.9</formula>
    </cfRule>
    <cfRule type="cellIs" dxfId="227" priority="1866" operator="between">
      <formula>0.9001</formula>
      <formula>0.9999</formula>
    </cfRule>
  </conditionalFormatting>
  <conditionalFormatting sqref="O39:O40">
    <cfRule type="cellIs" dxfId="226" priority="1836" operator="between">
      <formula>0.85</formula>
      <formula>1</formula>
    </cfRule>
    <cfRule type="cellIs" dxfId="225" priority="1842" operator="lessThan">
      <formula>0.9</formula>
    </cfRule>
    <cfRule type="cellIs" dxfId="224" priority="1844" operator="between">
      <formula>0.9001</formula>
      <formula>0.9999</formula>
    </cfRule>
  </conditionalFormatting>
  <conditionalFormatting sqref="O39:O56">
    <cfRule type="cellIs" dxfId="223" priority="48" operator="between">
      <formula>0.01</formula>
      <formula>0.99</formula>
    </cfRule>
  </conditionalFormatting>
  <conditionalFormatting sqref="O41:O56">
    <cfRule type="cellIs" dxfId="222" priority="43" operator="between">
      <formula>0.9001</formula>
      <formula>0.9999</formula>
    </cfRule>
    <cfRule type="cellIs" dxfId="221" priority="44" operator="lessThan">
      <formula>0.9</formula>
    </cfRule>
    <cfRule type="cellIs" dxfId="220" priority="47" operator="between">
      <formula>0.85</formula>
      <formula>1</formula>
    </cfRule>
  </conditionalFormatting>
  <conditionalFormatting sqref="O51:O53">
    <cfRule type="cellIs" dxfId="219" priority="1848" operator="between">
      <formula>0.85</formula>
      <formula>1</formula>
    </cfRule>
    <cfRule type="cellIs" dxfId="218" priority="1849" operator="lessThan">
      <formula>0.9</formula>
    </cfRule>
    <cfRule type="cellIs" dxfId="217" priority="1850" operator="between">
      <formula>0.9001</formula>
      <formula>0.9999</formula>
    </cfRule>
  </conditionalFormatting>
  <conditionalFormatting sqref="P10:Q10">
    <cfRule type="cellIs" dxfId="216" priority="1819" operator="lessThan">
      <formula>0</formula>
    </cfRule>
  </conditionalFormatting>
  <conditionalFormatting sqref="T13">
    <cfRule type="cellIs" dxfId="215" priority="12" operator="between">
      <formula>0.9</formula>
      <formula>0.95</formula>
    </cfRule>
    <cfRule type="cellIs" dxfId="214" priority="13" operator="lessThan">
      <formula>0.9</formula>
    </cfRule>
    <cfRule type="cellIs" dxfId="213" priority="14" operator="greaterThan">
      <formula>0.95</formula>
    </cfRule>
  </conditionalFormatting>
  <conditionalFormatting sqref="T19">
    <cfRule type="cellIs" dxfId="212" priority="3" operator="between">
      <formula>0.9</formula>
      <formula>0.95</formula>
    </cfRule>
    <cfRule type="cellIs" dxfId="211" priority="4" operator="lessThan">
      <formula>0.9</formula>
    </cfRule>
    <cfRule type="cellIs" dxfId="210" priority="5" operator="greaterThan">
      <formula>0.95</formula>
    </cfRule>
  </conditionalFormatting>
  <conditionalFormatting sqref="W13">
    <cfRule type="cellIs" dxfId="209" priority="6" operator="between">
      <formula>0.9</formula>
      <formula>0.95</formula>
    </cfRule>
    <cfRule type="cellIs" dxfId="208" priority="7" operator="lessThan">
      <formula>0.9</formula>
    </cfRule>
    <cfRule type="cellIs" dxfId="207" priority="8" operator="greaterThan">
      <formula>0.95</formula>
    </cfRule>
    <cfRule type="cellIs" dxfId="206" priority="9" operator="lessThan">
      <formula>1</formula>
    </cfRule>
    <cfRule type="cellIs" dxfId="205" priority="10" operator="greaterThan">
      <formula>1</formula>
    </cfRule>
    <cfRule type="cellIs" dxfId="204" priority="11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57"/>
  <sheetViews>
    <sheetView showZeros="0" topLeftCell="A2" zoomScale="113" workbookViewId="0">
      <pane xSplit="2" topLeftCell="C1" activePane="topRight" state="frozen"/>
      <selection activeCell="K38" sqref="K38:T38"/>
      <selection pane="topRight"/>
    </sheetView>
  </sheetViews>
  <sheetFormatPr baseColWidth="10" defaultColWidth="9.1640625" defaultRowHeight="15"/>
  <cols>
    <col min="1" max="1" width="4.1640625" style="239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578">
        <f ca="1">TODAY()-1</f>
        <v>46000</v>
      </c>
      <c r="C1" s="578"/>
      <c r="D1" s="11"/>
      <c r="E1" s="11"/>
      <c r="F1" s="12"/>
      <c r="G1" s="12"/>
      <c r="H1" s="12"/>
      <c r="I1" s="12"/>
      <c r="J1" s="204"/>
      <c r="K1" s="204"/>
      <c r="L1" s="204"/>
      <c r="M1" s="204"/>
      <c r="N1" s="204"/>
      <c r="O1" s="204"/>
      <c r="P1" s="204"/>
      <c r="Q1" s="579"/>
      <c r="R1" s="579"/>
      <c r="S1" s="579"/>
      <c r="T1" s="579"/>
      <c r="U1" s="12"/>
      <c r="V1" s="12"/>
      <c r="W1" s="12"/>
    </row>
    <row r="2" spans="2:24" ht="21.75" customHeight="1">
      <c r="B2" s="580" t="s">
        <v>0</v>
      </c>
      <c r="C2" s="580"/>
      <c r="D2" s="11"/>
      <c r="E2" s="11"/>
      <c r="F2" s="12"/>
      <c r="G2" s="12"/>
      <c r="H2" s="12"/>
      <c r="I2" s="12"/>
      <c r="J2" s="581" t="s">
        <v>68</v>
      </c>
      <c r="K2" s="581"/>
      <c r="L2" s="581"/>
      <c r="M2" s="581"/>
      <c r="N2" s="581"/>
      <c r="O2" s="581"/>
      <c r="P2" s="581"/>
      <c r="Q2" s="579"/>
      <c r="R2" s="579"/>
      <c r="S2" s="579"/>
      <c r="T2" s="579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2" t="str">
        <f>График!B28</f>
        <v>Уразгильдеева Екатерина</v>
      </c>
      <c r="K3" s="583"/>
      <c r="L3" s="583"/>
      <c r="M3" s="583"/>
      <c r="N3" s="584"/>
      <c r="O3" s="204"/>
      <c r="P3" s="205"/>
      <c r="Q3" s="579"/>
      <c r="R3" s="579"/>
      <c r="S3" s="579"/>
      <c r="T3" s="579"/>
      <c r="U3" s="12"/>
      <c r="V3" s="12"/>
      <c r="W3" s="12"/>
    </row>
    <row r="4" spans="2:24" ht="15" customHeight="1">
      <c r="B4" s="11"/>
      <c r="C4" s="588">
        <f>I8-D50</f>
        <v>470227.08333333337</v>
      </c>
      <c r="D4" s="589"/>
      <c r="E4" s="206">
        <f>IF(I8&lt;&gt;0, C4/I8, 0)</f>
        <v>1</v>
      </c>
      <c r="F4" s="12"/>
      <c r="G4" s="12"/>
      <c r="H4" s="12"/>
      <c r="I4" s="12"/>
      <c r="J4" s="585"/>
      <c r="K4" s="586"/>
      <c r="L4" s="586"/>
      <c r="M4" s="586"/>
      <c r="N4" s="587"/>
      <c r="O4" s="12"/>
      <c r="P4" s="12"/>
      <c r="Q4" s="579"/>
      <c r="R4" s="579"/>
      <c r="S4" s="579"/>
      <c r="T4" s="579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590"/>
      <c r="K5" s="590"/>
      <c r="L5" s="590"/>
      <c r="M5" s="590"/>
      <c r="N5" s="590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0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07"/>
      <c r="C7" s="12"/>
      <c r="D7" s="12"/>
      <c r="E7" s="12"/>
      <c r="F7" s="505" t="s">
        <v>3</v>
      </c>
      <c r="G7" s="506"/>
      <c r="H7" s="50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08" t="s">
        <v>11</v>
      </c>
      <c r="Q7" s="509"/>
      <c r="R7" s="21"/>
      <c r="S7" s="21"/>
      <c r="T7" s="12"/>
      <c r="U7" s="12"/>
      <c r="V7" s="12"/>
      <c r="W7" s="12"/>
    </row>
    <row r="8" spans="2:24" ht="15.75" customHeight="1">
      <c r="B8" s="207"/>
      <c r="C8" s="12"/>
      <c r="D8" s="12"/>
      <c r="E8" s="240"/>
      <c r="F8" s="510" t="s">
        <v>12</v>
      </c>
      <c r="G8" s="511"/>
      <c r="H8" s="512"/>
      <c r="I8" s="208">
        <f>'Ялта, Ленина, 18'!I8/График!AJ31*График!AJ28</f>
        <v>470227.08333333337</v>
      </c>
      <c r="J8" s="209">
        <f>D57</f>
        <v>263849</v>
      </c>
      <c r="K8" s="30">
        <f>IF(AND(I8&lt;&gt;"",I8&lt;&gt;0,J8&lt;&gt;""),J8/I8,"")</f>
        <v>0.56110974750674536</v>
      </c>
      <c r="L8" s="210">
        <f>IF(SUMIF($D$25:$D$56,"&gt;=0",$P$25:$P$56)&lt;&gt;0,I8*D57/SUMIF($D$25:$D$56,"&gt;=0",$P$25:$P$56),0)</f>
        <v>343003.6999999999</v>
      </c>
      <c r="M8" s="241">
        <f t="shared" ref="M8:M9" si="0">IF(AND(I8&lt;&gt;"",I8&lt;&gt;0,L8&lt;&gt;"",L8&lt;&gt;0),L8/I8,"")</f>
        <v>0.72944267175876876</v>
      </c>
      <c r="N8" s="35">
        <f t="shared" ref="N8:N9" si="1">IF(AND(J8&lt;&gt;0,J8&lt;&gt;"",I8&lt;&gt;0,I8&lt;&gt;""),L8-I8,"")</f>
        <v>-127223.38333333348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1"/>
      <c r="S8" s="37"/>
      <c r="T8" s="12"/>
      <c r="U8" s="12"/>
      <c r="V8" s="12"/>
      <c r="W8" s="12"/>
    </row>
    <row r="9" spans="2:24" ht="15.75" customHeight="1">
      <c r="B9" s="207"/>
      <c r="C9" s="12"/>
      <c r="D9" s="12"/>
      <c r="E9" s="12"/>
      <c r="F9" s="513" t="s">
        <v>13</v>
      </c>
      <c r="G9" s="514"/>
      <c r="H9" s="515"/>
      <c r="I9" s="38">
        <f>I8/I11</f>
        <v>72.342628205128207</v>
      </c>
      <c r="J9" s="242">
        <f>E57</f>
        <v>37</v>
      </c>
      <c r="K9" s="40">
        <f>IF(AND(I9&lt;&gt;"", I9&lt;&gt;0, J9&lt;&gt;""), J9/I9, "")</f>
        <v>0.51145501508579627</v>
      </c>
      <c r="L9" s="243">
        <f>IF(SUMIF($E$25:$E$54,"&gt;=0",$Q$25:$Q$54)&lt;&gt;0,I9*E57/SUMIF($E$25:$E$54,"&gt;=0",$Q$25:$Q$54),0)</f>
        <v>48.099999999999987</v>
      </c>
      <c r="M9" s="244">
        <f t="shared" si="0"/>
        <v>0.66489151961153503</v>
      </c>
      <c r="N9" s="43">
        <f t="shared" si="1"/>
        <v>-24.24262820512822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4" ht="15.75" customHeight="1">
      <c r="B10" s="207"/>
      <c r="C10" s="12"/>
      <c r="D10" s="12"/>
      <c r="E10" s="12"/>
      <c r="F10" s="510" t="s">
        <v>14</v>
      </c>
      <c r="G10" s="511"/>
      <c r="H10" s="512"/>
      <c r="I10" s="50">
        <f>I11*I12</f>
        <v>11050</v>
      </c>
      <c r="J10" s="214">
        <f>H57</f>
        <v>11993.136363636364</v>
      </c>
      <c r="K10" s="47">
        <f t="shared" ref="K10:K19" si="4">IF(AND(I10&lt;&gt;"", I10&lt;&gt;0, J10&lt;&gt;""), J10/I10, "")</f>
        <v>1.0853517071164129</v>
      </c>
      <c r="L10" s="212">
        <f>J10</f>
        <v>11993.136363636364</v>
      </c>
      <c r="M10" s="245">
        <f t="shared" ref="M10:M20" si="5">IF(AND(I10&lt;&gt;"",I10&lt;&gt;0,L10&lt;&gt;"",L10&lt;&gt;0),L10/I10,"")</f>
        <v>1.0853517071164129</v>
      </c>
      <c r="N10" s="49">
        <f t="shared" ref="N10:N20" si="6">IF(AND(J10&lt;&gt;0,J10&lt;&gt;"",I10&lt;&gt;0,I10&lt;&gt;""),L10-I10,"")</f>
        <v>943.13636363636397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1"/>
      <c r="S10" s="520" t="s">
        <v>36</v>
      </c>
      <c r="T10" s="520"/>
      <c r="U10" s="12"/>
      <c r="V10" s="520" t="str">
        <f>M23</f>
        <v>Agafi</v>
      </c>
      <c r="W10" s="520"/>
    </row>
    <row r="11" spans="2:24" ht="15.75" customHeight="1">
      <c r="B11" s="207"/>
      <c r="C11" s="12"/>
      <c r="D11" s="12"/>
      <c r="E11" s="12"/>
      <c r="F11" s="513" t="s">
        <v>15</v>
      </c>
      <c r="G11" s="514"/>
      <c r="H11" s="515"/>
      <c r="I11" s="52">
        <f>'Ялта, Ленина, 18'!I11</f>
        <v>6500</v>
      </c>
      <c r="J11" s="242">
        <f>F57</f>
        <v>7131.0540540540542</v>
      </c>
      <c r="K11" s="40">
        <f t="shared" si="4"/>
        <v>1.097085239085239</v>
      </c>
      <c r="L11" s="243">
        <f>IF(L9&gt;0,L8/L9,"")</f>
        <v>7131.0540540540542</v>
      </c>
      <c r="M11" s="244">
        <f t="shared" si="5"/>
        <v>1.097085239085239</v>
      </c>
      <c r="N11" s="43">
        <f t="shared" si="6"/>
        <v>631.05405405405418</v>
      </c>
      <c r="O11" s="53"/>
      <c r="P11" s="43" t="str">
        <f t="shared" si="7"/>
        <v/>
      </c>
      <c r="Q11" s="45" t="str">
        <f t="shared" si="8"/>
        <v/>
      </c>
      <c r="R11" s="21"/>
      <c r="S11" s="520"/>
      <c r="T11" s="520"/>
      <c r="U11" s="12"/>
      <c r="V11" s="520"/>
      <c r="W11" s="520"/>
    </row>
    <row r="12" spans="2:24" ht="15.75" customHeight="1">
      <c r="B12" s="207"/>
      <c r="C12" s="12"/>
      <c r="D12" s="12"/>
      <c r="E12" s="12"/>
      <c r="F12" s="513" t="s">
        <v>16</v>
      </c>
      <c r="G12" s="514"/>
      <c r="H12" s="515"/>
      <c r="I12" s="54">
        <f>'Ялта, Ленина, 18'!I12</f>
        <v>1.7</v>
      </c>
      <c r="J12" s="55">
        <f>J57</f>
        <v>1.6818181818181819</v>
      </c>
      <c r="K12" s="40">
        <f t="shared" si="4"/>
        <v>0.98930481283422467</v>
      </c>
      <c r="L12" s="218">
        <f>J12</f>
        <v>1.6818181818181819</v>
      </c>
      <c r="M12" s="246">
        <f t="shared" si="5"/>
        <v>0.98930481283422467</v>
      </c>
      <c r="N12" s="57">
        <f t="shared" si="6"/>
        <v>-1.8181818181818077E-2</v>
      </c>
      <c r="O12" s="58"/>
      <c r="P12" s="43" t="str">
        <f t="shared" si="7"/>
        <v/>
      </c>
      <c r="Q12" s="45" t="str">
        <f t="shared" si="8"/>
        <v/>
      </c>
      <c r="R12" s="21"/>
      <c r="S12" s="59">
        <f>'Ялта, Ленина, 18'!S12*График!AJ28/График!AJ31</f>
        <v>116057.69230769231</v>
      </c>
      <c r="T12" s="60">
        <f>L57</f>
        <v>0</v>
      </c>
      <c r="U12" s="247">
        <f>S12-T12</f>
        <v>116057.69230769231</v>
      </c>
      <c r="V12" s="59">
        <f>'Ялта, Ленина, 18'!V12/График!AJ31*График!AJ28</f>
        <v>109230.76923076923</v>
      </c>
      <c r="W12" s="60">
        <f>M57</f>
        <v>0</v>
      </c>
      <c r="X12" s="248">
        <f>V12-W12</f>
        <v>109230.76923076923</v>
      </c>
    </row>
    <row r="13" spans="2:24" ht="15.75" customHeight="1">
      <c r="B13" s="207"/>
      <c r="C13" s="12"/>
      <c r="D13" s="12"/>
      <c r="E13" s="12"/>
      <c r="F13" s="513" t="s">
        <v>17</v>
      </c>
      <c r="G13" s="514"/>
      <c r="H13" s="515"/>
      <c r="I13" s="38">
        <f>IF(I12&lt;&gt;0, I9/I12, "")</f>
        <v>42.554487179487182</v>
      </c>
      <c r="J13" s="242">
        <f>G57</f>
        <v>22</v>
      </c>
      <c r="K13" s="40">
        <f t="shared" si="4"/>
        <v>0.51698425849212926</v>
      </c>
      <c r="L13" s="243">
        <f>IF(SUMIF($G$25:$G$54,"&gt;=0",$R$25:$R$54)&lt;&gt;0,I13*G57/SUMIF($G$25:$G$54,"&gt;=0",$R$25:$R$54),"")</f>
        <v>28.599999999999994</v>
      </c>
      <c r="M13" s="244">
        <f t="shared" si="5"/>
        <v>0.67207953603976789</v>
      </c>
      <c r="N13" s="57">
        <f t="shared" si="6"/>
        <v>-13.954487179487188</v>
      </c>
      <c r="O13" s="61"/>
      <c r="P13" s="43" t="str">
        <f t="shared" si="7"/>
        <v/>
      </c>
      <c r="Q13" s="45" t="str">
        <f t="shared" si="8"/>
        <v/>
      </c>
      <c r="R13" s="21"/>
      <c r="S13" s="62">
        <f>T12/S12</f>
        <v>0</v>
      </c>
      <c r="T13" s="62">
        <f>S13/J14*I14</f>
        <v>0</v>
      </c>
      <c r="U13" s="12"/>
      <c r="V13" s="62">
        <f>W12/V12</f>
        <v>0</v>
      </c>
      <c r="W13" s="62">
        <f>V13/J14*I14</f>
        <v>0</v>
      </c>
    </row>
    <row r="14" spans="2:24" ht="15.75" customHeight="1">
      <c r="B14" s="207"/>
      <c r="C14" s="12"/>
      <c r="D14" s="12"/>
      <c r="E14" s="12"/>
      <c r="F14" s="513" t="s">
        <v>65</v>
      </c>
      <c r="G14" s="514"/>
      <c r="H14" s="515"/>
      <c r="I14" s="52">
        <f>График!AI28</f>
        <v>13</v>
      </c>
      <c r="J14" s="64">
        <v>13</v>
      </c>
      <c r="K14" s="40">
        <f t="shared" si="4"/>
        <v>1</v>
      </c>
      <c r="L14" s="41">
        <f>I14</f>
        <v>13</v>
      </c>
      <c r="M14" s="246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1"/>
      <c r="S14" s="65"/>
      <c r="T14" s="6"/>
      <c r="U14" s="12"/>
      <c r="V14" s="12"/>
      <c r="W14" s="12"/>
    </row>
    <row r="15" spans="2:24" ht="15.75" customHeight="1">
      <c r="B15" s="207"/>
      <c r="C15" s="12"/>
      <c r="D15" s="12"/>
      <c r="E15" s="12"/>
      <c r="F15" s="513" t="s">
        <v>19</v>
      </c>
      <c r="G15" s="514"/>
      <c r="H15" s="515"/>
      <c r="I15" s="75">
        <f>'Ялта, Ленина, 18'!I15</f>
        <v>68878.333333333328</v>
      </c>
      <c r="J15" s="242">
        <f>J8/J14</f>
        <v>20296.076923076922</v>
      </c>
      <c r="K15" s="68">
        <f t="shared" si="4"/>
        <v>0.29466562184156009</v>
      </c>
      <c r="L15" s="243">
        <f t="shared" ref="L15:L16" si="9">J15</f>
        <v>20296.076923076922</v>
      </c>
      <c r="M15" s="244">
        <f t="shared" si="5"/>
        <v>0.29466562184156009</v>
      </c>
      <c r="N15" s="43">
        <f t="shared" si="6"/>
        <v>-48582.256410256407</v>
      </c>
      <c r="O15" s="71"/>
      <c r="P15" s="43" t="str">
        <f t="shared" si="7"/>
        <v/>
      </c>
      <c r="Q15" s="45" t="str">
        <f t="shared" si="8"/>
        <v/>
      </c>
      <c r="R15" s="21"/>
      <c r="S15" s="37"/>
      <c r="T15" s="6"/>
      <c r="U15" s="12"/>
      <c r="V15" s="12"/>
      <c r="W15" s="12"/>
    </row>
    <row r="16" spans="2:24" ht="15.75" customHeight="1">
      <c r="B16" s="207"/>
      <c r="C16" s="12"/>
      <c r="D16" s="12"/>
      <c r="E16" s="12"/>
      <c r="F16" s="513" t="s">
        <v>20</v>
      </c>
      <c r="G16" s="514"/>
      <c r="H16" s="515"/>
      <c r="I16" s="75"/>
      <c r="J16" s="39">
        <f>J8-I15*J14</f>
        <v>-631569.33333333326</v>
      </c>
      <c r="K16" s="68" t="str">
        <f t="shared" si="4"/>
        <v/>
      </c>
      <c r="L16" s="212">
        <f t="shared" si="9"/>
        <v>-631569.33333333326</v>
      </c>
      <c r="M16" s="249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1"/>
      <c r="S16" s="520" t="s">
        <v>35</v>
      </c>
      <c r="T16" s="520"/>
      <c r="U16" s="12"/>
      <c r="V16" s="12"/>
      <c r="W16" s="12"/>
    </row>
    <row r="17" spans="1:33" ht="15.75" customHeight="1">
      <c r="B17" s="207"/>
      <c r="C17" s="12"/>
      <c r="D17" s="219"/>
      <c r="E17" s="12"/>
      <c r="F17" s="513" t="s">
        <v>21</v>
      </c>
      <c r="G17" s="514"/>
      <c r="H17" s="515"/>
      <c r="I17" s="75">
        <f>'Ялта, Ленина, 18'!I17/График!AJ31*График!AJ28</f>
        <v>386.85897435897436</v>
      </c>
      <c r="J17" s="242">
        <f>I57</f>
        <v>237</v>
      </c>
      <c r="K17" s="68">
        <f t="shared" si="4"/>
        <v>0.61262634631317314</v>
      </c>
      <c r="L17" s="243">
        <f>J17/J14*I14</f>
        <v>237</v>
      </c>
      <c r="M17" s="250">
        <f t="shared" si="5"/>
        <v>0.61262634631317314</v>
      </c>
      <c r="N17" s="43">
        <f t="shared" si="6"/>
        <v>-149.85897435897436</v>
      </c>
      <c r="O17" s="71"/>
      <c r="P17" s="43" t="str">
        <f t="shared" si="7"/>
        <v/>
      </c>
      <c r="Q17" s="45" t="str">
        <f t="shared" si="8"/>
        <v/>
      </c>
      <c r="R17" s="21"/>
      <c r="S17" s="520"/>
      <c r="T17" s="520"/>
      <c r="U17" s="12"/>
      <c r="V17" s="12"/>
      <c r="W17" s="12"/>
    </row>
    <row r="18" spans="1:33" ht="15.75" customHeight="1">
      <c r="B18" s="207"/>
      <c r="C18" s="12"/>
      <c r="D18" s="12"/>
      <c r="E18" s="12"/>
      <c r="F18" s="513"/>
      <c r="G18" s="514"/>
      <c r="H18" s="515"/>
      <c r="I18" s="76"/>
      <c r="J18" s="39"/>
      <c r="K18" s="68" t="str">
        <f t="shared" si="4"/>
        <v/>
      </c>
      <c r="L18" s="212">
        <f t="shared" ref="L18:L19" si="10">J18</f>
        <v>0</v>
      </c>
      <c r="M18" s="249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1"/>
      <c r="S18" s="59">
        <f>'Ялта, Ленина, 18'!S18*График!AJ28/График!AJ31</f>
        <v>232115.38461538462</v>
      </c>
      <c r="T18" s="60">
        <f>K57</f>
        <v>91284</v>
      </c>
      <c r="U18" s="12"/>
      <c r="V18" s="12"/>
      <c r="W18" s="12"/>
    </row>
    <row r="19" spans="1:33" ht="15.75" customHeight="1">
      <c r="B19" s="207"/>
      <c r="C19" s="12"/>
      <c r="D19" s="12"/>
      <c r="E19" s="12"/>
      <c r="F19" s="513"/>
      <c r="G19" s="514"/>
      <c r="H19" s="515"/>
      <c r="I19" s="76"/>
      <c r="J19" s="242"/>
      <c r="K19" s="68" t="str">
        <f t="shared" si="4"/>
        <v/>
      </c>
      <c r="L19" s="243">
        <f t="shared" si="10"/>
        <v>0</v>
      </c>
      <c r="M19" s="250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1"/>
      <c r="S19" s="62">
        <f>T18/S18</f>
        <v>0.3932699254349627</v>
      </c>
      <c r="T19" s="62">
        <f>S19/J14*I14</f>
        <v>0.3932699254349627</v>
      </c>
      <c r="U19" s="12"/>
      <c r="V19" s="12"/>
      <c r="W19" s="12"/>
    </row>
    <row r="20" spans="1:33" ht="15.75" customHeight="1">
      <c r="B20" s="207"/>
      <c r="C20" s="12"/>
      <c r="D20" s="12"/>
      <c r="E20" s="12"/>
      <c r="F20" s="521" t="s">
        <v>22</v>
      </c>
      <c r="G20" s="521"/>
      <c r="H20" s="521"/>
      <c r="I20" s="222">
        <f>'Ялта, Ленина, 18'!I20</f>
        <v>0.11</v>
      </c>
      <c r="J20" s="223">
        <f>N57</f>
        <v>9.2827004219409287E-2</v>
      </c>
      <c r="K20" s="224">
        <f>J20/I20</f>
        <v>0.84388185654008441</v>
      </c>
      <c r="L20" s="225">
        <f>IF(AND(K8&lt;&gt;0,I14&lt;&gt;0,I57&lt;&gt;0),(I57*N57+(I57/K8-I57)*I20)/(I57/K8),0)</f>
        <v>0.10036406467361834</v>
      </c>
      <c r="M20" s="225">
        <f t="shared" si="5"/>
        <v>0.91240058794198498</v>
      </c>
      <c r="N20" s="85">
        <f t="shared" si="6"/>
        <v>-9.6359353263816561E-3</v>
      </c>
      <c r="O20" s="86"/>
      <c r="P20" s="87" t="str">
        <f t="shared" si="7"/>
        <v/>
      </c>
      <c r="Q20" s="88" t="str">
        <f t="shared" si="8"/>
        <v/>
      </c>
      <c r="R20" s="21"/>
      <c r="S20" s="21"/>
      <c r="T20" s="12"/>
      <c r="U20" s="12"/>
      <c r="V20" s="12"/>
      <c r="W20" s="12"/>
    </row>
    <row r="21" spans="1:33" ht="15.75" customHeight="1">
      <c r="B21" s="20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597" t="s">
        <v>23</v>
      </c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8" t="s">
        <v>24</v>
      </c>
      <c r="P22" s="597" t="s">
        <v>25</v>
      </c>
      <c r="Q22" s="597"/>
      <c r="R22" s="597"/>
      <c r="S22" s="597"/>
      <c r="T22" s="597"/>
      <c r="U22" s="597"/>
      <c r="V22" s="597"/>
      <c r="W22" s="597"/>
    </row>
    <row r="23" spans="1:33" ht="36">
      <c r="B23" s="226" t="s">
        <v>27</v>
      </c>
      <c r="C23" s="226" t="s">
        <v>28</v>
      </c>
      <c r="D23" s="226" t="s">
        <v>29</v>
      </c>
      <c r="E23" s="226" t="s">
        <v>30</v>
      </c>
      <c r="F23" s="226" t="s">
        <v>31</v>
      </c>
      <c r="G23" s="226" t="s">
        <v>32</v>
      </c>
      <c r="H23" s="226" t="s">
        <v>33</v>
      </c>
      <c r="I23" s="226" t="s">
        <v>21</v>
      </c>
      <c r="J23" s="226" t="s">
        <v>34</v>
      </c>
      <c r="K23" s="91" t="s">
        <v>35</v>
      </c>
      <c r="L23" s="91" t="s">
        <v>36</v>
      </c>
      <c r="M23" s="91" t="s">
        <v>37</v>
      </c>
      <c r="N23" s="226" t="s">
        <v>38</v>
      </c>
      <c r="O23" s="598"/>
      <c r="P23" s="226" t="s">
        <v>39</v>
      </c>
      <c r="Q23" s="226" t="s">
        <v>40</v>
      </c>
      <c r="R23" s="226" t="s">
        <v>41</v>
      </c>
      <c r="S23" s="226" t="s">
        <v>42</v>
      </c>
      <c r="T23" s="226" t="s">
        <v>43</v>
      </c>
      <c r="U23" s="226" t="s">
        <v>44</v>
      </c>
      <c r="V23" s="227" t="s">
        <v>45</v>
      </c>
      <c r="W23" s="227" t="s">
        <v>46</v>
      </c>
      <c r="X23" s="132"/>
    </row>
    <row r="24" spans="1:33">
      <c r="B24" s="228">
        <v>1</v>
      </c>
      <c r="C24" s="228">
        <v>2</v>
      </c>
      <c r="D24" s="228">
        <v>3</v>
      </c>
      <c r="E24" s="228" t="s">
        <v>69</v>
      </c>
      <c r="F24" s="228">
        <v>5</v>
      </c>
      <c r="G24" s="228">
        <v>6</v>
      </c>
      <c r="H24" s="228">
        <v>7</v>
      </c>
      <c r="I24" s="228">
        <v>8</v>
      </c>
      <c r="J24" s="228">
        <v>9</v>
      </c>
      <c r="K24" s="228">
        <v>10</v>
      </c>
      <c r="L24" s="228">
        <v>11</v>
      </c>
      <c r="M24" s="228">
        <v>12</v>
      </c>
      <c r="N24" s="228">
        <v>13</v>
      </c>
      <c r="O24" s="598"/>
      <c r="P24" s="230">
        <v>1</v>
      </c>
      <c r="Q24" s="230">
        <v>2</v>
      </c>
      <c r="R24" s="230">
        <v>3</v>
      </c>
      <c r="S24" s="230">
        <v>4</v>
      </c>
      <c r="T24" s="230">
        <v>5</v>
      </c>
      <c r="U24" s="230">
        <v>6</v>
      </c>
      <c r="V24" s="230">
        <v>10</v>
      </c>
      <c r="W24" s="230">
        <v>11</v>
      </c>
    </row>
    <row r="25" spans="1:33">
      <c r="A25" s="96">
        <v>1</v>
      </c>
      <c r="B25" s="97">
        <v>45962</v>
      </c>
      <c r="C25" s="98" t="s">
        <v>48</v>
      </c>
      <c r="D25" s="99">
        <v>12384</v>
      </c>
      <c r="E25" s="100">
        <v>2</v>
      </c>
      <c r="F25" s="100">
        <f t="shared" ref="F25:F57" si="11">IF(AND(E25&lt;&gt;"",E25&lt;&gt;0),D25/E25,"")</f>
        <v>6192</v>
      </c>
      <c r="G25" s="100">
        <v>2</v>
      </c>
      <c r="H25" s="100">
        <f t="shared" ref="H25:H57" si="12">IF(AND(G25&lt;&gt;"",G25&lt;&gt;0),D25/G25,"")</f>
        <v>6192</v>
      </c>
      <c r="I25" s="100">
        <v>20</v>
      </c>
      <c r="J25" s="99">
        <f t="shared" ref="J25:J57" si="13">IF(AND(G25&lt;&gt;"",G25&lt;&gt;0),E25/G25,"")</f>
        <v>1</v>
      </c>
      <c r="K25" s="100"/>
      <c r="L25" s="100"/>
      <c r="M25" s="100"/>
      <c r="N25" s="101">
        <f t="shared" ref="N25:N57" si="14">IF(AND(I25&lt;&gt;"",I25&lt;&gt;0),G25/I25,"")</f>
        <v>0.1</v>
      </c>
      <c r="O25" s="102">
        <f t="shared" ref="O25:O57" si="15">D25/P25</f>
        <v>0.34237075172013515</v>
      </c>
      <c r="P25" s="234">
        <f t="shared" ref="P25:P56" si="16">$I$8*V25*W25/SUMPRODUCT($W$25:$W$56,$V$25:$V$56)</f>
        <v>36171.314102564109</v>
      </c>
      <c r="Q25" s="104">
        <f>$I$9*V25*W25/SUMPRODUCT($W$25:$W$56,$V$25:$V$56)</f>
        <v>5.5648175542406317</v>
      </c>
      <c r="R25" s="233">
        <f t="shared" ref="R25:R56" si="17">IF($I$12="","",Q25/$I$12)</f>
        <v>3.2734220907297833</v>
      </c>
      <c r="S25" s="103">
        <f>IF(D25&lt;&gt;"",D25,P25)</f>
        <v>12384</v>
      </c>
      <c r="T25" s="104">
        <f>IF(E25&lt;&gt;"",E25,Q25)</f>
        <v>2</v>
      </c>
      <c r="U25" s="104">
        <f>IF(G25&lt;&gt;"",G25,R25)</f>
        <v>2</v>
      </c>
      <c r="V25" s="237">
        <v>1</v>
      </c>
      <c r="W25" s="105">
        <v>1</v>
      </c>
      <c r="X25" s="106"/>
      <c r="Y25" s="107"/>
    </row>
    <row r="26" spans="1:33">
      <c r="A26" s="96">
        <v>2</v>
      </c>
      <c r="B26" s="97">
        <v>45963</v>
      </c>
      <c r="C26" s="98" t="s">
        <v>50</v>
      </c>
      <c r="D26" s="99">
        <v>20566</v>
      </c>
      <c r="E26" s="100">
        <v>4</v>
      </c>
      <c r="F26" s="100">
        <f t="shared" si="11"/>
        <v>5141.5</v>
      </c>
      <c r="G26" s="100">
        <v>3</v>
      </c>
      <c r="H26" s="100">
        <f t="shared" si="12"/>
        <v>6855.333333333333</v>
      </c>
      <c r="I26" s="100">
        <v>50</v>
      </c>
      <c r="J26" s="99">
        <f t="shared" si="13"/>
        <v>1.3333333333333333</v>
      </c>
      <c r="K26" s="100"/>
      <c r="L26" s="100"/>
      <c r="M26" s="100"/>
      <c r="N26" s="101">
        <f t="shared" si="14"/>
        <v>0.06</v>
      </c>
      <c r="O26" s="102">
        <f t="shared" si="15"/>
        <v>0.56857209947321541</v>
      </c>
      <c r="P26" s="103">
        <f t="shared" si="16"/>
        <v>36171.314102564109</v>
      </c>
      <c r="Q26" s="233">
        <f t="shared" ref="Q26:Q56" si="18">$I$9*V26*W26/SUMPRODUCT($W$25:$W$58,$V$25:$V$58)</f>
        <v>5.5648175542406317</v>
      </c>
      <c r="R26" s="104">
        <f t="shared" si="17"/>
        <v>3.2734220907297833</v>
      </c>
      <c r="S26" s="234">
        <f>IF(W26&lt;&gt;"",IF(D26&lt;&gt;"",D26,($I$8-SUM($S$25:S25))*V26*W26/SUMPRODUCT($W26:$W$56,$V26:$V$56)),"")</f>
        <v>20566</v>
      </c>
      <c r="T26" s="104">
        <f t="shared" ref="T26:T27" si="19">IF(W26&lt;&gt;"",IF(E26&lt;&gt;"",E26,($I$9-SUM($T$25:T25))*V26*W26/SUMPRODUCT($W26:$W$55,$V26:$V$55)),"")</f>
        <v>4</v>
      </c>
      <c r="U26" s="104">
        <f t="shared" ref="U26:U27" si="20">IF(W26&lt;&gt;"",IF($I$12&lt;&gt;"",IF(G26&lt;&gt;"",G26,($I$9/$I$12-SUM($U$25:U25))*V26*W26/SUMPRODUCT($W26:$W$55,$V26:$V$55)),""),"")</f>
        <v>3</v>
      </c>
      <c r="V26" s="105">
        <v>1</v>
      </c>
      <c r="W26" s="105">
        <v>1</v>
      </c>
      <c r="X26" s="108"/>
      <c r="Y26" s="107"/>
    </row>
    <row r="27" spans="1:33">
      <c r="A27" s="96">
        <v>3</v>
      </c>
      <c r="B27" s="97">
        <v>45976</v>
      </c>
      <c r="C27" s="98" t="s">
        <v>48</v>
      </c>
      <c r="D27" s="99">
        <v>7992</v>
      </c>
      <c r="E27" s="100">
        <v>1</v>
      </c>
      <c r="F27" s="100">
        <f t="shared" si="11"/>
        <v>7992</v>
      </c>
      <c r="G27" s="100">
        <v>1</v>
      </c>
      <c r="H27" s="100">
        <f t="shared" si="12"/>
        <v>7992</v>
      </c>
      <c r="I27" s="100">
        <v>15</v>
      </c>
      <c r="J27" s="99">
        <f t="shared" si="13"/>
        <v>1</v>
      </c>
      <c r="K27" s="100">
        <v>7992</v>
      </c>
      <c r="L27" s="100"/>
      <c r="M27" s="100"/>
      <c r="N27" s="101">
        <f t="shared" si="14"/>
        <v>6.6666666666666666E-2</v>
      </c>
      <c r="O27" s="102">
        <f t="shared" si="15"/>
        <v>0.22094856651706396</v>
      </c>
      <c r="P27" s="234">
        <f t="shared" si="16"/>
        <v>36171.314102564109</v>
      </c>
      <c r="Q27" s="104">
        <f t="shared" si="18"/>
        <v>5.5648175542406317</v>
      </c>
      <c r="R27" s="233">
        <f t="shared" si="17"/>
        <v>3.2734220907297833</v>
      </c>
      <c r="S27" s="103">
        <f t="shared" ref="S27:S53" si="21">IF(W27&lt;&gt;"",IF(D27&lt;&gt;"",D27,($I$8-SUM($S$25:S26))*V27*W27/SUMPRODUCT($W27:$W$58,$V27:$V$58)),"")</f>
        <v>7992</v>
      </c>
      <c r="T27" s="104">
        <f t="shared" si="19"/>
        <v>1</v>
      </c>
      <c r="U27" s="104">
        <f t="shared" si="20"/>
        <v>1</v>
      </c>
      <c r="V27" s="237">
        <v>1</v>
      </c>
      <c r="W27" s="105">
        <v>1</v>
      </c>
      <c r="X27" s="108"/>
      <c r="Y27" s="107"/>
      <c r="Z27" s="113"/>
      <c r="AA27" s="2"/>
      <c r="AB27" s="2"/>
      <c r="AC27" s="2"/>
      <c r="AD27" s="2"/>
      <c r="AE27" s="2"/>
      <c r="AF27" s="2"/>
      <c r="AG27" s="2"/>
    </row>
    <row r="28" spans="1:33">
      <c r="A28" s="96">
        <v>4</v>
      </c>
      <c r="B28" s="97">
        <v>45977</v>
      </c>
      <c r="C28" s="122" t="s">
        <v>50</v>
      </c>
      <c r="D28" s="99">
        <v>10883</v>
      </c>
      <c r="E28" s="109">
        <v>2</v>
      </c>
      <c r="F28" s="100">
        <f t="shared" si="11"/>
        <v>5441.5</v>
      </c>
      <c r="G28" s="109">
        <v>2</v>
      </c>
      <c r="H28" s="100">
        <f t="shared" si="12"/>
        <v>5441.5</v>
      </c>
      <c r="I28" s="109">
        <v>13</v>
      </c>
      <c r="J28" s="99">
        <f t="shared" si="13"/>
        <v>1</v>
      </c>
      <c r="K28" s="109"/>
      <c r="L28" s="100"/>
      <c r="M28" s="109"/>
      <c r="N28" s="101">
        <f t="shared" si="14"/>
        <v>0.15384615384615385</v>
      </c>
      <c r="O28" s="232">
        <f t="shared" si="15"/>
        <v>0.30087377995560649</v>
      </c>
      <c r="P28" s="103">
        <f t="shared" si="16"/>
        <v>36171.314102564109</v>
      </c>
      <c r="Q28" s="233">
        <f t="shared" si="18"/>
        <v>5.5648175542406317</v>
      </c>
      <c r="R28" s="104">
        <f t="shared" si="17"/>
        <v>3.2734220907297833</v>
      </c>
      <c r="S28" s="234">
        <f t="shared" si="21"/>
        <v>10883</v>
      </c>
      <c r="T28" s="104">
        <f t="shared" ref="T28:T34" si="22">IF(W28&lt;&gt;"",IF(E28&lt;&gt;"",E28,($I$9-SUM($T$25:T27))*V28*W28/SUMPRODUCT($W28:$W$58,$V28:$V$58)),"")</f>
        <v>2</v>
      </c>
      <c r="U28" s="233">
        <f t="shared" ref="U28:U53" si="23">IF(W28&lt;&gt;"",IF($I$12&lt;&gt;"",IF(G28&lt;&gt;"",G28,($I$9/$I$12-SUM($U$25:U27))*V28*W28/SUMPRODUCT($W28:$W$58,$V28:$V$58)),""),"")</f>
        <v>2</v>
      </c>
      <c r="V28" s="105">
        <v>1</v>
      </c>
      <c r="W28" s="105">
        <v>1</v>
      </c>
      <c r="X28" s="108"/>
      <c r="Y28" s="107"/>
      <c r="Z28" s="2"/>
      <c r="AA28" s="2"/>
      <c r="AB28" s="2"/>
      <c r="AC28" s="2"/>
      <c r="AD28" s="2"/>
      <c r="AE28" s="2"/>
      <c r="AF28" s="2"/>
      <c r="AG28" s="2"/>
    </row>
    <row r="29" spans="1:33">
      <c r="A29" s="96">
        <v>5</v>
      </c>
      <c r="B29" s="97">
        <v>45978</v>
      </c>
      <c r="C29" s="98" t="s">
        <v>52</v>
      </c>
      <c r="D29" s="236">
        <v>76121</v>
      </c>
      <c r="E29" s="100">
        <v>8</v>
      </c>
      <c r="F29" s="100">
        <f t="shared" si="11"/>
        <v>9515.125</v>
      </c>
      <c r="G29" s="100">
        <v>2</v>
      </c>
      <c r="H29" s="109">
        <f t="shared" si="12"/>
        <v>38060.5</v>
      </c>
      <c r="I29" s="100">
        <v>12</v>
      </c>
      <c r="J29" s="236">
        <f t="shared" si="13"/>
        <v>4</v>
      </c>
      <c r="K29" s="100">
        <v>45170</v>
      </c>
      <c r="L29" s="109"/>
      <c r="M29" s="100"/>
      <c r="N29" s="235">
        <f t="shared" si="14"/>
        <v>0.16666666666666666</v>
      </c>
      <c r="O29" s="102">
        <f t="shared" si="15"/>
        <v>2.1044576866673457</v>
      </c>
      <c r="P29" s="234">
        <f t="shared" si="16"/>
        <v>36171.314102564109</v>
      </c>
      <c r="Q29" s="104">
        <f t="shared" si="18"/>
        <v>5.5648175542406317</v>
      </c>
      <c r="R29" s="233">
        <f t="shared" si="17"/>
        <v>3.2734220907297833</v>
      </c>
      <c r="S29" s="103">
        <f t="shared" si="21"/>
        <v>76121</v>
      </c>
      <c r="T29" s="233">
        <f t="shared" si="22"/>
        <v>8</v>
      </c>
      <c r="U29" s="104">
        <f t="shared" si="23"/>
        <v>2</v>
      </c>
      <c r="V29" s="237">
        <v>1</v>
      </c>
      <c r="W29" s="105">
        <v>1</v>
      </c>
      <c r="X29" s="108"/>
      <c r="Y29" s="107"/>
      <c r="Z29" s="2"/>
      <c r="AA29" s="2"/>
      <c r="AB29" s="2"/>
      <c r="AC29" s="2"/>
      <c r="AD29" s="2"/>
      <c r="AE29" s="2"/>
      <c r="AF29" s="2"/>
      <c r="AG29" s="2"/>
    </row>
    <row r="30" spans="1:33">
      <c r="A30" s="96">
        <v>6</v>
      </c>
      <c r="B30" s="97">
        <v>45980</v>
      </c>
      <c r="C30" s="122" t="s">
        <v>55</v>
      </c>
      <c r="D30" s="99">
        <v>10383</v>
      </c>
      <c r="E30" s="100">
        <v>2</v>
      </c>
      <c r="F30" s="109">
        <f t="shared" si="11"/>
        <v>5191.5</v>
      </c>
      <c r="G30" s="100">
        <v>1</v>
      </c>
      <c r="H30" s="100">
        <f t="shared" si="12"/>
        <v>10383</v>
      </c>
      <c r="I30" s="109">
        <v>10</v>
      </c>
      <c r="J30" s="99">
        <f t="shared" si="13"/>
        <v>2</v>
      </c>
      <c r="K30" s="109"/>
      <c r="L30" s="100"/>
      <c r="M30" s="109"/>
      <c r="N30" s="101">
        <f t="shared" si="14"/>
        <v>0.1</v>
      </c>
      <c r="O30" s="232">
        <f t="shared" si="15"/>
        <v>0.2870506714397742</v>
      </c>
      <c r="P30" s="103">
        <f t="shared" si="16"/>
        <v>36171.314102564109</v>
      </c>
      <c r="Q30" s="233">
        <f t="shared" si="18"/>
        <v>5.5648175542406317</v>
      </c>
      <c r="R30" s="104">
        <f t="shared" si="17"/>
        <v>3.2734220907297833</v>
      </c>
      <c r="S30" s="234">
        <f t="shared" si="21"/>
        <v>10383</v>
      </c>
      <c r="T30" s="104">
        <f t="shared" si="22"/>
        <v>2</v>
      </c>
      <c r="U30" s="233">
        <f t="shared" si="23"/>
        <v>1</v>
      </c>
      <c r="V30" s="105">
        <v>1</v>
      </c>
      <c r="W30" s="105">
        <v>1</v>
      </c>
      <c r="X30" s="108"/>
      <c r="Y30" s="107"/>
      <c r="Z30" s="2"/>
      <c r="AA30" s="2"/>
      <c r="AB30" s="2"/>
      <c r="AC30" s="2"/>
      <c r="AD30" s="2"/>
      <c r="AE30" s="2"/>
      <c r="AF30" s="2"/>
      <c r="AG30" s="2"/>
    </row>
    <row r="31" spans="1:33">
      <c r="A31" s="96">
        <v>7</v>
      </c>
      <c r="B31" s="97">
        <v>45981</v>
      </c>
      <c r="C31" s="98" t="s">
        <v>56</v>
      </c>
      <c r="D31" s="236"/>
      <c r="E31" s="100"/>
      <c r="F31" s="100" t="str">
        <f t="shared" si="11"/>
        <v/>
      </c>
      <c r="G31" s="109"/>
      <c r="H31" s="100" t="str">
        <f t="shared" si="12"/>
        <v/>
      </c>
      <c r="I31" s="100">
        <v>10</v>
      </c>
      <c r="J31" s="236" t="str">
        <f t="shared" si="13"/>
        <v/>
      </c>
      <c r="K31" s="100"/>
      <c r="L31" s="109"/>
      <c r="M31" s="100"/>
      <c r="N31" s="235">
        <f t="shared" si="14"/>
        <v>0</v>
      </c>
      <c r="O31" s="102">
        <f t="shared" si="15"/>
        <v>0</v>
      </c>
      <c r="P31" s="234">
        <f t="shared" si="16"/>
        <v>36171.314102564109</v>
      </c>
      <c r="Q31" s="104">
        <f t="shared" si="18"/>
        <v>5.5648175542406317</v>
      </c>
      <c r="R31" s="233">
        <f t="shared" si="17"/>
        <v>3.2734220907297833</v>
      </c>
      <c r="S31" s="103">
        <f t="shared" si="21"/>
        <v>47414.011904761908</v>
      </c>
      <c r="T31" s="233">
        <f t="shared" si="22"/>
        <v>7.6203754578754586</v>
      </c>
      <c r="U31" s="104">
        <f t="shared" si="23"/>
        <v>4.5077838827838832</v>
      </c>
      <c r="V31" s="237">
        <v>1</v>
      </c>
      <c r="W31" s="105">
        <v>1</v>
      </c>
      <c r="X31" s="108"/>
      <c r="Y31" s="107"/>
      <c r="AE31" s="2"/>
      <c r="AF31" s="2"/>
      <c r="AG31" s="2"/>
    </row>
    <row r="32" spans="1:33">
      <c r="A32" s="96">
        <v>8</v>
      </c>
      <c r="B32" s="97">
        <v>45984</v>
      </c>
      <c r="C32" s="122" t="s">
        <v>50</v>
      </c>
      <c r="D32" s="99">
        <f>38122+5493+3534</f>
        <v>47149</v>
      </c>
      <c r="E32" s="109">
        <v>5</v>
      </c>
      <c r="F32" s="100">
        <f t="shared" si="11"/>
        <v>9429.7999999999993</v>
      </c>
      <c r="G32" s="100">
        <v>4</v>
      </c>
      <c r="H32" s="109">
        <f t="shared" si="12"/>
        <v>11787.25</v>
      </c>
      <c r="I32" s="100">
        <v>25</v>
      </c>
      <c r="J32" s="99">
        <f t="shared" si="13"/>
        <v>1.25</v>
      </c>
      <c r="K32" s="100">
        <v>38122</v>
      </c>
      <c r="L32" s="100"/>
      <c r="M32" s="109"/>
      <c r="N32" s="101">
        <f t="shared" si="14"/>
        <v>0.16</v>
      </c>
      <c r="O32" s="232">
        <f t="shared" si="15"/>
        <v>1.3034914868259571</v>
      </c>
      <c r="P32" s="103">
        <f t="shared" si="16"/>
        <v>36171.314102564109</v>
      </c>
      <c r="Q32" s="233">
        <f t="shared" si="18"/>
        <v>5.5648175542406317</v>
      </c>
      <c r="R32" s="104">
        <f t="shared" si="17"/>
        <v>3.2734220907297833</v>
      </c>
      <c r="S32" s="234">
        <f t="shared" si="21"/>
        <v>47149</v>
      </c>
      <c r="T32" s="104">
        <f t="shared" si="22"/>
        <v>5</v>
      </c>
      <c r="U32" s="233">
        <f t="shared" si="23"/>
        <v>4</v>
      </c>
      <c r="V32" s="105">
        <v>1</v>
      </c>
      <c r="W32" s="105">
        <v>1</v>
      </c>
      <c r="X32" s="108"/>
      <c r="Y32" s="107"/>
      <c r="AE32" s="2"/>
      <c r="AF32" s="2"/>
      <c r="AG32" s="2"/>
    </row>
    <row r="33" spans="1:255">
      <c r="A33" s="96">
        <v>9</v>
      </c>
      <c r="B33" s="97">
        <v>45985</v>
      </c>
      <c r="C33" s="98" t="s">
        <v>52</v>
      </c>
      <c r="D33" s="236">
        <v>29111</v>
      </c>
      <c r="E33" s="100">
        <v>4</v>
      </c>
      <c r="F33" s="109">
        <f t="shared" si="11"/>
        <v>7277.75</v>
      </c>
      <c r="G33" s="100">
        <v>2</v>
      </c>
      <c r="H33" s="100">
        <f t="shared" si="12"/>
        <v>14555.5</v>
      </c>
      <c r="I33" s="109">
        <v>10</v>
      </c>
      <c r="J33" s="99">
        <f t="shared" si="13"/>
        <v>2</v>
      </c>
      <c r="K33" s="100"/>
      <c r="L33" s="109"/>
      <c r="M33" s="100"/>
      <c r="N33" s="235">
        <f t="shared" si="14"/>
        <v>0.2</v>
      </c>
      <c r="O33" s="102">
        <f t="shared" si="15"/>
        <v>0.80480902400878995</v>
      </c>
      <c r="P33" s="234">
        <f t="shared" si="16"/>
        <v>36171.314102564109</v>
      </c>
      <c r="Q33" s="104">
        <f t="shared" si="18"/>
        <v>5.5648175542406317</v>
      </c>
      <c r="R33" s="233">
        <f t="shared" si="17"/>
        <v>3.2734220907297833</v>
      </c>
      <c r="S33" s="103">
        <f t="shared" si="21"/>
        <v>29111</v>
      </c>
      <c r="T33" s="233">
        <f t="shared" si="22"/>
        <v>4</v>
      </c>
      <c r="U33" s="104">
        <f t="shared" si="23"/>
        <v>2</v>
      </c>
      <c r="V33" s="237">
        <v>1</v>
      </c>
      <c r="W33" s="105">
        <v>1</v>
      </c>
      <c r="X33" s="108"/>
      <c r="Y33" s="107"/>
      <c r="Z33" s="2"/>
      <c r="AA33" s="2"/>
      <c r="AB33" s="2"/>
      <c r="AC33" s="2"/>
      <c r="AD33" s="2"/>
      <c r="AE33" s="2"/>
      <c r="AF33" s="2"/>
      <c r="AG33" s="2"/>
    </row>
    <row r="34" spans="1:255" s="251" customFormat="1">
      <c r="A34" s="96">
        <v>10</v>
      </c>
      <c r="B34" s="97">
        <v>45987</v>
      </c>
      <c r="C34" s="122" t="s">
        <v>55</v>
      </c>
      <c r="D34" s="99"/>
      <c r="E34" s="252"/>
      <c r="F34" s="100" t="str">
        <f t="shared" si="11"/>
        <v/>
      </c>
      <c r="G34" s="109"/>
      <c r="H34" s="100" t="str">
        <f t="shared" si="12"/>
        <v/>
      </c>
      <c r="I34" s="100">
        <v>13</v>
      </c>
      <c r="J34" s="236" t="str">
        <f t="shared" si="13"/>
        <v/>
      </c>
      <c r="K34" s="100"/>
      <c r="L34" s="100"/>
      <c r="M34" s="109"/>
      <c r="N34" s="101">
        <f t="shared" si="14"/>
        <v>0</v>
      </c>
      <c r="O34" s="232">
        <f t="shared" si="15"/>
        <v>0</v>
      </c>
      <c r="P34" s="103">
        <f t="shared" si="16"/>
        <v>36171.314102564109</v>
      </c>
      <c r="Q34" s="233">
        <f t="shared" si="18"/>
        <v>5.5648175542406317</v>
      </c>
      <c r="R34" s="104">
        <f t="shared" si="17"/>
        <v>3.2734220907297833</v>
      </c>
      <c r="S34" s="234">
        <f t="shared" si="21"/>
        <v>52056.01785714287</v>
      </c>
      <c r="T34" s="104">
        <f t="shared" si="22"/>
        <v>9.1805631868131883</v>
      </c>
      <c r="U34" s="233">
        <f t="shared" si="23"/>
        <v>5.2616758241758248</v>
      </c>
      <c r="V34" s="105">
        <v>1</v>
      </c>
      <c r="W34" s="105">
        <v>1</v>
      </c>
      <c r="X34" s="108"/>
      <c r="Y34" s="107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96">
        <v>11</v>
      </c>
      <c r="B35" s="97">
        <v>45988</v>
      </c>
      <c r="C35" s="98" t="s">
        <v>56</v>
      </c>
      <c r="D35" s="99">
        <v>17908</v>
      </c>
      <c r="E35" s="98">
        <v>3</v>
      </c>
      <c r="F35" s="100">
        <f t="shared" si="11"/>
        <v>5969.333333333333</v>
      </c>
      <c r="G35" s="100">
        <v>2</v>
      </c>
      <c r="H35" s="100">
        <f t="shared" si="12"/>
        <v>8954</v>
      </c>
      <c r="I35" s="100">
        <v>12</v>
      </c>
      <c r="J35" s="99">
        <f t="shared" si="13"/>
        <v>1.5</v>
      </c>
      <c r="K35" s="109"/>
      <c r="L35" s="100"/>
      <c r="M35" s="100"/>
      <c r="N35" s="235">
        <f t="shared" si="14"/>
        <v>0.16666666666666666</v>
      </c>
      <c r="O35" s="102">
        <f t="shared" si="15"/>
        <v>0.49508845460305073</v>
      </c>
      <c r="P35" s="234">
        <f t="shared" si="16"/>
        <v>36171.314102564109</v>
      </c>
      <c r="Q35" s="104">
        <f t="shared" si="18"/>
        <v>5.5648175542406317</v>
      </c>
      <c r="R35" s="104">
        <f t="shared" si="17"/>
        <v>3.2734220907297833</v>
      </c>
      <c r="S35" s="103">
        <f t="shared" si="21"/>
        <v>17908</v>
      </c>
      <c r="T35" s="104">
        <f t="shared" ref="T35:T36" si="24">IF(W35&lt;&gt;"",IF(E34&lt;&gt;"",E34,($I$9-SUM($T$25:T34))*V35*W35/SUMPRODUCT($W35:$W$58,$V35:$V$58)),"")</f>
        <v>9.1805631868131883</v>
      </c>
      <c r="U35" s="104">
        <f t="shared" si="23"/>
        <v>2</v>
      </c>
      <c r="V35" s="105">
        <v>1</v>
      </c>
      <c r="W35" s="105">
        <v>1</v>
      </c>
      <c r="X35" s="108"/>
      <c r="Y35" s="107"/>
      <c r="Z35" s="2"/>
      <c r="AA35" s="2"/>
      <c r="AB35" s="2"/>
      <c r="AC35" s="2"/>
      <c r="AD35" s="2"/>
      <c r="AE35" s="2"/>
      <c r="AF35" s="2"/>
      <c r="AG35" s="2"/>
    </row>
    <row r="36" spans="1:255">
      <c r="A36" s="96">
        <v>11</v>
      </c>
      <c r="B36" s="97">
        <v>45990</v>
      </c>
      <c r="C36" s="122" t="s">
        <v>48</v>
      </c>
      <c r="D36" s="99">
        <v>31352</v>
      </c>
      <c r="E36" s="98">
        <v>6</v>
      </c>
      <c r="F36" s="100">
        <f t="shared" si="11"/>
        <v>5225.333333333333</v>
      </c>
      <c r="G36" s="100">
        <v>3</v>
      </c>
      <c r="H36" s="100">
        <f t="shared" si="12"/>
        <v>10450.666666666666</v>
      </c>
      <c r="I36" s="109">
        <v>32</v>
      </c>
      <c r="J36" s="99">
        <f t="shared" si="13"/>
        <v>2</v>
      </c>
      <c r="K36" s="253"/>
      <c r="L36" s="109"/>
      <c r="M36" s="100"/>
      <c r="N36" s="254">
        <f t="shared" si="14"/>
        <v>9.375E-2</v>
      </c>
      <c r="O36" s="232">
        <f t="shared" si="15"/>
        <v>0.8667641963767504</v>
      </c>
      <c r="P36" s="255">
        <f t="shared" si="16"/>
        <v>36171.314102564109</v>
      </c>
      <c r="Q36" s="104">
        <f t="shared" si="18"/>
        <v>5.5648175542406317</v>
      </c>
      <c r="R36" s="104">
        <f t="shared" si="17"/>
        <v>3.2734220907297833</v>
      </c>
      <c r="S36" s="103">
        <f t="shared" si="21"/>
        <v>31352</v>
      </c>
      <c r="T36" s="104">
        <f t="shared" si="24"/>
        <v>3</v>
      </c>
      <c r="U36" s="104">
        <f t="shared" si="23"/>
        <v>3</v>
      </c>
      <c r="V36" s="105">
        <v>1</v>
      </c>
      <c r="W36" s="105">
        <v>1</v>
      </c>
      <c r="X36" s="108"/>
      <c r="Y36" s="107"/>
      <c r="Z36" s="2"/>
      <c r="AA36" s="2"/>
      <c r="AB36" s="2"/>
      <c r="AC36" s="2"/>
      <c r="AD36" s="2"/>
      <c r="AE36" s="2"/>
      <c r="AF36" s="2"/>
      <c r="AG36" s="2"/>
    </row>
    <row r="37" spans="1:255">
      <c r="A37" s="96">
        <v>13</v>
      </c>
      <c r="B37" s="97">
        <v>45991</v>
      </c>
      <c r="C37" s="98" t="s">
        <v>50</v>
      </c>
      <c r="D37" s="99"/>
      <c r="E37" s="100"/>
      <c r="F37" s="100" t="str">
        <f t="shared" si="11"/>
        <v/>
      </c>
      <c r="G37" s="100"/>
      <c r="H37" s="100" t="str">
        <f t="shared" si="12"/>
        <v/>
      </c>
      <c r="I37" s="100">
        <v>15</v>
      </c>
      <c r="J37" s="236" t="str">
        <f t="shared" si="13"/>
        <v/>
      </c>
      <c r="K37" s="100"/>
      <c r="L37" s="100"/>
      <c r="M37" s="109"/>
      <c r="N37" s="101">
        <f t="shared" si="14"/>
        <v>0</v>
      </c>
      <c r="O37" s="102">
        <f t="shared" si="15"/>
        <v>0</v>
      </c>
      <c r="P37" s="234">
        <f t="shared" si="16"/>
        <v>36171.314102564109</v>
      </c>
      <c r="Q37" s="104">
        <f t="shared" si="18"/>
        <v>5.5648175542406317</v>
      </c>
      <c r="R37" s="104">
        <f t="shared" si="17"/>
        <v>3.2734220907297833</v>
      </c>
      <c r="S37" s="103">
        <f t="shared" si="21"/>
        <v>106908.05357142864</v>
      </c>
      <c r="T37" s="104">
        <f t="shared" ref="T37:T53" si="25">IF(W37&lt;&gt;"",IF(E37&lt;&gt;"",E37,($I$9-SUM($T$25:T36))*V37*W37/SUMPRODUCT($W37:$W$58,$V37:$V$58)),"")</f>
        <v>15.361126373626377</v>
      </c>
      <c r="U37" s="104">
        <f t="shared" si="23"/>
        <v>10.785027472527474</v>
      </c>
      <c r="V37" s="105">
        <v>1</v>
      </c>
      <c r="W37" s="105">
        <v>1</v>
      </c>
      <c r="X37" s="108"/>
      <c r="Y37" s="107"/>
      <c r="Z37" s="2"/>
      <c r="AA37" s="2"/>
      <c r="AB37" s="2"/>
      <c r="AC37" s="2"/>
      <c r="AD37" s="2"/>
      <c r="AE37" s="2"/>
      <c r="AF37" s="2"/>
      <c r="AG37" s="2"/>
    </row>
    <row r="38" spans="1:255">
      <c r="A38" s="96">
        <v>14</v>
      </c>
      <c r="B38" s="97"/>
      <c r="C38" s="122"/>
      <c r="D38" s="99"/>
      <c r="E38" s="100"/>
      <c r="F38" s="100" t="str">
        <f t="shared" si="11"/>
        <v/>
      </c>
      <c r="G38" s="100"/>
      <c r="H38" s="100" t="str">
        <f t="shared" si="12"/>
        <v/>
      </c>
      <c r="I38" s="100"/>
      <c r="J38" s="99" t="str">
        <f t="shared" si="13"/>
        <v/>
      </c>
      <c r="K38" s="109"/>
      <c r="L38" s="100"/>
      <c r="M38" s="100"/>
      <c r="N38" s="235" t="str">
        <f t="shared" si="14"/>
        <v/>
      </c>
      <c r="O38" s="102" t="e">
        <f t="shared" si="15"/>
        <v>#DIV/0!</v>
      </c>
      <c r="P38" s="103">
        <f t="shared" si="16"/>
        <v>0</v>
      </c>
      <c r="Q38" s="233">
        <f t="shared" si="18"/>
        <v>0</v>
      </c>
      <c r="R38" s="104">
        <f t="shared" si="17"/>
        <v>0</v>
      </c>
      <c r="S38" s="234" t="str">
        <f t="shared" si="21"/>
        <v/>
      </c>
      <c r="T38" s="104" t="str">
        <f t="shared" si="25"/>
        <v/>
      </c>
      <c r="U38" s="233" t="str">
        <f t="shared" si="23"/>
        <v/>
      </c>
      <c r="V38" s="105"/>
      <c r="W38" s="105"/>
      <c r="X38" s="108"/>
      <c r="Y38" s="107"/>
      <c r="Z38" s="2"/>
      <c r="AA38" s="2"/>
      <c r="AB38" s="2"/>
      <c r="AC38" s="2"/>
      <c r="AD38" s="2"/>
      <c r="AE38" s="2"/>
      <c r="AF38" s="2"/>
      <c r="AG38" s="2"/>
    </row>
    <row r="39" spans="1:255" s="251" customFormat="1">
      <c r="A39" s="96">
        <v>15</v>
      </c>
      <c r="B39" s="97"/>
      <c r="C39" s="98"/>
      <c r="D39" s="99"/>
      <c r="E39" s="109"/>
      <c r="F39" s="100" t="str">
        <f t="shared" si="11"/>
        <v/>
      </c>
      <c r="G39" s="109"/>
      <c r="H39" s="100" t="str">
        <f t="shared" si="12"/>
        <v/>
      </c>
      <c r="I39" s="109"/>
      <c r="J39" s="99" t="str">
        <f t="shared" si="13"/>
        <v/>
      </c>
      <c r="K39" s="100"/>
      <c r="L39" s="109"/>
      <c r="M39" s="100"/>
      <c r="N39" s="101" t="str">
        <f t="shared" si="14"/>
        <v/>
      </c>
      <c r="O39" s="232" t="e">
        <f t="shared" si="15"/>
        <v>#DIV/0!</v>
      </c>
      <c r="P39" s="103">
        <f t="shared" si="16"/>
        <v>0</v>
      </c>
      <c r="Q39" s="104">
        <f t="shared" si="18"/>
        <v>0</v>
      </c>
      <c r="R39" s="233">
        <f t="shared" si="17"/>
        <v>0</v>
      </c>
      <c r="S39" s="103" t="str">
        <f t="shared" si="21"/>
        <v/>
      </c>
      <c r="T39" s="233" t="str">
        <f t="shared" si="25"/>
        <v/>
      </c>
      <c r="U39" s="104" t="str">
        <f t="shared" si="23"/>
        <v/>
      </c>
      <c r="V39" s="237"/>
      <c r="W39" s="105"/>
      <c r="X39" s="108"/>
      <c r="Y39" s="107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 s="251" customFormat="1">
      <c r="A40" s="96">
        <v>16</v>
      </c>
      <c r="B40" s="97"/>
      <c r="C40" s="122"/>
      <c r="D40" s="99"/>
      <c r="E40" s="100"/>
      <c r="F40" s="109" t="str">
        <f t="shared" si="11"/>
        <v/>
      </c>
      <c r="G40" s="100"/>
      <c r="H40" s="109" t="str">
        <f t="shared" si="12"/>
        <v/>
      </c>
      <c r="I40" s="100"/>
      <c r="J40" s="236" t="str">
        <f t="shared" si="13"/>
        <v/>
      </c>
      <c r="K40" s="100"/>
      <c r="L40" s="100"/>
      <c r="M40" s="109"/>
      <c r="N40" s="101" t="str">
        <f t="shared" si="14"/>
        <v/>
      </c>
      <c r="O40" s="102" t="e">
        <f t="shared" si="15"/>
        <v>#DIV/0!</v>
      </c>
      <c r="P40" s="234">
        <f t="shared" si="16"/>
        <v>0</v>
      </c>
      <c r="Q40" s="104">
        <f t="shared" si="18"/>
        <v>0</v>
      </c>
      <c r="R40" s="104">
        <f t="shared" si="17"/>
        <v>0</v>
      </c>
      <c r="S40" s="234" t="str">
        <f t="shared" si="21"/>
        <v/>
      </c>
      <c r="T40" s="104" t="str">
        <f t="shared" si="25"/>
        <v/>
      </c>
      <c r="U40" s="233" t="str">
        <f t="shared" si="23"/>
        <v/>
      </c>
      <c r="V40" s="105"/>
      <c r="W40" s="105"/>
      <c r="X40" s="108"/>
      <c r="Y40" s="107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s="251" customFormat="1">
      <c r="A41" s="96">
        <v>17</v>
      </c>
      <c r="B41" s="97"/>
      <c r="C41" s="98"/>
      <c r="D41" s="236"/>
      <c r="E41" s="100"/>
      <c r="F41" s="100" t="str">
        <f t="shared" si="11"/>
        <v/>
      </c>
      <c r="G41" s="109"/>
      <c r="H41" s="100" t="str">
        <f t="shared" si="12"/>
        <v/>
      </c>
      <c r="I41" s="109"/>
      <c r="J41" s="99" t="str">
        <f t="shared" si="13"/>
        <v/>
      </c>
      <c r="K41" s="109"/>
      <c r="L41" s="100"/>
      <c r="M41" s="100"/>
      <c r="N41" s="235" t="str">
        <f t="shared" si="14"/>
        <v/>
      </c>
      <c r="O41" s="102" t="e">
        <f t="shared" si="15"/>
        <v>#DIV/0!</v>
      </c>
      <c r="P41" s="103">
        <f t="shared" si="16"/>
        <v>0</v>
      </c>
      <c r="Q41" s="233">
        <f t="shared" si="18"/>
        <v>0</v>
      </c>
      <c r="R41" s="104">
        <f t="shared" si="17"/>
        <v>0</v>
      </c>
      <c r="S41" s="103" t="str">
        <f t="shared" si="21"/>
        <v/>
      </c>
      <c r="T41" s="233" t="str">
        <f t="shared" si="25"/>
        <v/>
      </c>
      <c r="U41" s="104" t="str">
        <f t="shared" si="23"/>
        <v/>
      </c>
      <c r="V41" s="237"/>
      <c r="W41" s="105"/>
      <c r="X41" s="108"/>
      <c r="Y41" s="107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pans="1:255" s="251" customFormat="1">
      <c r="A42" s="96">
        <v>18</v>
      </c>
      <c r="B42" s="97"/>
      <c r="C42" s="98"/>
      <c r="D42" s="99"/>
      <c r="E42" s="109"/>
      <c r="F42" s="100" t="str">
        <f t="shared" si="11"/>
        <v/>
      </c>
      <c r="G42" s="100"/>
      <c r="H42" s="109" t="str">
        <f t="shared" si="12"/>
        <v/>
      </c>
      <c r="I42" s="100"/>
      <c r="J42" s="236" t="str">
        <f t="shared" si="13"/>
        <v/>
      </c>
      <c r="K42" s="100"/>
      <c r="L42" s="109"/>
      <c r="M42" s="100"/>
      <c r="N42" s="101" t="str">
        <f t="shared" si="14"/>
        <v/>
      </c>
      <c r="O42" s="232" t="e">
        <f t="shared" si="15"/>
        <v>#DIV/0!</v>
      </c>
      <c r="P42" s="103">
        <f t="shared" si="16"/>
        <v>0</v>
      </c>
      <c r="Q42" s="104">
        <f t="shared" si="18"/>
        <v>0</v>
      </c>
      <c r="R42" s="233">
        <f t="shared" si="17"/>
        <v>0</v>
      </c>
      <c r="S42" s="103" t="str">
        <f t="shared" si="21"/>
        <v/>
      </c>
      <c r="T42" s="104" t="str">
        <f t="shared" si="25"/>
        <v/>
      </c>
      <c r="U42" s="233" t="str">
        <f t="shared" si="23"/>
        <v/>
      </c>
      <c r="V42" s="105"/>
      <c r="W42" s="105"/>
      <c r="X42" s="108"/>
      <c r="Y42" s="107"/>
      <c r="Z42" s="11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s="251" customFormat="1" ht="15" customHeight="1">
      <c r="A43" s="96">
        <v>19</v>
      </c>
      <c r="B43" s="97"/>
      <c r="C43" s="98"/>
      <c r="D43" s="99"/>
      <c r="E43" s="100"/>
      <c r="F43" s="100" t="str">
        <f t="shared" si="11"/>
        <v/>
      </c>
      <c r="G43" s="100"/>
      <c r="H43" s="100" t="str">
        <f t="shared" si="12"/>
        <v/>
      </c>
      <c r="I43" s="100"/>
      <c r="J43" s="99" t="str">
        <f t="shared" si="13"/>
        <v/>
      </c>
      <c r="K43" s="100"/>
      <c r="L43" s="100"/>
      <c r="M43" s="100"/>
      <c r="N43" s="101" t="str">
        <f t="shared" si="14"/>
        <v/>
      </c>
      <c r="O43" s="102" t="e">
        <f t="shared" si="15"/>
        <v>#DIV/0!</v>
      </c>
      <c r="P43" s="234">
        <f t="shared" si="16"/>
        <v>0</v>
      </c>
      <c r="Q43" s="104">
        <f t="shared" si="18"/>
        <v>0</v>
      </c>
      <c r="R43" s="104">
        <f t="shared" si="17"/>
        <v>0</v>
      </c>
      <c r="S43" s="103" t="str">
        <f t="shared" si="21"/>
        <v/>
      </c>
      <c r="T43" s="104" t="str">
        <f t="shared" si="25"/>
        <v/>
      </c>
      <c r="U43" s="104" t="str">
        <f t="shared" si="23"/>
        <v/>
      </c>
      <c r="V43" s="237"/>
      <c r="W43" s="105"/>
      <c r="X43" s="108"/>
      <c r="Y43" s="107"/>
      <c r="Z43" s="11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s="251" customFormat="1" ht="15" customHeight="1">
      <c r="A44" s="96">
        <v>20</v>
      </c>
      <c r="B44" s="97"/>
      <c r="C44" s="98"/>
      <c r="D44" s="99"/>
      <c r="E44" s="100"/>
      <c r="F44" s="100" t="str">
        <f t="shared" si="11"/>
        <v/>
      </c>
      <c r="G44" s="100"/>
      <c r="H44" s="100" t="str">
        <f t="shared" si="12"/>
        <v/>
      </c>
      <c r="I44" s="100"/>
      <c r="J44" s="99" t="str">
        <f t="shared" si="13"/>
        <v/>
      </c>
      <c r="K44" s="100"/>
      <c r="L44" s="100"/>
      <c r="M44" s="100"/>
      <c r="N44" s="101" t="str">
        <f t="shared" si="14"/>
        <v/>
      </c>
      <c r="O44" s="102" t="e">
        <f t="shared" si="15"/>
        <v>#DIV/0!</v>
      </c>
      <c r="P44" s="103">
        <f t="shared" si="16"/>
        <v>0</v>
      </c>
      <c r="Q44" s="104">
        <f t="shared" si="18"/>
        <v>0</v>
      </c>
      <c r="R44" s="104">
        <f t="shared" si="17"/>
        <v>0</v>
      </c>
      <c r="S44" s="103" t="str">
        <f t="shared" si="21"/>
        <v/>
      </c>
      <c r="T44" s="104" t="str">
        <f t="shared" si="25"/>
        <v/>
      </c>
      <c r="U44" s="104" t="str">
        <f t="shared" si="23"/>
        <v/>
      </c>
      <c r="V44" s="105"/>
      <c r="W44" s="105"/>
      <c r="X44" s="108"/>
      <c r="Y44" s="107"/>
      <c r="Z44" s="11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s="251" customFormat="1" ht="15" customHeight="1">
      <c r="A45" s="96">
        <v>21</v>
      </c>
      <c r="B45" s="97"/>
      <c r="C45" s="98"/>
      <c r="D45" s="99"/>
      <c r="E45" s="100"/>
      <c r="F45" s="100" t="str">
        <f t="shared" si="11"/>
        <v/>
      </c>
      <c r="G45" s="100"/>
      <c r="H45" s="100" t="str">
        <f t="shared" si="12"/>
        <v/>
      </c>
      <c r="I45" s="100"/>
      <c r="J45" s="99" t="str">
        <f t="shared" si="13"/>
        <v/>
      </c>
      <c r="K45" s="100"/>
      <c r="L45" s="100"/>
      <c r="M45" s="100"/>
      <c r="N45" s="101" t="str">
        <f t="shared" si="14"/>
        <v/>
      </c>
      <c r="O45" s="102" t="e">
        <f t="shared" si="15"/>
        <v>#DIV/0!</v>
      </c>
      <c r="P45" s="234">
        <f t="shared" si="16"/>
        <v>0</v>
      </c>
      <c r="Q45" s="104">
        <f t="shared" si="18"/>
        <v>0</v>
      </c>
      <c r="R45" s="104">
        <f t="shared" si="17"/>
        <v>0</v>
      </c>
      <c r="S45" s="103" t="str">
        <f t="shared" si="21"/>
        <v/>
      </c>
      <c r="T45" s="104" t="str">
        <f t="shared" si="25"/>
        <v/>
      </c>
      <c r="U45" s="104" t="str">
        <f t="shared" si="23"/>
        <v/>
      </c>
      <c r="V45" s="237"/>
      <c r="W45" s="105"/>
      <c r="X45" s="108"/>
      <c r="Y45" s="107"/>
      <c r="Z45" s="113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pans="1:255" s="251" customFormat="1" ht="15" customHeight="1">
      <c r="A46" s="96">
        <v>22</v>
      </c>
      <c r="B46" s="97"/>
      <c r="C46" s="98"/>
      <c r="D46" s="99"/>
      <c r="E46" s="100"/>
      <c r="F46" s="100" t="str">
        <f t="shared" si="11"/>
        <v/>
      </c>
      <c r="G46" s="100"/>
      <c r="H46" s="100" t="str">
        <f t="shared" si="12"/>
        <v/>
      </c>
      <c r="I46" s="100"/>
      <c r="J46" s="99" t="str">
        <f t="shared" si="13"/>
        <v/>
      </c>
      <c r="K46" s="100"/>
      <c r="L46" s="100"/>
      <c r="M46" s="100"/>
      <c r="N46" s="101" t="str">
        <f t="shared" si="14"/>
        <v/>
      </c>
      <c r="O46" s="102" t="e">
        <f t="shared" si="15"/>
        <v>#DIV/0!</v>
      </c>
      <c r="P46" s="103">
        <f t="shared" si="16"/>
        <v>0</v>
      </c>
      <c r="Q46" s="104">
        <f t="shared" si="18"/>
        <v>0</v>
      </c>
      <c r="R46" s="104">
        <f t="shared" si="17"/>
        <v>0</v>
      </c>
      <c r="S46" s="103" t="str">
        <f t="shared" si="21"/>
        <v/>
      </c>
      <c r="T46" s="104" t="str">
        <f t="shared" si="25"/>
        <v/>
      </c>
      <c r="U46" s="104" t="str">
        <f t="shared" si="23"/>
        <v/>
      </c>
      <c r="V46" s="105"/>
      <c r="W46" s="105"/>
      <c r="X46" s="108"/>
      <c r="Y46" s="107"/>
      <c r="Z46" s="11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s="251" customFormat="1" ht="15" customHeight="1">
      <c r="A47" s="96">
        <v>23</v>
      </c>
      <c r="B47" s="97"/>
      <c r="C47" s="98"/>
      <c r="D47" s="99"/>
      <c r="E47" s="100"/>
      <c r="F47" s="100" t="str">
        <f t="shared" si="11"/>
        <v/>
      </c>
      <c r="G47" s="100"/>
      <c r="H47" s="100" t="str">
        <f t="shared" si="12"/>
        <v/>
      </c>
      <c r="I47" s="100"/>
      <c r="J47" s="99" t="str">
        <f t="shared" si="13"/>
        <v/>
      </c>
      <c r="K47" s="100"/>
      <c r="L47" s="100"/>
      <c r="M47" s="100"/>
      <c r="N47" s="101" t="str">
        <f t="shared" si="14"/>
        <v/>
      </c>
      <c r="O47" s="102" t="e">
        <f t="shared" si="15"/>
        <v>#DIV/0!</v>
      </c>
      <c r="P47" s="234">
        <f t="shared" si="16"/>
        <v>0</v>
      </c>
      <c r="Q47" s="104">
        <f t="shared" si="18"/>
        <v>0</v>
      </c>
      <c r="R47" s="104">
        <f t="shared" si="17"/>
        <v>0</v>
      </c>
      <c r="S47" s="103" t="str">
        <f t="shared" si="21"/>
        <v/>
      </c>
      <c r="T47" s="104" t="str">
        <f t="shared" si="25"/>
        <v/>
      </c>
      <c r="U47" s="104" t="str">
        <f t="shared" si="23"/>
        <v/>
      </c>
      <c r="V47" s="237"/>
      <c r="W47" s="105"/>
      <c r="X47" s="108"/>
      <c r="Y47" s="107"/>
      <c r="Z47" s="11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pans="1:255" s="251" customFormat="1" ht="15" customHeight="1">
      <c r="A48" s="96">
        <v>24</v>
      </c>
      <c r="B48" s="97"/>
      <c r="C48" s="98"/>
      <c r="D48" s="99"/>
      <c r="E48" s="100"/>
      <c r="F48" s="100" t="str">
        <f t="shared" si="11"/>
        <v/>
      </c>
      <c r="G48" s="100"/>
      <c r="H48" s="100" t="str">
        <f t="shared" si="12"/>
        <v/>
      </c>
      <c r="I48" s="100"/>
      <c r="J48" s="99" t="str">
        <f t="shared" si="13"/>
        <v/>
      </c>
      <c r="K48" s="100"/>
      <c r="L48" s="100"/>
      <c r="M48" s="100"/>
      <c r="N48" s="101" t="str">
        <f t="shared" si="14"/>
        <v/>
      </c>
      <c r="O48" s="102" t="e">
        <f t="shared" si="15"/>
        <v>#DIV/0!</v>
      </c>
      <c r="P48" s="103">
        <f t="shared" si="16"/>
        <v>0</v>
      </c>
      <c r="Q48" s="104">
        <f t="shared" si="18"/>
        <v>0</v>
      </c>
      <c r="R48" s="104">
        <f t="shared" si="17"/>
        <v>0</v>
      </c>
      <c r="S48" s="103" t="str">
        <f t="shared" si="21"/>
        <v/>
      </c>
      <c r="T48" s="104" t="str">
        <f t="shared" si="25"/>
        <v/>
      </c>
      <c r="U48" s="104" t="str">
        <f t="shared" si="23"/>
        <v/>
      </c>
      <c r="V48" s="105"/>
      <c r="W48" s="105"/>
      <c r="X48" s="108"/>
      <c r="Y48" s="107"/>
      <c r="Z48" s="11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s="251" customFormat="1" ht="15" customHeight="1">
      <c r="A49" s="96">
        <v>25</v>
      </c>
      <c r="B49" s="97"/>
      <c r="C49" s="98"/>
      <c r="D49" s="99"/>
      <c r="E49" s="100"/>
      <c r="F49" s="100" t="str">
        <f t="shared" si="11"/>
        <v/>
      </c>
      <c r="G49" s="100"/>
      <c r="H49" s="100" t="str">
        <f t="shared" si="12"/>
        <v/>
      </c>
      <c r="I49" s="100"/>
      <c r="J49" s="99" t="str">
        <f t="shared" si="13"/>
        <v/>
      </c>
      <c r="K49" s="100"/>
      <c r="L49" s="100"/>
      <c r="M49" s="100"/>
      <c r="N49" s="101" t="str">
        <f t="shared" si="14"/>
        <v/>
      </c>
      <c r="O49" s="232" t="e">
        <f t="shared" si="15"/>
        <v>#DIV/0!</v>
      </c>
      <c r="P49" s="103">
        <f t="shared" si="16"/>
        <v>0</v>
      </c>
      <c r="Q49" s="104">
        <f t="shared" si="18"/>
        <v>0</v>
      </c>
      <c r="R49" s="104">
        <f t="shared" si="17"/>
        <v>0</v>
      </c>
      <c r="S49" s="103" t="str">
        <f t="shared" si="21"/>
        <v/>
      </c>
      <c r="T49" s="104" t="str">
        <f t="shared" si="25"/>
        <v/>
      </c>
      <c r="U49" s="104" t="str">
        <f t="shared" si="23"/>
        <v/>
      </c>
      <c r="V49" s="237"/>
      <c r="W49" s="105"/>
      <c r="X49" s="108"/>
      <c r="Y49" s="107"/>
      <c r="Z49" s="11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spans="1:255" ht="15" customHeight="1">
      <c r="A50" s="96">
        <v>26</v>
      </c>
      <c r="B50" s="97"/>
      <c r="C50" s="98"/>
      <c r="D50" s="99"/>
      <c r="E50" s="100"/>
      <c r="F50" s="100" t="str">
        <f t="shared" si="11"/>
        <v/>
      </c>
      <c r="G50" s="100"/>
      <c r="H50" s="100" t="str">
        <f t="shared" si="12"/>
        <v/>
      </c>
      <c r="I50" s="100"/>
      <c r="J50" s="99" t="str">
        <f t="shared" si="13"/>
        <v/>
      </c>
      <c r="K50" s="100"/>
      <c r="L50" s="100"/>
      <c r="M50" s="100"/>
      <c r="N50" s="101" t="str">
        <f t="shared" si="14"/>
        <v/>
      </c>
      <c r="O50" s="102" t="e">
        <f t="shared" si="15"/>
        <v>#DIV/0!</v>
      </c>
      <c r="P50" s="103">
        <f t="shared" si="16"/>
        <v>0</v>
      </c>
      <c r="Q50" s="104">
        <f t="shared" si="18"/>
        <v>0</v>
      </c>
      <c r="R50" s="104">
        <f t="shared" si="17"/>
        <v>0</v>
      </c>
      <c r="S50" s="103" t="str">
        <f t="shared" si="21"/>
        <v/>
      </c>
      <c r="T50" s="104" t="str">
        <f t="shared" si="25"/>
        <v/>
      </c>
      <c r="U50" s="104" t="str">
        <f t="shared" si="23"/>
        <v/>
      </c>
      <c r="V50" s="105"/>
      <c r="W50" s="105"/>
      <c r="X50" s="108"/>
      <c r="Y50" s="107"/>
      <c r="Z50" s="113"/>
      <c r="AA50" s="2"/>
      <c r="AB50" s="2"/>
      <c r="AC50" s="2"/>
      <c r="AD50" s="2"/>
      <c r="AE50" s="2"/>
      <c r="AF50" s="2"/>
      <c r="AG50" s="2"/>
    </row>
    <row r="51" spans="1:255">
      <c r="A51" s="96">
        <v>27</v>
      </c>
      <c r="B51" s="97"/>
      <c r="C51" s="98"/>
      <c r="D51" s="99"/>
      <c r="E51" s="100"/>
      <c r="F51" s="100" t="str">
        <f t="shared" si="11"/>
        <v/>
      </c>
      <c r="G51" s="100"/>
      <c r="H51" s="100" t="str">
        <f t="shared" si="12"/>
        <v/>
      </c>
      <c r="I51" s="100"/>
      <c r="J51" s="99" t="str">
        <f t="shared" si="13"/>
        <v/>
      </c>
      <c r="K51" s="100"/>
      <c r="L51" s="100"/>
      <c r="M51" s="100"/>
      <c r="N51" s="101" t="str">
        <f t="shared" si="14"/>
        <v/>
      </c>
      <c r="O51" s="102" t="e">
        <f t="shared" si="15"/>
        <v>#DIV/0!</v>
      </c>
      <c r="P51" s="103">
        <f t="shared" si="16"/>
        <v>0</v>
      </c>
      <c r="Q51" s="104">
        <f t="shared" si="18"/>
        <v>0</v>
      </c>
      <c r="R51" s="104">
        <f t="shared" si="17"/>
        <v>0</v>
      </c>
      <c r="S51" s="103" t="str">
        <f t="shared" si="21"/>
        <v/>
      </c>
      <c r="T51" s="104" t="str">
        <f t="shared" si="25"/>
        <v/>
      </c>
      <c r="U51" s="104" t="str">
        <f t="shared" si="23"/>
        <v/>
      </c>
      <c r="V51" s="105"/>
      <c r="W51" s="105"/>
      <c r="X51" s="108"/>
      <c r="Y51" s="107"/>
      <c r="Z51" s="113"/>
      <c r="AA51" s="2"/>
      <c r="AB51" s="2"/>
      <c r="AC51" s="2"/>
      <c r="AD51" s="2"/>
      <c r="AE51" s="2"/>
      <c r="AF51" s="2"/>
      <c r="AG51" s="2"/>
    </row>
    <row r="52" spans="1:255">
      <c r="A52" s="96">
        <v>28</v>
      </c>
      <c r="B52" s="97"/>
      <c r="C52" s="98"/>
      <c r="D52" s="99"/>
      <c r="E52" s="100"/>
      <c r="F52" s="100" t="str">
        <f t="shared" si="11"/>
        <v/>
      </c>
      <c r="G52" s="100"/>
      <c r="H52" s="100" t="str">
        <f t="shared" si="12"/>
        <v/>
      </c>
      <c r="I52" s="100"/>
      <c r="J52" s="99" t="str">
        <f t="shared" si="13"/>
        <v/>
      </c>
      <c r="K52" s="100"/>
      <c r="L52" s="100"/>
      <c r="M52" s="100"/>
      <c r="N52" s="101" t="str">
        <f t="shared" si="14"/>
        <v/>
      </c>
      <c r="O52" s="102" t="e">
        <f t="shared" si="15"/>
        <v>#DIV/0!</v>
      </c>
      <c r="P52" s="103">
        <f t="shared" si="16"/>
        <v>0</v>
      </c>
      <c r="Q52" s="104">
        <f t="shared" si="18"/>
        <v>0</v>
      </c>
      <c r="R52" s="104">
        <f t="shared" si="17"/>
        <v>0</v>
      </c>
      <c r="S52" s="103" t="str">
        <f t="shared" si="21"/>
        <v/>
      </c>
      <c r="T52" s="104" t="str">
        <f t="shared" si="25"/>
        <v/>
      </c>
      <c r="U52" s="104" t="str">
        <f t="shared" si="23"/>
        <v/>
      </c>
      <c r="V52" s="105"/>
      <c r="W52" s="105"/>
      <c r="X52" s="108"/>
      <c r="Y52" s="107"/>
      <c r="Z52" s="113"/>
      <c r="AA52" s="2"/>
      <c r="AB52" s="2"/>
      <c r="AC52" s="2"/>
      <c r="AD52" s="2"/>
      <c r="AE52" s="2"/>
      <c r="AF52" s="2"/>
      <c r="AG52" s="2"/>
    </row>
    <row r="53" spans="1:255">
      <c r="A53" s="96">
        <v>29</v>
      </c>
      <c r="B53" s="97"/>
      <c r="C53" s="98"/>
      <c r="D53" s="99"/>
      <c r="E53" s="100"/>
      <c r="F53" s="100" t="str">
        <f t="shared" si="11"/>
        <v/>
      </c>
      <c r="G53" s="100"/>
      <c r="H53" s="100" t="str">
        <f t="shared" si="12"/>
        <v/>
      </c>
      <c r="I53" s="100"/>
      <c r="J53" s="99" t="str">
        <f t="shared" si="13"/>
        <v/>
      </c>
      <c r="K53" s="100"/>
      <c r="L53" s="100"/>
      <c r="M53" s="100"/>
      <c r="N53" s="101" t="str">
        <f t="shared" si="14"/>
        <v/>
      </c>
      <c r="O53" s="102" t="e">
        <f t="shared" si="15"/>
        <v>#DIV/0!</v>
      </c>
      <c r="P53" s="103">
        <f t="shared" si="16"/>
        <v>0</v>
      </c>
      <c r="Q53" s="104">
        <f t="shared" si="18"/>
        <v>0</v>
      </c>
      <c r="R53" s="104">
        <f t="shared" si="17"/>
        <v>0</v>
      </c>
      <c r="S53" s="103" t="str">
        <f t="shared" si="21"/>
        <v/>
      </c>
      <c r="T53" s="104" t="str">
        <f t="shared" si="25"/>
        <v/>
      </c>
      <c r="U53" s="104" t="str">
        <f t="shared" si="23"/>
        <v/>
      </c>
      <c r="V53" s="105"/>
      <c r="W53" s="105"/>
      <c r="X53" s="108"/>
      <c r="Y53" s="107"/>
      <c r="Z53" s="113"/>
      <c r="AA53" s="2"/>
      <c r="AB53" s="2"/>
      <c r="AC53" s="2"/>
      <c r="AD53" s="2"/>
      <c r="AE53" s="2"/>
      <c r="AF53" s="2"/>
      <c r="AG53" s="2"/>
    </row>
    <row r="54" spans="1:255">
      <c r="A54" s="96"/>
      <c r="B54" s="97"/>
      <c r="C54" s="98"/>
      <c r="D54" s="99"/>
      <c r="E54" s="100"/>
      <c r="F54" s="100" t="str">
        <f t="shared" si="11"/>
        <v/>
      </c>
      <c r="G54" s="100"/>
      <c r="H54" s="100" t="str">
        <f t="shared" si="12"/>
        <v/>
      </c>
      <c r="I54" s="100"/>
      <c r="J54" s="99" t="str">
        <f t="shared" si="13"/>
        <v/>
      </c>
      <c r="K54" s="100"/>
      <c r="L54" s="100"/>
      <c r="M54" s="100"/>
      <c r="N54" s="101" t="str">
        <f t="shared" si="14"/>
        <v/>
      </c>
      <c r="O54" s="102" t="e">
        <f t="shared" si="15"/>
        <v>#DIV/0!</v>
      </c>
      <c r="P54" s="103">
        <f t="shared" si="16"/>
        <v>0</v>
      </c>
      <c r="Q54" s="104">
        <f t="shared" si="18"/>
        <v>0</v>
      </c>
      <c r="R54" s="104">
        <f t="shared" si="17"/>
        <v>0</v>
      </c>
      <c r="S54" s="103" t="str">
        <f>IF(W54&lt;&gt;"",IF(D54&lt;&gt;"",D54,($I$8-SUM($S$25:S50))*V54*W54/SUMPRODUCT($W54:$W$58,$V54:$V$58)),"")</f>
        <v/>
      </c>
      <c r="T54" s="104" t="str">
        <f>IF(W54&lt;&gt;"",IF(E54&lt;&gt;"",E54,($I$9-SUM($T$25:T50))*V54*W54/SUMPRODUCT($W54:$W$58,$V54:$V$58)),"")</f>
        <v/>
      </c>
      <c r="U54" s="104" t="str">
        <f>IF(W54&lt;&gt;"",IF($I$12&lt;&gt;"",IF(G54&lt;&gt;"",G54,($I$9/$I$12-SUM($U$25:U50))*V54*W54/SUMPRODUCT($W54:$W$58,$V54:$V$58)),""),"")</f>
        <v/>
      </c>
      <c r="V54" s="105"/>
      <c r="W54" s="105"/>
      <c r="X54" s="108"/>
      <c r="Y54" s="107"/>
      <c r="Z54" s="113"/>
      <c r="AA54" s="2"/>
      <c r="AB54" s="2"/>
      <c r="AC54" s="2"/>
      <c r="AD54" s="2"/>
      <c r="AE54" s="2"/>
      <c r="AF54" s="2"/>
      <c r="AG54" s="2"/>
    </row>
    <row r="55" spans="1:255">
      <c r="A55" s="96"/>
      <c r="B55" s="97"/>
      <c r="C55" s="98"/>
      <c r="D55" s="99"/>
      <c r="E55" s="100"/>
      <c r="F55" s="100" t="str">
        <f t="shared" si="11"/>
        <v/>
      </c>
      <c r="G55" s="100"/>
      <c r="H55" s="100" t="str">
        <f t="shared" si="12"/>
        <v/>
      </c>
      <c r="I55" s="100"/>
      <c r="J55" s="99" t="str">
        <f t="shared" si="13"/>
        <v/>
      </c>
      <c r="K55" s="100"/>
      <c r="L55" s="100"/>
      <c r="M55" s="100"/>
      <c r="N55" s="101" t="str">
        <f t="shared" si="14"/>
        <v/>
      </c>
      <c r="O55" s="102" t="e">
        <f t="shared" si="15"/>
        <v>#DIV/0!</v>
      </c>
      <c r="P55" s="103">
        <f t="shared" si="16"/>
        <v>0</v>
      </c>
      <c r="Q55" s="104">
        <f t="shared" si="18"/>
        <v>0</v>
      </c>
      <c r="R55" s="104">
        <f t="shared" si="17"/>
        <v>0</v>
      </c>
      <c r="S55" s="103" t="str">
        <f t="shared" ref="S55:S56" si="26">IF(W55&lt;&gt;"",IF(D55&lt;&gt;"",D55,($I$8-SUM($S$25:S54))*V55*W55/SUMPRODUCT($W55:$W$58,$V55:$V$58)),"")</f>
        <v/>
      </c>
      <c r="T55" s="104" t="str">
        <f t="shared" ref="T55:T56" si="27">IF(W55&lt;&gt;"",IF(E55&lt;&gt;"",E55,($I$9-SUM($T$25:T54))*V55*W55/SUMPRODUCT($W55:$W$58,$V55:$V$58)),"")</f>
        <v/>
      </c>
      <c r="U55" s="104" t="str">
        <f t="shared" ref="U55:U56" si="28">IF(W55&lt;&gt;"",IF($I$12&lt;&gt;"",IF(G55&lt;&gt;"",G55,($I$9/$I$12-SUM($U$25:U54))*V55*W55/SUMPRODUCT($W55:$W$58,$V55:$V$58)),""),"")</f>
        <v/>
      </c>
      <c r="V55" s="105"/>
      <c r="W55" s="105"/>
      <c r="X55" s="108"/>
      <c r="Y55" s="107"/>
      <c r="Z55" s="113"/>
      <c r="AA55" s="2"/>
      <c r="AB55" s="2"/>
      <c r="AC55" s="2"/>
      <c r="AD55" s="2"/>
      <c r="AE55" s="2"/>
      <c r="AF55" s="2"/>
      <c r="AG55" s="2"/>
    </row>
    <row r="56" spans="1:255">
      <c r="A56" s="96"/>
      <c r="B56" s="97"/>
      <c r="C56" s="98"/>
      <c r="D56" s="99"/>
      <c r="E56" s="100"/>
      <c r="F56" s="100" t="str">
        <f t="shared" si="11"/>
        <v/>
      </c>
      <c r="G56" s="100"/>
      <c r="H56" s="100" t="str">
        <f t="shared" si="12"/>
        <v/>
      </c>
      <c r="I56" s="100"/>
      <c r="J56" s="99" t="str">
        <f t="shared" si="13"/>
        <v/>
      </c>
      <c r="K56" s="100"/>
      <c r="L56" s="100"/>
      <c r="M56" s="100"/>
      <c r="N56" s="101" t="str">
        <f t="shared" si="14"/>
        <v/>
      </c>
      <c r="O56" s="102" t="e">
        <f t="shared" si="15"/>
        <v>#DIV/0!</v>
      </c>
      <c r="P56" s="103">
        <f t="shared" si="16"/>
        <v>0</v>
      </c>
      <c r="Q56" s="104">
        <f t="shared" si="18"/>
        <v>0</v>
      </c>
      <c r="R56" s="104">
        <f t="shared" si="17"/>
        <v>0</v>
      </c>
      <c r="S56" s="103" t="str">
        <f t="shared" si="26"/>
        <v/>
      </c>
      <c r="T56" s="104" t="str">
        <f t="shared" si="27"/>
        <v/>
      </c>
      <c r="U56" s="104" t="str">
        <f t="shared" si="28"/>
        <v/>
      </c>
      <c r="V56" s="105"/>
      <c r="W56" s="105"/>
      <c r="X56" s="108"/>
      <c r="Y56" s="107"/>
      <c r="Z56" s="113"/>
      <c r="AA56" s="2"/>
      <c r="AB56" s="2"/>
      <c r="AC56" s="2"/>
      <c r="AD56" s="2"/>
      <c r="AE56" s="2"/>
      <c r="AF56" s="2"/>
      <c r="AG56" s="2"/>
    </row>
    <row r="57" spans="1:255">
      <c r="A57" s="256"/>
      <c r="B57" s="599"/>
      <c r="C57" s="600"/>
      <c r="D57" s="116">
        <f>SUM(D25:D56)</f>
        <v>263849</v>
      </c>
      <c r="E57" s="116">
        <f>SUM(E25:E56)</f>
        <v>37</v>
      </c>
      <c r="F57" s="116">
        <f t="shared" si="11"/>
        <v>7131.0540540540542</v>
      </c>
      <c r="G57" s="116">
        <f>SUM(G25:G56)</f>
        <v>22</v>
      </c>
      <c r="H57" s="116">
        <f t="shared" si="12"/>
        <v>11993.136363636364</v>
      </c>
      <c r="I57" s="116">
        <f>SUM(I25:I56)</f>
        <v>237</v>
      </c>
      <c r="J57" s="115">
        <f t="shared" si="13"/>
        <v>1.6818181818181819</v>
      </c>
      <c r="K57" s="116">
        <f>SUM(K25:K56)</f>
        <v>91284</v>
      </c>
      <c r="L57" s="116">
        <f>SUM(L25:L56)</f>
        <v>0</v>
      </c>
      <c r="M57" s="116">
        <f>SUM(M25:M56)</f>
        <v>0</v>
      </c>
      <c r="N57" s="117">
        <f t="shared" si="14"/>
        <v>9.2827004219409287E-2</v>
      </c>
      <c r="O57" s="118">
        <f t="shared" si="15"/>
        <v>0.56110974750674514</v>
      </c>
      <c r="P57" s="119">
        <f>SUM(P25:P56)</f>
        <v>470227.08333333355</v>
      </c>
      <c r="Q57" s="119">
        <f>SUM(Q25:Q55)</f>
        <v>72.342628205128221</v>
      </c>
      <c r="R57" s="119">
        <f>SUM(R25:R55)</f>
        <v>42.554487179487182</v>
      </c>
      <c r="S57" s="119">
        <f>SUM(S25:S56)</f>
        <v>470227.08333333337</v>
      </c>
      <c r="T57" s="119">
        <f>SUM(T25:T55)</f>
        <v>72.342628205128207</v>
      </c>
      <c r="U57" s="119">
        <f>SUM(U25:U55)</f>
        <v>42.554487179487182</v>
      </c>
      <c r="V57" s="120"/>
      <c r="W57" s="120"/>
      <c r="AE57" s="2"/>
      <c r="AF57" s="2"/>
      <c r="AG57" s="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203" priority="231" operator="greaterThan">
      <formula>0</formula>
    </cfRule>
    <cfRule type="cellIs" dxfId="202" priority="233" operator="lessThan">
      <formula>0</formula>
    </cfRule>
  </conditionalFormatting>
  <conditionalFormatting sqref="J25:J43">
    <cfRule type="cellIs" dxfId="201" priority="21" operator="lessThan">
      <formula>$I$12</formula>
    </cfRule>
  </conditionalFormatting>
  <conditionalFormatting sqref="J25:J49">
    <cfRule type="cellIs" dxfId="200" priority="22" operator="greaterThan">
      <formula>$I$12</formula>
    </cfRule>
  </conditionalFormatting>
  <conditionalFormatting sqref="J28:J56">
    <cfRule type="cellIs" dxfId="199" priority="30" operator="lessThan">
      <formula>$I$12</formula>
    </cfRule>
    <cfRule type="cellIs" dxfId="198" priority="31" operator="greaterThan">
      <formula>$I$12</formula>
    </cfRule>
  </conditionalFormatting>
  <conditionalFormatting sqref="J36">
    <cfRule type="cellIs" dxfId="197" priority="1854" operator="lessThan">
      <formula>$I$12</formula>
    </cfRule>
    <cfRule type="cellIs" dxfId="196" priority="1866" operator="greaterThan">
      <formula>$I$12</formula>
    </cfRule>
    <cfRule type="cellIs" dxfId="195" priority="1869" operator="lessThan">
      <formula>$I$12</formula>
    </cfRule>
  </conditionalFormatting>
  <conditionalFormatting sqref="J39:J40">
    <cfRule type="cellIs" dxfId="194" priority="1826" operator="lessThan">
      <formula>$I$12</formula>
    </cfRule>
  </conditionalFormatting>
  <conditionalFormatting sqref="J44:J49">
    <cfRule type="cellIs" dxfId="193" priority="240" operator="lessThan">
      <formula>$I$12</formula>
    </cfRule>
  </conditionalFormatting>
  <conditionalFormatting sqref="J51:J53">
    <cfRule type="cellIs" dxfId="192" priority="1853" operator="lessThan">
      <formula>$I$12</formula>
    </cfRule>
  </conditionalFormatting>
  <conditionalFormatting sqref="K8">
    <cfRule type="cellIs" dxfId="191" priority="1" operator="greaterThan">
      <formula>$K$17</formula>
    </cfRule>
    <cfRule type="cellIs" dxfId="190" priority="2" operator="lessThan">
      <formula>$K$17</formula>
    </cfRule>
  </conditionalFormatting>
  <conditionalFormatting sqref="K10:K12 K15">
    <cfRule type="cellIs" dxfId="189" priority="230" operator="greaterThan">
      <formula>1</formula>
    </cfRule>
    <cfRule type="cellIs" dxfId="188" priority="234" operator="lessThan">
      <formula>1</formula>
    </cfRule>
  </conditionalFormatting>
  <conditionalFormatting sqref="K13">
    <cfRule type="cellIs" dxfId="187" priority="226" operator="lessThan">
      <formula>$K$14</formula>
    </cfRule>
    <cfRule type="cellIs" dxfId="186" priority="227" operator="greaterThan">
      <formula>$K$14</formula>
    </cfRule>
  </conditionalFormatting>
  <conditionalFormatting sqref="M8:M15">
    <cfRule type="cellIs" dxfId="185" priority="228" operator="lessThan">
      <formula>1</formula>
    </cfRule>
    <cfRule type="cellIs" dxfId="184" priority="229" operator="greaterThan">
      <formula>1</formula>
    </cfRule>
  </conditionalFormatting>
  <conditionalFormatting sqref="N25:N43">
    <cfRule type="cellIs" dxfId="183" priority="18" operator="between">
      <formula>0.2</formula>
      <formula>0.25</formula>
    </cfRule>
  </conditionalFormatting>
  <conditionalFormatting sqref="N25:N49">
    <cfRule type="cellIs" dxfId="182" priority="19" operator="greaterThanOrEqual">
      <formula>0.25</formula>
    </cfRule>
  </conditionalFormatting>
  <conditionalFormatting sqref="N25:N56">
    <cfRule type="cellIs" dxfId="181" priority="20" operator="lessThan">
      <formula>0.2</formula>
    </cfRule>
  </conditionalFormatting>
  <conditionalFormatting sqref="N28:N38">
    <cfRule type="cellIs" dxfId="180" priority="27" operator="between">
      <formula>0.2</formula>
      <formula>0.25</formula>
    </cfRule>
    <cfRule type="cellIs" dxfId="179" priority="28" operator="greaterThanOrEqual">
      <formula>0.25</formula>
    </cfRule>
  </conditionalFormatting>
  <conditionalFormatting sqref="N36">
    <cfRule type="cellIs" dxfId="178" priority="1858" operator="between">
      <formula>0.2</formula>
      <formula>0.25</formula>
    </cfRule>
    <cfRule type="cellIs" dxfId="177" priority="1872" operator="greaterThanOrEqual">
      <formula>0.25</formula>
    </cfRule>
    <cfRule type="cellIs" dxfId="176" priority="1873" operator="between">
      <formula>0.2</formula>
      <formula>0.25</formula>
    </cfRule>
  </conditionalFormatting>
  <conditionalFormatting sqref="N39:N40">
    <cfRule type="cellIs" dxfId="175" priority="1832" operator="between">
      <formula>0.2</formula>
      <formula>0.25</formula>
    </cfRule>
  </conditionalFormatting>
  <conditionalFormatting sqref="N39:N56">
    <cfRule type="cellIs" dxfId="174" priority="50" operator="greaterThanOrEqual">
      <formula>0.25</formula>
    </cfRule>
  </conditionalFormatting>
  <conditionalFormatting sqref="N41:N56">
    <cfRule type="cellIs" dxfId="173" priority="49" operator="between">
      <formula>0.2</formula>
      <formula>0.25</formula>
    </cfRule>
  </conditionalFormatting>
  <conditionalFormatting sqref="N44:N49">
    <cfRule type="cellIs" dxfId="172" priority="241" operator="between">
      <formula>0.2</formula>
      <formula>0.25</formula>
    </cfRule>
  </conditionalFormatting>
  <conditionalFormatting sqref="N51:N53">
    <cfRule type="cellIs" dxfId="171" priority="1846" operator="between">
      <formula>0.2</formula>
      <formula>0.25</formula>
    </cfRule>
  </conditionalFormatting>
  <conditionalFormatting sqref="O25:O43">
    <cfRule type="cellIs" dxfId="170" priority="12" operator="between">
      <formula>0.9001</formula>
      <formula>0.9999</formula>
    </cfRule>
    <cfRule type="cellIs" dxfId="169" priority="13" operator="lessThan">
      <formula>0.9</formula>
    </cfRule>
    <cfRule type="cellIs" dxfId="168" priority="16" operator="between">
      <formula>0.85</formula>
      <formula>1</formula>
    </cfRule>
  </conditionalFormatting>
  <conditionalFormatting sqref="O25:O49">
    <cfRule type="cellIs" dxfId="167" priority="17" operator="between">
      <formula>0.01</formula>
      <formula>0.99</formula>
    </cfRule>
  </conditionalFormatting>
  <conditionalFormatting sqref="O25:O56">
    <cfRule type="cellIs" dxfId="166" priority="14" operator="greaterThan">
      <formula>1</formula>
    </cfRule>
    <cfRule type="cellIs" dxfId="165" priority="15" operator="greaterThan">
      <formula>100</formula>
    </cfRule>
  </conditionalFormatting>
  <conditionalFormatting sqref="O28:O38">
    <cfRule type="cellIs" dxfId="164" priority="25" operator="between">
      <formula>0.85</formula>
      <formula>1</formula>
    </cfRule>
    <cfRule type="cellIs" dxfId="163" priority="26" operator="between">
      <formula>0.01</formula>
      <formula>0.99</formula>
    </cfRule>
    <cfRule type="cellIs" dxfId="162" priority="1865" operator="lessThan">
      <formula>0.9</formula>
    </cfRule>
    <cfRule type="cellIs" dxfId="161" priority="1868" operator="between">
      <formula>0.9001</formula>
      <formula>0.9999</formula>
    </cfRule>
  </conditionalFormatting>
  <conditionalFormatting sqref="O36">
    <cfRule type="cellIs" dxfId="160" priority="1860" operator="between">
      <formula>0.85</formula>
      <formula>1</formula>
    </cfRule>
    <cfRule type="cellIs" dxfId="159" priority="1874" operator="between">
      <formula>0.01</formula>
      <formula>0.99</formula>
    </cfRule>
    <cfRule type="cellIs" dxfId="158" priority="1875" operator="between">
      <formula>0.85</formula>
      <formula>1</formula>
    </cfRule>
    <cfRule type="cellIs" dxfId="157" priority="1878" operator="lessThan">
      <formula>0.9</formula>
    </cfRule>
    <cfRule type="cellIs" dxfId="156" priority="1879" operator="between">
      <formula>0.9001</formula>
      <formula>0.9999</formula>
    </cfRule>
  </conditionalFormatting>
  <conditionalFormatting sqref="O39:O40">
    <cfRule type="cellIs" dxfId="155" priority="1836" operator="between">
      <formula>0.85</formula>
      <formula>1</formula>
    </cfRule>
    <cfRule type="cellIs" dxfId="154" priority="1842" operator="lessThan">
      <formula>0.9</formula>
    </cfRule>
    <cfRule type="cellIs" dxfId="153" priority="1844" operator="between">
      <formula>0.9001</formula>
      <formula>0.9999</formula>
    </cfRule>
  </conditionalFormatting>
  <conditionalFormatting sqref="O39:O56">
    <cfRule type="cellIs" dxfId="152" priority="48" operator="between">
      <formula>0.01</formula>
      <formula>0.99</formula>
    </cfRule>
  </conditionalFormatting>
  <conditionalFormatting sqref="O41:O56">
    <cfRule type="cellIs" dxfId="151" priority="43" operator="between">
      <formula>0.9001</formula>
      <formula>0.9999</formula>
    </cfRule>
    <cfRule type="cellIs" dxfId="150" priority="44" operator="lessThan">
      <formula>0.9</formula>
    </cfRule>
    <cfRule type="cellIs" dxfId="149" priority="47" operator="between">
      <formula>0.85</formula>
      <formula>1</formula>
    </cfRule>
  </conditionalFormatting>
  <conditionalFormatting sqref="O44:O49">
    <cfRule type="cellIs" dxfId="148" priority="242" operator="between">
      <formula>0.85</formula>
      <formula>1</formula>
    </cfRule>
    <cfRule type="cellIs" dxfId="147" priority="243" operator="lessThan">
      <formula>0.9</formula>
    </cfRule>
    <cfRule type="cellIs" dxfId="146" priority="244" operator="between">
      <formula>0.9001</formula>
      <formula>0.9999</formula>
    </cfRule>
  </conditionalFormatting>
  <conditionalFormatting sqref="O51:O53">
    <cfRule type="cellIs" dxfId="145" priority="1848" operator="between">
      <formula>0.85</formula>
      <formula>1</formula>
    </cfRule>
    <cfRule type="cellIs" dxfId="144" priority="1849" operator="lessThan">
      <formula>0.9</formula>
    </cfRule>
    <cfRule type="cellIs" dxfId="143" priority="1850" operator="between">
      <formula>0.9001</formula>
      <formula>0.9999</formula>
    </cfRule>
  </conditionalFormatting>
  <conditionalFormatting sqref="P10:Q10">
    <cfRule type="cellIs" dxfId="142" priority="232" operator="lessThan">
      <formula>0</formula>
    </cfRule>
  </conditionalFormatting>
  <conditionalFormatting sqref="T13 W13 T19">
    <cfRule type="cellIs" dxfId="141" priority="3" operator="between">
      <formula>0.9</formula>
      <formula>0.95</formula>
    </cfRule>
    <cfRule type="cellIs" dxfId="140" priority="4" operator="lessThan">
      <formula>0.9</formula>
    </cfRule>
    <cfRule type="cellIs" dxfId="139" priority="5" operator="greaterThan">
      <formula>0.95</formula>
    </cfRule>
  </conditionalFormatting>
  <conditionalFormatting sqref="W13">
    <cfRule type="cellIs" dxfId="138" priority="6" operator="lessThan">
      <formula>1</formula>
    </cfRule>
    <cfRule type="cellIs" dxfId="137" priority="7" operator="greaterThan">
      <formula>1</formula>
    </cfRule>
    <cfRule type="cellIs" dxfId="136" priority="8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U57"/>
  <sheetViews>
    <sheetView showZeros="0" topLeftCell="A18" workbookViewId="0">
      <pane xSplit="2" topLeftCell="C1" activePane="topRight" state="frozen"/>
      <selection activeCell="A42" sqref="A42:XFD42"/>
      <selection pane="topRight" activeCell="A18" sqref="A18"/>
    </sheetView>
  </sheetViews>
  <sheetFormatPr baseColWidth="10" defaultColWidth="9.1640625" defaultRowHeight="15"/>
  <cols>
    <col min="1" max="1" width="4.1640625" style="239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578">
        <f ca="1">TODAY()-1</f>
        <v>46000</v>
      </c>
      <c r="C1" s="578"/>
      <c r="D1" s="11"/>
      <c r="E1" s="11"/>
      <c r="F1" s="12"/>
      <c r="G1" s="12"/>
      <c r="H1" s="12"/>
      <c r="I1" s="12"/>
      <c r="J1" s="204"/>
      <c r="K1" s="204"/>
      <c r="L1" s="204"/>
      <c r="M1" s="204"/>
      <c r="N1" s="204"/>
      <c r="O1" s="204"/>
      <c r="P1" s="204"/>
      <c r="Q1" s="579"/>
      <c r="R1" s="579"/>
      <c r="S1" s="579"/>
      <c r="T1" s="579"/>
      <c r="U1" s="12"/>
      <c r="V1" s="12"/>
      <c r="W1" s="12"/>
    </row>
    <row r="2" spans="2:24" ht="21.75" customHeight="1">
      <c r="B2" s="580" t="s">
        <v>0</v>
      </c>
      <c r="C2" s="580"/>
      <c r="D2" s="11"/>
      <c r="E2" s="11"/>
      <c r="F2" s="12"/>
      <c r="G2" s="12"/>
      <c r="H2" s="12"/>
      <c r="I2" s="12"/>
      <c r="J2" s="581" t="s">
        <v>68</v>
      </c>
      <c r="K2" s="581"/>
      <c r="L2" s="581"/>
      <c r="M2" s="581"/>
      <c r="N2" s="581"/>
      <c r="O2" s="581"/>
      <c r="P2" s="581"/>
      <c r="Q2" s="579"/>
      <c r="R2" s="579"/>
      <c r="S2" s="579"/>
      <c r="T2" s="579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2" t="s">
        <v>70</v>
      </c>
      <c r="K3" s="583"/>
      <c r="L3" s="583"/>
      <c r="M3" s="583"/>
      <c r="N3" s="584"/>
      <c r="O3" s="204"/>
      <c r="P3" s="205"/>
      <c r="Q3" s="579"/>
      <c r="R3" s="579"/>
      <c r="S3" s="579"/>
      <c r="T3" s="579"/>
      <c r="U3" s="12"/>
      <c r="V3" s="12"/>
      <c r="W3" s="12"/>
    </row>
    <row r="4" spans="2:24" ht="15" customHeight="1">
      <c r="B4" s="11"/>
      <c r="C4" s="588">
        <f>I8-D50</f>
        <v>470227.08333333337</v>
      </c>
      <c r="D4" s="589"/>
      <c r="E4" s="206">
        <f>IF(I8&lt;&gt;0,C4/I8,0)</f>
        <v>1</v>
      </c>
      <c r="F4" s="12"/>
      <c r="G4" s="12"/>
      <c r="H4" s="12"/>
      <c r="I4" s="12"/>
      <c r="J4" s="585"/>
      <c r="K4" s="586"/>
      <c r="L4" s="586"/>
      <c r="M4" s="586"/>
      <c r="N4" s="587"/>
      <c r="O4" s="12"/>
      <c r="P4" s="12"/>
      <c r="Q4" s="579"/>
      <c r="R4" s="579"/>
      <c r="S4" s="579"/>
      <c r="T4" s="579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590"/>
      <c r="K5" s="590"/>
      <c r="L5" s="590"/>
      <c r="M5" s="590"/>
      <c r="N5" s="590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0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07"/>
      <c r="C7" s="12"/>
      <c r="D7" s="12"/>
      <c r="E7" s="12"/>
      <c r="F7" s="505" t="s">
        <v>3</v>
      </c>
      <c r="G7" s="506"/>
      <c r="H7" s="50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08" t="s">
        <v>11</v>
      </c>
      <c r="Q7" s="509"/>
      <c r="R7" s="21"/>
      <c r="S7" s="21"/>
      <c r="T7" s="12"/>
      <c r="U7" s="12"/>
      <c r="V7" s="12"/>
      <c r="W7" s="12"/>
    </row>
    <row r="8" spans="2:24" ht="15.75" customHeight="1">
      <c r="B8" s="207"/>
      <c r="C8" s="12"/>
      <c r="D8" s="12"/>
      <c r="E8" s="240"/>
      <c r="F8" s="510" t="s">
        <v>12</v>
      </c>
      <c r="G8" s="511"/>
      <c r="H8" s="512"/>
      <c r="I8" s="208">
        <f>'Ялта, Ленина, 18'!I8/График!AJ31*График!AJ28</f>
        <v>470227.08333333337</v>
      </c>
      <c r="J8" s="209">
        <f>D57</f>
        <v>194103</v>
      </c>
      <c r="K8" s="30">
        <f t="shared" ref="K8:K9" si="0">IF(AND(I8&lt;&gt;"",I8&lt;&gt;0,J8&lt;&gt;""),J8/I8,"")</f>
        <v>0.4127856664997851</v>
      </c>
      <c r="L8" s="210">
        <f>IF(SUMIF($D$25:$D$56,"&gt;=0",$P$25:$P$56)&lt;&gt;0,I8*D57/SUMIF($D$25:$D$56,"&gt;=0",$P$25:$P$56),0)</f>
        <v>307329.75</v>
      </c>
      <c r="M8" s="241">
        <f t="shared" ref="M8:M9" si="1">IF(AND(I8&lt;&gt;"",I8&lt;&gt;0,L8&lt;&gt;"",L8&lt;&gt;0),L8/I8,"")</f>
        <v>0.6535773052913264</v>
      </c>
      <c r="N8" s="35">
        <f t="shared" ref="N8:N9" si="2">IF(AND(J8&lt;&gt;0,J8&lt;&gt;"",I8&lt;&gt;0,I8&lt;&gt;""),L8-I8,"")</f>
        <v>-162897.33333333337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4" ht="15.75" customHeight="1">
      <c r="B9" s="207"/>
      <c r="C9" s="12"/>
      <c r="D9" s="12"/>
      <c r="E9" s="12"/>
      <c r="F9" s="513" t="s">
        <v>13</v>
      </c>
      <c r="G9" s="514"/>
      <c r="H9" s="515"/>
      <c r="I9" s="38">
        <f>I8/I11</f>
        <v>72.342628205128207</v>
      </c>
      <c r="J9" s="242">
        <f>E57</f>
        <v>31</v>
      </c>
      <c r="K9" s="40">
        <f t="shared" si="0"/>
        <v>0.42851636399080228</v>
      </c>
      <c r="L9" s="243">
        <f>IF(SUMIF($E$25:$E$54,"&gt;=0",$Q$25:$Q$54)&lt;&gt;0,I9*E57/SUMIF($E$25:$E$54,"&gt;=0",$Q$25:$Q$54),0)</f>
        <v>49.083333333333321</v>
      </c>
      <c r="M9" s="244">
        <f t="shared" si="1"/>
        <v>0.67848424298543686</v>
      </c>
      <c r="N9" s="43">
        <f t="shared" si="2"/>
        <v>-23.259294871794886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4" ht="15.75" customHeight="1">
      <c r="B10" s="207"/>
      <c r="C10" s="12"/>
      <c r="D10" s="12"/>
      <c r="E10" s="12"/>
      <c r="F10" s="510" t="s">
        <v>14</v>
      </c>
      <c r="G10" s="511"/>
      <c r="H10" s="512"/>
      <c r="I10" s="50">
        <f>I11*I12</f>
        <v>11050</v>
      </c>
      <c r="J10" s="214">
        <f>H57</f>
        <v>8439.2608695652179</v>
      </c>
      <c r="K10" s="47">
        <f t="shared" ref="K10:K19" si="5">IF(AND(I10&lt;&gt;"",I10&lt;&gt;0,J10&lt;&gt;""),J10/I10,"")</f>
        <v>0.76373401534526864</v>
      </c>
      <c r="L10" s="212">
        <f>J10</f>
        <v>8439.2608695652179</v>
      </c>
      <c r="M10" s="245">
        <f t="shared" ref="M10:M20" si="6">IF(AND(I10&lt;&gt;"",I10&lt;&gt;0,L10&lt;&gt;"",L10&lt;&gt;0),L10/I10,"")</f>
        <v>0.76373401534526864</v>
      </c>
      <c r="N10" s="49">
        <f t="shared" ref="N10:N20" si="7">IF(AND(J10&lt;&gt;0,J10&lt;&gt;"",I10&lt;&gt;0,I10&lt;&gt;""),L10-I10,"")</f>
        <v>-2610.7391304347821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20" t="s">
        <v>36</v>
      </c>
      <c r="T10" s="520"/>
      <c r="U10" s="12"/>
      <c r="V10" s="520" t="str">
        <f>M23</f>
        <v>Agafi</v>
      </c>
      <c r="W10" s="520"/>
    </row>
    <row r="11" spans="2:24" ht="15.75" customHeight="1">
      <c r="B11" s="207"/>
      <c r="C11" s="12"/>
      <c r="D11" s="12"/>
      <c r="E11" s="12"/>
      <c r="F11" s="513" t="s">
        <v>15</v>
      </c>
      <c r="G11" s="514"/>
      <c r="H11" s="515"/>
      <c r="I11" s="52">
        <f>'Ялта, Ленина, 18'!I11</f>
        <v>6500</v>
      </c>
      <c r="J11" s="242">
        <f>F57</f>
        <v>6261.3870967741932</v>
      </c>
      <c r="K11" s="40">
        <f t="shared" si="5"/>
        <v>0.96329032258064506</v>
      </c>
      <c r="L11" s="243">
        <f>IF(L9&gt;0,L8/L9,"")</f>
        <v>6261.387096774195</v>
      </c>
      <c r="M11" s="244">
        <f t="shared" si="6"/>
        <v>0.9632903225806454</v>
      </c>
      <c r="N11" s="43">
        <f t="shared" si="7"/>
        <v>-238.61290322580498</v>
      </c>
      <c r="O11" s="53"/>
      <c r="P11" s="43" t="str">
        <f t="shared" si="8"/>
        <v/>
      </c>
      <c r="Q11" s="45" t="str">
        <f t="shared" si="9"/>
        <v/>
      </c>
      <c r="R11" s="21"/>
      <c r="S11" s="520"/>
      <c r="T11" s="520"/>
      <c r="U11" s="12"/>
      <c r="V11" s="520"/>
      <c r="W11" s="520"/>
    </row>
    <row r="12" spans="2:24" ht="15.75" customHeight="1">
      <c r="B12" s="207"/>
      <c r="C12" s="12"/>
      <c r="D12" s="12"/>
      <c r="E12" s="12"/>
      <c r="F12" s="513" t="s">
        <v>16</v>
      </c>
      <c r="G12" s="514"/>
      <c r="H12" s="515"/>
      <c r="I12" s="54">
        <f>'Ялта, Ленина, 18'!I12</f>
        <v>1.7</v>
      </c>
      <c r="J12" s="55">
        <f>J57</f>
        <v>1.3478260869565217</v>
      </c>
      <c r="K12" s="40">
        <f t="shared" si="5"/>
        <v>0.79283887468030689</v>
      </c>
      <c r="L12" s="218">
        <f>J12</f>
        <v>1.3478260869565217</v>
      </c>
      <c r="M12" s="246">
        <f t="shared" si="6"/>
        <v>0.79283887468030689</v>
      </c>
      <c r="N12" s="57">
        <f t="shared" si="7"/>
        <v>-0.35217391304347823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18'!S12*График!AJ28/График!AJ31</f>
        <v>116057.69230769231</v>
      </c>
      <c r="T12" s="60">
        <f>L57</f>
        <v>34346</v>
      </c>
      <c r="U12" s="247">
        <f>S12-T12</f>
        <v>81711.692307692312</v>
      </c>
      <c r="V12" s="59">
        <f>'Ялта, Ленина, 18'!V12/График!AJ31*График!AJ28</f>
        <v>109230.76923076923</v>
      </c>
      <c r="W12" s="60">
        <f>M57</f>
        <v>0</v>
      </c>
      <c r="X12" s="248">
        <f>V12-W12</f>
        <v>109230.76923076923</v>
      </c>
    </row>
    <row r="13" spans="2:24" ht="15.75" customHeight="1">
      <c r="B13" s="207"/>
      <c r="C13" s="12"/>
      <c r="D13" s="12"/>
      <c r="E13" s="12"/>
      <c r="F13" s="513" t="s">
        <v>17</v>
      </c>
      <c r="G13" s="514"/>
      <c r="H13" s="515"/>
      <c r="I13" s="38">
        <f>IF(I12&lt;&gt;0,I9/I12,"")</f>
        <v>42.554487179487182</v>
      </c>
      <c r="J13" s="242">
        <f>G57</f>
        <v>23</v>
      </c>
      <c r="K13" s="40">
        <f t="shared" si="5"/>
        <v>0.54048354296904422</v>
      </c>
      <c r="L13" s="243">
        <f>IF(SUMIF($G$25:$G$54,"&gt;=0",$R$25:$R$54)&lt;&gt;0,I13*G57/SUMIF($G$25:$G$54,"&gt;=0",$R$25:$R$54),"")</f>
        <v>36.416666666666664</v>
      </c>
      <c r="M13" s="244">
        <f t="shared" si="6"/>
        <v>0.85576560970098658</v>
      </c>
      <c r="N13" s="57">
        <f t="shared" si="7"/>
        <v>-6.1378205128205181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0.2959390223695112</v>
      </c>
      <c r="T13" s="62">
        <f>S13/J14*I14</f>
        <v>0.2959390223695112</v>
      </c>
      <c r="U13" s="12"/>
      <c r="V13" s="62">
        <f>W12/V12</f>
        <v>0</v>
      </c>
      <c r="W13" s="62">
        <f>V13/J14*I14</f>
        <v>0</v>
      </c>
    </row>
    <row r="14" spans="2:24" ht="15.75" customHeight="1">
      <c r="B14" s="207"/>
      <c r="C14" s="12"/>
      <c r="D14" s="12"/>
      <c r="E14" s="12"/>
      <c r="F14" s="513" t="s">
        <v>65</v>
      </c>
      <c r="G14" s="514"/>
      <c r="H14" s="515"/>
      <c r="I14" s="52">
        <f>График!AI27</f>
        <v>19</v>
      </c>
      <c r="J14" s="64">
        <v>19</v>
      </c>
      <c r="K14" s="40">
        <f t="shared" si="5"/>
        <v>1</v>
      </c>
      <c r="L14" s="41">
        <f>I14</f>
        <v>19</v>
      </c>
      <c r="M14" s="246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4" ht="15.75" customHeight="1">
      <c r="B15" s="207"/>
      <c r="C15" s="12"/>
      <c r="D15" s="12"/>
      <c r="E15" s="12"/>
      <c r="F15" s="513" t="s">
        <v>19</v>
      </c>
      <c r="G15" s="514"/>
      <c r="H15" s="515"/>
      <c r="I15" s="75">
        <f>'Ялта, Ленина, 18'!I15</f>
        <v>68878.333333333328</v>
      </c>
      <c r="J15" s="242">
        <f>J8/J14</f>
        <v>10215.947368421053</v>
      </c>
      <c r="K15" s="68">
        <f t="shared" si="5"/>
        <v>0.14831873644476087</v>
      </c>
      <c r="L15" s="243">
        <f t="shared" ref="L15:L16" si="10">J15</f>
        <v>10215.947368421053</v>
      </c>
      <c r="M15" s="244">
        <f t="shared" si="6"/>
        <v>0.14831873644476087</v>
      </c>
      <c r="N15" s="43">
        <f t="shared" si="7"/>
        <v>-58662.385964912275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4" ht="15.75" customHeight="1">
      <c r="B16" s="207"/>
      <c r="C16" s="12"/>
      <c r="D16" s="12"/>
      <c r="E16" s="12"/>
      <c r="F16" s="513" t="s">
        <v>20</v>
      </c>
      <c r="G16" s="514"/>
      <c r="H16" s="515"/>
      <c r="I16" s="75"/>
      <c r="J16" s="39">
        <f>J8-I15*J14</f>
        <v>-1114585.3333333333</v>
      </c>
      <c r="K16" s="68" t="str">
        <f t="shared" si="5"/>
        <v/>
      </c>
      <c r="L16" s="212">
        <f t="shared" si="10"/>
        <v>-1114585.3333333333</v>
      </c>
      <c r="M16" s="249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20" t="s">
        <v>35</v>
      </c>
      <c r="T16" s="520"/>
      <c r="U16" s="12"/>
      <c r="V16" s="12"/>
      <c r="W16" s="12"/>
    </row>
    <row r="17" spans="1:33" ht="15.75" customHeight="1">
      <c r="B17" s="207"/>
      <c r="C17" s="12"/>
      <c r="D17" s="219"/>
      <c r="E17" s="12"/>
      <c r="F17" s="513" t="s">
        <v>21</v>
      </c>
      <c r="G17" s="514"/>
      <c r="H17" s="515"/>
      <c r="I17" s="75">
        <f>'Ялта, Ленина, 18'!I17/График!AJ31*График!AJ28</f>
        <v>386.85897435897436</v>
      </c>
      <c r="J17" s="242">
        <f>I57</f>
        <v>318</v>
      </c>
      <c r="K17" s="68">
        <f t="shared" si="5"/>
        <v>0.82200497100248548</v>
      </c>
      <c r="L17" s="243">
        <f>J17/J14*I14</f>
        <v>318</v>
      </c>
      <c r="M17" s="250">
        <f t="shared" si="6"/>
        <v>0.82200497100248548</v>
      </c>
      <c r="N17" s="43">
        <f t="shared" si="7"/>
        <v>-68.858974358974365</v>
      </c>
      <c r="O17" s="71"/>
      <c r="P17" s="43" t="str">
        <f t="shared" si="8"/>
        <v/>
      </c>
      <c r="Q17" s="45" t="str">
        <f t="shared" si="9"/>
        <v/>
      </c>
      <c r="R17" s="21"/>
      <c r="S17" s="520"/>
      <c r="T17" s="520"/>
      <c r="U17" s="12"/>
      <c r="V17" s="12"/>
      <c r="W17" s="12"/>
    </row>
    <row r="18" spans="1:33" ht="15.75" customHeight="1">
      <c r="B18" s="207"/>
      <c r="C18" s="12"/>
      <c r="D18" s="12"/>
      <c r="E18" s="12"/>
      <c r="F18" s="513"/>
      <c r="G18" s="514"/>
      <c r="H18" s="515"/>
      <c r="I18" s="76"/>
      <c r="J18" s="39"/>
      <c r="K18" s="68" t="str">
        <f t="shared" si="5"/>
        <v/>
      </c>
      <c r="L18" s="212">
        <f t="shared" ref="L18:L19" si="11">J18</f>
        <v>0</v>
      </c>
      <c r="M18" s="249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18'!S18*График!AJ28/График!AJ31</f>
        <v>232115.38461538462</v>
      </c>
      <c r="T18" s="60">
        <f>K57</f>
        <v>29977</v>
      </c>
      <c r="U18" s="12"/>
      <c r="V18" s="12"/>
      <c r="W18" s="12"/>
    </row>
    <row r="19" spans="1:33" ht="15.75" customHeight="1">
      <c r="B19" s="207"/>
      <c r="C19" s="12"/>
      <c r="D19" s="12"/>
      <c r="E19" s="12"/>
      <c r="F19" s="513"/>
      <c r="G19" s="514"/>
      <c r="H19" s="515"/>
      <c r="I19" s="76"/>
      <c r="J19" s="242"/>
      <c r="K19" s="68" t="str">
        <f t="shared" si="5"/>
        <v/>
      </c>
      <c r="L19" s="243">
        <f t="shared" si="11"/>
        <v>0</v>
      </c>
      <c r="M19" s="250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0.12914697597348798</v>
      </c>
      <c r="T19" s="62">
        <f>S19/J14*I14</f>
        <v>0.12914697597348798</v>
      </c>
      <c r="U19" s="12"/>
      <c r="V19" s="12"/>
      <c r="W19" s="12"/>
    </row>
    <row r="20" spans="1:33" ht="15.75" customHeight="1">
      <c r="B20" s="207"/>
      <c r="C20" s="12"/>
      <c r="D20" s="12"/>
      <c r="E20" s="12"/>
      <c r="F20" s="521" t="s">
        <v>22</v>
      </c>
      <c r="G20" s="521"/>
      <c r="H20" s="521"/>
      <c r="I20" s="222">
        <f>'Ялта, Ленина, 18'!I20</f>
        <v>0.11</v>
      </c>
      <c r="J20" s="223">
        <f>N57</f>
        <v>7.2327044025157231E-2</v>
      </c>
      <c r="K20" s="224">
        <f>J20/I20</f>
        <v>0.65751858204688396</v>
      </c>
      <c r="L20" s="225">
        <f>IF(AND(K8&lt;&gt;0,I14&lt;&gt;0,I57&lt;&gt;0),(I57*N57+(I57/K8-I57)*I20)/(I57/K8),0)</f>
        <v>9.4449143758907464E-2</v>
      </c>
      <c r="M20" s="225">
        <f t="shared" si="6"/>
        <v>0.85862857962643147</v>
      </c>
      <c r="N20" s="85">
        <f t="shared" si="7"/>
        <v>-1.5550856241092537E-2</v>
      </c>
      <c r="O20" s="86"/>
      <c r="P20" s="87" t="str">
        <f t="shared" si="8"/>
        <v/>
      </c>
      <c r="Q20" s="88" t="str">
        <f t="shared" si="9"/>
        <v/>
      </c>
      <c r="R20" s="21"/>
      <c r="S20" s="21"/>
      <c r="T20" s="12"/>
      <c r="U20" s="12"/>
      <c r="V20" s="12"/>
      <c r="W20" s="12"/>
    </row>
    <row r="21" spans="1:33" ht="15.75" customHeight="1">
      <c r="B21" s="20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597" t="s">
        <v>23</v>
      </c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8" t="s">
        <v>24</v>
      </c>
      <c r="P22" s="597" t="s">
        <v>25</v>
      </c>
      <c r="Q22" s="597"/>
      <c r="R22" s="597"/>
      <c r="S22" s="597"/>
      <c r="T22" s="597"/>
      <c r="U22" s="597"/>
      <c r="V22" s="597"/>
      <c r="W22" s="597"/>
    </row>
    <row r="23" spans="1:33" ht="36">
      <c r="B23" s="226" t="s">
        <v>27</v>
      </c>
      <c r="C23" s="226" t="s">
        <v>28</v>
      </c>
      <c r="D23" s="226" t="s">
        <v>29</v>
      </c>
      <c r="E23" s="226" t="s">
        <v>30</v>
      </c>
      <c r="F23" s="226" t="s">
        <v>31</v>
      </c>
      <c r="G23" s="226" t="s">
        <v>32</v>
      </c>
      <c r="H23" s="226" t="s">
        <v>33</v>
      </c>
      <c r="I23" s="226" t="s">
        <v>21</v>
      </c>
      <c r="J23" s="226" t="s">
        <v>34</v>
      </c>
      <c r="K23" s="91" t="s">
        <v>35</v>
      </c>
      <c r="L23" s="91" t="s">
        <v>36</v>
      </c>
      <c r="M23" s="91" t="s">
        <v>37</v>
      </c>
      <c r="N23" s="226" t="s">
        <v>38</v>
      </c>
      <c r="O23" s="598"/>
      <c r="P23" s="226" t="s">
        <v>39</v>
      </c>
      <c r="Q23" s="226" t="s">
        <v>40</v>
      </c>
      <c r="R23" s="226" t="s">
        <v>41</v>
      </c>
      <c r="S23" s="226" t="s">
        <v>42</v>
      </c>
      <c r="T23" s="226" t="s">
        <v>43</v>
      </c>
      <c r="U23" s="226" t="s">
        <v>44</v>
      </c>
      <c r="V23" s="227" t="s">
        <v>45</v>
      </c>
      <c r="W23" s="227" t="s">
        <v>46</v>
      </c>
      <c r="X23" s="132"/>
    </row>
    <row r="24" spans="1:33">
      <c r="B24" s="228">
        <v>1</v>
      </c>
      <c r="C24" s="228">
        <v>2</v>
      </c>
      <c r="D24" s="228">
        <v>3</v>
      </c>
      <c r="E24" s="228" t="s">
        <v>69</v>
      </c>
      <c r="F24" s="228">
        <v>5</v>
      </c>
      <c r="G24" s="228">
        <v>6</v>
      </c>
      <c r="H24" s="228">
        <v>7</v>
      </c>
      <c r="I24" s="228">
        <v>8</v>
      </c>
      <c r="J24" s="228">
        <v>9</v>
      </c>
      <c r="K24" s="228">
        <v>10</v>
      </c>
      <c r="L24" s="228">
        <v>11</v>
      </c>
      <c r="M24" s="228">
        <v>12</v>
      </c>
      <c r="N24" s="228">
        <v>13</v>
      </c>
      <c r="O24" s="598"/>
      <c r="P24" s="230">
        <v>1</v>
      </c>
      <c r="Q24" s="230">
        <v>2</v>
      </c>
      <c r="R24" s="230">
        <v>3</v>
      </c>
      <c r="S24" s="230">
        <v>4</v>
      </c>
      <c r="T24" s="230">
        <v>5</v>
      </c>
      <c r="U24" s="230">
        <v>6</v>
      </c>
      <c r="V24" s="230">
        <v>10</v>
      </c>
      <c r="W24" s="230">
        <v>11</v>
      </c>
    </row>
    <row r="25" spans="1:33">
      <c r="A25" s="96">
        <v>1</v>
      </c>
      <c r="B25" s="97">
        <v>45962</v>
      </c>
      <c r="C25" s="98" t="s">
        <v>48</v>
      </c>
      <c r="D25" s="99">
        <f>10584+8403</f>
        <v>18987</v>
      </c>
      <c r="E25" s="100">
        <v>4</v>
      </c>
      <c r="F25" s="100">
        <f t="shared" ref="F25:F57" si="12">IF(AND(E25&lt;&gt;"",E25&lt;&gt;0),D25/E25,"")</f>
        <v>4746.75</v>
      </c>
      <c r="G25" s="100">
        <v>3</v>
      </c>
      <c r="H25" s="100">
        <f t="shared" ref="H25:H57" si="13">IF(AND(G25&lt;&gt;"",G25&lt;&gt;0),D25/G25,"")</f>
        <v>6329</v>
      </c>
      <c r="I25" s="100">
        <v>20</v>
      </c>
      <c r="J25" s="99">
        <f t="shared" ref="J25:J57" si="14">IF(AND(G25&lt;&gt;"",G25&lt;&gt;0),E25/G25,"")</f>
        <v>1.3333333333333333</v>
      </c>
      <c r="K25" s="100"/>
      <c r="L25" s="100">
        <v>8403</v>
      </c>
      <c r="M25" s="100"/>
      <c r="N25" s="101">
        <f t="shared" ref="N25:N57" si="15">IF(AND(I25&lt;&gt;"",I25&lt;&gt;0),G25/I25,"")</f>
        <v>0.15</v>
      </c>
      <c r="O25" s="102">
        <f t="shared" ref="O25:O57" si="16">D25/P25</f>
        <v>0.76718890252493244</v>
      </c>
      <c r="P25" s="234">
        <f t="shared" ref="P25:P56" si="17">$I$8*V25*W25/SUMPRODUCT($W$25:$W$56,$V$25:$V$56)</f>
        <v>24748.793859649126</v>
      </c>
      <c r="Q25" s="104">
        <f>$I$9*V25*W25/SUMPRODUCT($W$25:$W$56,$V$25:$V$56)</f>
        <v>3.8075067476383269</v>
      </c>
      <c r="R25" s="233">
        <f t="shared" ref="R25:R56" si="18">IF($I$12="","",Q25/$I$12)</f>
        <v>2.2397098515519569</v>
      </c>
      <c r="S25" s="103">
        <f>IF(D25&lt;&gt;"",D25,P25)</f>
        <v>18987</v>
      </c>
      <c r="T25" s="104">
        <f>IF(E25&lt;&gt;"",E25,Q25)</f>
        <v>4</v>
      </c>
      <c r="U25" s="104">
        <f>IF(G25&lt;&gt;"",G25,R25)</f>
        <v>3</v>
      </c>
      <c r="V25" s="237">
        <v>1</v>
      </c>
      <c r="W25" s="105">
        <v>1</v>
      </c>
      <c r="X25" s="106"/>
      <c r="Y25" s="107"/>
    </row>
    <row r="26" spans="1:33">
      <c r="A26" s="96">
        <v>2</v>
      </c>
      <c r="B26" s="97">
        <v>45964</v>
      </c>
      <c r="C26" s="98" t="s">
        <v>52</v>
      </c>
      <c r="D26" s="99"/>
      <c r="E26" s="100"/>
      <c r="F26" s="100" t="str">
        <f t="shared" si="12"/>
        <v/>
      </c>
      <c r="G26" s="100"/>
      <c r="H26" s="100" t="str">
        <f t="shared" si="13"/>
        <v/>
      </c>
      <c r="I26" s="100">
        <v>25</v>
      </c>
      <c r="J26" s="99" t="str">
        <f t="shared" si="14"/>
        <v/>
      </c>
      <c r="K26" s="100"/>
      <c r="L26" s="100"/>
      <c r="M26" s="100"/>
      <c r="N26" s="101">
        <f t="shared" si="15"/>
        <v>0</v>
      </c>
      <c r="O26" s="102">
        <f t="shared" si="16"/>
        <v>0</v>
      </c>
      <c r="P26" s="103">
        <f t="shared" si="17"/>
        <v>24748.793859649126</v>
      </c>
      <c r="Q26" s="233">
        <f t="shared" ref="Q26:Q56" si="19">$I$9*V26*W26/SUMPRODUCT($W$25:$W$58,$V$25:$V$58)</f>
        <v>3.8075067476383269</v>
      </c>
      <c r="R26" s="104">
        <f t="shared" si="18"/>
        <v>2.2397098515519569</v>
      </c>
      <c r="S26" s="234">
        <f>IF(W26&lt;&gt;"",IF(D26&lt;&gt;"",D26,($I$8-SUM($S$25:S25))*V26*W26/SUMPRODUCT($W26:$W$56,$V26:$V$56)),"")</f>
        <v>25068.893518518522</v>
      </c>
      <c r="T26" s="104">
        <f t="shared" ref="T26:T27" si="20">IF(W26&lt;&gt;"",IF(E26&lt;&gt;"",E26,($I$9-SUM($T$25:T25))*V26*W26/SUMPRODUCT($W26:$W$55,$V26:$V$55)),"")</f>
        <v>3.7968126780626781</v>
      </c>
      <c r="U26" s="104">
        <f t="shared" ref="U26:U27" si="21">IF(W26&lt;&gt;"",IF($I$12&lt;&gt;"",IF(G26&lt;&gt;"",G26,($I$9/$I$12-SUM($U$25:U25))*V26*W26/SUMPRODUCT($W26:$W$55,$V26:$V$55)),""),"")</f>
        <v>2.1974715099715101</v>
      </c>
      <c r="V26" s="105">
        <v>1</v>
      </c>
      <c r="W26" s="105">
        <v>1</v>
      </c>
      <c r="X26" s="108"/>
      <c r="Y26" s="107"/>
    </row>
    <row r="27" spans="1:33">
      <c r="A27" s="96">
        <v>3</v>
      </c>
      <c r="B27" s="97">
        <v>45965</v>
      </c>
      <c r="C27" s="98" t="s">
        <v>53</v>
      </c>
      <c r="D27" s="99">
        <v>5393</v>
      </c>
      <c r="E27" s="100">
        <v>1</v>
      </c>
      <c r="F27" s="100">
        <f t="shared" si="12"/>
        <v>5393</v>
      </c>
      <c r="G27" s="100">
        <v>1</v>
      </c>
      <c r="H27" s="100">
        <f t="shared" si="13"/>
        <v>5393</v>
      </c>
      <c r="I27" s="100">
        <v>30</v>
      </c>
      <c r="J27" s="99">
        <f t="shared" si="14"/>
        <v>1</v>
      </c>
      <c r="K27" s="100"/>
      <c r="L27" s="100"/>
      <c r="M27" s="100"/>
      <c r="N27" s="101">
        <f t="shared" si="15"/>
        <v>3.3333333333333333E-2</v>
      </c>
      <c r="O27" s="102">
        <f t="shared" si="16"/>
        <v>0.21790960927566022</v>
      </c>
      <c r="P27" s="234">
        <f t="shared" si="17"/>
        <v>24748.793859649126</v>
      </c>
      <c r="Q27" s="104">
        <f t="shared" si="19"/>
        <v>3.8075067476383269</v>
      </c>
      <c r="R27" s="233">
        <f t="shared" si="18"/>
        <v>2.2397098515519569</v>
      </c>
      <c r="S27" s="103">
        <f t="shared" ref="S27:S53" si="22">IF(W27&lt;&gt;"",IF(D27&lt;&gt;"",D27,($I$8-SUM($S$25:S26))*V27*W27/SUMPRODUCT($W27:$W$58,$V27:$V$58)),"")</f>
        <v>5393</v>
      </c>
      <c r="T27" s="104">
        <f t="shared" si="20"/>
        <v>1</v>
      </c>
      <c r="U27" s="104">
        <f t="shared" si="21"/>
        <v>1</v>
      </c>
      <c r="V27" s="237">
        <v>1</v>
      </c>
      <c r="W27" s="105">
        <v>1</v>
      </c>
      <c r="X27" s="108"/>
      <c r="Y27" s="107"/>
      <c r="Z27" s="113"/>
      <c r="AA27" s="2"/>
      <c r="AB27" s="2"/>
      <c r="AC27" s="2"/>
      <c r="AD27" s="2"/>
      <c r="AE27" s="2"/>
      <c r="AF27" s="2"/>
      <c r="AG27" s="2"/>
    </row>
    <row r="28" spans="1:33">
      <c r="A28" s="96">
        <v>4</v>
      </c>
      <c r="B28" s="97">
        <v>45967</v>
      </c>
      <c r="C28" s="122" t="s">
        <v>56</v>
      </c>
      <c r="D28" s="99"/>
      <c r="E28" s="109"/>
      <c r="F28" s="100" t="str">
        <f t="shared" si="12"/>
        <v/>
      </c>
      <c r="G28" s="109"/>
      <c r="H28" s="100" t="str">
        <f t="shared" si="13"/>
        <v/>
      </c>
      <c r="I28" s="109"/>
      <c r="J28" s="99" t="str">
        <f t="shared" si="14"/>
        <v/>
      </c>
      <c r="K28" s="109"/>
      <c r="L28" s="100"/>
      <c r="M28" s="109"/>
      <c r="N28" s="101" t="str">
        <f t="shared" si="15"/>
        <v/>
      </c>
      <c r="O28" s="232">
        <f t="shared" si="16"/>
        <v>0</v>
      </c>
      <c r="P28" s="103">
        <f t="shared" si="17"/>
        <v>24748.793859649126</v>
      </c>
      <c r="Q28" s="233">
        <f t="shared" si="19"/>
        <v>3.8075067476383269</v>
      </c>
      <c r="R28" s="104">
        <f t="shared" si="18"/>
        <v>2.2397098515519569</v>
      </c>
      <c r="S28" s="234">
        <f t="shared" si="22"/>
        <v>26298.636863425927</v>
      </c>
      <c r="T28" s="104">
        <f t="shared" ref="T28:T34" si="23">IF(W28&lt;&gt;"",IF(E28&lt;&gt;"",E28,($I$9-SUM($T$25:T27))*V28*W28/SUMPRODUCT($W28:$W$58,$V28:$V$58)),"")</f>
        <v>3.9716134704415955</v>
      </c>
      <c r="U28" s="233">
        <f t="shared" ref="U28:U53" si="24">IF(W28&lt;&gt;"",IF($I$12&lt;&gt;"",IF(G28&lt;&gt;"",G28,($I$9/$I$12-SUM($U$25:U27))*V28*W28/SUMPRODUCT($W28:$W$58,$V28:$V$58)),""),"")</f>
        <v>2.2723134793447297</v>
      </c>
      <c r="V28" s="105">
        <v>1</v>
      </c>
      <c r="W28" s="105">
        <v>1</v>
      </c>
      <c r="X28" s="108"/>
      <c r="Y28" s="107"/>
      <c r="Z28" s="2"/>
      <c r="AA28" s="2"/>
      <c r="AB28" s="2"/>
      <c r="AC28" s="2"/>
      <c r="AD28" s="2"/>
      <c r="AE28" s="2"/>
      <c r="AF28" s="2"/>
      <c r="AG28" s="2"/>
    </row>
    <row r="29" spans="1:33">
      <c r="A29" s="96">
        <v>5</v>
      </c>
      <c r="B29" s="97">
        <v>45968</v>
      </c>
      <c r="C29" s="98" t="s">
        <v>57</v>
      </c>
      <c r="D29" s="236">
        <v>14776</v>
      </c>
      <c r="E29" s="100">
        <v>3</v>
      </c>
      <c r="F29" s="100">
        <f t="shared" si="12"/>
        <v>4925.333333333333</v>
      </c>
      <c r="G29" s="100">
        <v>3</v>
      </c>
      <c r="H29" s="109">
        <f t="shared" si="13"/>
        <v>4925.333333333333</v>
      </c>
      <c r="I29" s="100">
        <v>20</v>
      </c>
      <c r="J29" s="236">
        <f t="shared" si="14"/>
        <v>1</v>
      </c>
      <c r="K29" s="100"/>
      <c r="L29" s="109"/>
      <c r="M29" s="100"/>
      <c r="N29" s="235">
        <f t="shared" si="15"/>
        <v>0.15</v>
      </c>
      <c r="O29" s="102">
        <f t="shared" si="16"/>
        <v>0.59703919648751258</v>
      </c>
      <c r="P29" s="234">
        <f t="shared" si="17"/>
        <v>24748.793859649126</v>
      </c>
      <c r="Q29" s="104">
        <f t="shared" si="19"/>
        <v>3.8075067476383269</v>
      </c>
      <c r="R29" s="233">
        <f t="shared" si="18"/>
        <v>2.2397098515519569</v>
      </c>
      <c r="S29" s="103">
        <f t="shared" si="22"/>
        <v>14776</v>
      </c>
      <c r="T29" s="233">
        <f t="shared" si="23"/>
        <v>3</v>
      </c>
      <c r="U29" s="104">
        <f t="shared" si="24"/>
        <v>3</v>
      </c>
      <c r="V29" s="237">
        <v>1</v>
      </c>
      <c r="W29" s="105">
        <v>1</v>
      </c>
      <c r="X29" s="108"/>
      <c r="Y29" s="107"/>
      <c r="Z29" s="2"/>
      <c r="AA29" s="2"/>
      <c r="AB29" s="2"/>
      <c r="AC29" s="2"/>
      <c r="AD29" s="2"/>
      <c r="AE29" s="2"/>
      <c r="AF29" s="2"/>
      <c r="AG29" s="2"/>
    </row>
    <row r="30" spans="1:33">
      <c r="A30" s="96">
        <v>6</v>
      </c>
      <c r="B30" s="97">
        <v>45969</v>
      </c>
      <c r="C30" s="122" t="s">
        <v>48</v>
      </c>
      <c r="D30" s="99">
        <v>15565</v>
      </c>
      <c r="E30" s="100">
        <v>4</v>
      </c>
      <c r="F30" s="109">
        <f t="shared" si="12"/>
        <v>3891.25</v>
      </c>
      <c r="G30" s="100">
        <v>2</v>
      </c>
      <c r="H30" s="100">
        <f t="shared" si="13"/>
        <v>7782.5</v>
      </c>
      <c r="I30" s="109">
        <v>20</v>
      </c>
      <c r="J30" s="99">
        <f t="shared" si="14"/>
        <v>2</v>
      </c>
      <c r="K30" s="109"/>
      <c r="L30" s="100"/>
      <c r="M30" s="109"/>
      <c r="N30" s="101">
        <f t="shared" si="15"/>
        <v>0.1</v>
      </c>
      <c r="O30" s="232">
        <f t="shared" si="16"/>
        <v>0.62891953798918065</v>
      </c>
      <c r="P30" s="103">
        <f t="shared" si="17"/>
        <v>24748.793859649126</v>
      </c>
      <c r="Q30" s="233">
        <f t="shared" si="19"/>
        <v>3.8075067476383269</v>
      </c>
      <c r="R30" s="104">
        <f t="shared" si="18"/>
        <v>2.2397098515519569</v>
      </c>
      <c r="S30" s="234">
        <f t="shared" si="22"/>
        <v>15565</v>
      </c>
      <c r="T30" s="104">
        <f t="shared" si="23"/>
        <v>4</v>
      </c>
      <c r="U30" s="233">
        <f t="shared" si="24"/>
        <v>2</v>
      </c>
      <c r="V30" s="105">
        <v>1</v>
      </c>
      <c r="W30" s="105">
        <v>1</v>
      </c>
      <c r="X30" s="108"/>
      <c r="Y30" s="107"/>
      <c r="Z30" s="2"/>
      <c r="AA30" s="2"/>
      <c r="AB30" s="2"/>
      <c r="AC30" s="2"/>
      <c r="AD30" s="2"/>
      <c r="AE30" s="2"/>
      <c r="AF30" s="2"/>
      <c r="AG30" s="2"/>
    </row>
    <row r="31" spans="1:33">
      <c r="A31" s="96">
        <v>7</v>
      </c>
      <c r="B31" s="97">
        <v>45972</v>
      </c>
      <c r="C31" s="98" t="s">
        <v>53</v>
      </c>
      <c r="D31" s="236"/>
      <c r="E31" s="100"/>
      <c r="F31" s="100" t="str">
        <f t="shared" si="12"/>
        <v/>
      </c>
      <c r="G31" s="109"/>
      <c r="H31" s="100" t="str">
        <f t="shared" si="13"/>
        <v/>
      </c>
      <c r="I31" s="100">
        <v>20</v>
      </c>
      <c r="J31" s="236" t="str">
        <f t="shared" si="14"/>
        <v/>
      </c>
      <c r="K31" s="100"/>
      <c r="L31" s="109"/>
      <c r="M31" s="100"/>
      <c r="N31" s="235">
        <f t="shared" si="15"/>
        <v>0</v>
      </c>
      <c r="O31" s="102">
        <f t="shared" si="16"/>
        <v>0</v>
      </c>
      <c r="P31" s="234">
        <f t="shared" si="17"/>
        <v>24748.793859649126</v>
      </c>
      <c r="Q31" s="104">
        <f t="shared" si="19"/>
        <v>3.8075067476383269</v>
      </c>
      <c r="R31" s="233">
        <f t="shared" si="18"/>
        <v>2.2397098515519569</v>
      </c>
      <c r="S31" s="103">
        <f t="shared" si="22"/>
        <v>28010.657919337609</v>
      </c>
      <c r="T31" s="233">
        <f t="shared" si="23"/>
        <v>4.0441693889710715</v>
      </c>
      <c r="U31" s="104">
        <f t="shared" si="24"/>
        <v>2.2372847838593035</v>
      </c>
      <c r="V31" s="237">
        <v>1</v>
      </c>
      <c r="W31" s="105">
        <v>1</v>
      </c>
      <c r="X31" s="108"/>
      <c r="Y31" s="107"/>
      <c r="AE31" s="2"/>
      <c r="AF31" s="2"/>
      <c r="AG31" s="2"/>
    </row>
    <row r="32" spans="1:33">
      <c r="A32" s="96">
        <v>8</v>
      </c>
      <c r="B32" s="97">
        <v>45973</v>
      </c>
      <c r="C32" s="122" t="s">
        <v>55</v>
      </c>
      <c r="D32" s="99">
        <v>16902</v>
      </c>
      <c r="E32" s="109">
        <v>1</v>
      </c>
      <c r="F32" s="100">
        <f t="shared" si="12"/>
        <v>16902</v>
      </c>
      <c r="G32" s="100">
        <v>1</v>
      </c>
      <c r="H32" s="109">
        <f t="shared" si="13"/>
        <v>16902</v>
      </c>
      <c r="I32" s="100">
        <v>15</v>
      </c>
      <c r="J32" s="99">
        <f t="shared" si="14"/>
        <v>1</v>
      </c>
      <c r="K32" s="100"/>
      <c r="L32" s="100">
        <v>16902</v>
      </c>
      <c r="M32" s="109"/>
      <c r="N32" s="101">
        <f t="shared" si="15"/>
        <v>6.6666666666666666E-2</v>
      </c>
      <c r="O32" s="232">
        <f t="shared" si="16"/>
        <v>0.68294237270113278</v>
      </c>
      <c r="P32" s="103">
        <f t="shared" si="17"/>
        <v>24748.793859649126</v>
      </c>
      <c r="Q32" s="233">
        <f t="shared" si="19"/>
        <v>3.8075067476383269</v>
      </c>
      <c r="R32" s="104">
        <f t="shared" si="18"/>
        <v>2.2397098515519569</v>
      </c>
      <c r="S32" s="234">
        <f t="shared" si="22"/>
        <v>16902</v>
      </c>
      <c r="T32" s="104">
        <f t="shared" si="23"/>
        <v>1</v>
      </c>
      <c r="U32" s="233">
        <f t="shared" si="24"/>
        <v>1</v>
      </c>
      <c r="V32" s="105">
        <v>1</v>
      </c>
      <c r="W32" s="105">
        <v>1</v>
      </c>
      <c r="X32" s="108"/>
      <c r="Y32" s="107"/>
      <c r="AE32" s="2"/>
      <c r="AF32" s="2"/>
      <c r="AG32" s="2"/>
    </row>
    <row r="33" spans="1:255">
      <c r="A33" s="96">
        <v>9</v>
      </c>
      <c r="B33" s="97">
        <v>45975</v>
      </c>
      <c r="C33" s="98" t="s">
        <v>57</v>
      </c>
      <c r="D33" s="236">
        <v>31566</v>
      </c>
      <c r="E33" s="100">
        <v>4</v>
      </c>
      <c r="F33" s="109">
        <f t="shared" si="12"/>
        <v>7891.5</v>
      </c>
      <c r="G33" s="100">
        <v>2</v>
      </c>
      <c r="H33" s="100">
        <f t="shared" si="13"/>
        <v>15783</v>
      </c>
      <c r="I33" s="109">
        <v>20</v>
      </c>
      <c r="J33" s="99">
        <f t="shared" si="14"/>
        <v>2</v>
      </c>
      <c r="K33" s="100"/>
      <c r="L33" s="109"/>
      <c r="M33" s="100"/>
      <c r="N33" s="235">
        <f t="shared" si="15"/>
        <v>0.1</v>
      </c>
      <c r="O33" s="102">
        <f t="shared" si="16"/>
        <v>1.2754560961237698</v>
      </c>
      <c r="P33" s="234">
        <f t="shared" si="17"/>
        <v>24748.793859649126</v>
      </c>
      <c r="Q33" s="104">
        <f t="shared" si="19"/>
        <v>3.8075067476383269</v>
      </c>
      <c r="R33" s="233">
        <f t="shared" si="18"/>
        <v>2.2397098515519569</v>
      </c>
      <c r="S33" s="103">
        <f t="shared" si="22"/>
        <v>31566</v>
      </c>
      <c r="T33" s="233">
        <f t="shared" si="23"/>
        <v>4</v>
      </c>
      <c r="U33" s="104">
        <f t="shared" si="24"/>
        <v>2</v>
      </c>
      <c r="V33" s="237">
        <v>1</v>
      </c>
      <c r="W33" s="105">
        <v>1</v>
      </c>
      <c r="X33" s="108"/>
      <c r="Y33" s="107"/>
      <c r="Z33" s="2"/>
      <c r="AA33" s="2"/>
      <c r="AB33" s="2"/>
      <c r="AC33" s="2"/>
      <c r="AD33" s="2"/>
      <c r="AE33" s="2"/>
      <c r="AF33" s="2"/>
      <c r="AG33" s="2"/>
    </row>
    <row r="34" spans="1:255" s="251" customFormat="1">
      <c r="A34" s="96">
        <v>10</v>
      </c>
      <c r="B34" s="97">
        <v>45977</v>
      </c>
      <c r="C34" s="122" t="s">
        <v>50</v>
      </c>
      <c r="D34" s="99">
        <v>14352</v>
      </c>
      <c r="E34" s="252">
        <v>3</v>
      </c>
      <c r="F34" s="100">
        <f t="shared" si="12"/>
        <v>4784</v>
      </c>
      <c r="G34" s="109">
        <v>2</v>
      </c>
      <c r="H34" s="100">
        <f t="shared" si="13"/>
        <v>7176</v>
      </c>
      <c r="I34" s="100">
        <v>12</v>
      </c>
      <c r="J34" s="236">
        <f t="shared" si="14"/>
        <v>1.5</v>
      </c>
      <c r="K34" s="100"/>
      <c r="L34" s="100"/>
      <c r="M34" s="109"/>
      <c r="N34" s="101">
        <f t="shared" si="15"/>
        <v>0.16666666666666666</v>
      </c>
      <c r="O34" s="232">
        <f t="shared" si="16"/>
        <v>0.579907048456198</v>
      </c>
      <c r="P34" s="103">
        <f t="shared" si="17"/>
        <v>24748.793859649126</v>
      </c>
      <c r="Q34" s="233">
        <f t="shared" si="19"/>
        <v>3.8075067476383269</v>
      </c>
      <c r="R34" s="104">
        <f t="shared" si="18"/>
        <v>2.2397098515519569</v>
      </c>
      <c r="S34" s="234">
        <f t="shared" si="22"/>
        <v>14352</v>
      </c>
      <c r="T34" s="104">
        <f t="shared" si="23"/>
        <v>3</v>
      </c>
      <c r="U34" s="233">
        <f t="shared" si="24"/>
        <v>2</v>
      </c>
      <c r="V34" s="105">
        <v>1</v>
      </c>
      <c r="W34" s="105">
        <v>1</v>
      </c>
      <c r="X34" s="108"/>
      <c r="Y34" s="107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96">
        <v>11</v>
      </c>
      <c r="B35" s="97">
        <v>45978</v>
      </c>
      <c r="C35" s="98" t="s">
        <v>52</v>
      </c>
      <c r="D35" s="99"/>
      <c r="E35" s="98"/>
      <c r="F35" s="100" t="str">
        <f t="shared" si="12"/>
        <v/>
      </c>
      <c r="G35" s="100"/>
      <c r="H35" s="100" t="str">
        <f t="shared" si="13"/>
        <v/>
      </c>
      <c r="I35" s="100">
        <v>13</v>
      </c>
      <c r="J35" s="99" t="str">
        <f t="shared" si="14"/>
        <v/>
      </c>
      <c r="K35" s="109"/>
      <c r="L35" s="100"/>
      <c r="M35" s="100"/>
      <c r="N35" s="235">
        <f t="shared" si="15"/>
        <v>0</v>
      </c>
      <c r="O35" s="102">
        <f t="shared" si="16"/>
        <v>0</v>
      </c>
      <c r="P35" s="234">
        <f t="shared" si="17"/>
        <v>24748.793859649126</v>
      </c>
      <c r="Q35" s="104">
        <f t="shared" si="19"/>
        <v>3.8075067476383269</v>
      </c>
      <c r="R35" s="233">
        <f t="shared" si="18"/>
        <v>2.2397098515519569</v>
      </c>
      <c r="S35" s="103">
        <f t="shared" si="22"/>
        <v>30367.543892450147</v>
      </c>
      <c r="T35" s="233">
        <f t="shared" ref="T35:T36" si="25">IF(W35&lt;&gt;"",IF(E34&lt;&gt;"",E34,($I$9-SUM($T$25:T34))*V35*W35/SUMPRODUCT($W35:$W$58,$V35:$V$58)),"")</f>
        <v>3</v>
      </c>
      <c r="U35" s="104">
        <f t="shared" si="24"/>
        <v>2.4274908229235153</v>
      </c>
      <c r="V35" s="237">
        <v>1</v>
      </c>
      <c r="W35" s="105">
        <v>1</v>
      </c>
      <c r="X35" s="108"/>
      <c r="Y35" s="107"/>
      <c r="Z35" s="2"/>
      <c r="AA35" s="2"/>
      <c r="AB35" s="2"/>
      <c r="AC35" s="2"/>
      <c r="AD35" s="2"/>
      <c r="AE35" s="2"/>
      <c r="AF35" s="2"/>
      <c r="AG35" s="2"/>
    </row>
    <row r="36" spans="1:255">
      <c r="A36" s="96">
        <v>11</v>
      </c>
      <c r="B36" s="97">
        <v>45979</v>
      </c>
      <c r="C36" s="122" t="s">
        <v>53</v>
      </c>
      <c r="D36" s="99"/>
      <c r="E36" s="98"/>
      <c r="F36" s="100" t="str">
        <f t="shared" si="12"/>
        <v/>
      </c>
      <c r="G36" s="100"/>
      <c r="H36" s="100" t="str">
        <f t="shared" si="13"/>
        <v/>
      </c>
      <c r="I36" s="109"/>
      <c r="J36" s="99" t="str">
        <f t="shared" si="14"/>
        <v/>
      </c>
      <c r="K36" s="253"/>
      <c r="L36" s="109"/>
      <c r="M36" s="100"/>
      <c r="N36" s="257" t="str">
        <f t="shared" si="15"/>
        <v/>
      </c>
      <c r="O36" s="102">
        <f t="shared" si="16"/>
        <v>0</v>
      </c>
      <c r="P36" s="258">
        <f t="shared" si="17"/>
        <v>24748.793859649126</v>
      </c>
      <c r="Q36" s="233">
        <f t="shared" si="19"/>
        <v>3.8075067476383269</v>
      </c>
      <c r="R36" s="259">
        <f t="shared" si="18"/>
        <v>2.2397098515519569</v>
      </c>
      <c r="S36" s="234">
        <f t="shared" si="22"/>
        <v>30367.543892450147</v>
      </c>
      <c r="T36" s="259">
        <f t="shared" si="25"/>
        <v>4.6912540834566077</v>
      </c>
      <c r="U36" s="233">
        <f t="shared" si="24"/>
        <v>2.4274908229235153</v>
      </c>
      <c r="V36" s="260">
        <v>1</v>
      </c>
      <c r="W36" s="105">
        <v>1</v>
      </c>
      <c r="X36" s="108"/>
      <c r="Y36" s="107"/>
      <c r="Z36" s="2"/>
      <c r="AA36" s="2"/>
      <c r="AB36" s="2"/>
      <c r="AC36" s="2"/>
      <c r="AD36" s="2"/>
      <c r="AE36" s="2"/>
      <c r="AF36" s="2"/>
      <c r="AG36" s="2"/>
    </row>
    <row r="37" spans="1:255">
      <c r="A37" s="96">
        <v>13</v>
      </c>
      <c r="B37" s="97">
        <v>45982</v>
      </c>
      <c r="C37" s="98" t="s">
        <v>57</v>
      </c>
      <c r="D37" s="99">
        <v>8212</v>
      </c>
      <c r="E37" s="100">
        <v>1</v>
      </c>
      <c r="F37" s="100">
        <f t="shared" si="12"/>
        <v>8212</v>
      </c>
      <c r="G37" s="100">
        <v>2</v>
      </c>
      <c r="H37" s="100">
        <f t="shared" si="13"/>
        <v>4106</v>
      </c>
      <c r="I37" s="100">
        <v>14</v>
      </c>
      <c r="J37" s="236">
        <f t="shared" si="14"/>
        <v>0.5</v>
      </c>
      <c r="K37" s="100"/>
      <c r="L37" s="100">
        <v>220</v>
      </c>
      <c r="M37" s="109"/>
      <c r="N37" s="261">
        <f t="shared" si="15"/>
        <v>0.14285714285714285</v>
      </c>
      <c r="O37" s="102">
        <f t="shared" si="16"/>
        <v>0.33181415007819798</v>
      </c>
      <c r="P37" s="234">
        <f t="shared" si="17"/>
        <v>24748.793859649126</v>
      </c>
      <c r="Q37" s="104">
        <f t="shared" si="19"/>
        <v>3.8075067476383269</v>
      </c>
      <c r="R37" s="233">
        <f t="shared" si="18"/>
        <v>2.2397098515519569</v>
      </c>
      <c r="S37" s="103">
        <f t="shared" si="22"/>
        <v>8212</v>
      </c>
      <c r="T37" s="233">
        <f t="shared" ref="T37:T53" si="26">IF(W37&lt;&gt;"",IF(E37&lt;&gt;"",E37,($I$9-SUM($T$25:T36))*V37*W37/SUMPRODUCT($W37:$W$58,$V37:$V$58)),"")</f>
        <v>1</v>
      </c>
      <c r="U37" s="104">
        <f t="shared" si="24"/>
        <v>2</v>
      </c>
      <c r="V37" s="237">
        <v>1</v>
      </c>
      <c r="W37" s="105">
        <v>1</v>
      </c>
      <c r="X37" s="108"/>
      <c r="Y37" s="107"/>
      <c r="Z37" s="2"/>
      <c r="AA37" s="2"/>
      <c r="AB37" s="2"/>
      <c r="AC37" s="2"/>
      <c r="AD37" s="2"/>
      <c r="AE37" s="2"/>
      <c r="AF37" s="2"/>
      <c r="AG37" s="2"/>
    </row>
    <row r="38" spans="1:255">
      <c r="A38" s="96">
        <v>14</v>
      </c>
      <c r="B38" s="97">
        <v>45983</v>
      </c>
      <c r="C38" s="122" t="s">
        <v>48</v>
      </c>
      <c r="D38" s="99">
        <v>31166</v>
      </c>
      <c r="E38" s="100">
        <v>4</v>
      </c>
      <c r="F38" s="100">
        <f t="shared" si="12"/>
        <v>7791.5</v>
      </c>
      <c r="G38" s="100">
        <v>2</v>
      </c>
      <c r="H38" s="100">
        <f t="shared" si="13"/>
        <v>15583</v>
      </c>
      <c r="I38" s="100">
        <v>30</v>
      </c>
      <c r="J38" s="99">
        <f t="shared" si="14"/>
        <v>2</v>
      </c>
      <c r="K38" s="109">
        <v>11491</v>
      </c>
      <c r="L38" s="100"/>
      <c r="M38" s="100"/>
      <c r="N38" s="235">
        <f t="shared" si="15"/>
        <v>6.6666666666666666E-2</v>
      </c>
      <c r="O38" s="102">
        <f t="shared" si="16"/>
        <v>1.2592936923206428</v>
      </c>
      <c r="P38" s="262">
        <f t="shared" si="17"/>
        <v>24748.793859649126</v>
      </c>
      <c r="Q38" s="233">
        <f t="shared" si="19"/>
        <v>3.8075067476383269</v>
      </c>
      <c r="R38" s="104">
        <f t="shared" si="18"/>
        <v>2.2397098515519569</v>
      </c>
      <c r="S38" s="234">
        <f t="shared" si="22"/>
        <v>31166</v>
      </c>
      <c r="T38" s="104">
        <f t="shared" si="26"/>
        <v>4</v>
      </c>
      <c r="U38" s="233">
        <f t="shared" si="24"/>
        <v>2</v>
      </c>
      <c r="V38" s="105">
        <v>1</v>
      </c>
      <c r="W38" s="105">
        <v>1</v>
      </c>
      <c r="X38" s="108"/>
      <c r="Y38" s="107"/>
      <c r="Z38" s="2"/>
      <c r="AA38" s="2"/>
      <c r="AB38" s="2"/>
      <c r="AC38" s="2"/>
      <c r="AD38" s="2"/>
      <c r="AE38" s="2"/>
      <c r="AF38" s="2"/>
      <c r="AG38" s="2"/>
    </row>
    <row r="39" spans="1:255" s="251" customFormat="1">
      <c r="A39" s="96">
        <v>15</v>
      </c>
      <c r="B39" s="97">
        <v>45985</v>
      </c>
      <c r="C39" s="98" t="s">
        <v>52</v>
      </c>
      <c r="D39" s="99"/>
      <c r="E39" s="109"/>
      <c r="F39" s="100" t="str">
        <f t="shared" si="12"/>
        <v/>
      </c>
      <c r="G39" s="109"/>
      <c r="H39" s="100" t="str">
        <f t="shared" si="13"/>
        <v/>
      </c>
      <c r="I39" s="109">
        <v>10</v>
      </c>
      <c r="J39" s="99" t="str">
        <f t="shared" si="14"/>
        <v/>
      </c>
      <c r="K39" s="100"/>
      <c r="L39" s="109"/>
      <c r="M39" s="100"/>
      <c r="N39" s="261">
        <f t="shared" si="15"/>
        <v>0</v>
      </c>
      <c r="O39" s="102">
        <f t="shared" si="16"/>
        <v>0</v>
      </c>
      <c r="P39" s="262">
        <f t="shared" si="17"/>
        <v>24748.793859649126</v>
      </c>
      <c r="Q39" s="104">
        <f t="shared" si="19"/>
        <v>3.8075067476383269</v>
      </c>
      <c r="R39" s="233">
        <f t="shared" si="18"/>
        <v>2.2397098515519569</v>
      </c>
      <c r="S39" s="103">
        <f t="shared" si="22"/>
        <v>34638.961449430208</v>
      </c>
      <c r="T39" s="233">
        <f t="shared" si="26"/>
        <v>5.5677557168392511</v>
      </c>
      <c r="U39" s="104">
        <f t="shared" si="24"/>
        <v>2.5984871520929209</v>
      </c>
      <c r="V39" s="237">
        <v>1</v>
      </c>
      <c r="W39" s="105">
        <v>1</v>
      </c>
      <c r="X39" s="108"/>
      <c r="Y39" s="107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 s="251" customFormat="1">
      <c r="A40" s="96">
        <v>16</v>
      </c>
      <c r="B40" s="97">
        <v>45986</v>
      </c>
      <c r="C40" s="122" t="s">
        <v>53</v>
      </c>
      <c r="D40" s="99">
        <v>12714</v>
      </c>
      <c r="E40" s="100">
        <v>2</v>
      </c>
      <c r="F40" s="109">
        <f t="shared" si="12"/>
        <v>6357</v>
      </c>
      <c r="G40" s="100">
        <v>2</v>
      </c>
      <c r="H40" s="109">
        <f t="shared" si="13"/>
        <v>6357</v>
      </c>
      <c r="I40" s="100">
        <v>7</v>
      </c>
      <c r="J40" s="236">
        <f t="shared" si="14"/>
        <v>1</v>
      </c>
      <c r="K40" s="100"/>
      <c r="L40" s="100">
        <v>8821</v>
      </c>
      <c r="M40" s="109"/>
      <c r="N40" s="261">
        <f t="shared" si="15"/>
        <v>0.2857142857142857</v>
      </c>
      <c r="O40" s="102">
        <f t="shared" si="16"/>
        <v>0.51372200488239272</v>
      </c>
      <c r="P40" s="234">
        <f t="shared" si="17"/>
        <v>24748.793859649126</v>
      </c>
      <c r="Q40" s="104">
        <f t="shared" si="19"/>
        <v>3.8075067476383269</v>
      </c>
      <c r="R40" s="104">
        <f t="shared" si="18"/>
        <v>2.2397098515519569</v>
      </c>
      <c r="S40" s="234">
        <f t="shared" si="22"/>
        <v>12714</v>
      </c>
      <c r="T40" s="104">
        <f t="shared" si="26"/>
        <v>2</v>
      </c>
      <c r="U40" s="233">
        <f t="shared" si="24"/>
        <v>2</v>
      </c>
      <c r="V40" s="105">
        <v>1</v>
      </c>
      <c r="W40" s="105">
        <v>1</v>
      </c>
      <c r="X40" s="108"/>
      <c r="Y40" s="107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s="251" customFormat="1">
      <c r="A41" s="96">
        <v>17</v>
      </c>
      <c r="B41" s="97">
        <v>45989</v>
      </c>
      <c r="C41" s="98" t="s">
        <v>57</v>
      </c>
      <c r="D41" s="236">
        <v>6993</v>
      </c>
      <c r="E41" s="100">
        <v>1</v>
      </c>
      <c r="F41" s="100">
        <f t="shared" si="12"/>
        <v>6993</v>
      </c>
      <c r="G41" s="109">
        <v>1</v>
      </c>
      <c r="H41" s="100">
        <f t="shared" si="13"/>
        <v>6993</v>
      </c>
      <c r="I41" s="109">
        <v>15</v>
      </c>
      <c r="J41" s="99">
        <f t="shared" si="14"/>
        <v>1</v>
      </c>
      <c r="K41" s="109">
        <v>6993</v>
      </c>
      <c r="L41" s="100"/>
      <c r="M41" s="100"/>
      <c r="N41" s="235">
        <f t="shared" si="15"/>
        <v>6.6666666666666666E-2</v>
      </c>
      <c r="O41" s="102">
        <f t="shared" si="16"/>
        <v>0.28255922448816834</v>
      </c>
      <c r="P41" s="262">
        <f t="shared" si="17"/>
        <v>24748.793859649126</v>
      </c>
      <c r="Q41" s="233">
        <f t="shared" si="19"/>
        <v>3.8075067476383269</v>
      </c>
      <c r="R41" s="104">
        <f t="shared" si="18"/>
        <v>2.2397098515519569</v>
      </c>
      <c r="S41" s="103">
        <f t="shared" si="22"/>
        <v>6993</v>
      </c>
      <c r="T41" s="233">
        <f t="shared" si="26"/>
        <v>1</v>
      </c>
      <c r="U41" s="104">
        <f t="shared" si="24"/>
        <v>1</v>
      </c>
      <c r="V41" s="237">
        <v>1</v>
      </c>
      <c r="W41" s="105">
        <v>1</v>
      </c>
      <c r="X41" s="108"/>
      <c r="Y41" s="107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pans="1:255" s="251" customFormat="1">
      <c r="A42" s="96">
        <v>18</v>
      </c>
      <c r="B42" s="97">
        <v>45990</v>
      </c>
      <c r="C42" s="98" t="s">
        <v>48</v>
      </c>
      <c r="D42" s="99">
        <v>5984</v>
      </c>
      <c r="E42" s="109">
        <v>2</v>
      </c>
      <c r="F42" s="100">
        <f t="shared" si="12"/>
        <v>2992</v>
      </c>
      <c r="G42" s="100">
        <v>1</v>
      </c>
      <c r="H42" s="109">
        <f t="shared" si="13"/>
        <v>5984</v>
      </c>
      <c r="I42" s="100">
        <v>32</v>
      </c>
      <c r="J42" s="236">
        <f t="shared" si="14"/>
        <v>2</v>
      </c>
      <c r="K42" s="100"/>
      <c r="L42" s="109"/>
      <c r="M42" s="100"/>
      <c r="N42" s="261">
        <f t="shared" si="15"/>
        <v>3.125E-2</v>
      </c>
      <c r="O42" s="102">
        <f t="shared" si="16"/>
        <v>0.24178956089478043</v>
      </c>
      <c r="P42" s="262">
        <f t="shared" si="17"/>
        <v>24748.793859649126</v>
      </c>
      <c r="Q42" s="104">
        <f t="shared" si="19"/>
        <v>3.8075067476383269</v>
      </c>
      <c r="R42" s="233">
        <f t="shared" si="18"/>
        <v>2.2397098515519569</v>
      </c>
      <c r="S42" s="103">
        <f t="shared" si="22"/>
        <v>5984</v>
      </c>
      <c r="T42" s="104">
        <f t="shared" si="26"/>
        <v>2</v>
      </c>
      <c r="U42" s="233">
        <f t="shared" si="24"/>
        <v>1</v>
      </c>
      <c r="V42" s="105">
        <v>1</v>
      </c>
      <c r="W42" s="105">
        <v>1</v>
      </c>
      <c r="X42" s="108"/>
      <c r="Y42" s="107"/>
      <c r="Z42" s="11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s="251" customFormat="1" ht="15" customHeight="1">
      <c r="A43" s="96">
        <v>19</v>
      </c>
      <c r="B43" s="97">
        <v>45991</v>
      </c>
      <c r="C43" s="98" t="s">
        <v>50</v>
      </c>
      <c r="D43" s="99"/>
      <c r="E43" s="100"/>
      <c r="F43" s="100" t="str">
        <f t="shared" si="12"/>
        <v/>
      </c>
      <c r="G43" s="100"/>
      <c r="H43" s="100" t="str">
        <f t="shared" si="13"/>
        <v/>
      </c>
      <c r="I43" s="100">
        <v>15</v>
      </c>
      <c r="J43" s="99" t="str">
        <f t="shared" si="14"/>
        <v/>
      </c>
      <c r="K43" s="100"/>
      <c r="L43" s="100"/>
      <c r="M43" s="100"/>
      <c r="N43" s="261">
        <f t="shared" si="15"/>
        <v>0</v>
      </c>
      <c r="O43" s="102">
        <f t="shared" si="16"/>
        <v>0</v>
      </c>
      <c r="P43" s="234">
        <f t="shared" si="17"/>
        <v>24748.793859649126</v>
      </c>
      <c r="Q43" s="104">
        <f t="shared" si="19"/>
        <v>3.8075067476383269</v>
      </c>
      <c r="R43" s="104">
        <f t="shared" si="18"/>
        <v>2.2397098515519569</v>
      </c>
      <c r="S43" s="103">
        <f t="shared" si="22"/>
        <v>112864.84579772083</v>
      </c>
      <c r="T43" s="104">
        <f t="shared" si="26"/>
        <v>17.271022867357004</v>
      </c>
      <c r="U43" s="104">
        <f t="shared" si="24"/>
        <v>6.3939486083716872</v>
      </c>
      <c r="V43" s="237">
        <v>1</v>
      </c>
      <c r="W43" s="105">
        <v>1</v>
      </c>
      <c r="X43" s="108"/>
      <c r="Y43" s="107"/>
      <c r="Z43" s="11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s="251" customFormat="1" ht="15" customHeight="1">
      <c r="A44" s="96">
        <v>20</v>
      </c>
      <c r="B44" s="97"/>
      <c r="C44" s="98"/>
      <c r="D44" s="99"/>
      <c r="E44" s="100"/>
      <c r="F44" s="100" t="str">
        <f t="shared" si="12"/>
        <v/>
      </c>
      <c r="G44" s="100"/>
      <c r="H44" s="100" t="str">
        <f t="shared" si="13"/>
        <v/>
      </c>
      <c r="I44" s="100"/>
      <c r="J44" s="99" t="str">
        <f t="shared" si="14"/>
        <v/>
      </c>
      <c r="K44" s="100"/>
      <c r="L44" s="100"/>
      <c r="M44" s="100"/>
      <c r="N44" s="261" t="str">
        <f t="shared" si="15"/>
        <v/>
      </c>
      <c r="O44" s="102" t="e">
        <f t="shared" si="16"/>
        <v>#DIV/0!</v>
      </c>
      <c r="P44" s="262">
        <f t="shared" si="17"/>
        <v>0</v>
      </c>
      <c r="Q44" s="104">
        <f t="shared" si="19"/>
        <v>0</v>
      </c>
      <c r="R44" s="104">
        <f t="shared" si="18"/>
        <v>0</v>
      </c>
      <c r="S44" s="103" t="str">
        <f t="shared" si="22"/>
        <v/>
      </c>
      <c r="T44" s="104" t="str">
        <f t="shared" si="26"/>
        <v/>
      </c>
      <c r="U44" s="104" t="str">
        <f t="shared" si="24"/>
        <v/>
      </c>
      <c r="V44" s="105"/>
      <c r="W44" s="105"/>
      <c r="X44" s="108"/>
      <c r="Y44" s="107"/>
      <c r="Z44" s="11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s="251" customFormat="1" ht="15" customHeight="1">
      <c r="A45" s="96">
        <v>21</v>
      </c>
      <c r="B45" s="97">
        <v>45984</v>
      </c>
      <c r="C45" s="98" t="s">
        <v>50</v>
      </c>
      <c r="D45" s="99">
        <v>11493</v>
      </c>
      <c r="E45" s="100">
        <v>1</v>
      </c>
      <c r="F45" s="100">
        <f t="shared" si="12"/>
        <v>11493</v>
      </c>
      <c r="G45" s="100">
        <v>1</v>
      </c>
      <c r="H45" s="100">
        <f t="shared" si="13"/>
        <v>11493</v>
      </c>
      <c r="I45" s="100"/>
      <c r="J45" s="99">
        <f t="shared" si="14"/>
        <v>1</v>
      </c>
      <c r="K45" s="100">
        <v>11493</v>
      </c>
      <c r="L45" s="100"/>
      <c r="M45" s="100"/>
      <c r="N45" s="261" t="str">
        <f t="shared" si="15"/>
        <v/>
      </c>
      <c r="O45" s="102" t="e">
        <f t="shared" si="16"/>
        <v>#DIV/0!</v>
      </c>
      <c r="P45" s="234">
        <f t="shared" si="17"/>
        <v>0</v>
      </c>
      <c r="Q45" s="104">
        <f t="shared" si="19"/>
        <v>0</v>
      </c>
      <c r="R45" s="104">
        <f t="shared" si="18"/>
        <v>0</v>
      </c>
      <c r="S45" s="103" t="str">
        <f t="shared" si="22"/>
        <v/>
      </c>
      <c r="T45" s="104" t="str">
        <f t="shared" si="26"/>
        <v/>
      </c>
      <c r="U45" s="104" t="str">
        <f t="shared" si="24"/>
        <v/>
      </c>
      <c r="V45" s="237"/>
      <c r="W45" s="105"/>
      <c r="X45" s="108"/>
      <c r="Y45" s="107"/>
      <c r="Z45" s="113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pans="1:255" s="251" customFormat="1" ht="15" customHeight="1">
      <c r="A46" s="96">
        <v>22</v>
      </c>
      <c r="B46" s="97"/>
      <c r="C46" s="98"/>
      <c r="D46" s="99"/>
      <c r="E46" s="100"/>
      <c r="F46" s="100" t="str">
        <f t="shared" si="12"/>
        <v/>
      </c>
      <c r="G46" s="100"/>
      <c r="H46" s="100" t="str">
        <f t="shared" si="13"/>
        <v/>
      </c>
      <c r="I46" s="100"/>
      <c r="J46" s="99" t="str">
        <f t="shared" si="14"/>
        <v/>
      </c>
      <c r="K46" s="100"/>
      <c r="L46" s="100"/>
      <c r="M46" s="100"/>
      <c r="N46" s="261" t="str">
        <f t="shared" si="15"/>
        <v/>
      </c>
      <c r="O46" s="102" t="e">
        <f t="shared" si="16"/>
        <v>#DIV/0!</v>
      </c>
      <c r="P46" s="262">
        <f t="shared" si="17"/>
        <v>0</v>
      </c>
      <c r="Q46" s="104">
        <f t="shared" si="19"/>
        <v>0</v>
      </c>
      <c r="R46" s="104">
        <f t="shared" si="18"/>
        <v>0</v>
      </c>
      <c r="S46" s="103" t="str">
        <f t="shared" si="22"/>
        <v/>
      </c>
      <c r="T46" s="104" t="str">
        <f t="shared" si="26"/>
        <v/>
      </c>
      <c r="U46" s="104" t="str">
        <f t="shared" si="24"/>
        <v/>
      </c>
      <c r="V46" s="105"/>
      <c r="W46" s="105"/>
      <c r="X46" s="108"/>
      <c r="Y46" s="107"/>
      <c r="Z46" s="11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s="251" customFormat="1" ht="15" customHeight="1">
      <c r="A47" s="96">
        <v>23</v>
      </c>
      <c r="B47" s="97"/>
      <c r="C47" s="98"/>
      <c r="D47" s="99"/>
      <c r="E47" s="100"/>
      <c r="F47" s="100" t="str">
        <f t="shared" si="12"/>
        <v/>
      </c>
      <c r="G47" s="100"/>
      <c r="H47" s="100" t="str">
        <f t="shared" si="13"/>
        <v/>
      </c>
      <c r="I47" s="100"/>
      <c r="J47" s="99" t="str">
        <f t="shared" si="14"/>
        <v/>
      </c>
      <c r="K47" s="100"/>
      <c r="L47" s="100"/>
      <c r="M47" s="100"/>
      <c r="N47" s="261" t="str">
        <f t="shared" si="15"/>
        <v/>
      </c>
      <c r="O47" s="102" t="e">
        <f t="shared" si="16"/>
        <v>#DIV/0!</v>
      </c>
      <c r="P47" s="234">
        <f t="shared" si="17"/>
        <v>0</v>
      </c>
      <c r="Q47" s="104">
        <f t="shared" si="19"/>
        <v>0</v>
      </c>
      <c r="R47" s="104">
        <f t="shared" si="18"/>
        <v>0</v>
      </c>
      <c r="S47" s="103" t="str">
        <f t="shared" si="22"/>
        <v/>
      </c>
      <c r="T47" s="104" t="str">
        <f t="shared" si="26"/>
        <v/>
      </c>
      <c r="U47" s="104" t="str">
        <f t="shared" si="24"/>
        <v/>
      </c>
      <c r="V47" s="237"/>
      <c r="W47" s="105"/>
      <c r="X47" s="108"/>
      <c r="Y47" s="107"/>
      <c r="Z47" s="11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pans="1:255" s="251" customFormat="1" ht="15" customHeight="1">
      <c r="A48" s="96">
        <v>24</v>
      </c>
      <c r="B48" s="97"/>
      <c r="C48" s="98"/>
      <c r="D48" s="99"/>
      <c r="E48" s="100"/>
      <c r="F48" s="100" t="str">
        <f t="shared" si="12"/>
        <v/>
      </c>
      <c r="G48" s="100"/>
      <c r="H48" s="100" t="str">
        <f t="shared" si="13"/>
        <v/>
      </c>
      <c r="I48" s="100"/>
      <c r="J48" s="99" t="str">
        <f t="shared" si="14"/>
        <v/>
      </c>
      <c r="K48" s="100"/>
      <c r="L48" s="100"/>
      <c r="M48" s="100"/>
      <c r="N48" s="261" t="str">
        <f t="shared" si="15"/>
        <v/>
      </c>
      <c r="O48" s="102" t="e">
        <f t="shared" si="16"/>
        <v>#DIV/0!</v>
      </c>
      <c r="P48" s="262">
        <f t="shared" si="17"/>
        <v>0</v>
      </c>
      <c r="Q48" s="104">
        <f t="shared" si="19"/>
        <v>0</v>
      </c>
      <c r="R48" s="104">
        <f t="shared" si="18"/>
        <v>0</v>
      </c>
      <c r="S48" s="103" t="str">
        <f t="shared" si="22"/>
        <v/>
      </c>
      <c r="T48" s="104" t="str">
        <f t="shared" si="26"/>
        <v/>
      </c>
      <c r="U48" s="104" t="str">
        <f t="shared" si="24"/>
        <v/>
      </c>
      <c r="V48" s="105"/>
      <c r="W48" s="105"/>
      <c r="X48" s="108"/>
      <c r="Y48" s="107"/>
      <c r="Z48" s="11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s="251" customFormat="1" ht="15" customHeight="1">
      <c r="A49" s="96">
        <v>25</v>
      </c>
      <c r="B49" s="97"/>
      <c r="C49" s="98"/>
      <c r="D49" s="99"/>
      <c r="E49" s="100"/>
      <c r="F49" s="100" t="str">
        <f t="shared" si="12"/>
        <v/>
      </c>
      <c r="G49" s="100"/>
      <c r="H49" s="100" t="str">
        <f t="shared" si="13"/>
        <v/>
      </c>
      <c r="I49" s="100"/>
      <c r="J49" s="99" t="str">
        <f t="shared" si="14"/>
        <v/>
      </c>
      <c r="K49" s="100"/>
      <c r="L49" s="100"/>
      <c r="M49" s="100"/>
      <c r="N49" s="261" t="str">
        <f t="shared" si="15"/>
        <v/>
      </c>
      <c r="O49" s="102" t="e">
        <f t="shared" si="16"/>
        <v>#DIV/0!</v>
      </c>
      <c r="P49" s="262">
        <f t="shared" si="17"/>
        <v>0</v>
      </c>
      <c r="Q49" s="104">
        <f t="shared" si="19"/>
        <v>0</v>
      </c>
      <c r="R49" s="104">
        <f t="shared" si="18"/>
        <v>0</v>
      </c>
      <c r="S49" s="103" t="str">
        <f t="shared" si="22"/>
        <v/>
      </c>
      <c r="T49" s="104" t="str">
        <f t="shared" si="26"/>
        <v/>
      </c>
      <c r="U49" s="104" t="str">
        <f t="shared" si="24"/>
        <v/>
      </c>
      <c r="V49" s="237"/>
      <c r="W49" s="105"/>
      <c r="X49" s="108"/>
      <c r="Y49" s="107"/>
      <c r="Z49" s="11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spans="1:255" ht="15" customHeight="1">
      <c r="A50" s="96">
        <v>26</v>
      </c>
      <c r="B50" s="97"/>
      <c r="C50" s="98"/>
      <c r="D50" s="99"/>
      <c r="E50" s="100"/>
      <c r="F50" s="100" t="str">
        <f t="shared" si="12"/>
        <v/>
      </c>
      <c r="G50" s="100"/>
      <c r="H50" s="100" t="str">
        <f t="shared" si="13"/>
        <v/>
      </c>
      <c r="I50" s="100"/>
      <c r="J50" s="99" t="str">
        <f t="shared" si="14"/>
        <v/>
      </c>
      <c r="K50" s="100"/>
      <c r="L50" s="100"/>
      <c r="M50" s="100"/>
      <c r="N50" s="101" t="str">
        <f t="shared" si="15"/>
        <v/>
      </c>
      <c r="O50" s="102" t="e">
        <f t="shared" si="16"/>
        <v>#DIV/0!</v>
      </c>
      <c r="P50" s="103">
        <f t="shared" si="17"/>
        <v>0</v>
      </c>
      <c r="Q50" s="104">
        <f t="shared" si="19"/>
        <v>0</v>
      </c>
      <c r="R50" s="104">
        <f t="shared" si="18"/>
        <v>0</v>
      </c>
      <c r="S50" s="103" t="str">
        <f t="shared" si="22"/>
        <v/>
      </c>
      <c r="T50" s="104" t="str">
        <f t="shared" si="26"/>
        <v/>
      </c>
      <c r="U50" s="104" t="str">
        <f t="shared" si="24"/>
        <v/>
      </c>
      <c r="V50" s="105"/>
      <c r="W50" s="105"/>
      <c r="X50" s="108"/>
      <c r="Y50" s="107"/>
      <c r="Z50" s="113"/>
      <c r="AA50" s="2"/>
      <c r="AB50" s="2"/>
      <c r="AC50" s="2"/>
      <c r="AD50" s="2"/>
      <c r="AE50" s="2"/>
      <c r="AF50" s="2"/>
      <c r="AG50" s="2"/>
    </row>
    <row r="51" spans="1:255">
      <c r="A51" s="96">
        <v>27</v>
      </c>
      <c r="B51" s="97"/>
      <c r="C51" s="98"/>
      <c r="D51" s="99"/>
      <c r="E51" s="100"/>
      <c r="F51" s="100" t="str">
        <f t="shared" si="12"/>
        <v/>
      </c>
      <c r="G51" s="100"/>
      <c r="H51" s="100" t="str">
        <f t="shared" si="13"/>
        <v/>
      </c>
      <c r="I51" s="100"/>
      <c r="J51" s="99" t="str">
        <f t="shared" si="14"/>
        <v/>
      </c>
      <c r="K51" s="100"/>
      <c r="L51" s="100"/>
      <c r="M51" s="100"/>
      <c r="N51" s="101" t="str">
        <f t="shared" si="15"/>
        <v/>
      </c>
      <c r="O51" s="102" t="e">
        <f t="shared" si="16"/>
        <v>#DIV/0!</v>
      </c>
      <c r="P51" s="103">
        <f t="shared" si="17"/>
        <v>0</v>
      </c>
      <c r="Q51" s="104">
        <f t="shared" si="19"/>
        <v>0</v>
      </c>
      <c r="R51" s="104">
        <f t="shared" si="18"/>
        <v>0</v>
      </c>
      <c r="S51" s="103" t="str">
        <f t="shared" si="22"/>
        <v/>
      </c>
      <c r="T51" s="104" t="str">
        <f t="shared" si="26"/>
        <v/>
      </c>
      <c r="U51" s="104" t="str">
        <f t="shared" si="24"/>
        <v/>
      </c>
      <c r="V51" s="105"/>
      <c r="W51" s="105"/>
      <c r="X51" s="108"/>
      <c r="Y51" s="107"/>
      <c r="Z51" s="113"/>
      <c r="AA51" s="2"/>
      <c r="AB51" s="2"/>
      <c r="AC51" s="2"/>
      <c r="AD51" s="2"/>
      <c r="AE51" s="2"/>
      <c r="AF51" s="2"/>
      <c r="AG51" s="2"/>
    </row>
    <row r="52" spans="1:255">
      <c r="A52" s="96">
        <v>28</v>
      </c>
      <c r="B52" s="97"/>
      <c r="C52" s="98"/>
      <c r="D52" s="99"/>
      <c r="E52" s="100"/>
      <c r="F52" s="100" t="str">
        <f t="shared" si="12"/>
        <v/>
      </c>
      <c r="G52" s="100"/>
      <c r="H52" s="100" t="str">
        <f t="shared" si="13"/>
        <v/>
      </c>
      <c r="I52" s="100"/>
      <c r="J52" s="99" t="str">
        <f t="shared" si="14"/>
        <v/>
      </c>
      <c r="K52" s="100"/>
      <c r="L52" s="100"/>
      <c r="M52" s="100"/>
      <c r="N52" s="101" t="str">
        <f t="shared" si="15"/>
        <v/>
      </c>
      <c r="O52" s="102" t="e">
        <f t="shared" si="16"/>
        <v>#DIV/0!</v>
      </c>
      <c r="P52" s="103">
        <f t="shared" si="17"/>
        <v>0</v>
      </c>
      <c r="Q52" s="104">
        <f t="shared" si="19"/>
        <v>0</v>
      </c>
      <c r="R52" s="104">
        <f t="shared" si="18"/>
        <v>0</v>
      </c>
      <c r="S52" s="103" t="str">
        <f t="shared" si="22"/>
        <v/>
      </c>
      <c r="T52" s="104" t="str">
        <f t="shared" si="26"/>
        <v/>
      </c>
      <c r="U52" s="104" t="str">
        <f t="shared" si="24"/>
        <v/>
      </c>
      <c r="V52" s="105"/>
      <c r="W52" s="105"/>
      <c r="X52" s="108"/>
      <c r="Y52" s="107"/>
      <c r="Z52" s="113"/>
      <c r="AA52" s="2"/>
      <c r="AB52" s="2"/>
      <c r="AC52" s="2"/>
      <c r="AD52" s="2"/>
      <c r="AE52" s="2"/>
      <c r="AF52" s="2"/>
      <c r="AG52" s="2"/>
    </row>
    <row r="53" spans="1:255">
      <c r="A53" s="96">
        <v>29</v>
      </c>
      <c r="B53" s="97"/>
      <c r="C53" s="98"/>
      <c r="D53" s="99"/>
      <c r="E53" s="100"/>
      <c r="F53" s="100" t="str">
        <f t="shared" si="12"/>
        <v/>
      </c>
      <c r="G53" s="100"/>
      <c r="H53" s="100" t="str">
        <f t="shared" si="13"/>
        <v/>
      </c>
      <c r="I53" s="100"/>
      <c r="J53" s="99" t="str">
        <f t="shared" si="14"/>
        <v/>
      </c>
      <c r="K53" s="100"/>
      <c r="L53" s="100"/>
      <c r="M53" s="100"/>
      <c r="N53" s="101" t="str">
        <f t="shared" si="15"/>
        <v/>
      </c>
      <c r="O53" s="102" t="e">
        <f t="shared" si="16"/>
        <v>#DIV/0!</v>
      </c>
      <c r="P53" s="103">
        <f t="shared" si="17"/>
        <v>0</v>
      </c>
      <c r="Q53" s="104">
        <f t="shared" si="19"/>
        <v>0</v>
      </c>
      <c r="R53" s="104">
        <f t="shared" si="18"/>
        <v>0</v>
      </c>
      <c r="S53" s="103" t="str">
        <f t="shared" si="22"/>
        <v/>
      </c>
      <c r="T53" s="104" t="str">
        <f t="shared" si="26"/>
        <v/>
      </c>
      <c r="U53" s="104" t="str">
        <f t="shared" si="24"/>
        <v/>
      </c>
      <c r="V53" s="105"/>
      <c r="W53" s="105"/>
      <c r="X53" s="108"/>
      <c r="Y53" s="107"/>
      <c r="Z53" s="113"/>
      <c r="AA53" s="2"/>
      <c r="AB53" s="2"/>
      <c r="AC53" s="2"/>
      <c r="AD53" s="2"/>
      <c r="AE53" s="2"/>
      <c r="AF53" s="2"/>
      <c r="AG53" s="2"/>
    </row>
    <row r="54" spans="1:255">
      <c r="A54" s="96"/>
      <c r="B54" s="97"/>
      <c r="C54" s="98"/>
      <c r="D54" s="99"/>
      <c r="E54" s="100"/>
      <c r="F54" s="100" t="str">
        <f t="shared" si="12"/>
        <v/>
      </c>
      <c r="G54" s="100"/>
      <c r="H54" s="100" t="str">
        <f t="shared" si="13"/>
        <v/>
      </c>
      <c r="I54" s="100"/>
      <c r="J54" s="99" t="str">
        <f t="shared" si="14"/>
        <v/>
      </c>
      <c r="K54" s="100"/>
      <c r="L54" s="100"/>
      <c r="M54" s="100"/>
      <c r="N54" s="101" t="str">
        <f t="shared" si="15"/>
        <v/>
      </c>
      <c r="O54" s="102" t="e">
        <f t="shared" si="16"/>
        <v>#DIV/0!</v>
      </c>
      <c r="P54" s="103">
        <f t="shared" si="17"/>
        <v>0</v>
      </c>
      <c r="Q54" s="104">
        <f t="shared" si="19"/>
        <v>0</v>
      </c>
      <c r="R54" s="104">
        <f t="shared" si="18"/>
        <v>0</v>
      </c>
      <c r="S54" s="103" t="str">
        <f>IF(W54&lt;&gt;"",IF(D54&lt;&gt;"",D54,($I$8-SUM($S$25:S50))*V54*W54/SUMPRODUCT($W54:$W$58,$V54:$V$58)),"")</f>
        <v/>
      </c>
      <c r="T54" s="104" t="str">
        <f>IF(W54&lt;&gt;"",IF(E54&lt;&gt;"",E54,($I$9-SUM($T$25:T50))*V54*W54/SUMPRODUCT($W54:$W$58,$V54:$V$58)),"")</f>
        <v/>
      </c>
      <c r="U54" s="104" t="str">
        <f>IF(W54&lt;&gt;"",IF($I$12&lt;&gt;"",IF(G54&lt;&gt;"",G54,($I$9/$I$12-SUM($U$25:U50))*V54*W54/SUMPRODUCT($W54:$W$58,$V54:$V$58)),""),"")</f>
        <v/>
      </c>
      <c r="V54" s="105"/>
      <c r="W54" s="105"/>
      <c r="X54" s="108"/>
      <c r="Y54" s="107"/>
      <c r="Z54" s="113"/>
      <c r="AA54" s="2"/>
      <c r="AB54" s="2"/>
      <c r="AC54" s="2"/>
      <c r="AD54" s="2"/>
      <c r="AE54" s="2"/>
      <c r="AF54" s="2"/>
      <c r="AG54" s="2"/>
    </row>
    <row r="55" spans="1:255">
      <c r="A55" s="96"/>
      <c r="B55" s="97"/>
      <c r="C55" s="98"/>
      <c r="D55" s="99"/>
      <c r="E55" s="100"/>
      <c r="F55" s="100" t="str">
        <f t="shared" si="12"/>
        <v/>
      </c>
      <c r="G55" s="100"/>
      <c r="H55" s="100" t="str">
        <f t="shared" si="13"/>
        <v/>
      </c>
      <c r="I55" s="100"/>
      <c r="J55" s="99" t="str">
        <f t="shared" si="14"/>
        <v/>
      </c>
      <c r="K55" s="100"/>
      <c r="L55" s="100"/>
      <c r="M55" s="100"/>
      <c r="N55" s="101" t="str">
        <f t="shared" si="15"/>
        <v/>
      </c>
      <c r="O55" s="102" t="e">
        <f t="shared" si="16"/>
        <v>#DIV/0!</v>
      </c>
      <c r="P55" s="103">
        <f t="shared" si="17"/>
        <v>0</v>
      </c>
      <c r="Q55" s="104">
        <f t="shared" si="19"/>
        <v>0</v>
      </c>
      <c r="R55" s="104">
        <f t="shared" si="18"/>
        <v>0</v>
      </c>
      <c r="S55" s="103" t="str">
        <f t="shared" ref="S55:S56" si="27">IF(W55&lt;&gt;"",IF(D55&lt;&gt;"",D55,($I$8-SUM($S$25:S54))*V55*W55/SUMPRODUCT($W55:$W$58,$V55:$V$58)),"")</f>
        <v/>
      </c>
      <c r="T55" s="104" t="str">
        <f t="shared" ref="T55:T56" si="28">IF(W55&lt;&gt;"",IF(E55&lt;&gt;"",E55,($I$9-SUM($T$25:T54))*V55*W55/SUMPRODUCT($W55:$W$58,$V55:$V$58)),"")</f>
        <v/>
      </c>
      <c r="U55" s="104" t="str">
        <f t="shared" ref="U55:U56" si="29">IF(W55&lt;&gt;"",IF($I$12&lt;&gt;"",IF(G55&lt;&gt;"",G55,($I$9/$I$12-SUM($U$25:U54))*V55*W55/SUMPRODUCT($W55:$W$58,$V55:$V$58)),""),"")</f>
        <v/>
      </c>
      <c r="V55" s="105"/>
      <c r="W55" s="105"/>
      <c r="X55" s="108"/>
      <c r="Y55" s="107"/>
      <c r="Z55" s="113"/>
      <c r="AA55" s="2"/>
      <c r="AB55" s="2"/>
      <c r="AC55" s="2"/>
      <c r="AD55" s="2"/>
      <c r="AE55" s="2"/>
      <c r="AF55" s="2"/>
      <c r="AG55" s="2"/>
    </row>
    <row r="56" spans="1:255">
      <c r="A56" s="96"/>
      <c r="B56" s="97"/>
      <c r="C56" s="98"/>
      <c r="D56" s="99"/>
      <c r="E56" s="100"/>
      <c r="F56" s="100" t="str">
        <f t="shared" si="12"/>
        <v/>
      </c>
      <c r="G56" s="100"/>
      <c r="H56" s="100" t="str">
        <f t="shared" si="13"/>
        <v/>
      </c>
      <c r="I56" s="100"/>
      <c r="J56" s="99" t="str">
        <f t="shared" si="14"/>
        <v/>
      </c>
      <c r="K56" s="100"/>
      <c r="L56" s="100"/>
      <c r="M56" s="100"/>
      <c r="N56" s="101" t="str">
        <f t="shared" si="15"/>
        <v/>
      </c>
      <c r="O56" s="102" t="e">
        <f t="shared" si="16"/>
        <v>#DIV/0!</v>
      </c>
      <c r="P56" s="103">
        <f t="shared" si="17"/>
        <v>0</v>
      </c>
      <c r="Q56" s="104">
        <f t="shared" si="19"/>
        <v>0</v>
      </c>
      <c r="R56" s="104">
        <f t="shared" si="18"/>
        <v>0</v>
      </c>
      <c r="S56" s="103" t="str">
        <f t="shared" si="27"/>
        <v/>
      </c>
      <c r="T56" s="104" t="str">
        <f t="shared" si="28"/>
        <v/>
      </c>
      <c r="U56" s="104" t="str">
        <f t="shared" si="29"/>
        <v/>
      </c>
      <c r="V56" s="105"/>
      <c r="W56" s="105"/>
      <c r="X56" s="108"/>
      <c r="Y56" s="107"/>
      <c r="Z56" s="113"/>
      <c r="AA56" s="2"/>
      <c r="AB56" s="2"/>
      <c r="AC56" s="2"/>
      <c r="AD56" s="2"/>
      <c r="AE56" s="2"/>
      <c r="AF56" s="2"/>
      <c r="AG56" s="2"/>
    </row>
    <row r="57" spans="1:255">
      <c r="A57" s="256"/>
      <c r="B57" s="599"/>
      <c r="C57" s="600"/>
      <c r="D57" s="116">
        <f>SUM(D25:D56)</f>
        <v>194103</v>
      </c>
      <c r="E57" s="116">
        <f>SUM(E25:E56)</f>
        <v>31</v>
      </c>
      <c r="F57" s="116">
        <f t="shared" si="12"/>
        <v>6261.3870967741932</v>
      </c>
      <c r="G57" s="116">
        <f>SUM(G25:G56)</f>
        <v>23</v>
      </c>
      <c r="H57" s="116">
        <f t="shared" si="13"/>
        <v>8439.2608695652179</v>
      </c>
      <c r="I57" s="116">
        <f>SUM(I25:I56)</f>
        <v>318</v>
      </c>
      <c r="J57" s="115">
        <f t="shared" si="14"/>
        <v>1.3478260869565217</v>
      </c>
      <c r="K57" s="116">
        <f>SUM(K25:K56)</f>
        <v>29977</v>
      </c>
      <c r="L57" s="116">
        <f>SUM(L25:L56)</f>
        <v>34346</v>
      </c>
      <c r="M57" s="116">
        <f>SUM(M25:M56)</f>
        <v>0</v>
      </c>
      <c r="N57" s="117">
        <f t="shared" si="15"/>
        <v>7.2327044025157231E-2</v>
      </c>
      <c r="O57" s="118">
        <f t="shared" si="16"/>
        <v>0.41278566649978526</v>
      </c>
      <c r="P57" s="119">
        <f>SUM(P25:P56)</f>
        <v>470227.0833333332</v>
      </c>
      <c r="Q57" s="119">
        <f>SUM(Q25:Q55)</f>
        <v>72.342628205128221</v>
      </c>
      <c r="R57" s="119">
        <f>SUM(R25:R55)</f>
        <v>42.554487179487182</v>
      </c>
      <c r="S57" s="119">
        <f>SUM(S25:S56)</f>
        <v>470227.08333333337</v>
      </c>
      <c r="T57" s="119">
        <f>SUM(T25:T55)</f>
        <v>72.342628205128207</v>
      </c>
      <c r="U57" s="119">
        <f>SUM(U25:U55)</f>
        <v>42.554487179487182</v>
      </c>
      <c r="V57" s="120"/>
      <c r="W57" s="120"/>
      <c r="AE57" s="2"/>
      <c r="AF57" s="2"/>
      <c r="AG57" s="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35" priority="231" operator="greaterThan">
      <formula>0</formula>
    </cfRule>
    <cfRule type="cellIs" dxfId="134" priority="233" operator="lessThan">
      <formula>0</formula>
    </cfRule>
  </conditionalFormatting>
  <conditionalFormatting sqref="J25:J43">
    <cfRule type="cellIs" dxfId="133" priority="21" operator="lessThan">
      <formula>$I$12</formula>
    </cfRule>
  </conditionalFormatting>
  <conditionalFormatting sqref="J25:J49">
    <cfRule type="cellIs" dxfId="132" priority="22" operator="greaterThan">
      <formula>$I$12</formula>
    </cfRule>
  </conditionalFormatting>
  <conditionalFormatting sqref="J28:J56">
    <cfRule type="cellIs" dxfId="131" priority="30" operator="lessThan">
      <formula>$I$12</formula>
    </cfRule>
    <cfRule type="cellIs" dxfId="130" priority="31" operator="greaterThan">
      <formula>$I$12</formula>
    </cfRule>
  </conditionalFormatting>
  <conditionalFormatting sqref="J36">
    <cfRule type="cellIs" dxfId="129" priority="1854" operator="lessThan">
      <formula>$I$12</formula>
    </cfRule>
    <cfRule type="cellIs" dxfId="128" priority="1866" operator="greaterThan">
      <formula>$I$12</formula>
    </cfRule>
    <cfRule type="cellIs" dxfId="127" priority="1869" operator="lessThan">
      <formula>$I$12</formula>
    </cfRule>
  </conditionalFormatting>
  <conditionalFormatting sqref="J39:J40">
    <cfRule type="cellIs" dxfId="126" priority="1826" operator="lessThan">
      <formula>$I$12</formula>
    </cfRule>
  </conditionalFormatting>
  <conditionalFormatting sqref="J44:J49">
    <cfRule type="cellIs" dxfId="125" priority="240" operator="lessThan">
      <formula>$I$12</formula>
    </cfRule>
  </conditionalFormatting>
  <conditionalFormatting sqref="J51:J53">
    <cfRule type="cellIs" dxfId="124" priority="1853" operator="lessThan">
      <formula>$I$12</formula>
    </cfRule>
  </conditionalFormatting>
  <conditionalFormatting sqref="K8">
    <cfRule type="cellIs" dxfId="123" priority="1" operator="greaterThan">
      <formula>$K$17</formula>
    </cfRule>
    <cfRule type="cellIs" dxfId="122" priority="2" operator="lessThan">
      <formula>$K$17</formula>
    </cfRule>
  </conditionalFormatting>
  <conditionalFormatting sqref="K10:K12 K15">
    <cfRule type="cellIs" dxfId="121" priority="230" operator="greaterThan">
      <formula>1</formula>
    </cfRule>
    <cfRule type="cellIs" dxfId="120" priority="234" operator="lessThan">
      <formula>1</formula>
    </cfRule>
  </conditionalFormatting>
  <conditionalFormatting sqref="K13">
    <cfRule type="cellIs" dxfId="119" priority="226" operator="lessThan">
      <formula>$K$14</formula>
    </cfRule>
    <cfRule type="cellIs" dxfId="118" priority="227" operator="greaterThan">
      <formula>$K$14</formula>
    </cfRule>
  </conditionalFormatting>
  <conditionalFormatting sqref="M8:M15">
    <cfRule type="cellIs" dxfId="117" priority="228" operator="lessThan">
      <formula>1</formula>
    </cfRule>
    <cfRule type="cellIs" dxfId="116" priority="229" operator="greaterThan">
      <formula>1</formula>
    </cfRule>
  </conditionalFormatting>
  <conditionalFormatting sqref="N25:N43">
    <cfRule type="cellIs" dxfId="115" priority="18" operator="between">
      <formula>0.2</formula>
      <formula>0.25</formula>
    </cfRule>
  </conditionalFormatting>
  <conditionalFormatting sqref="N25:N49">
    <cfRule type="cellIs" dxfId="114" priority="19" operator="greaterThanOrEqual">
      <formula>0.25</formula>
    </cfRule>
  </conditionalFormatting>
  <conditionalFormatting sqref="N25:N56">
    <cfRule type="cellIs" dxfId="113" priority="20" operator="lessThan">
      <formula>0.2</formula>
    </cfRule>
  </conditionalFormatting>
  <conditionalFormatting sqref="N28:N38">
    <cfRule type="cellIs" dxfId="112" priority="27" operator="between">
      <formula>0.2</formula>
      <formula>0.25</formula>
    </cfRule>
    <cfRule type="cellIs" dxfId="111" priority="28" operator="greaterThanOrEqual">
      <formula>0.25</formula>
    </cfRule>
  </conditionalFormatting>
  <conditionalFormatting sqref="N36">
    <cfRule type="cellIs" dxfId="110" priority="1858" operator="between">
      <formula>0.2</formula>
      <formula>0.25</formula>
    </cfRule>
    <cfRule type="cellIs" dxfId="109" priority="1872" operator="greaterThanOrEqual">
      <formula>0.25</formula>
    </cfRule>
    <cfRule type="cellIs" dxfId="108" priority="1873" operator="between">
      <formula>0.2</formula>
      <formula>0.25</formula>
    </cfRule>
  </conditionalFormatting>
  <conditionalFormatting sqref="N39:N40">
    <cfRule type="cellIs" dxfId="107" priority="1832" operator="between">
      <formula>0.2</formula>
      <formula>0.25</formula>
    </cfRule>
  </conditionalFormatting>
  <conditionalFormatting sqref="N39:N56">
    <cfRule type="cellIs" dxfId="106" priority="50" operator="greaterThanOrEqual">
      <formula>0.25</formula>
    </cfRule>
  </conditionalFormatting>
  <conditionalFormatting sqref="N41:N56">
    <cfRule type="cellIs" dxfId="105" priority="49" operator="between">
      <formula>0.2</formula>
      <formula>0.25</formula>
    </cfRule>
  </conditionalFormatting>
  <conditionalFormatting sqref="N44:N49">
    <cfRule type="cellIs" dxfId="104" priority="241" operator="between">
      <formula>0.2</formula>
      <formula>0.25</formula>
    </cfRule>
  </conditionalFormatting>
  <conditionalFormatting sqref="N51:N53">
    <cfRule type="cellIs" dxfId="103" priority="1846" operator="between">
      <formula>0.2</formula>
      <formula>0.25</formula>
    </cfRule>
  </conditionalFormatting>
  <conditionalFormatting sqref="O25:O49">
    <cfRule type="cellIs" dxfId="102" priority="12" operator="between">
      <formula>0.9001</formula>
      <formula>0.9999</formula>
    </cfRule>
    <cfRule type="cellIs" dxfId="101" priority="13" operator="lessThan">
      <formula>0.9</formula>
    </cfRule>
    <cfRule type="cellIs" dxfId="100" priority="16" operator="between">
      <formula>0.85</formula>
      <formula>1</formula>
    </cfRule>
    <cfRule type="cellIs" dxfId="99" priority="17" operator="between">
      <formula>0.01</formula>
      <formula>0.99</formula>
    </cfRule>
  </conditionalFormatting>
  <conditionalFormatting sqref="O25:O56">
    <cfRule type="cellIs" dxfId="98" priority="14" operator="greaterThan">
      <formula>1</formula>
    </cfRule>
    <cfRule type="cellIs" dxfId="97" priority="15" operator="greaterThan">
      <formula>100</formula>
    </cfRule>
  </conditionalFormatting>
  <conditionalFormatting sqref="O28:O49">
    <cfRule type="cellIs" dxfId="96" priority="25" operator="between">
      <formula>0.85</formula>
      <formula>1</formula>
    </cfRule>
    <cfRule type="cellIs" dxfId="95" priority="26" operator="between">
      <formula>0.01</formula>
      <formula>0.99</formula>
    </cfRule>
    <cfRule type="cellIs" dxfId="94" priority="1865" operator="lessThan">
      <formula>0.9</formula>
    </cfRule>
    <cfRule type="cellIs" dxfId="93" priority="1868" operator="between">
      <formula>0.9001</formula>
      <formula>0.9999</formula>
    </cfRule>
  </conditionalFormatting>
  <conditionalFormatting sqref="O36:O49">
    <cfRule type="cellIs" dxfId="92" priority="1860" operator="between">
      <formula>0.85</formula>
      <formula>1</formula>
    </cfRule>
    <cfRule type="cellIs" dxfId="91" priority="1874" operator="between">
      <formula>0.01</formula>
      <formula>0.99</formula>
    </cfRule>
    <cfRule type="cellIs" dxfId="90" priority="1875" operator="between">
      <formula>0.85</formula>
      <formula>1</formula>
    </cfRule>
    <cfRule type="cellIs" dxfId="89" priority="1878" operator="lessThan">
      <formula>0.9</formula>
    </cfRule>
    <cfRule type="cellIs" dxfId="88" priority="1879" operator="between">
      <formula>0.9001</formula>
      <formula>0.9999</formula>
    </cfRule>
  </conditionalFormatting>
  <conditionalFormatting sqref="O39:O40">
    <cfRule type="cellIs" dxfId="87" priority="1836" operator="between">
      <formula>0.85</formula>
      <formula>1</formula>
    </cfRule>
    <cfRule type="cellIs" dxfId="86" priority="1842" operator="lessThan">
      <formula>0.9</formula>
    </cfRule>
    <cfRule type="cellIs" dxfId="85" priority="1844" operator="between">
      <formula>0.9001</formula>
      <formula>0.9999</formula>
    </cfRule>
  </conditionalFormatting>
  <conditionalFormatting sqref="O39:O56">
    <cfRule type="cellIs" dxfId="84" priority="48" operator="between">
      <formula>0.01</formula>
      <formula>0.99</formula>
    </cfRule>
  </conditionalFormatting>
  <conditionalFormatting sqref="O41:O56">
    <cfRule type="cellIs" dxfId="83" priority="43" operator="between">
      <formula>0.9001</formula>
      <formula>0.9999</formula>
    </cfRule>
    <cfRule type="cellIs" dxfId="82" priority="44" operator="lessThan">
      <formula>0.9</formula>
    </cfRule>
    <cfRule type="cellIs" dxfId="81" priority="47" operator="between">
      <formula>0.85</formula>
      <formula>1</formula>
    </cfRule>
  </conditionalFormatting>
  <conditionalFormatting sqref="O44:O49">
    <cfRule type="cellIs" dxfId="80" priority="242" operator="between">
      <formula>0.85</formula>
      <formula>1</formula>
    </cfRule>
    <cfRule type="cellIs" dxfId="79" priority="243" operator="lessThan">
      <formula>0.9</formula>
    </cfRule>
    <cfRule type="cellIs" dxfId="78" priority="244" operator="between">
      <formula>0.9001</formula>
      <formula>0.9999</formula>
    </cfRule>
  </conditionalFormatting>
  <conditionalFormatting sqref="O51:O53">
    <cfRule type="cellIs" dxfId="77" priority="1848" operator="between">
      <formula>0.85</formula>
      <formula>1</formula>
    </cfRule>
    <cfRule type="cellIs" dxfId="76" priority="1849" operator="lessThan">
      <formula>0.9</formula>
    </cfRule>
    <cfRule type="cellIs" dxfId="75" priority="1850" operator="between">
      <formula>0.9001</formula>
      <formula>0.9999</formula>
    </cfRule>
  </conditionalFormatting>
  <conditionalFormatting sqref="P10:Q10">
    <cfRule type="cellIs" dxfId="74" priority="232" operator="lessThan">
      <formula>0</formula>
    </cfRule>
  </conditionalFormatting>
  <conditionalFormatting sqref="T13 W13 T19">
    <cfRule type="cellIs" dxfId="73" priority="3" operator="between">
      <formula>0.9</formula>
      <formula>0.95</formula>
    </cfRule>
    <cfRule type="cellIs" dxfId="72" priority="4" operator="lessThan">
      <formula>0.9</formula>
    </cfRule>
    <cfRule type="cellIs" dxfId="71" priority="5" operator="greaterThan">
      <formula>0.95</formula>
    </cfRule>
  </conditionalFormatting>
  <conditionalFormatting sqref="W13">
    <cfRule type="cellIs" dxfId="70" priority="6" operator="lessThan">
      <formula>1</formula>
    </cfRule>
    <cfRule type="cellIs" dxfId="69" priority="7" operator="greaterThan">
      <formula>1</formula>
    </cfRule>
    <cfRule type="cellIs" dxfId="68" priority="8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U60"/>
  <sheetViews>
    <sheetView showZeros="0" topLeftCell="A28" workbookViewId="0">
      <pane xSplit="3" topLeftCell="D1" activePane="topRight" state="frozen"/>
      <selection pane="topRight" activeCell="C61" sqref="C61"/>
    </sheetView>
  </sheetViews>
  <sheetFormatPr baseColWidth="10" defaultColWidth="9.1640625" defaultRowHeight="15"/>
  <cols>
    <col min="1" max="1" width="4.1640625" style="239" customWidth="1"/>
    <col min="2" max="2" width="12.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578">
        <f ca="1">TODAY()-1</f>
        <v>46000</v>
      </c>
      <c r="C1" s="578"/>
      <c r="D1" s="11"/>
      <c r="E1" s="11"/>
      <c r="F1" s="12"/>
      <c r="G1" s="12"/>
      <c r="H1" s="12"/>
      <c r="I1" s="12"/>
      <c r="J1" s="204"/>
      <c r="K1" s="204"/>
      <c r="L1" s="204"/>
      <c r="M1" s="204"/>
      <c r="N1" s="204"/>
      <c r="O1" s="204"/>
      <c r="P1" s="204"/>
      <c r="Q1" s="579"/>
      <c r="R1" s="579"/>
      <c r="S1" s="579"/>
      <c r="T1" s="579"/>
      <c r="U1" s="12"/>
      <c r="V1" s="12"/>
      <c r="W1" s="12"/>
    </row>
    <row r="2" spans="2:24" ht="21.75" customHeight="1">
      <c r="B2" s="580" t="s">
        <v>0</v>
      </c>
      <c r="C2" s="580"/>
      <c r="D2" s="11"/>
      <c r="E2" s="11"/>
      <c r="F2" s="12"/>
      <c r="G2" s="12"/>
      <c r="H2" s="12"/>
      <c r="I2" s="12"/>
      <c r="J2" s="581" t="s">
        <v>68</v>
      </c>
      <c r="K2" s="581"/>
      <c r="L2" s="581"/>
      <c r="M2" s="581"/>
      <c r="N2" s="581"/>
      <c r="O2" s="581"/>
      <c r="P2" s="581"/>
      <c r="Q2" s="579"/>
      <c r="R2" s="579"/>
      <c r="S2" s="579"/>
      <c r="T2" s="579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82" t="s">
        <v>71</v>
      </c>
      <c r="K3" s="583"/>
      <c r="L3" s="583"/>
      <c r="M3" s="583"/>
      <c r="N3" s="584"/>
      <c r="O3" s="204"/>
      <c r="P3" s="205"/>
      <c r="Q3" s="579"/>
      <c r="R3" s="579"/>
      <c r="S3" s="579"/>
      <c r="T3" s="579"/>
      <c r="U3" s="12"/>
      <c r="V3" s="12"/>
      <c r="W3" s="12"/>
    </row>
    <row r="4" spans="2:24" ht="15" customHeight="1">
      <c r="B4" s="11"/>
      <c r="C4" s="588">
        <f>I8-D50</f>
        <v>470227.08333333337</v>
      </c>
      <c r="D4" s="589"/>
      <c r="E4" s="206">
        <f>IF(I8&lt;&gt;0,C4/I8,0)</f>
        <v>1</v>
      </c>
      <c r="F4" s="12"/>
      <c r="G4" s="12"/>
      <c r="H4" s="12"/>
      <c r="I4" s="12"/>
      <c r="J4" s="585"/>
      <c r="K4" s="586"/>
      <c r="L4" s="586"/>
      <c r="M4" s="586"/>
      <c r="N4" s="587"/>
      <c r="O4" s="12"/>
      <c r="P4" s="12"/>
      <c r="Q4" s="579"/>
      <c r="R4" s="579"/>
      <c r="S4" s="579"/>
      <c r="T4" s="579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590"/>
      <c r="K5" s="590"/>
      <c r="L5" s="590"/>
      <c r="M5" s="590"/>
      <c r="N5" s="590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07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07"/>
      <c r="C7" s="12"/>
      <c r="D7" s="12"/>
      <c r="E7" s="12"/>
      <c r="F7" s="505" t="s">
        <v>3</v>
      </c>
      <c r="G7" s="506"/>
      <c r="H7" s="50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08" t="s">
        <v>11</v>
      </c>
      <c r="Q7" s="509"/>
      <c r="R7" s="21"/>
      <c r="S7" s="21"/>
      <c r="T7" s="12"/>
      <c r="U7" s="12"/>
      <c r="V7" s="12"/>
      <c r="W7" s="12"/>
    </row>
    <row r="8" spans="2:24" ht="15.75" customHeight="1">
      <c r="B8" s="207"/>
      <c r="C8" s="12"/>
      <c r="D8" s="12"/>
      <c r="E8" s="240"/>
      <c r="F8" s="510" t="s">
        <v>12</v>
      </c>
      <c r="G8" s="511"/>
      <c r="H8" s="512"/>
      <c r="I8" s="208">
        <f>'Ялта, Ленина, 18'!I8/График!AJ31*График!AJ28</f>
        <v>470227.08333333337</v>
      </c>
      <c r="J8" s="209">
        <f>D57</f>
        <v>19779</v>
      </c>
      <c r="K8" s="30">
        <f t="shared" ref="K8:K9" si="0">IF(AND(I8&lt;&gt;"",I8&lt;&gt;0,J8&lt;&gt;""),J8/I8,"")</f>
        <v>4.2062655897638107E-2</v>
      </c>
      <c r="L8" s="210">
        <f>IF(SUMIF($D$25:$D$56,"&gt;=0",$P$25:$P$56)&lt;&gt;0,I8*D57/SUMIF($D$25:$D$56,"&gt;=0",$P$25:$P$56),0)</f>
        <v>164824.99999999997</v>
      </c>
      <c r="M8" s="241">
        <f t="shared" ref="M8:M9" si="1">IF(AND(I8&lt;&gt;"",I8&lt;&gt;0,L8&lt;&gt;"",L8&lt;&gt;0),L8/I8,"")</f>
        <v>0.35052213248031749</v>
      </c>
      <c r="N8" s="35">
        <f t="shared" ref="N8:N9" si="2">IF(AND(J8&lt;&gt;0,J8&lt;&gt;"",I8&lt;&gt;0,I8&lt;&gt;""),L8-I8,"")</f>
        <v>-305402.08333333337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4" ht="15.75" customHeight="1">
      <c r="B9" s="207"/>
      <c r="C9" s="12"/>
      <c r="D9" s="12"/>
      <c r="E9" s="12"/>
      <c r="F9" s="513" t="s">
        <v>13</v>
      </c>
      <c r="G9" s="514"/>
      <c r="H9" s="515"/>
      <c r="I9" s="38">
        <f>I8/I11</f>
        <v>72.342628205128207</v>
      </c>
      <c r="J9" s="242">
        <f>E57</f>
        <v>3</v>
      </c>
      <c r="K9" s="40">
        <f t="shared" si="0"/>
        <v>4.1469325547497E-2</v>
      </c>
      <c r="L9" s="243">
        <f>IF(SUMIF($E$25:$E$54,"&gt;=0",$Q$25:$Q$54)&lt;&gt;0,I9*E57/SUMIF($E$25:$E$54,"&gt;=0",$Q$25:$Q$54),0)</f>
        <v>24.999999999999996</v>
      </c>
      <c r="M9" s="244">
        <f t="shared" si="1"/>
        <v>0.34557771289580824</v>
      </c>
      <c r="N9" s="43">
        <f t="shared" si="2"/>
        <v>-47.342628205128207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4" ht="15.75" customHeight="1">
      <c r="B10" s="207"/>
      <c r="C10" s="12"/>
      <c r="D10" s="12"/>
      <c r="E10" s="12"/>
      <c r="F10" s="510" t="s">
        <v>14</v>
      </c>
      <c r="G10" s="511"/>
      <c r="H10" s="512"/>
      <c r="I10" s="50">
        <f>I11*I12</f>
        <v>11050</v>
      </c>
      <c r="J10" s="214">
        <f>H57</f>
        <v>6593</v>
      </c>
      <c r="K10" s="47">
        <f t="shared" ref="K10:K19" si="5">IF(AND(I10&lt;&gt;"",I10&lt;&gt;0,J10&lt;&gt;""),J10/I10,"")</f>
        <v>0.59665158371040727</v>
      </c>
      <c r="L10" s="212">
        <f>J10</f>
        <v>6593</v>
      </c>
      <c r="M10" s="245">
        <f t="shared" ref="M10:M20" si="6">IF(AND(I10&lt;&gt;"",I10&lt;&gt;0,L10&lt;&gt;"",L10&lt;&gt;0),L10/I10,"")</f>
        <v>0.59665158371040727</v>
      </c>
      <c r="N10" s="49">
        <f t="shared" ref="N10:N20" si="7">IF(AND(J10&lt;&gt;0,J10&lt;&gt;"",I10&lt;&gt;0,I10&lt;&gt;""),L10-I10,"")</f>
        <v>-4457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20" t="s">
        <v>36</v>
      </c>
      <c r="T10" s="520"/>
      <c r="U10" s="12"/>
      <c r="V10" s="520" t="str">
        <f>M23</f>
        <v>Agafi</v>
      </c>
      <c r="W10" s="520"/>
    </row>
    <row r="11" spans="2:24" ht="15.75" customHeight="1">
      <c r="B11" s="207"/>
      <c r="C11" s="12"/>
      <c r="D11" s="12"/>
      <c r="E11" s="12"/>
      <c r="F11" s="513" t="s">
        <v>15</v>
      </c>
      <c r="G11" s="514"/>
      <c r="H11" s="515"/>
      <c r="I11" s="52">
        <f>'Ялта, Ленина, 18'!I11</f>
        <v>6500</v>
      </c>
      <c r="J11" s="242">
        <f>F57</f>
        <v>6593</v>
      </c>
      <c r="K11" s="40">
        <f t="shared" si="5"/>
        <v>1.0143076923076924</v>
      </c>
      <c r="L11" s="243">
        <f>IF(L9&gt;0,L8/L9,"")</f>
        <v>6593</v>
      </c>
      <c r="M11" s="244">
        <f t="shared" si="6"/>
        <v>1.0143076923076924</v>
      </c>
      <c r="N11" s="43">
        <f t="shared" si="7"/>
        <v>93</v>
      </c>
      <c r="O11" s="53"/>
      <c r="P11" s="43" t="str">
        <f t="shared" si="8"/>
        <v/>
      </c>
      <c r="Q11" s="45" t="str">
        <f t="shared" si="9"/>
        <v/>
      </c>
      <c r="R11" s="21"/>
      <c r="S11" s="520"/>
      <c r="T11" s="520"/>
      <c r="U11" s="12"/>
      <c r="V11" s="520"/>
      <c r="W11" s="520"/>
    </row>
    <row r="12" spans="2:24" ht="15.75" customHeight="1">
      <c r="B12" s="207"/>
      <c r="C12" s="12"/>
      <c r="D12" s="12"/>
      <c r="E12" s="12"/>
      <c r="F12" s="513" t="s">
        <v>16</v>
      </c>
      <c r="G12" s="514"/>
      <c r="H12" s="515"/>
      <c r="I12" s="54">
        <f>'Ялта, Ленина, 18'!I12</f>
        <v>1.7</v>
      </c>
      <c r="J12" s="55">
        <f>J57</f>
        <v>1</v>
      </c>
      <c r="K12" s="40">
        <f t="shared" si="5"/>
        <v>0.58823529411764708</v>
      </c>
      <c r="L12" s="218">
        <f>J12</f>
        <v>1</v>
      </c>
      <c r="M12" s="246">
        <f t="shared" si="6"/>
        <v>0.58823529411764708</v>
      </c>
      <c r="N12" s="57">
        <f t="shared" si="7"/>
        <v>-0.7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18'!S12*График!AJ28/График!AJ31</f>
        <v>116057.69230769231</v>
      </c>
      <c r="T12" s="60">
        <f>L57</f>
        <v>0</v>
      </c>
      <c r="U12" s="247">
        <f>S12-T12</f>
        <v>116057.69230769231</v>
      </c>
      <c r="V12" s="59">
        <f>'Ялта, Ленина, 18'!V12/График!AJ31*График!AJ28</f>
        <v>109230.76923076923</v>
      </c>
      <c r="W12" s="60">
        <f>M57</f>
        <v>0</v>
      </c>
      <c r="X12" s="248">
        <f>V12-W12</f>
        <v>109230.76923076923</v>
      </c>
    </row>
    <row r="13" spans="2:24" ht="15.75" customHeight="1">
      <c r="B13" s="207"/>
      <c r="C13" s="12"/>
      <c r="D13" s="12"/>
      <c r="E13" s="12"/>
      <c r="F13" s="513" t="s">
        <v>17</v>
      </c>
      <c r="G13" s="514"/>
      <c r="H13" s="515"/>
      <c r="I13" s="38">
        <f>IF(I12&lt;&gt;0,I9/I12,"")</f>
        <v>42.554487179487182</v>
      </c>
      <c r="J13" s="242">
        <f>G57</f>
        <v>3</v>
      </c>
      <c r="K13" s="40">
        <f t="shared" si="5"/>
        <v>7.0497853430744897E-2</v>
      </c>
      <c r="L13" s="243">
        <f>IF(SUMIF($G$25:$G$54,"&gt;=0",$R$25:$R$54)&lt;&gt;0,I13*G57/SUMIF($G$25:$G$54,"&gt;=0",$R$25:$R$54),"")</f>
        <v>25</v>
      </c>
      <c r="M13" s="244">
        <f t="shared" si="6"/>
        <v>0.58748211192287414</v>
      </c>
      <c r="N13" s="57">
        <f t="shared" si="7"/>
        <v>-17.554487179487182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</v>
      </c>
      <c r="T13" s="62">
        <f>S13/J14*I14</f>
        <v>0</v>
      </c>
      <c r="U13" s="12"/>
      <c r="V13" s="62">
        <f>W12/V12</f>
        <v>0</v>
      </c>
      <c r="W13" s="62">
        <f>V13/J14*I14</f>
        <v>0</v>
      </c>
    </row>
    <row r="14" spans="2:24" ht="15.75" customHeight="1">
      <c r="B14" s="207"/>
      <c r="C14" s="12"/>
      <c r="D14" s="12"/>
      <c r="E14" s="12"/>
      <c r="F14" s="513" t="s">
        <v>65</v>
      </c>
      <c r="G14" s="514"/>
      <c r="H14" s="515"/>
      <c r="I14" s="52">
        <f>График!AI28</f>
        <v>13</v>
      </c>
      <c r="J14" s="64">
        <v>2</v>
      </c>
      <c r="K14" s="40">
        <f t="shared" si="5"/>
        <v>0.15384615384615385</v>
      </c>
      <c r="L14" s="41">
        <f>I14</f>
        <v>13</v>
      </c>
      <c r="M14" s="246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4" ht="15.75" customHeight="1">
      <c r="B15" s="207"/>
      <c r="C15" s="12"/>
      <c r="D15" s="12"/>
      <c r="E15" s="12"/>
      <c r="F15" s="513" t="s">
        <v>19</v>
      </c>
      <c r="G15" s="514"/>
      <c r="H15" s="515"/>
      <c r="I15" s="75">
        <f>'Ялта, Ленина, 18'!I15</f>
        <v>68878.333333333328</v>
      </c>
      <c r="J15" s="242">
        <f>J8/J14</f>
        <v>9889.5</v>
      </c>
      <c r="K15" s="68">
        <f t="shared" si="5"/>
        <v>0.1435792581121301</v>
      </c>
      <c r="L15" s="243">
        <f t="shared" ref="L15:L16" si="10">J15</f>
        <v>9889.5</v>
      </c>
      <c r="M15" s="244">
        <f t="shared" si="6"/>
        <v>0.1435792581121301</v>
      </c>
      <c r="N15" s="43">
        <f t="shared" si="7"/>
        <v>-58988.833333333328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4" ht="15.75" customHeight="1">
      <c r="B16" s="207"/>
      <c r="C16" s="12"/>
      <c r="D16" s="12"/>
      <c r="E16" s="12"/>
      <c r="F16" s="513" t="s">
        <v>20</v>
      </c>
      <c r="G16" s="514"/>
      <c r="H16" s="515"/>
      <c r="I16" s="75"/>
      <c r="J16" s="39">
        <f>J8-I15*J14</f>
        <v>-117977.66666666666</v>
      </c>
      <c r="K16" s="68" t="str">
        <f t="shared" si="5"/>
        <v/>
      </c>
      <c r="L16" s="212">
        <f t="shared" si="10"/>
        <v>-117977.66666666666</v>
      </c>
      <c r="M16" s="249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20" t="s">
        <v>35</v>
      </c>
      <c r="T16" s="520"/>
      <c r="U16" s="12"/>
      <c r="V16" s="12"/>
      <c r="W16" s="12"/>
    </row>
    <row r="17" spans="1:33" ht="15.75" customHeight="1">
      <c r="B17" s="207"/>
      <c r="C17" s="12"/>
      <c r="D17" s="219"/>
      <c r="E17" s="12"/>
      <c r="F17" s="513" t="s">
        <v>21</v>
      </c>
      <c r="G17" s="514"/>
      <c r="H17" s="515"/>
      <c r="I17" s="75">
        <f>'Ялта, Ленина, 18'!I17/График!AJ31*График!AJ28</f>
        <v>386.85897435897436</v>
      </c>
      <c r="J17" s="242">
        <f>I57</f>
        <v>33</v>
      </c>
      <c r="K17" s="68">
        <f t="shared" si="5"/>
        <v>8.5302402651201328E-2</v>
      </c>
      <c r="L17" s="243">
        <f>J17/J14*I14</f>
        <v>214.5</v>
      </c>
      <c r="M17" s="250">
        <f t="shared" si="6"/>
        <v>0.55446561723280863</v>
      </c>
      <c r="N17" s="43">
        <f t="shared" si="7"/>
        <v>-172.35897435897436</v>
      </c>
      <c r="O17" s="71"/>
      <c r="P17" s="43" t="str">
        <f t="shared" si="8"/>
        <v/>
      </c>
      <c r="Q17" s="45" t="str">
        <f t="shared" si="9"/>
        <v/>
      </c>
      <c r="R17" s="21"/>
      <c r="S17" s="520"/>
      <c r="T17" s="520"/>
      <c r="U17" s="12"/>
      <c r="V17" s="12"/>
      <c r="W17" s="12"/>
    </row>
    <row r="18" spans="1:33" ht="15.75" customHeight="1">
      <c r="B18" s="207"/>
      <c r="C18" s="12"/>
      <c r="D18" s="12"/>
      <c r="E18" s="12"/>
      <c r="F18" s="513"/>
      <c r="G18" s="514"/>
      <c r="H18" s="515"/>
      <c r="I18" s="76"/>
      <c r="J18" s="39"/>
      <c r="K18" s="68" t="str">
        <f t="shared" si="5"/>
        <v/>
      </c>
      <c r="L18" s="212">
        <f t="shared" ref="L18:L19" si="11">J18</f>
        <v>0</v>
      </c>
      <c r="M18" s="249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18'!S18*График!AJ28/График!AJ31</f>
        <v>232115.38461538462</v>
      </c>
      <c r="T18" s="60">
        <f>K57</f>
        <v>0</v>
      </c>
      <c r="U18" s="12"/>
      <c r="V18" s="12"/>
      <c r="W18" s="12"/>
    </row>
    <row r="19" spans="1:33" ht="15.75" customHeight="1">
      <c r="B19" s="207"/>
      <c r="C19" s="12"/>
      <c r="D19" s="12"/>
      <c r="E19" s="12"/>
      <c r="F19" s="513"/>
      <c r="G19" s="514"/>
      <c r="H19" s="515"/>
      <c r="I19" s="76"/>
      <c r="J19" s="242"/>
      <c r="K19" s="68" t="str">
        <f t="shared" si="5"/>
        <v/>
      </c>
      <c r="L19" s="243">
        <f t="shared" si="11"/>
        <v>0</v>
      </c>
      <c r="M19" s="250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</v>
      </c>
      <c r="T19" s="62">
        <f>S19/J14*I14</f>
        <v>0</v>
      </c>
      <c r="U19" s="12"/>
      <c r="V19" s="12"/>
      <c r="W19" s="12"/>
    </row>
    <row r="20" spans="1:33" ht="15.75" customHeight="1">
      <c r="B20" s="207"/>
      <c r="C20" s="12"/>
      <c r="D20" s="12"/>
      <c r="E20" s="12"/>
      <c r="F20" s="521" t="s">
        <v>22</v>
      </c>
      <c r="G20" s="521"/>
      <c r="H20" s="521"/>
      <c r="I20" s="222">
        <f>'Ялта, Ленина, 18'!I20</f>
        <v>0.11</v>
      </c>
      <c r="J20" s="223">
        <f>N57</f>
        <v>9.0909090909090912E-2</v>
      </c>
      <c r="K20" s="224">
        <f>J20/I20</f>
        <v>0.82644628099173556</v>
      </c>
      <c r="L20" s="225">
        <f>IF(AND(K8&lt;&gt;0,I14&lt;&gt;0,I57&lt;&gt;0),(I57*N57+(I57/K8-I57)*I20)/(I57/K8),0)</f>
        <v>0.109196985660136</v>
      </c>
      <c r="M20" s="225">
        <f t="shared" si="6"/>
        <v>0.99269986963759993</v>
      </c>
      <c r="N20" s="85">
        <f t="shared" si="7"/>
        <v>-8.0301433986400272E-4</v>
      </c>
      <c r="O20" s="86"/>
      <c r="P20" s="87" t="str">
        <f t="shared" si="8"/>
        <v/>
      </c>
      <c r="Q20" s="88" t="str">
        <f t="shared" si="9"/>
        <v/>
      </c>
      <c r="R20" s="21"/>
      <c r="S20" s="21"/>
      <c r="T20" s="12"/>
      <c r="U20" s="12"/>
      <c r="V20" s="12"/>
      <c r="W20" s="12"/>
    </row>
    <row r="21" spans="1:33" ht="15.75" customHeight="1">
      <c r="B21" s="20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597" t="s">
        <v>23</v>
      </c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8" t="s">
        <v>24</v>
      </c>
      <c r="P22" s="597" t="s">
        <v>25</v>
      </c>
      <c r="Q22" s="597"/>
      <c r="R22" s="597"/>
      <c r="S22" s="597"/>
      <c r="T22" s="597"/>
      <c r="U22" s="597"/>
      <c r="V22" s="597"/>
      <c r="W22" s="597"/>
    </row>
    <row r="23" spans="1:33" ht="36">
      <c r="B23" s="226" t="s">
        <v>27</v>
      </c>
      <c r="C23" s="226" t="s">
        <v>28</v>
      </c>
      <c r="D23" s="226" t="s">
        <v>29</v>
      </c>
      <c r="E23" s="226" t="s">
        <v>30</v>
      </c>
      <c r="F23" s="226" t="s">
        <v>31</v>
      </c>
      <c r="G23" s="226" t="s">
        <v>32</v>
      </c>
      <c r="H23" s="226" t="s">
        <v>33</v>
      </c>
      <c r="I23" s="226" t="s">
        <v>21</v>
      </c>
      <c r="J23" s="226" t="s">
        <v>34</v>
      </c>
      <c r="K23" s="91" t="s">
        <v>35</v>
      </c>
      <c r="L23" s="91" t="s">
        <v>36</v>
      </c>
      <c r="M23" s="91" t="s">
        <v>37</v>
      </c>
      <c r="N23" s="226" t="s">
        <v>38</v>
      </c>
      <c r="O23" s="598"/>
      <c r="P23" s="226" t="s">
        <v>39</v>
      </c>
      <c r="Q23" s="226" t="s">
        <v>40</v>
      </c>
      <c r="R23" s="226" t="s">
        <v>41</v>
      </c>
      <c r="S23" s="226" t="s">
        <v>42</v>
      </c>
      <c r="T23" s="226" t="s">
        <v>43</v>
      </c>
      <c r="U23" s="226" t="s">
        <v>44</v>
      </c>
      <c r="V23" s="227" t="s">
        <v>45</v>
      </c>
      <c r="W23" s="227" t="s">
        <v>46</v>
      </c>
      <c r="X23" s="132"/>
    </row>
    <row r="24" spans="1:33">
      <c r="B24" s="228">
        <v>1</v>
      </c>
      <c r="C24" s="228">
        <v>2</v>
      </c>
      <c r="D24" s="228">
        <v>3</v>
      </c>
      <c r="E24" s="228" t="s">
        <v>69</v>
      </c>
      <c r="F24" s="228">
        <v>5</v>
      </c>
      <c r="G24" s="228">
        <v>6</v>
      </c>
      <c r="H24" s="228">
        <v>7</v>
      </c>
      <c r="I24" s="228">
        <v>8</v>
      </c>
      <c r="J24" s="228">
        <v>9</v>
      </c>
      <c r="K24" s="228">
        <v>10</v>
      </c>
      <c r="L24" s="228">
        <v>11</v>
      </c>
      <c r="M24" s="228">
        <v>12</v>
      </c>
      <c r="N24" s="228">
        <v>13</v>
      </c>
      <c r="O24" s="598"/>
      <c r="P24" s="230">
        <v>1</v>
      </c>
      <c r="Q24" s="230">
        <v>2</v>
      </c>
      <c r="R24" s="230">
        <v>3</v>
      </c>
      <c r="S24" s="230">
        <v>4</v>
      </c>
      <c r="T24" s="230">
        <v>5</v>
      </c>
      <c r="U24" s="230">
        <v>6</v>
      </c>
      <c r="V24" s="230">
        <v>10</v>
      </c>
      <c r="W24" s="230">
        <v>11</v>
      </c>
    </row>
    <row r="25" spans="1:33">
      <c r="A25" s="96">
        <v>1</v>
      </c>
      <c r="B25" s="97" t="s">
        <v>72</v>
      </c>
      <c r="C25" s="98" t="s">
        <v>48</v>
      </c>
      <c r="D25" s="99">
        <v>4692</v>
      </c>
      <c r="E25" s="100">
        <v>1</v>
      </c>
      <c r="F25" s="100">
        <f t="shared" ref="F25:F57" si="12">IF(AND(E25&lt;&gt;"",E25&lt;&gt;0),D25/E25,"")</f>
        <v>4692</v>
      </c>
      <c r="G25" s="100">
        <v>1</v>
      </c>
      <c r="H25" s="100">
        <f t="shared" ref="H25:H57" si="13">IF(AND(G25&lt;&gt;"",G25&lt;&gt;0),D25/G25,"")</f>
        <v>4692</v>
      </c>
      <c r="I25" s="100">
        <v>20</v>
      </c>
      <c r="J25" s="99">
        <f t="shared" ref="J25:J57" si="14">IF(AND(G25&lt;&gt;"",G25&lt;&gt;0),E25/G25,"")</f>
        <v>1</v>
      </c>
      <c r="K25" s="100"/>
      <c r="L25" s="100"/>
      <c r="M25" s="100"/>
      <c r="N25" s="101">
        <f t="shared" ref="N25:N57" si="15">IF(AND(I25&lt;&gt;"",I25&lt;&gt;0),G25/I25,"")</f>
        <v>0.05</v>
      </c>
      <c r="O25" s="102">
        <f t="shared" ref="O25:O57" si="16">D25/P25</f>
        <v>0.24945394290878961</v>
      </c>
      <c r="P25" s="234">
        <f t="shared" ref="P25:P56" si="17">$I$8*V25*W25/SUMPRODUCT($W$25:$W$56,$V$25:$V$56)</f>
        <v>18809.083333333336</v>
      </c>
      <c r="Q25" s="104">
        <f>$I$9*V25*W25/SUMPRODUCT($W$25:$W$56,$V$25:$V$56)</f>
        <v>2.8937051282051285</v>
      </c>
      <c r="R25" s="233">
        <f t="shared" ref="R25:R56" si="18">IF($I$12="","",Q25/$I$12)</f>
        <v>1.7021794871794873</v>
      </c>
      <c r="S25" s="103">
        <f>IF(D25&lt;&gt;"",D25,P25)</f>
        <v>4692</v>
      </c>
      <c r="T25" s="104">
        <f>IF(E25&lt;&gt;"",E25,Q25)</f>
        <v>1</v>
      </c>
      <c r="U25" s="104">
        <f>IF(G25&lt;&gt;"",G25,R25)</f>
        <v>1</v>
      </c>
      <c r="V25" s="237">
        <v>1</v>
      </c>
      <c r="W25" s="105">
        <v>1</v>
      </c>
      <c r="X25" s="106"/>
      <c r="Y25" s="107"/>
    </row>
    <row r="26" spans="1:33">
      <c r="A26" s="96">
        <v>2</v>
      </c>
      <c r="B26" s="97" t="s">
        <v>73</v>
      </c>
      <c r="C26" s="98" t="s">
        <v>55</v>
      </c>
      <c r="D26" s="99">
        <v>10793</v>
      </c>
      <c r="E26" s="100">
        <v>1</v>
      </c>
      <c r="F26" s="100">
        <f t="shared" si="12"/>
        <v>10793</v>
      </c>
      <c r="G26" s="100">
        <v>1</v>
      </c>
      <c r="H26" s="100">
        <f t="shared" si="13"/>
        <v>10793</v>
      </c>
      <c r="I26" s="100">
        <v>5</v>
      </c>
      <c r="J26" s="99">
        <f t="shared" si="14"/>
        <v>1</v>
      </c>
      <c r="K26" s="100"/>
      <c r="L26" s="100"/>
      <c r="M26" s="100"/>
      <c r="N26" s="101">
        <f t="shared" si="15"/>
        <v>0.2</v>
      </c>
      <c r="O26" s="102">
        <f t="shared" si="16"/>
        <v>0.57381850081299368</v>
      </c>
      <c r="P26" s="103">
        <f t="shared" si="17"/>
        <v>18809.083333333336</v>
      </c>
      <c r="Q26" s="233">
        <f t="shared" ref="Q26:Q56" si="19">$I$9*V26*W26/SUMPRODUCT($W$25:$W$58,$V$25:$V$58)</f>
        <v>2.8937051282051285</v>
      </c>
      <c r="R26" s="104">
        <f t="shared" si="18"/>
        <v>1.7021794871794873</v>
      </c>
      <c r="S26" s="234">
        <f>IF(W26&lt;&gt;"",IF(D26&lt;&gt;"",D26,($I$8-SUM($S$25:S25))*V26*W26/SUMPRODUCT($W26:$W$56,$V26:$V$56)),"")</f>
        <v>10793</v>
      </c>
      <c r="T26" s="104">
        <f t="shared" ref="T26:T27" si="20">IF(W26&lt;&gt;"",IF(E26&lt;&gt;"",E26,($I$9-SUM($T$25:T25))*V26*W26/SUMPRODUCT($W26:$W$55,$V26:$V$55)),"")</f>
        <v>1</v>
      </c>
      <c r="U26" s="104">
        <f t="shared" ref="U26:U27" si="21">IF(W26&lt;&gt;"",IF($I$12&lt;&gt;"",IF(G26&lt;&gt;"",G26,($I$9/$I$12-SUM($U$25:U25))*V26*W26/SUMPRODUCT($W26:$W$55,$V26:$V$55)),""),"")</f>
        <v>1</v>
      </c>
      <c r="V26" s="105">
        <v>1</v>
      </c>
      <c r="W26" s="105">
        <v>1</v>
      </c>
      <c r="X26" s="108"/>
      <c r="Y26" s="107"/>
    </row>
    <row r="27" spans="1:33">
      <c r="A27" s="96">
        <v>3</v>
      </c>
      <c r="B27" s="97" t="s">
        <v>74</v>
      </c>
      <c r="C27" s="98" t="s">
        <v>57</v>
      </c>
      <c r="D27" s="99">
        <v>4294</v>
      </c>
      <c r="E27" s="100">
        <v>1</v>
      </c>
      <c r="F27" s="100">
        <f t="shared" si="12"/>
        <v>4294</v>
      </c>
      <c r="G27" s="100">
        <v>1</v>
      </c>
      <c r="H27" s="100">
        <f t="shared" si="13"/>
        <v>4294</v>
      </c>
      <c r="I27" s="100">
        <v>8</v>
      </c>
      <c r="J27" s="99">
        <f t="shared" si="14"/>
        <v>1</v>
      </c>
      <c r="K27" s="100"/>
      <c r="L27" s="100"/>
      <c r="M27" s="100"/>
      <c r="N27" s="101">
        <f t="shared" si="15"/>
        <v>0.125</v>
      </c>
      <c r="O27" s="102">
        <f t="shared" si="16"/>
        <v>0.22829395371916936</v>
      </c>
      <c r="P27" s="234">
        <f t="shared" si="17"/>
        <v>18809.083333333336</v>
      </c>
      <c r="Q27" s="104">
        <f t="shared" si="19"/>
        <v>2.8937051282051285</v>
      </c>
      <c r="R27" s="233">
        <f t="shared" si="18"/>
        <v>1.7021794871794873</v>
      </c>
      <c r="S27" s="103">
        <f t="shared" ref="S27:S53" si="22">IF(W27&lt;&gt;"",IF(D27&lt;&gt;"",D27,($I$8-SUM($S$25:S26))*V27*W27/SUMPRODUCT($W27:$W$58,$V27:$V$58)),"")</f>
        <v>4294</v>
      </c>
      <c r="T27" s="104">
        <f t="shared" si="20"/>
        <v>1</v>
      </c>
      <c r="U27" s="104">
        <f t="shared" si="21"/>
        <v>1</v>
      </c>
      <c r="V27" s="237">
        <v>1</v>
      </c>
      <c r="W27" s="105">
        <v>1</v>
      </c>
      <c r="X27" s="108"/>
      <c r="Y27" s="107"/>
      <c r="Z27" s="113"/>
      <c r="AA27" s="2"/>
      <c r="AB27" s="2"/>
      <c r="AC27" s="2"/>
      <c r="AD27" s="2"/>
      <c r="AE27" s="2"/>
      <c r="AF27" s="2"/>
      <c r="AG27" s="2"/>
    </row>
    <row r="28" spans="1:33">
      <c r="A28" s="96">
        <v>4</v>
      </c>
      <c r="B28" s="97"/>
      <c r="C28" s="122"/>
      <c r="D28" s="99"/>
      <c r="E28" s="109"/>
      <c r="F28" s="100" t="str">
        <f t="shared" si="12"/>
        <v/>
      </c>
      <c r="G28" s="109"/>
      <c r="H28" s="100" t="str">
        <f t="shared" si="13"/>
        <v/>
      </c>
      <c r="I28" s="109"/>
      <c r="J28" s="99" t="str">
        <f t="shared" si="14"/>
        <v/>
      </c>
      <c r="K28" s="109"/>
      <c r="L28" s="100"/>
      <c r="M28" s="109"/>
      <c r="N28" s="101" t="str">
        <f t="shared" si="15"/>
        <v/>
      </c>
      <c r="O28" s="232">
        <f t="shared" si="16"/>
        <v>0</v>
      </c>
      <c r="P28" s="103">
        <f t="shared" si="17"/>
        <v>18809.083333333336</v>
      </c>
      <c r="Q28" s="233">
        <f t="shared" si="19"/>
        <v>2.8937051282051285</v>
      </c>
      <c r="R28" s="104">
        <f t="shared" si="18"/>
        <v>1.7021794871794873</v>
      </c>
      <c r="S28" s="234">
        <f t="shared" si="22"/>
        <v>20474.91287878788</v>
      </c>
      <c r="T28" s="104">
        <f t="shared" ref="T28:T34" si="23">IF(W28&lt;&gt;"",IF(E28&lt;&gt;"",E28,($I$9-SUM($T$25:T27))*V28*W28/SUMPRODUCT($W28:$W$58,$V28:$V$58)),"")</f>
        <v>3.1519376456876458</v>
      </c>
      <c r="U28" s="233">
        <f t="shared" ref="U28:U53" si="24">IF(W28&lt;&gt;"",IF($I$12&lt;&gt;"",IF(G28&lt;&gt;"",G28,($I$9/$I$12-SUM($U$25:U27))*V28*W28/SUMPRODUCT($W28:$W$58,$V28:$V$58)),""),"")</f>
        <v>1.7979312354312356</v>
      </c>
      <c r="V28" s="105">
        <v>1</v>
      </c>
      <c r="W28" s="105">
        <v>1</v>
      </c>
      <c r="X28" s="108"/>
      <c r="Y28" s="107"/>
      <c r="Z28" s="2"/>
      <c r="AA28" s="2"/>
      <c r="AB28" s="2"/>
      <c r="AC28" s="2"/>
      <c r="AD28" s="2"/>
      <c r="AE28" s="2"/>
      <c r="AF28" s="2"/>
      <c r="AG28" s="2"/>
    </row>
    <row r="29" spans="1:33">
      <c r="A29" s="96">
        <v>5</v>
      </c>
      <c r="B29" s="97"/>
      <c r="C29" s="98"/>
      <c r="D29" s="236"/>
      <c r="E29" s="100"/>
      <c r="F29" s="100" t="str">
        <f t="shared" si="12"/>
        <v/>
      </c>
      <c r="G29" s="100"/>
      <c r="H29" s="109" t="str">
        <f t="shared" si="13"/>
        <v/>
      </c>
      <c r="I29" s="100"/>
      <c r="J29" s="236" t="str">
        <f t="shared" si="14"/>
        <v/>
      </c>
      <c r="K29" s="100"/>
      <c r="L29" s="109"/>
      <c r="M29" s="100"/>
      <c r="N29" s="235" t="str">
        <f t="shared" si="15"/>
        <v/>
      </c>
      <c r="O29" s="102">
        <f t="shared" si="16"/>
        <v>0</v>
      </c>
      <c r="P29" s="234">
        <f t="shared" si="17"/>
        <v>18809.083333333336</v>
      </c>
      <c r="Q29" s="104">
        <f t="shared" si="19"/>
        <v>2.8937051282051285</v>
      </c>
      <c r="R29" s="233">
        <f t="shared" si="18"/>
        <v>1.7021794871794873</v>
      </c>
      <c r="S29" s="103">
        <f t="shared" si="22"/>
        <v>20474.91287878788</v>
      </c>
      <c r="T29" s="233">
        <f t="shared" si="23"/>
        <v>3.1519376456876453</v>
      </c>
      <c r="U29" s="104">
        <f t="shared" si="24"/>
        <v>1.7979312354312356</v>
      </c>
      <c r="V29" s="237">
        <v>1</v>
      </c>
      <c r="W29" s="105">
        <v>1</v>
      </c>
      <c r="X29" s="108"/>
      <c r="Y29" s="107"/>
      <c r="Z29" s="2"/>
      <c r="AA29" s="2"/>
      <c r="AB29" s="2"/>
      <c r="AC29" s="2"/>
      <c r="AD29" s="2"/>
      <c r="AE29" s="2"/>
      <c r="AF29" s="2"/>
      <c r="AG29" s="2"/>
    </row>
    <row r="30" spans="1:33">
      <c r="A30" s="96">
        <v>6</v>
      </c>
      <c r="B30" s="97"/>
      <c r="C30" s="122"/>
      <c r="D30" s="99"/>
      <c r="E30" s="100"/>
      <c r="F30" s="109" t="str">
        <f t="shared" si="12"/>
        <v/>
      </c>
      <c r="G30" s="100"/>
      <c r="H30" s="100" t="str">
        <f t="shared" si="13"/>
        <v/>
      </c>
      <c r="I30" s="109"/>
      <c r="J30" s="99" t="str">
        <f t="shared" si="14"/>
        <v/>
      </c>
      <c r="K30" s="109"/>
      <c r="L30" s="100"/>
      <c r="M30" s="109"/>
      <c r="N30" s="101" t="str">
        <f t="shared" si="15"/>
        <v/>
      </c>
      <c r="O30" s="232">
        <f t="shared" si="16"/>
        <v>0</v>
      </c>
      <c r="P30" s="103">
        <f t="shared" si="17"/>
        <v>18809.083333333336</v>
      </c>
      <c r="Q30" s="233">
        <f t="shared" si="19"/>
        <v>2.8937051282051285</v>
      </c>
      <c r="R30" s="104">
        <f t="shared" si="18"/>
        <v>1.7021794871794873</v>
      </c>
      <c r="S30" s="234">
        <f t="shared" si="22"/>
        <v>20474.91287878788</v>
      </c>
      <c r="T30" s="104">
        <f t="shared" si="23"/>
        <v>3.1519376456876458</v>
      </c>
      <c r="U30" s="233">
        <f t="shared" si="24"/>
        <v>1.7979312354312356</v>
      </c>
      <c r="V30" s="105">
        <v>1</v>
      </c>
      <c r="W30" s="105">
        <v>1</v>
      </c>
      <c r="X30" s="108"/>
      <c r="Y30" s="107"/>
      <c r="Z30" s="2"/>
      <c r="AA30" s="2"/>
      <c r="AB30" s="2"/>
      <c r="AC30" s="2"/>
      <c r="AD30" s="2"/>
      <c r="AE30" s="2"/>
      <c r="AF30" s="2"/>
      <c r="AG30" s="2"/>
    </row>
    <row r="31" spans="1:33">
      <c r="A31" s="96">
        <v>7</v>
      </c>
      <c r="B31" s="97"/>
      <c r="C31" s="98"/>
      <c r="D31" s="236"/>
      <c r="E31" s="100"/>
      <c r="F31" s="100" t="str">
        <f t="shared" si="12"/>
        <v/>
      </c>
      <c r="G31" s="109"/>
      <c r="H31" s="100" t="str">
        <f t="shared" si="13"/>
        <v/>
      </c>
      <c r="I31" s="100"/>
      <c r="J31" s="236" t="str">
        <f t="shared" si="14"/>
        <v/>
      </c>
      <c r="K31" s="100"/>
      <c r="L31" s="109"/>
      <c r="M31" s="100"/>
      <c r="N31" s="235" t="str">
        <f t="shared" si="15"/>
        <v/>
      </c>
      <c r="O31" s="102">
        <f t="shared" si="16"/>
        <v>0</v>
      </c>
      <c r="P31" s="234">
        <f t="shared" si="17"/>
        <v>18809.083333333336</v>
      </c>
      <c r="Q31" s="104">
        <f t="shared" si="19"/>
        <v>2.8937051282051285</v>
      </c>
      <c r="R31" s="233">
        <f t="shared" si="18"/>
        <v>1.7021794871794873</v>
      </c>
      <c r="S31" s="103">
        <f t="shared" si="22"/>
        <v>20474.91287878788</v>
      </c>
      <c r="T31" s="233">
        <f t="shared" si="23"/>
        <v>3.1519376456876458</v>
      </c>
      <c r="U31" s="104">
        <f t="shared" si="24"/>
        <v>1.7979312354312356</v>
      </c>
      <c r="V31" s="237">
        <v>1</v>
      </c>
      <c r="W31" s="105">
        <v>1</v>
      </c>
      <c r="X31" s="108"/>
      <c r="Y31" s="107"/>
      <c r="AE31" s="2"/>
      <c r="AF31" s="2"/>
      <c r="AG31" s="2"/>
    </row>
    <row r="32" spans="1:33">
      <c r="A32" s="96">
        <v>8</v>
      </c>
      <c r="B32" s="97"/>
      <c r="C32" s="122"/>
      <c r="D32" s="99"/>
      <c r="E32" s="109"/>
      <c r="F32" s="100" t="str">
        <f t="shared" si="12"/>
        <v/>
      </c>
      <c r="G32" s="100"/>
      <c r="H32" s="109" t="str">
        <f t="shared" si="13"/>
        <v/>
      </c>
      <c r="I32" s="100"/>
      <c r="J32" s="99" t="str">
        <f t="shared" si="14"/>
        <v/>
      </c>
      <c r="K32" s="100"/>
      <c r="L32" s="100"/>
      <c r="M32" s="109"/>
      <c r="N32" s="101" t="str">
        <f t="shared" si="15"/>
        <v/>
      </c>
      <c r="O32" s="232">
        <f t="shared" si="16"/>
        <v>0</v>
      </c>
      <c r="P32" s="103">
        <f t="shared" si="17"/>
        <v>18809.083333333336</v>
      </c>
      <c r="Q32" s="233">
        <f t="shared" si="19"/>
        <v>2.8937051282051285</v>
      </c>
      <c r="R32" s="104">
        <f t="shared" si="18"/>
        <v>1.7021794871794873</v>
      </c>
      <c r="S32" s="234">
        <f t="shared" si="22"/>
        <v>20474.912878787884</v>
      </c>
      <c r="T32" s="104">
        <f t="shared" si="23"/>
        <v>3.1519376456876458</v>
      </c>
      <c r="U32" s="233">
        <f t="shared" si="24"/>
        <v>1.7979312354312356</v>
      </c>
      <c r="V32" s="105">
        <v>1</v>
      </c>
      <c r="W32" s="105">
        <v>1</v>
      </c>
      <c r="X32" s="108"/>
      <c r="Y32" s="107"/>
      <c r="AE32" s="2"/>
      <c r="AF32" s="2"/>
      <c r="AG32" s="2"/>
    </row>
    <row r="33" spans="1:255">
      <c r="A33" s="96">
        <v>9</v>
      </c>
      <c r="B33" s="97"/>
      <c r="C33" s="98"/>
      <c r="D33" s="236"/>
      <c r="E33" s="100"/>
      <c r="F33" s="109" t="str">
        <f t="shared" si="12"/>
        <v/>
      </c>
      <c r="G33" s="100"/>
      <c r="H33" s="100" t="str">
        <f t="shared" si="13"/>
        <v/>
      </c>
      <c r="I33" s="109"/>
      <c r="J33" s="99" t="str">
        <f t="shared" si="14"/>
        <v/>
      </c>
      <c r="K33" s="100"/>
      <c r="L33" s="109"/>
      <c r="M33" s="100"/>
      <c r="N33" s="235" t="str">
        <f t="shared" si="15"/>
        <v/>
      </c>
      <c r="O33" s="102">
        <f t="shared" si="16"/>
        <v>0</v>
      </c>
      <c r="P33" s="234">
        <f t="shared" si="17"/>
        <v>18809.083333333336</v>
      </c>
      <c r="Q33" s="104">
        <f t="shared" si="19"/>
        <v>2.8937051282051285</v>
      </c>
      <c r="R33" s="233">
        <f t="shared" si="18"/>
        <v>1.7021794871794873</v>
      </c>
      <c r="S33" s="103">
        <f t="shared" si="22"/>
        <v>20474.91287878788</v>
      </c>
      <c r="T33" s="233">
        <f t="shared" si="23"/>
        <v>3.1519376456876458</v>
      </c>
      <c r="U33" s="104">
        <f t="shared" si="24"/>
        <v>1.7979312354312356</v>
      </c>
      <c r="V33" s="237">
        <v>1</v>
      </c>
      <c r="W33" s="105">
        <v>1</v>
      </c>
      <c r="X33" s="108"/>
      <c r="Y33" s="107"/>
      <c r="Z33" s="2"/>
      <c r="AA33" s="2"/>
      <c r="AB33" s="2"/>
      <c r="AC33" s="2"/>
      <c r="AD33" s="2"/>
      <c r="AE33" s="2"/>
      <c r="AF33" s="2"/>
      <c r="AG33" s="2"/>
    </row>
    <row r="34" spans="1:255" s="251" customFormat="1">
      <c r="A34" s="96">
        <v>10</v>
      </c>
      <c r="B34" s="97"/>
      <c r="C34" s="122"/>
      <c r="D34" s="99"/>
      <c r="E34" s="252"/>
      <c r="F34" s="100" t="str">
        <f t="shared" si="12"/>
        <v/>
      </c>
      <c r="G34" s="109"/>
      <c r="H34" s="100" t="str">
        <f t="shared" si="13"/>
        <v/>
      </c>
      <c r="I34" s="100"/>
      <c r="J34" s="236" t="str">
        <f t="shared" si="14"/>
        <v/>
      </c>
      <c r="K34" s="100"/>
      <c r="L34" s="100"/>
      <c r="M34" s="109"/>
      <c r="N34" s="101" t="str">
        <f t="shared" si="15"/>
        <v/>
      </c>
      <c r="O34" s="232">
        <f t="shared" si="16"/>
        <v>0</v>
      </c>
      <c r="P34" s="103">
        <f t="shared" si="17"/>
        <v>18809.083333333336</v>
      </c>
      <c r="Q34" s="233">
        <f t="shared" si="19"/>
        <v>2.8937051282051285</v>
      </c>
      <c r="R34" s="104">
        <f t="shared" si="18"/>
        <v>1.7021794871794873</v>
      </c>
      <c r="S34" s="234">
        <f t="shared" si="22"/>
        <v>20474.91287878788</v>
      </c>
      <c r="T34" s="104">
        <f t="shared" si="23"/>
        <v>3.1519376456876458</v>
      </c>
      <c r="U34" s="233">
        <f t="shared" si="24"/>
        <v>1.7979312354312356</v>
      </c>
      <c r="V34" s="105">
        <v>1</v>
      </c>
      <c r="W34" s="105">
        <v>1</v>
      </c>
      <c r="X34" s="108"/>
      <c r="Y34" s="107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96">
        <v>11</v>
      </c>
      <c r="B35" s="97"/>
      <c r="C35" s="98"/>
      <c r="D35" s="99"/>
      <c r="E35" s="98"/>
      <c r="F35" s="100" t="str">
        <f t="shared" si="12"/>
        <v/>
      </c>
      <c r="G35" s="100"/>
      <c r="H35" s="100" t="str">
        <f t="shared" si="13"/>
        <v/>
      </c>
      <c r="I35" s="100"/>
      <c r="J35" s="99" t="str">
        <f t="shared" si="14"/>
        <v/>
      </c>
      <c r="K35" s="109"/>
      <c r="L35" s="100"/>
      <c r="M35" s="100"/>
      <c r="N35" s="235" t="str">
        <f t="shared" si="15"/>
        <v/>
      </c>
      <c r="O35" s="102">
        <f t="shared" si="16"/>
        <v>0</v>
      </c>
      <c r="P35" s="234">
        <f t="shared" si="17"/>
        <v>18809.083333333336</v>
      </c>
      <c r="Q35" s="104">
        <f t="shared" si="19"/>
        <v>2.8937051282051285</v>
      </c>
      <c r="R35" s="233">
        <f t="shared" si="18"/>
        <v>1.7021794871794873</v>
      </c>
      <c r="S35" s="103">
        <f t="shared" si="22"/>
        <v>20474.912878787884</v>
      </c>
      <c r="T35" s="233">
        <f t="shared" ref="T35:T36" si="25">IF(W35&lt;&gt;"",IF(E34&lt;&gt;"",E34,($I$9-SUM($T$25:T34))*V35*W35/SUMPRODUCT($W35:$W$58,$V35:$V$58)),"")</f>
        <v>3.1519376456876458</v>
      </c>
      <c r="U35" s="104">
        <f t="shared" si="24"/>
        <v>1.7979312354312356</v>
      </c>
      <c r="V35" s="237">
        <v>1</v>
      </c>
      <c r="W35" s="105">
        <v>1</v>
      </c>
      <c r="X35" s="108"/>
      <c r="Y35" s="107"/>
      <c r="Z35" s="2"/>
      <c r="AA35" s="2"/>
      <c r="AB35" s="2"/>
      <c r="AC35" s="2"/>
      <c r="AD35" s="2"/>
      <c r="AE35" s="2"/>
      <c r="AF35" s="2"/>
      <c r="AG35" s="2"/>
    </row>
    <row r="36" spans="1:255">
      <c r="A36" s="96">
        <v>11</v>
      </c>
      <c r="B36" s="97"/>
      <c r="C36" s="122"/>
      <c r="D36" s="99"/>
      <c r="E36" s="98"/>
      <c r="F36" s="100" t="str">
        <f t="shared" si="12"/>
        <v/>
      </c>
      <c r="G36" s="100"/>
      <c r="H36" s="100" t="str">
        <f t="shared" si="13"/>
        <v/>
      </c>
      <c r="I36" s="109"/>
      <c r="J36" s="99" t="str">
        <f t="shared" si="14"/>
        <v/>
      </c>
      <c r="K36" s="253"/>
      <c r="L36" s="109"/>
      <c r="M36" s="100"/>
      <c r="N36" s="254" t="str">
        <f t="shared" si="15"/>
        <v/>
      </c>
      <c r="O36" s="232">
        <f t="shared" si="16"/>
        <v>0</v>
      </c>
      <c r="P36" s="255">
        <f t="shared" si="17"/>
        <v>18809.083333333336</v>
      </c>
      <c r="Q36" s="233">
        <f t="shared" si="19"/>
        <v>2.8937051282051285</v>
      </c>
      <c r="R36" s="259">
        <f t="shared" si="18"/>
        <v>1.7021794871794873</v>
      </c>
      <c r="S36" s="234">
        <f t="shared" si="22"/>
        <v>20474.91287878788</v>
      </c>
      <c r="T36" s="259">
        <f t="shared" si="25"/>
        <v>3.1519376456876458</v>
      </c>
      <c r="U36" s="233">
        <f t="shared" si="24"/>
        <v>1.7979312354312356</v>
      </c>
      <c r="V36" s="260">
        <v>1</v>
      </c>
      <c r="W36" s="105">
        <v>1</v>
      </c>
      <c r="X36" s="108"/>
      <c r="Y36" s="107"/>
      <c r="Z36" s="2"/>
      <c r="AA36" s="2"/>
      <c r="AB36" s="2"/>
      <c r="AC36" s="2"/>
      <c r="AD36" s="2"/>
      <c r="AE36" s="2"/>
      <c r="AF36" s="2"/>
      <c r="AG36" s="2"/>
    </row>
    <row r="37" spans="1:255">
      <c r="A37" s="96">
        <v>13</v>
      </c>
      <c r="B37" s="97"/>
      <c r="C37" s="98"/>
      <c r="D37" s="99"/>
      <c r="E37" s="100"/>
      <c r="F37" s="100" t="str">
        <f t="shared" si="12"/>
        <v/>
      </c>
      <c r="G37" s="100"/>
      <c r="H37" s="100" t="str">
        <f t="shared" si="13"/>
        <v/>
      </c>
      <c r="I37" s="100"/>
      <c r="J37" s="236" t="str">
        <f t="shared" si="14"/>
        <v/>
      </c>
      <c r="K37" s="100"/>
      <c r="L37" s="100"/>
      <c r="M37" s="109"/>
      <c r="N37" s="101" t="str">
        <f t="shared" si="15"/>
        <v/>
      </c>
      <c r="O37" s="102">
        <f t="shared" si="16"/>
        <v>0</v>
      </c>
      <c r="P37" s="234">
        <f t="shared" si="17"/>
        <v>18809.083333333336</v>
      </c>
      <c r="Q37" s="104">
        <f t="shared" si="19"/>
        <v>2.8937051282051285</v>
      </c>
      <c r="R37" s="233">
        <f t="shared" si="18"/>
        <v>1.7021794871794873</v>
      </c>
      <c r="S37" s="103">
        <f t="shared" si="22"/>
        <v>20474.91287878788</v>
      </c>
      <c r="T37" s="233">
        <f t="shared" ref="T37:T53" si="26">IF(W37&lt;&gt;"",IF(E37&lt;&gt;"",E37,($I$9-SUM($T$25:T36))*V37*W37/SUMPRODUCT($W37:$W$58,$V37:$V$58)),"")</f>
        <v>3.1519376456876458</v>
      </c>
      <c r="U37" s="104">
        <f t="shared" si="24"/>
        <v>1.7979312354312356</v>
      </c>
      <c r="V37" s="237">
        <v>1</v>
      </c>
      <c r="W37" s="105">
        <v>1</v>
      </c>
      <c r="X37" s="108"/>
      <c r="Y37" s="107"/>
      <c r="Z37" s="2"/>
      <c r="AA37" s="2"/>
      <c r="AB37" s="2"/>
      <c r="AC37" s="2"/>
      <c r="AD37" s="2"/>
      <c r="AE37" s="2"/>
      <c r="AF37" s="2"/>
      <c r="AG37" s="2"/>
    </row>
    <row r="38" spans="1:255">
      <c r="A38" s="96">
        <v>14</v>
      </c>
      <c r="B38" s="97"/>
      <c r="C38" s="122"/>
      <c r="D38" s="99"/>
      <c r="E38" s="100"/>
      <c r="F38" s="100" t="str">
        <f t="shared" si="12"/>
        <v/>
      </c>
      <c r="G38" s="100"/>
      <c r="H38" s="100" t="str">
        <f t="shared" si="13"/>
        <v/>
      </c>
      <c r="I38" s="100"/>
      <c r="J38" s="99" t="str">
        <f t="shared" si="14"/>
        <v/>
      </c>
      <c r="K38" s="109"/>
      <c r="L38" s="100"/>
      <c r="M38" s="100"/>
      <c r="N38" s="235" t="str">
        <f t="shared" si="15"/>
        <v/>
      </c>
      <c r="O38" s="102">
        <f t="shared" si="16"/>
        <v>0</v>
      </c>
      <c r="P38" s="103">
        <f t="shared" si="17"/>
        <v>18809.083333333336</v>
      </c>
      <c r="Q38" s="233">
        <f t="shared" si="19"/>
        <v>2.8937051282051285</v>
      </c>
      <c r="R38" s="104">
        <f t="shared" si="18"/>
        <v>1.7021794871794873</v>
      </c>
      <c r="S38" s="234">
        <f t="shared" si="22"/>
        <v>20474.912878787884</v>
      </c>
      <c r="T38" s="104">
        <f t="shared" si="26"/>
        <v>3.1519376456876458</v>
      </c>
      <c r="U38" s="233">
        <f t="shared" si="24"/>
        <v>1.7979312354312356</v>
      </c>
      <c r="V38" s="105">
        <v>1</v>
      </c>
      <c r="W38" s="105">
        <v>1</v>
      </c>
      <c r="X38" s="108"/>
      <c r="Y38" s="107"/>
      <c r="Z38" s="2"/>
      <c r="AA38" s="2"/>
      <c r="AB38" s="2"/>
      <c r="AC38" s="2"/>
      <c r="AD38" s="2"/>
      <c r="AE38" s="2"/>
      <c r="AF38" s="2"/>
      <c r="AG38" s="2"/>
    </row>
    <row r="39" spans="1:255" s="251" customFormat="1">
      <c r="A39" s="96">
        <v>15</v>
      </c>
      <c r="B39" s="97"/>
      <c r="C39" s="98"/>
      <c r="D39" s="99"/>
      <c r="E39" s="109"/>
      <c r="F39" s="100" t="str">
        <f t="shared" si="12"/>
        <v/>
      </c>
      <c r="G39" s="109"/>
      <c r="H39" s="100" t="str">
        <f t="shared" si="13"/>
        <v/>
      </c>
      <c r="I39" s="109"/>
      <c r="J39" s="99" t="str">
        <f t="shared" si="14"/>
        <v/>
      </c>
      <c r="K39" s="100"/>
      <c r="L39" s="109"/>
      <c r="M39" s="100"/>
      <c r="N39" s="101" t="str">
        <f t="shared" si="15"/>
        <v/>
      </c>
      <c r="O39" s="232">
        <f t="shared" si="16"/>
        <v>0</v>
      </c>
      <c r="P39" s="103">
        <f t="shared" si="17"/>
        <v>18809.083333333336</v>
      </c>
      <c r="Q39" s="104">
        <f t="shared" si="19"/>
        <v>2.8937051282051285</v>
      </c>
      <c r="R39" s="233">
        <f t="shared" si="18"/>
        <v>1.7021794871794873</v>
      </c>
      <c r="S39" s="103">
        <f t="shared" si="22"/>
        <v>20474.912878787884</v>
      </c>
      <c r="T39" s="233">
        <f t="shared" si="26"/>
        <v>3.1519376456876458</v>
      </c>
      <c r="U39" s="104">
        <f t="shared" si="24"/>
        <v>1.7979312354312356</v>
      </c>
      <c r="V39" s="237">
        <v>1</v>
      </c>
      <c r="W39" s="105">
        <v>1</v>
      </c>
      <c r="X39" s="108"/>
      <c r="Y39" s="107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 s="251" customFormat="1">
      <c r="A40" s="96">
        <v>16</v>
      </c>
      <c r="B40" s="97"/>
      <c r="C40" s="122"/>
      <c r="D40" s="99"/>
      <c r="E40" s="100"/>
      <c r="F40" s="109" t="str">
        <f t="shared" si="12"/>
        <v/>
      </c>
      <c r="G40" s="100"/>
      <c r="H40" s="109" t="str">
        <f t="shared" si="13"/>
        <v/>
      </c>
      <c r="I40" s="100"/>
      <c r="J40" s="236" t="str">
        <f t="shared" si="14"/>
        <v/>
      </c>
      <c r="K40" s="100"/>
      <c r="L40" s="100"/>
      <c r="M40" s="109"/>
      <c r="N40" s="101" t="str">
        <f t="shared" si="15"/>
        <v/>
      </c>
      <c r="O40" s="102">
        <f t="shared" si="16"/>
        <v>0</v>
      </c>
      <c r="P40" s="234">
        <f t="shared" si="17"/>
        <v>18809.083333333336</v>
      </c>
      <c r="Q40" s="104">
        <f t="shared" si="19"/>
        <v>2.8937051282051285</v>
      </c>
      <c r="R40" s="104">
        <f t="shared" si="18"/>
        <v>1.7021794871794873</v>
      </c>
      <c r="S40" s="234">
        <f t="shared" si="22"/>
        <v>20474.912878787884</v>
      </c>
      <c r="T40" s="104">
        <f t="shared" si="26"/>
        <v>3.1519376456876458</v>
      </c>
      <c r="U40" s="233">
        <f t="shared" si="24"/>
        <v>1.7979312354312356</v>
      </c>
      <c r="V40" s="105">
        <v>1</v>
      </c>
      <c r="W40" s="105">
        <v>1</v>
      </c>
      <c r="X40" s="108"/>
      <c r="Y40" s="107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s="251" customFormat="1">
      <c r="A41" s="96">
        <v>17</v>
      </c>
      <c r="B41" s="97"/>
      <c r="C41" s="98"/>
      <c r="D41" s="236"/>
      <c r="E41" s="100"/>
      <c r="F41" s="100" t="str">
        <f t="shared" si="12"/>
        <v/>
      </c>
      <c r="G41" s="109"/>
      <c r="H41" s="100" t="str">
        <f t="shared" si="13"/>
        <v/>
      </c>
      <c r="I41" s="109"/>
      <c r="J41" s="99" t="str">
        <f t="shared" si="14"/>
        <v/>
      </c>
      <c r="K41" s="109"/>
      <c r="L41" s="100"/>
      <c r="M41" s="100"/>
      <c r="N41" s="235" t="str">
        <f t="shared" si="15"/>
        <v/>
      </c>
      <c r="O41" s="102">
        <f t="shared" si="16"/>
        <v>0</v>
      </c>
      <c r="P41" s="103">
        <f t="shared" si="17"/>
        <v>18809.083333333336</v>
      </c>
      <c r="Q41" s="233">
        <f t="shared" si="19"/>
        <v>2.8937051282051285</v>
      </c>
      <c r="R41" s="104">
        <f t="shared" si="18"/>
        <v>1.7021794871794873</v>
      </c>
      <c r="S41" s="103">
        <f t="shared" si="22"/>
        <v>20474.912878787884</v>
      </c>
      <c r="T41" s="233">
        <f t="shared" si="26"/>
        <v>3.1519376456876458</v>
      </c>
      <c r="U41" s="104">
        <f t="shared" si="24"/>
        <v>1.7979312354312356</v>
      </c>
      <c r="V41" s="237">
        <v>1</v>
      </c>
      <c r="W41" s="105">
        <v>1</v>
      </c>
      <c r="X41" s="108"/>
      <c r="Y41" s="107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pans="1:255" s="251" customFormat="1">
      <c r="A42" s="96">
        <v>18</v>
      </c>
      <c r="B42" s="97"/>
      <c r="C42" s="98"/>
      <c r="D42" s="99"/>
      <c r="E42" s="109"/>
      <c r="F42" s="100" t="str">
        <f t="shared" si="12"/>
        <v/>
      </c>
      <c r="G42" s="100"/>
      <c r="H42" s="109" t="str">
        <f t="shared" si="13"/>
        <v/>
      </c>
      <c r="I42" s="100"/>
      <c r="J42" s="236" t="str">
        <f t="shared" si="14"/>
        <v/>
      </c>
      <c r="K42" s="100"/>
      <c r="L42" s="109"/>
      <c r="M42" s="100"/>
      <c r="N42" s="101" t="str">
        <f t="shared" si="15"/>
        <v/>
      </c>
      <c r="O42" s="232">
        <f t="shared" si="16"/>
        <v>0</v>
      </c>
      <c r="P42" s="103">
        <f t="shared" si="17"/>
        <v>18809.083333333336</v>
      </c>
      <c r="Q42" s="104">
        <f t="shared" si="19"/>
        <v>2.8937051282051285</v>
      </c>
      <c r="R42" s="233">
        <f t="shared" si="18"/>
        <v>1.7021794871794873</v>
      </c>
      <c r="S42" s="103">
        <f t="shared" si="22"/>
        <v>20474.91287878788</v>
      </c>
      <c r="T42" s="104">
        <f t="shared" si="26"/>
        <v>3.1519376456876458</v>
      </c>
      <c r="U42" s="233">
        <f t="shared" si="24"/>
        <v>1.7979312354312356</v>
      </c>
      <c r="V42" s="105">
        <v>1</v>
      </c>
      <c r="W42" s="105">
        <v>1</v>
      </c>
      <c r="X42" s="108"/>
      <c r="Y42" s="107"/>
      <c r="Z42" s="11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s="251" customFormat="1" ht="15" customHeight="1">
      <c r="A43" s="96">
        <v>19</v>
      </c>
      <c r="B43" s="97"/>
      <c r="C43" s="98"/>
      <c r="D43" s="99"/>
      <c r="E43" s="100"/>
      <c r="F43" s="100" t="str">
        <f t="shared" si="12"/>
        <v/>
      </c>
      <c r="G43" s="100"/>
      <c r="H43" s="100" t="str">
        <f t="shared" si="13"/>
        <v/>
      </c>
      <c r="I43" s="100"/>
      <c r="J43" s="99" t="str">
        <f t="shared" si="14"/>
        <v/>
      </c>
      <c r="K43" s="100"/>
      <c r="L43" s="100"/>
      <c r="M43" s="100"/>
      <c r="N43" s="101" t="str">
        <f t="shared" si="15"/>
        <v/>
      </c>
      <c r="O43" s="102">
        <f t="shared" si="16"/>
        <v>0</v>
      </c>
      <c r="P43" s="234">
        <f t="shared" si="17"/>
        <v>18809.083333333336</v>
      </c>
      <c r="Q43" s="104">
        <f t="shared" si="19"/>
        <v>2.8937051282051285</v>
      </c>
      <c r="R43" s="104">
        <f t="shared" si="18"/>
        <v>1.7021794871794873</v>
      </c>
      <c r="S43" s="103">
        <f t="shared" si="22"/>
        <v>20474.912878787876</v>
      </c>
      <c r="T43" s="104">
        <f t="shared" si="26"/>
        <v>3.1519376456876458</v>
      </c>
      <c r="U43" s="104">
        <f t="shared" si="24"/>
        <v>1.7979312354312356</v>
      </c>
      <c r="V43" s="237">
        <v>1</v>
      </c>
      <c r="W43" s="105">
        <v>1</v>
      </c>
      <c r="X43" s="108"/>
      <c r="Y43" s="107"/>
      <c r="Z43" s="11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s="251" customFormat="1" ht="15" customHeight="1">
      <c r="A44" s="96">
        <v>20</v>
      </c>
      <c r="B44" s="97"/>
      <c r="C44" s="98"/>
      <c r="D44" s="99"/>
      <c r="E44" s="100"/>
      <c r="F44" s="100" t="str">
        <f t="shared" si="12"/>
        <v/>
      </c>
      <c r="G44" s="100"/>
      <c r="H44" s="100" t="str">
        <f t="shared" si="13"/>
        <v/>
      </c>
      <c r="I44" s="100"/>
      <c r="J44" s="99" t="str">
        <f t="shared" si="14"/>
        <v/>
      </c>
      <c r="K44" s="100"/>
      <c r="L44" s="100"/>
      <c r="M44" s="100"/>
      <c r="N44" s="101" t="str">
        <f t="shared" si="15"/>
        <v/>
      </c>
      <c r="O44" s="102">
        <f t="shared" si="16"/>
        <v>0</v>
      </c>
      <c r="P44" s="103">
        <f t="shared" si="17"/>
        <v>18809.083333333336</v>
      </c>
      <c r="Q44" s="104">
        <f t="shared" si="19"/>
        <v>2.8937051282051285</v>
      </c>
      <c r="R44" s="104">
        <f t="shared" si="18"/>
        <v>1.7021794871794873</v>
      </c>
      <c r="S44" s="103">
        <f t="shared" si="22"/>
        <v>20474.912878787873</v>
      </c>
      <c r="T44" s="104">
        <f t="shared" si="26"/>
        <v>3.1519376456876458</v>
      </c>
      <c r="U44" s="104">
        <f t="shared" si="24"/>
        <v>1.7979312354312356</v>
      </c>
      <c r="V44" s="105">
        <v>1</v>
      </c>
      <c r="W44" s="105">
        <v>1</v>
      </c>
      <c r="X44" s="108"/>
      <c r="Y44" s="107"/>
      <c r="Z44" s="11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s="251" customFormat="1" ht="15" customHeight="1">
      <c r="A45" s="96">
        <v>21</v>
      </c>
      <c r="B45" s="97"/>
      <c r="C45" s="98"/>
      <c r="D45" s="99"/>
      <c r="E45" s="100"/>
      <c r="F45" s="100" t="str">
        <f t="shared" si="12"/>
        <v/>
      </c>
      <c r="G45" s="100"/>
      <c r="H45" s="100" t="str">
        <f t="shared" si="13"/>
        <v/>
      </c>
      <c r="I45" s="100"/>
      <c r="J45" s="99" t="str">
        <f t="shared" si="14"/>
        <v/>
      </c>
      <c r="K45" s="100"/>
      <c r="L45" s="100"/>
      <c r="M45" s="100"/>
      <c r="N45" s="101" t="str">
        <f t="shared" si="15"/>
        <v/>
      </c>
      <c r="O45" s="102">
        <f t="shared" si="16"/>
        <v>0</v>
      </c>
      <c r="P45" s="234">
        <f t="shared" si="17"/>
        <v>18809.083333333336</v>
      </c>
      <c r="Q45" s="104">
        <f t="shared" si="19"/>
        <v>2.8937051282051285</v>
      </c>
      <c r="R45" s="104">
        <f t="shared" si="18"/>
        <v>1.7021794871794873</v>
      </c>
      <c r="S45" s="103">
        <f t="shared" si="22"/>
        <v>20474.912878787865</v>
      </c>
      <c r="T45" s="104">
        <f t="shared" si="26"/>
        <v>3.1519376456876458</v>
      </c>
      <c r="U45" s="104">
        <f t="shared" si="24"/>
        <v>1.7979312354312356</v>
      </c>
      <c r="V45" s="237">
        <v>1</v>
      </c>
      <c r="W45" s="105">
        <v>1</v>
      </c>
      <c r="X45" s="108"/>
      <c r="Y45" s="107"/>
      <c r="Z45" s="113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pans="1:255" s="251" customFormat="1" ht="15" customHeight="1">
      <c r="A46" s="96">
        <v>22</v>
      </c>
      <c r="B46" s="97"/>
      <c r="C46" s="98"/>
      <c r="D46" s="99"/>
      <c r="E46" s="100"/>
      <c r="F46" s="100" t="str">
        <f t="shared" si="12"/>
        <v/>
      </c>
      <c r="G46" s="100"/>
      <c r="H46" s="100" t="str">
        <f t="shared" si="13"/>
        <v/>
      </c>
      <c r="I46" s="100"/>
      <c r="J46" s="99" t="str">
        <f t="shared" si="14"/>
        <v/>
      </c>
      <c r="K46" s="100"/>
      <c r="L46" s="100"/>
      <c r="M46" s="100"/>
      <c r="N46" s="101" t="str">
        <f t="shared" si="15"/>
        <v/>
      </c>
      <c r="O46" s="102">
        <f t="shared" si="16"/>
        <v>0</v>
      </c>
      <c r="P46" s="103">
        <f t="shared" si="17"/>
        <v>18809.083333333336</v>
      </c>
      <c r="Q46" s="104">
        <f t="shared" si="19"/>
        <v>2.8937051282051285</v>
      </c>
      <c r="R46" s="104">
        <f t="shared" si="18"/>
        <v>1.7021794871794873</v>
      </c>
      <c r="S46" s="103">
        <f t="shared" si="22"/>
        <v>20474.912878787873</v>
      </c>
      <c r="T46" s="104">
        <f t="shared" si="26"/>
        <v>3.1519376456876458</v>
      </c>
      <c r="U46" s="104">
        <f t="shared" si="24"/>
        <v>1.7979312354312356</v>
      </c>
      <c r="V46" s="105">
        <v>1</v>
      </c>
      <c r="W46" s="105">
        <v>1</v>
      </c>
      <c r="X46" s="108"/>
      <c r="Y46" s="107"/>
      <c r="Z46" s="11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s="251" customFormat="1" ht="15" customHeight="1">
      <c r="A47" s="96">
        <v>23</v>
      </c>
      <c r="B47" s="97"/>
      <c r="C47" s="98"/>
      <c r="D47" s="99"/>
      <c r="E47" s="100"/>
      <c r="F47" s="100" t="str">
        <f t="shared" si="12"/>
        <v/>
      </c>
      <c r="G47" s="100"/>
      <c r="H47" s="100" t="str">
        <f t="shared" si="13"/>
        <v/>
      </c>
      <c r="I47" s="100"/>
      <c r="J47" s="99" t="str">
        <f t="shared" si="14"/>
        <v/>
      </c>
      <c r="K47" s="100"/>
      <c r="L47" s="100"/>
      <c r="M47" s="100"/>
      <c r="N47" s="101" t="str">
        <f t="shared" si="15"/>
        <v/>
      </c>
      <c r="O47" s="102">
        <f t="shared" si="16"/>
        <v>0</v>
      </c>
      <c r="P47" s="234">
        <f t="shared" si="17"/>
        <v>18809.083333333336</v>
      </c>
      <c r="Q47" s="104">
        <f t="shared" si="19"/>
        <v>2.8937051282051285</v>
      </c>
      <c r="R47" s="104">
        <f t="shared" si="18"/>
        <v>1.7021794871794873</v>
      </c>
      <c r="S47" s="103">
        <f t="shared" si="22"/>
        <v>20474.912878787884</v>
      </c>
      <c r="T47" s="104">
        <f t="shared" si="26"/>
        <v>3.1519376456876458</v>
      </c>
      <c r="U47" s="104">
        <f t="shared" si="24"/>
        <v>1.7979312354312356</v>
      </c>
      <c r="V47" s="237">
        <v>1</v>
      </c>
      <c r="W47" s="105">
        <v>1</v>
      </c>
      <c r="X47" s="108"/>
      <c r="Y47" s="107"/>
      <c r="Z47" s="11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pans="1:255" s="251" customFormat="1" ht="15" customHeight="1">
      <c r="A48" s="96">
        <v>24</v>
      </c>
      <c r="B48" s="97"/>
      <c r="C48" s="98"/>
      <c r="D48" s="99"/>
      <c r="E48" s="100"/>
      <c r="F48" s="100" t="str">
        <f t="shared" si="12"/>
        <v/>
      </c>
      <c r="G48" s="100"/>
      <c r="H48" s="100" t="str">
        <f t="shared" si="13"/>
        <v/>
      </c>
      <c r="I48" s="100"/>
      <c r="J48" s="99" t="str">
        <f t="shared" si="14"/>
        <v/>
      </c>
      <c r="K48" s="100"/>
      <c r="L48" s="100"/>
      <c r="M48" s="100"/>
      <c r="N48" s="101" t="str">
        <f t="shared" si="15"/>
        <v/>
      </c>
      <c r="O48" s="102">
        <f t="shared" si="16"/>
        <v>0</v>
      </c>
      <c r="P48" s="103">
        <f t="shared" si="17"/>
        <v>18809.083333333336</v>
      </c>
      <c r="Q48" s="104">
        <f t="shared" si="19"/>
        <v>2.8937051282051285</v>
      </c>
      <c r="R48" s="104">
        <f t="shared" si="18"/>
        <v>1.7021794871794873</v>
      </c>
      <c r="S48" s="103">
        <f t="shared" si="22"/>
        <v>20474.912878787873</v>
      </c>
      <c r="T48" s="104">
        <f t="shared" si="26"/>
        <v>3.1519376456876458</v>
      </c>
      <c r="U48" s="104">
        <f t="shared" si="24"/>
        <v>1.7979312354312356</v>
      </c>
      <c r="V48" s="105">
        <v>1</v>
      </c>
      <c r="W48" s="105">
        <v>1</v>
      </c>
      <c r="X48" s="108"/>
      <c r="Y48" s="107"/>
      <c r="Z48" s="11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s="251" customFormat="1" ht="15" customHeight="1">
      <c r="A49" s="96">
        <v>25</v>
      </c>
      <c r="B49" s="97"/>
      <c r="C49" s="98"/>
      <c r="D49" s="99"/>
      <c r="E49" s="100"/>
      <c r="F49" s="100" t="str">
        <f t="shared" si="12"/>
        <v/>
      </c>
      <c r="G49" s="100"/>
      <c r="H49" s="100" t="str">
        <f t="shared" si="13"/>
        <v/>
      </c>
      <c r="I49" s="100"/>
      <c r="J49" s="99" t="str">
        <f t="shared" si="14"/>
        <v/>
      </c>
      <c r="K49" s="100"/>
      <c r="L49" s="100"/>
      <c r="M49" s="100"/>
      <c r="N49" s="101" t="str">
        <f t="shared" si="15"/>
        <v/>
      </c>
      <c r="O49" s="232">
        <f t="shared" si="16"/>
        <v>0</v>
      </c>
      <c r="P49" s="103">
        <f t="shared" si="17"/>
        <v>18809.083333333336</v>
      </c>
      <c r="Q49" s="104">
        <f t="shared" si="19"/>
        <v>2.8937051282051285</v>
      </c>
      <c r="R49" s="104">
        <f t="shared" si="18"/>
        <v>1.7021794871794873</v>
      </c>
      <c r="S49" s="103">
        <f t="shared" si="22"/>
        <v>20474.912878787844</v>
      </c>
      <c r="T49" s="104">
        <f t="shared" si="26"/>
        <v>3.1519376456876529</v>
      </c>
      <c r="U49" s="104">
        <f t="shared" si="24"/>
        <v>1.7979312354312356</v>
      </c>
      <c r="V49" s="237">
        <v>1</v>
      </c>
      <c r="W49" s="105">
        <v>1</v>
      </c>
      <c r="X49" s="108"/>
      <c r="Y49" s="107"/>
      <c r="Z49" s="11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spans="1:255" ht="15" customHeight="1">
      <c r="A50" s="96">
        <v>26</v>
      </c>
      <c r="B50" s="97"/>
      <c r="C50" s="98"/>
      <c r="D50" s="99"/>
      <c r="E50" s="100"/>
      <c r="F50" s="100" t="str">
        <f t="shared" si="12"/>
        <v/>
      </c>
      <c r="G50" s="100"/>
      <c r="H50" s="100" t="str">
        <f t="shared" si="13"/>
        <v/>
      </c>
      <c r="I50" s="100"/>
      <c r="J50" s="99" t="str">
        <f t="shared" si="14"/>
        <v/>
      </c>
      <c r="K50" s="100"/>
      <c r="L50" s="100"/>
      <c r="M50" s="100"/>
      <c r="N50" s="101" t="str">
        <f t="shared" si="15"/>
        <v/>
      </c>
      <c r="O50" s="102" t="e">
        <f t="shared" si="16"/>
        <v>#DIV/0!</v>
      </c>
      <c r="P50" s="103">
        <f t="shared" si="17"/>
        <v>0</v>
      </c>
      <c r="Q50" s="104">
        <f t="shared" si="19"/>
        <v>0</v>
      </c>
      <c r="R50" s="104">
        <f t="shared" si="18"/>
        <v>0</v>
      </c>
      <c r="S50" s="103" t="str">
        <f t="shared" si="22"/>
        <v/>
      </c>
      <c r="T50" s="104" t="str">
        <f t="shared" si="26"/>
        <v/>
      </c>
      <c r="U50" s="104" t="str">
        <f t="shared" si="24"/>
        <v/>
      </c>
      <c r="V50" s="105"/>
      <c r="W50" s="105"/>
      <c r="X50" s="108"/>
      <c r="Y50" s="107"/>
      <c r="Z50" s="113"/>
      <c r="AA50" s="2"/>
      <c r="AB50" s="2"/>
      <c r="AC50" s="2"/>
      <c r="AD50" s="2"/>
      <c r="AE50" s="2"/>
      <c r="AF50" s="2"/>
      <c r="AG50" s="2"/>
    </row>
    <row r="51" spans="1:255">
      <c r="A51" s="96">
        <v>27</v>
      </c>
      <c r="B51" s="97"/>
      <c r="C51" s="98"/>
      <c r="D51" s="99"/>
      <c r="E51" s="100"/>
      <c r="F51" s="100" t="str">
        <f t="shared" si="12"/>
        <v/>
      </c>
      <c r="G51" s="100"/>
      <c r="H51" s="100" t="str">
        <f t="shared" si="13"/>
        <v/>
      </c>
      <c r="I51" s="100"/>
      <c r="J51" s="99" t="str">
        <f t="shared" si="14"/>
        <v/>
      </c>
      <c r="K51" s="100"/>
      <c r="L51" s="100"/>
      <c r="M51" s="100"/>
      <c r="N51" s="101" t="str">
        <f t="shared" si="15"/>
        <v/>
      </c>
      <c r="O51" s="102" t="e">
        <f t="shared" si="16"/>
        <v>#DIV/0!</v>
      </c>
      <c r="P51" s="103">
        <f t="shared" si="17"/>
        <v>0</v>
      </c>
      <c r="Q51" s="104">
        <f t="shared" si="19"/>
        <v>0</v>
      </c>
      <c r="R51" s="104">
        <f t="shared" si="18"/>
        <v>0</v>
      </c>
      <c r="S51" s="103" t="str">
        <f t="shared" si="22"/>
        <v/>
      </c>
      <c r="T51" s="104" t="str">
        <f t="shared" si="26"/>
        <v/>
      </c>
      <c r="U51" s="104" t="str">
        <f t="shared" si="24"/>
        <v/>
      </c>
      <c r="V51" s="105"/>
      <c r="W51" s="105"/>
      <c r="X51" s="108"/>
      <c r="Y51" s="107"/>
      <c r="Z51" s="113"/>
      <c r="AA51" s="2"/>
      <c r="AB51" s="2"/>
      <c r="AC51" s="2"/>
      <c r="AD51" s="2"/>
      <c r="AE51" s="2"/>
      <c r="AF51" s="2"/>
      <c r="AG51" s="2"/>
    </row>
    <row r="52" spans="1:255">
      <c r="A52" s="96">
        <v>28</v>
      </c>
      <c r="B52" s="97"/>
      <c r="C52" s="98"/>
      <c r="D52" s="99"/>
      <c r="E52" s="100"/>
      <c r="F52" s="100" t="str">
        <f t="shared" si="12"/>
        <v/>
      </c>
      <c r="G52" s="100"/>
      <c r="H52" s="100" t="str">
        <f t="shared" si="13"/>
        <v/>
      </c>
      <c r="I52" s="100"/>
      <c r="J52" s="99" t="str">
        <f t="shared" si="14"/>
        <v/>
      </c>
      <c r="K52" s="100"/>
      <c r="L52" s="100"/>
      <c r="M52" s="100"/>
      <c r="N52" s="101" t="str">
        <f t="shared" si="15"/>
        <v/>
      </c>
      <c r="O52" s="102" t="e">
        <f t="shared" si="16"/>
        <v>#DIV/0!</v>
      </c>
      <c r="P52" s="103">
        <f t="shared" si="17"/>
        <v>0</v>
      </c>
      <c r="Q52" s="104">
        <f t="shared" si="19"/>
        <v>0</v>
      </c>
      <c r="R52" s="104">
        <f t="shared" si="18"/>
        <v>0</v>
      </c>
      <c r="S52" s="103" t="str">
        <f t="shared" si="22"/>
        <v/>
      </c>
      <c r="T52" s="104" t="str">
        <f t="shared" si="26"/>
        <v/>
      </c>
      <c r="U52" s="104" t="str">
        <f t="shared" si="24"/>
        <v/>
      </c>
      <c r="V52" s="105"/>
      <c r="W52" s="105"/>
      <c r="X52" s="108"/>
      <c r="Y52" s="107"/>
      <c r="Z52" s="113"/>
      <c r="AA52" s="2"/>
      <c r="AB52" s="2"/>
      <c r="AC52" s="2"/>
      <c r="AD52" s="2"/>
      <c r="AE52" s="2"/>
      <c r="AF52" s="2"/>
      <c r="AG52" s="2"/>
    </row>
    <row r="53" spans="1:255">
      <c r="A53" s="96">
        <v>29</v>
      </c>
      <c r="B53" s="97"/>
      <c r="C53" s="98"/>
      <c r="D53" s="99"/>
      <c r="E53" s="100"/>
      <c r="F53" s="100" t="str">
        <f t="shared" si="12"/>
        <v/>
      </c>
      <c r="G53" s="100"/>
      <c r="H53" s="100" t="str">
        <f t="shared" si="13"/>
        <v/>
      </c>
      <c r="I53" s="100"/>
      <c r="J53" s="99" t="str">
        <f t="shared" si="14"/>
        <v/>
      </c>
      <c r="K53" s="100"/>
      <c r="L53" s="100"/>
      <c r="M53" s="100"/>
      <c r="N53" s="101" t="str">
        <f t="shared" si="15"/>
        <v/>
      </c>
      <c r="O53" s="102" t="e">
        <f t="shared" si="16"/>
        <v>#DIV/0!</v>
      </c>
      <c r="P53" s="103">
        <f t="shared" si="17"/>
        <v>0</v>
      </c>
      <c r="Q53" s="104">
        <f t="shared" si="19"/>
        <v>0</v>
      </c>
      <c r="R53" s="104">
        <f t="shared" si="18"/>
        <v>0</v>
      </c>
      <c r="S53" s="103" t="str">
        <f t="shared" si="22"/>
        <v/>
      </c>
      <c r="T53" s="104" t="str">
        <f t="shared" si="26"/>
        <v/>
      </c>
      <c r="U53" s="104" t="str">
        <f t="shared" si="24"/>
        <v/>
      </c>
      <c r="V53" s="105"/>
      <c r="W53" s="105"/>
      <c r="X53" s="108"/>
      <c r="Y53" s="107"/>
      <c r="Z53" s="113"/>
      <c r="AA53" s="2"/>
      <c r="AB53" s="2"/>
      <c r="AC53" s="2"/>
      <c r="AD53" s="2"/>
      <c r="AE53" s="2"/>
      <c r="AF53" s="2"/>
      <c r="AG53" s="2"/>
    </row>
    <row r="54" spans="1:255">
      <c r="A54" s="96"/>
      <c r="B54" s="97"/>
      <c r="C54" s="98"/>
      <c r="D54" s="99"/>
      <c r="E54" s="100"/>
      <c r="F54" s="100" t="str">
        <f t="shared" si="12"/>
        <v/>
      </c>
      <c r="G54" s="100"/>
      <c r="H54" s="100" t="str">
        <f t="shared" si="13"/>
        <v/>
      </c>
      <c r="I54" s="100"/>
      <c r="J54" s="99" t="str">
        <f t="shared" si="14"/>
        <v/>
      </c>
      <c r="K54" s="100"/>
      <c r="L54" s="100"/>
      <c r="M54" s="100"/>
      <c r="N54" s="101" t="str">
        <f t="shared" si="15"/>
        <v/>
      </c>
      <c r="O54" s="102" t="e">
        <f t="shared" si="16"/>
        <v>#DIV/0!</v>
      </c>
      <c r="P54" s="103">
        <f t="shared" si="17"/>
        <v>0</v>
      </c>
      <c r="Q54" s="104">
        <f t="shared" si="19"/>
        <v>0</v>
      </c>
      <c r="R54" s="104">
        <f t="shared" si="18"/>
        <v>0</v>
      </c>
      <c r="S54" s="103" t="str">
        <f>IF(W54&lt;&gt;"",IF(D54&lt;&gt;"",D54,($I$8-SUM($S$25:S50))*V54*W54/SUMPRODUCT($W54:$W$58,$V54:$V$58)),"")</f>
        <v/>
      </c>
      <c r="T54" s="104" t="str">
        <f>IF(W54&lt;&gt;"",IF(E54&lt;&gt;"",E54,($I$9-SUM($T$25:T50))*V54*W54/SUMPRODUCT($W54:$W$58,$V54:$V$58)),"")</f>
        <v/>
      </c>
      <c r="U54" s="104" t="str">
        <f>IF(W54&lt;&gt;"",IF($I$12&lt;&gt;"",IF(G54&lt;&gt;"",G54,($I$9/$I$12-SUM($U$25:U50))*V54*W54/SUMPRODUCT($W54:$W$58,$V54:$V$58)),""),"")</f>
        <v/>
      </c>
      <c r="V54" s="105"/>
      <c r="W54" s="105"/>
      <c r="X54" s="108"/>
      <c r="Y54" s="107"/>
      <c r="Z54" s="113"/>
      <c r="AA54" s="2"/>
      <c r="AB54" s="2"/>
      <c r="AC54" s="2"/>
      <c r="AD54" s="2"/>
      <c r="AE54" s="2"/>
      <c r="AF54" s="2"/>
      <c r="AG54" s="2"/>
    </row>
    <row r="55" spans="1:255">
      <c r="A55" s="96"/>
      <c r="B55" s="97"/>
      <c r="C55" s="98"/>
      <c r="D55" s="99"/>
      <c r="E55" s="100"/>
      <c r="F55" s="100" t="str">
        <f t="shared" si="12"/>
        <v/>
      </c>
      <c r="G55" s="100"/>
      <c r="H55" s="100" t="str">
        <f t="shared" si="13"/>
        <v/>
      </c>
      <c r="I55" s="100"/>
      <c r="J55" s="99" t="str">
        <f t="shared" si="14"/>
        <v/>
      </c>
      <c r="K55" s="100"/>
      <c r="L55" s="100"/>
      <c r="M55" s="100"/>
      <c r="N55" s="101" t="str">
        <f t="shared" si="15"/>
        <v/>
      </c>
      <c r="O55" s="102" t="e">
        <f t="shared" si="16"/>
        <v>#DIV/0!</v>
      </c>
      <c r="P55" s="103">
        <f t="shared" si="17"/>
        <v>0</v>
      </c>
      <c r="Q55" s="104">
        <f t="shared" si="19"/>
        <v>0</v>
      </c>
      <c r="R55" s="104">
        <f t="shared" si="18"/>
        <v>0</v>
      </c>
      <c r="S55" s="103" t="str">
        <f t="shared" ref="S55:S56" si="27">IF(W55&lt;&gt;"",IF(D55&lt;&gt;"",D55,($I$8-SUM($S$25:S54))*V55*W55/SUMPRODUCT($W55:$W$58,$V55:$V$58)),"")</f>
        <v/>
      </c>
      <c r="T55" s="104" t="str">
        <f t="shared" ref="T55:T56" si="28">IF(W55&lt;&gt;"",IF(E55&lt;&gt;"",E55,($I$9-SUM($T$25:T54))*V55*W55/SUMPRODUCT($W55:$W$58,$V55:$V$58)),"")</f>
        <v/>
      </c>
      <c r="U55" s="104" t="str">
        <f t="shared" ref="U55:U56" si="29">IF(W55&lt;&gt;"",IF($I$12&lt;&gt;"",IF(G55&lt;&gt;"",G55,($I$9/$I$12-SUM($U$25:U54))*V55*W55/SUMPRODUCT($W55:$W$58,$V55:$V$58)),""),"")</f>
        <v/>
      </c>
      <c r="V55" s="105"/>
      <c r="W55" s="105"/>
      <c r="X55" s="108"/>
      <c r="Y55" s="107"/>
      <c r="Z55" s="113"/>
      <c r="AA55" s="2"/>
      <c r="AB55" s="2"/>
      <c r="AC55" s="2"/>
      <c r="AD55" s="2"/>
      <c r="AE55" s="2"/>
      <c r="AF55" s="2"/>
      <c r="AG55" s="2"/>
    </row>
    <row r="56" spans="1:255">
      <c r="A56" s="96"/>
      <c r="B56" s="97"/>
      <c r="C56" s="98"/>
      <c r="D56" s="99"/>
      <c r="E56" s="100"/>
      <c r="F56" s="100" t="str">
        <f t="shared" si="12"/>
        <v/>
      </c>
      <c r="G56" s="100"/>
      <c r="H56" s="100" t="str">
        <f t="shared" si="13"/>
        <v/>
      </c>
      <c r="I56" s="100"/>
      <c r="J56" s="99" t="str">
        <f t="shared" si="14"/>
        <v/>
      </c>
      <c r="K56" s="100"/>
      <c r="L56" s="100"/>
      <c r="M56" s="100"/>
      <c r="N56" s="101" t="str">
        <f t="shared" si="15"/>
        <v/>
      </c>
      <c r="O56" s="102" t="e">
        <f t="shared" si="16"/>
        <v>#DIV/0!</v>
      </c>
      <c r="P56" s="103">
        <f t="shared" si="17"/>
        <v>0</v>
      </c>
      <c r="Q56" s="104">
        <f t="shared" si="19"/>
        <v>0</v>
      </c>
      <c r="R56" s="104">
        <f t="shared" si="18"/>
        <v>0</v>
      </c>
      <c r="S56" s="103" t="str">
        <f t="shared" si="27"/>
        <v/>
      </c>
      <c r="T56" s="104" t="str">
        <f t="shared" si="28"/>
        <v/>
      </c>
      <c r="U56" s="104" t="str">
        <f t="shared" si="29"/>
        <v/>
      </c>
      <c r="V56" s="105"/>
      <c r="W56" s="105"/>
      <c r="X56" s="108"/>
      <c r="Y56" s="107"/>
      <c r="Z56" s="113"/>
      <c r="AA56" s="2"/>
      <c r="AB56" s="2"/>
      <c r="AC56" s="2"/>
      <c r="AD56" s="2"/>
      <c r="AE56" s="2"/>
      <c r="AF56" s="2"/>
      <c r="AG56" s="2"/>
    </row>
    <row r="57" spans="1:255">
      <c r="A57" s="256"/>
      <c r="B57" s="599"/>
      <c r="C57" s="600"/>
      <c r="D57" s="116">
        <f>SUM(D25:D56)</f>
        <v>19779</v>
      </c>
      <c r="E57" s="116">
        <f>SUM(E25:E56)</f>
        <v>3</v>
      </c>
      <c r="F57" s="116">
        <f t="shared" si="12"/>
        <v>6593</v>
      </c>
      <c r="G57" s="116">
        <f>SUM(G25:G56)</f>
        <v>3</v>
      </c>
      <c r="H57" s="116">
        <f t="shared" si="13"/>
        <v>6593</v>
      </c>
      <c r="I57" s="116">
        <f>SUM(I25:I56)</f>
        <v>33</v>
      </c>
      <c r="J57" s="115">
        <f t="shared" si="14"/>
        <v>1</v>
      </c>
      <c r="K57" s="116">
        <f>SUM(K25:K56)</f>
        <v>0</v>
      </c>
      <c r="L57" s="116">
        <f>SUM(L25:L56)</f>
        <v>0</v>
      </c>
      <c r="M57" s="116">
        <f>SUM(M25:M56)</f>
        <v>0</v>
      </c>
      <c r="N57" s="117">
        <f t="shared" si="15"/>
        <v>9.0909090909090912E-2</v>
      </c>
      <c r="O57" s="118">
        <f t="shared" si="16"/>
        <v>4.2062655897638121E-2</v>
      </c>
      <c r="P57" s="119">
        <f>SUM(P25:P56)</f>
        <v>470227.0833333332</v>
      </c>
      <c r="Q57" s="119">
        <f>SUM(Q25:Q55)</f>
        <v>72.342628205128193</v>
      </c>
      <c r="R57" s="119">
        <f>SUM(R25:R55)</f>
        <v>42.554487179487182</v>
      </c>
      <c r="S57" s="119">
        <f>SUM(S25:S56)</f>
        <v>470227.08333333337</v>
      </c>
      <c r="T57" s="119">
        <f>SUM(T25:T55)</f>
        <v>72.342628205128207</v>
      </c>
      <c r="U57" s="119">
        <f>SUM(U25:U55)</f>
        <v>42.554487179487182</v>
      </c>
      <c r="V57" s="120"/>
      <c r="W57" s="120"/>
      <c r="AE57" s="2"/>
      <c r="AF57" s="2"/>
      <c r="AG57" s="2"/>
    </row>
    <row r="59" spans="1:255">
      <c r="C59" s="3" t="s">
        <v>137</v>
      </c>
      <c r="D59" s="130">
        <f>D25+D27</f>
        <v>8986</v>
      </c>
    </row>
    <row r="60" spans="1:255">
      <c r="C60" s="3" t="s">
        <v>138</v>
      </c>
      <c r="D60" s="130">
        <f>D26</f>
        <v>10793</v>
      </c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67" priority="231" operator="greaterThan">
      <formula>0</formula>
    </cfRule>
    <cfRule type="cellIs" dxfId="66" priority="233" operator="lessThan">
      <formula>0</formula>
    </cfRule>
  </conditionalFormatting>
  <conditionalFormatting sqref="J25:J43">
    <cfRule type="cellIs" dxfId="65" priority="21" operator="lessThan">
      <formula>$I$12</formula>
    </cfRule>
  </conditionalFormatting>
  <conditionalFormatting sqref="J25:J49">
    <cfRule type="cellIs" dxfId="64" priority="22" operator="greaterThan">
      <formula>$I$12</formula>
    </cfRule>
  </conditionalFormatting>
  <conditionalFormatting sqref="J28:J56">
    <cfRule type="cellIs" dxfId="63" priority="30" operator="lessThan">
      <formula>$I$12</formula>
    </cfRule>
    <cfRule type="cellIs" dxfId="62" priority="31" operator="greaterThan">
      <formula>$I$12</formula>
    </cfRule>
  </conditionalFormatting>
  <conditionalFormatting sqref="J36">
    <cfRule type="cellIs" dxfId="61" priority="1854" operator="lessThan">
      <formula>$I$12</formula>
    </cfRule>
    <cfRule type="cellIs" dxfId="60" priority="1866" operator="greaterThan">
      <formula>$I$12</formula>
    </cfRule>
    <cfRule type="cellIs" dxfId="59" priority="1869" operator="lessThan">
      <formula>$I$12</formula>
    </cfRule>
  </conditionalFormatting>
  <conditionalFormatting sqref="J39:J40">
    <cfRule type="cellIs" dxfId="58" priority="1826" operator="lessThan">
      <formula>$I$12</formula>
    </cfRule>
  </conditionalFormatting>
  <conditionalFormatting sqref="J44:J49">
    <cfRule type="cellIs" dxfId="57" priority="240" operator="lessThan">
      <formula>$I$12</formula>
    </cfRule>
  </conditionalFormatting>
  <conditionalFormatting sqref="J51:J53">
    <cfRule type="cellIs" dxfId="56" priority="1853" operator="lessThan">
      <formula>$I$12</formula>
    </cfRule>
  </conditionalFormatting>
  <conditionalFormatting sqref="K8">
    <cfRule type="cellIs" dxfId="55" priority="1" operator="greaterThan">
      <formula>$K$17</formula>
    </cfRule>
    <cfRule type="cellIs" dxfId="54" priority="2" operator="lessThan">
      <formula>$K$17</formula>
    </cfRule>
  </conditionalFormatting>
  <conditionalFormatting sqref="K10:K12 K15">
    <cfRule type="cellIs" dxfId="53" priority="230" operator="greaterThan">
      <formula>1</formula>
    </cfRule>
    <cfRule type="cellIs" dxfId="52" priority="234" operator="lessThan">
      <formula>1</formula>
    </cfRule>
  </conditionalFormatting>
  <conditionalFormatting sqref="K13">
    <cfRule type="cellIs" dxfId="51" priority="226" operator="lessThan">
      <formula>$K$14</formula>
    </cfRule>
    <cfRule type="cellIs" dxfId="50" priority="227" operator="greaterThan">
      <formula>$K$14</formula>
    </cfRule>
  </conditionalFormatting>
  <conditionalFormatting sqref="M8:M15">
    <cfRule type="cellIs" dxfId="49" priority="228" operator="lessThan">
      <formula>1</formula>
    </cfRule>
    <cfRule type="cellIs" dxfId="48" priority="229" operator="greaterThan">
      <formula>1</formula>
    </cfRule>
  </conditionalFormatting>
  <conditionalFormatting sqref="N25:N43">
    <cfRule type="cellIs" dxfId="47" priority="18" operator="between">
      <formula>0.2</formula>
      <formula>0.25</formula>
    </cfRule>
  </conditionalFormatting>
  <conditionalFormatting sqref="N25:N49">
    <cfRule type="cellIs" dxfId="46" priority="19" operator="greaterThanOrEqual">
      <formula>0.25</formula>
    </cfRule>
  </conditionalFormatting>
  <conditionalFormatting sqref="N25:N56">
    <cfRule type="cellIs" dxfId="45" priority="20" operator="lessThan">
      <formula>0.2</formula>
    </cfRule>
  </conditionalFormatting>
  <conditionalFormatting sqref="N28:N38">
    <cfRule type="cellIs" dxfId="44" priority="27" operator="between">
      <formula>0.2</formula>
      <formula>0.25</formula>
    </cfRule>
    <cfRule type="cellIs" dxfId="43" priority="28" operator="greaterThanOrEqual">
      <formula>0.25</formula>
    </cfRule>
  </conditionalFormatting>
  <conditionalFormatting sqref="N36">
    <cfRule type="cellIs" dxfId="42" priority="1858" operator="between">
      <formula>0.2</formula>
      <formula>0.25</formula>
    </cfRule>
    <cfRule type="cellIs" dxfId="41" priority="1872" operator="greaterThanOrEqual">
      <formula>0.25</formula>
    </cfRule>
    <cfRule type="cellIs" dxfId="40" priority="1873" operator="between">
      <formula>0.2</formula>
      <formula>0.25</formula>
    </cfRule>
  </conditionalFormatting>
  <conditionalFormatting sqref="N39:N40">
    <cfRule type="cellIs" dxfId="39" priority="1832" operator="between">
      <formula>0.2</formula>
      <formula>0.25</formula>
    </cfRule>
  </conditionalFormatting>
  <conditionalFormatting sqref="N39:N56">
    <cfRule type="cellIs" dxfId="38" priority="50" operator="greaterThanOrEqual">
      <formula>0.25</formula>
    </cfRule>
  </conditionalFormatting>
  <conditionalFormatting sqref="N41:N56">
    <cfRule type="cellIs" dxfId="37" priority="49" operator="between">
      <formula>0.2</formula>
      <formula>0.25</formula>
    </cfRule>
  </conditionalFormatting>
  <conditionalFormatting sqref="N44:N49">
    <cfRule type="cellIs" dxfId="36" priority="241" operator="between">
      <formula>0.2</formula>
      <formula>0.25</formula>
    </cfRule>
  </conditionalFormatting>
  <conditionalFormatting sqref="N51:N53">
    <cfRule type="cellIs" dxfId="35" priority="1846" operator="between">
      <formula>0.2</formula>
      <formula>0.25</formula>
    </cfRule>
  </conditionalFormatting>
  <conditionalFormatting sqref="O25:O43">
    <cfRule type="cellIs" dxfId="34" priority="12" operator="between">
      <formula>0.9001</formula>
      <formula>0.9999</formula>
    </cfRule>
    <cfRule type="cellIs" dxfId="33" priority="13" operator="lessThan">
      <formula>0.9</formula>
    </cfRule>
    <cfRule type="cellIs" dxfId="32" priority="16" operator="between">
      <formula>0.85</formula>
      <formula>1</formula>
    </cfRule>
  </conditionalFormatting>
  <conditionalFormatting sqref="O25:O49">
    <cfRule type="cellIs" dxfId="31" priority="17" operator="between">
      <formula>0.01</formula>
      <formula>0.99</formula>
    </cfRule>
  </conditionalFormatting>
  <conditionalFormatting sqref="O25:O56">
    <cfRule type="cellIs" dxfId="30" priority="14" operator="greaterThan">
      <formula>1</formula>
    </cfRule>
    <cfRule type="cellIs" dxfId="29" priority="15" operator="greaterThan">
      <formula>100</formula>
    </cfRule>
  </conditionalFormatting>
  <conditionalFormatting sqref="O28:O38">
    <cfRule type="cellIs" dxfId="28" priority="25" operator="between">
      <formula>0.85</formula>
      <formula>1</formula>
    </cfRule>
    <cfRule type="cellIs" dxfId="27" priority="26" operator="between">
      <formula>0.01</formula>
      <formula>0.99</formula>
    </cfRule>
    <cfRule type="cellIs" dxfId="26" priority="1865" operator="lessThan">
      <formula>0.9</formula>
    </cfRule>
    <cfRule type="cellIs" dxfId="25" priority="1868" operator="between">
      <formula>0.9001</formula>
      <formula>0.9999</formula>
    </cfRule>
  </conditionalFormatting>
  <conditionalFormatting sqref="O36">
    <cfRule type="cellIs" dxfId="24" priority="1860" operator="between">
      <formula>0.85</formula>
      <formula>1</formula>
    </cfRule>
    <cfRule type="cellIs" dxfId="23" priority="1874" operator="between">
      <formula>0.01</formula>
      <formula>0.99</formula>
    </cfRule>
    <cfRule type="cellIs" dxfId="22" priority="1875" operator="between">
      <formula>0.85</formula>
      <formula>1</formula>
    </cfRule>
    <cfRule type="cellIs" dxfId="21" priority="1878" operator="lessThan">
      <formula>0.9</formula>
    </cfRule>
    <cfRule type="cellIs" dxfId="20" priority="1879" operator="between">
      <formula>0.9001</formula>
      <formula>0.9999</formula>
    </cfRule>
  </conditionalFormatting>
  <conditionalFormatting sqref="O39:O40">
    <cfRule type="cellIs" dxfId="19" priority="1836" operator="between">
      <formula>0.85</formula>
      <formula>1</formula>
    </cfRule>
    <cfRule type="cellIs" dxfId="18" priority="1842" operator="lessThan">
      <formula>0.9</formula>
    </cfRule>
    <cfRule type="cellIs" dxfId="17" priority="1844" operator="between">
      <formula>0.9001</formula>
      <formula>0.9999</formula>
    </cfRule>
  </conditionalFormatting>
  <conditionalFormatting sqref="O39:O56">
    <cfRule type="cellIs" dxfId="16" priority="48" operator="between">
      <formula>0.01</formula>
      <formula>0.99</formula>
    </cfRule>
  </conditionalFormatting>
  <conditionalFormatting sqref="O41:O56">
    <cfRule type="cellIs" dxfId="15" priority="43" operator="between">
      <formula>0.9001</formula>
      <formula>0.9999</formula>
    </cfRule>
    <cfRule type="cellIs" dxfId="14" priority="44" operator="lessThan">
      <formula>0.9</formula>
    </cfRule>
    <cfRule type="cellIs" dxfId="13" priority="47" operator="between">
      <formula>0.85</formula>
      <formula>1</formula>
    </cfRule>
  </conditionalFormatting>
  <conditionalFormatting sqref="O44:O49">
    <cfRule type="cellIs" dxfId="12" priority="242" operator="between">
      <formula>0.85</formula>
      <formula>1</formula>
    </cfRule>
    <cfRule type="cellIs" dxfId="11" priority="243" operator="lessThan">
      <formula>0.9</formula>
    </cfRule>
    <cfRule type="cellIs" dxfId="10" priority="244" operator="between">
      <formula>0.9001</formula>
      <formula>0.9999</formula>
    </cfRule>
  </conditionalFormatting>
  <conditionalFormatting sqref="O51:O53">
    <cfRule type="cellIs" dxfId="9" priority="1848" operator="between">
      <formula>0.85</formula>
      <formula>1</formula>
    </cfRule>
    <cfRule type="cellIs" dxfId="8" priority="1849" operator="lessThan">
      <formula>0.9</formula>
    </cfRule>
    <cfRule type="cellIs" dxfId="7" priority="1850" operator="between">
      <formula>0.9001</formula>
      <formula>0.9999</formula>
    </cfRule>
  </conditionalFormatting>
  <conditionalFormatting sqref="P10:Q10">
    <cfRule type="cellIs" dxfId="6" priority="232" operator="lessThan">
      <formula>0</formula>
    </cfRule>
  </conditionalFormatting>
  <conditionalFormatting sqref="T13 W13 T19">
    <cfRule type="cellIs" dxfId="5" priority="3" operator="between">
      <formula>0.9</formula>
      <formula>0.95</formula>
    </cfRule>
    <cfRule type="cellIs" dxfId="4" priority="4" operator="lessThan">
      <formula>0.9</formula>
    </cfRule>
    <cfRule type="cellIs" dxfId="3" priority="5" operator="greaterThan">
      <formula>0.95</formula>
    </cfRule>
  </conditionalFormatting>
  <conditionalFormatting sqref="W13">
    <cfRule type="cellIs" dxfId="2" priority="6" operator="lessThan">
      <formula>1</formula>
    </cfRule>
    <cfRule type="cellIs" dxfId="1" priority="7" operator="greaterThan">
      <formula>1</formula>
    </cfRule>
    <cfRule type="cellIs" dxfId="0" priority="8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5"/>
  <sheetViews>
    <sheetView workbookViewId="0">
      <selection activeCell="G12" sqref="G12"/>
    </sheetView>
  </sheetViews>
  <sheetFormatPr baseColWidth="10" defaultColWidth="11.5" defaultRowHeight="15"/>
  <cols>
    <col min="1" max="1" width="2.5" style="3" customWidth="1"/>
    <col min="2" max="2" width="11.83203125" style="3" customWidth="1"/>
    <col min="3" max="3" width="17.33203125" style="3" customWidth="1"/>
    <col min="4" max="4" width="10.83203125" style="3" customWidth="1"/>
    <col min="5" max="5" width="11.6640625" style="3" customWidth="1"/>
    <col min="6" max="6" width="11.83203125" style="3" customWidth="1"/>
    <col min="7" max="7" width="14" style="3" customWidth="1"/>
    <col min="8" max="8" width="15.33203125" style="3" customWidth="1"/>
    <col min="9" max="9" width="12" style="3" customWidth="1"/>
    <col min="10" max="10" width="17.5" style="3" customWidth="1"/>
    <col min="11" max="11" width="16" style="3" customWidth="1"/>
    <col min="12" max="12" width="11.1640625" style="3" customWidth="1"/>
    <col min="13" max="13" width="13.33203125" style="3" customWidth="1"/>
    <col min="14" max="14" width="13.83203125" style="3" customWidth="1"/>
  </cols>
  <sheetData>
    <row r="1" spans="1:15" ht="17" customHeight="1">
      <c r="A1" s="601" t="str">
        <f>График!B1</f>
        <v>Ноябрь, 2025</v>
      </c>
      <c r="B1" s="602"/>
      <c r="C1" s="602"/>
      <c r="D1" s="603"/>
      <c r="E1" s="263"/>
      <c r="F1" s="264"/>
      <c r="G1" s="264"/>
      <c r="H1" s="264"/>
      <c r="I1" s="264"/>
      <c r="J1" s="264"/>
      <c r="K1" s="264"/>
      <c r="L1" s="264"/>
      <c r="M1" s="264"/>
      <c r="N1" s="265"/>
    </row>
    <row r="2" spans="1:15" ht="15" customHeight="1">
      <c r="A2" s="604" t="str">
        <f>График!B3</f>
        <v>ул. Набережная Ленина, 18</v>
      </c>
      <c r="B2" s="605"/>
      <c r="C2" s="605"/>
      <c r="D2" s="266" t="str">
        <f>График!B4</f>
        <v>GL-0005</v>
      </c>
      <c r="E2" s="267"/>
      <c r="F2" s="268"/>
      <c r="G2" s="268"/>
      <c r="H2" s="268"/>
      <c r="I2" s="268"/>
      <c r="J2" s="268"/>
      <c r="K2" s="268"/>
      <c r="L2" s="268"/>
      <c r="M2" s="268"/>
      <c r="N2" s="269"/>
    </row>
    <row r="3" spans="1:15" ht="75">
      <c r="A3" s="606" t="s">
        <v>26</v>
      </c>
      <c r="B3" s="607"/>
      <c r="C3" s="607"/>
      <c r="D3" s="270" t="s">
        <v>75</v>
      </c>
      <c r="E3" s="270" t="s">
        <v>76</v>
      </c>
      <c r="F3" s="271" t="s">
        <v>77</v>
      </c>
      <c r="G3" s="272" t="s">
        <v>78</v>
      </c>
      <c r="H3" s="273" t="s">
        <v>79</v>
      </c>
      <c r="I3" s="274" t="s">
        <v>80</v>
      </c>
      <c r="J3" s="275" t="s">
        <v>81</v>
      </c>
      <c r="K3" s="276" t="s">
        <v>82</v>
      </c>
      <c r="L3" s="277" t="s">
        <v>83</v>
      </c>
      <c r="M3" s="278" t="s">
        <v>84</v>
      </c>
      <c r="N3" s="279" t="s">
        <v>85</v>
      </c>
    </row>
    <row r="4" spans="1:15" ht="16" customHeight="1">
      <c r="A4" s="608" t="str">
        <f>График!B29</f>
        <v>Рогалевич Ирина</v>
      </c>
      <c r="B4" s="609"/>
      <c r="C4" s="609"/>
      <c r="D4" s="280">
        <f>44000-C8</f>
        <v>38280</v>
      </c>
      <c r="E4" s="281"/>
      <c r="F4" s="282">
        <f>H8+H9+G16+G24+L24</f>
        <v>11196.460000000001</v>
      </c>
      <c r="G4" s="283">
        <f>D11</f>
        <v>25300</v>
      </c>
      <c r="H4" s="284">
        <f>D18</f>
        <v>25676.600000000002</v>
      </c>
      <c r="I4" s="285">
        <f>L18</f>
        <v>9079.1807051282067</v>
      </c>
      <c r="J4" s="286">
        <f>L11</f>
        <v>0</v>
      </c>
      <c r="K4" s="287">
        <f>H4+J4+G4+F4+I4</f>
        <v>71252.240705128206</v>
      </c>
      <c r="L4" s="288">
        <f>C8+C9</f>
        <v>5720</v>
      </c>
      <c r="M4" s="289">
        <f>K4-L4-D4-E4</f>
        <v>27252.240705128206</v>
      </c>
      <c r="N4" s="290"/>
    </row>
    <row r="5" spans="1:15">
      <c r="A5" s="291"/>
      <c r="B5" s="292"/>
      <c r="C5" s="293"/>
      <c r="D5" s="293"/>
      <c r="E5" s="293"/>
      <c r="F5" s="293"/>
      <c r="G5" s="293"/>
      <c r="H5" s="293"/>
      <c r="I5" s="293"/>
      <c r="J5" s="293"/>
      <c r="K5" s="294"/>
      <c r="L5" s="293"/>
      <c r="M5" s="295"/>
      <c r="N5" s="296"/>
    </row>
    <row r="6" spans="1:15">
      <c r="A6" s="291"/>
      <c r="B6" s="292" t="s">
        <v>83</v>
      </c>
      <c r="C6" s="293"/>
      <c r="D6" s="293"/>
      <c r="E6" s="293"/>
      <c r="F6" s="293"/>
      <c r="G6" s="292" t="s">
        <v>86</v>
      </c>
      <c r="H6" s="293"/>
      <c r="I6" s="293"/>
      <c r="J6" s="293"/>
      <c r="K6" s="293"/>
      <c r="L6" s="293"/>
      <c r="M6" s="295"/>
      <c r="N6" s="296"/>
    </row>
    <row r="7" spans="1:15">
      <c r="A7" s="297"/>
      <c r="B7" s="298" t="s">
        <v>27</v>
      </c>
      <c r="C7" s="298" t="s">
        <v>87</v>
      </c>
      <c r="D7" s="610" t="s">
        <v>88</v>
      </c>
      <c r="E7" s="610"/>
      <c r="F7" s="299"/>
      <c r="G7" s="298" t="s">
        <v>27</v>
      </c>
      <c r="H7" s="610" t="s">
        <v>87</v>
      </c>
      <c r="I7" s="610"/>
      <c r="J7" s="610" t="s">
        <v>88</v>
      </c>
      <c r="K7" s="610"/>
      <c r="L7" s="299"/>
      <c r="M7" s="300"/>
      <c r="N7" s="301"/>
    </row>
    <row r="8" spans="1:15" ht="20" customHeight="1">
      <c r="A8" s="291"/>
      <c r="B8" s="302">
        <v>45991</v>
      </c>
      <c r="C8" s="303">
        <v>5720</v>
      </c>
      <c r="D8" s="611" t="s">
        <v>89</v>
      </c>
      <c r="E8" s="611"/>
      <c r="F8" s="293"/>
      <c r="G8" s="302">
        <v>45991</v>
      </c>
      <c r="H8" s="612">
        <f>'Ялта, Ленина, 18'!J8*0.01</f>
        <v>11196.460000000001</v>
      </c>
      <c r="I8" s="612"/>
      <c r="J8" s="611" t="s">
        <v>90</v>
      </c>
      <c r="K8" s="611"/>
      <c r="L8" s="293"/>
      <c r="M8" s="295"/>
      <c r="N8" s="296"/>
    </row>
    <row r="9" spans="1:15" ht="19" customHeight="1">
      <c r="A9" s="291"/>
      <c r="B9" s="302"/>
      <c r="C9" s="303"/>
      <c r="D9" s="611"/>
      <c r="E9" s="611"/>
      <c r="F9" s="293"/>
      <c r="G9" s="302"/>
      <c r="H9" s="612"/>
      <c r="I9" s="612"/>
      <c r="J9" s="611"/>
      <c r="K9" s="611"/>
      <c r="L9" s="293"/>
      <c r="M9" s="295"/>
      <c r="N9" s="296"/>
    </row>
    <row r="10" spans="1:15">
      <c r="A10" s="291"/>
      <c r="B10" s="292"/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5"/>
      <c r="N10" s="296"/>
    </row>
    <row r="11" spans="1:15">
      <c r="A11" s="305" t="s">
        <v>91</v>
      </c>
      <c r="B11" s="306"/>
      <c r="C11" s="306"/>
      <c r="D11" s="307">
        <f>G15</f>
        <v>25300</v>
      </c>
      <c r="E11" s="308"/>
      <c r="F11" s="309"/>
      <c r="G11" s="306"/>
      <c r="H11" s="306"/>
      <c r="I11" s="310" t="s">
        <v>81</v>
      </c>
      <c r="J11" s="306"/>
      <c r="K11" s="306"/>
      <c r="L11" s="311">
        <f>L15+L16</f>
        <v>0</v>
      </c>
      <c r="M11" s="309"/>
      <c r="N11" s="312"/>
    </row>
    <row r="12" spans="1:15">
      <c r="A12" s="291"/>
      <c r="B12" s="292"/>
      <c r="C12" s="293"/>
      <c r="D12" s="313"/>
      <c r="E12" s="313"/>
      <c r="F12" s="293"/>
      <c r="G12" s="293"/>
      <c r="H12" s="293"/>
      <c r="I12" s="293"/>
      <c r="J12" s="293"/>
      <c r="K12" s="295"/>
      <c r="L12" s="295"/>
      <c r="M12" s="295"/>
      <c r="N12" s="296"/>
    </row>
    <row r="13" spans="1:15">
      <c r="A13" s="314"/>
      <c r="B13" s="315" t="s">
        <v>91</v>
      </c>
      <c r="C13" s="313"/>
      <c r="D13" s="313"/>
      <c r="E13" s="313"/>
      <c r="F13" s="313"/>
      <c r="G13" s="313"/>
      <c r="H13" s="313"/>
      <c r="I13" s="313"/>
      <c r="J13" s="613" t="s">
        <v>81</v>
      </c>
      <c r="K13" s="613"/>
      <c r="L13" s="316"/>
      <c r="M13" s="316"/>
      <c r="N13" s="317"/>
    </row>
    <row r="14" spans="1:15" ht="24">
      <c r="A14" s="314"/>
      <c r="B14" s="318" t="s">
        <v>92</v>
      </c>
      <c r="C14" s="318" t="s">
        <v>93</v>
      </c>
      <c r="D14" s="318" t="s">
        <v>94</v>
      </c>
      <c r="E14" s="318" t="s">
        <v>95</v>
      </c>
      <c r="F14" s="318" t="s">
        <v>96</v>
      </c>
      <c r="G14" s="318" t="s">
        <v>97</v>
      </c>
      <c r="H14" s="313"/>
      <c r="I14" s="313"/>
      <c r="J14" s="318" t="s">
        <v>93</v>
      </c>
      <c r="K14" s="318" t="s">
        <v>60</v>
      </c>
      <c r="L14" s="614" t="s">
        <v>98</v>
      </c>
      <c r="M14" s="614"/>
      <c r="N14" s="317"/>
      <c r="O14" s="319"/>
    </row>
    <row r="15" spans="1:15" ht="19" customHeight="1">
      <c r="A15" s="291"/>
      <c r="B15" s="320">
        <f>График!AI29</f>
        <v>25</v>
      </c>
      <c r="C15" s="321" t="str">
        <f>A2</f>
        <v>ул. Набережная Ленина, 18</v>
      </c>
      <c r="D15" s="321" t="s">
        <v>99</v>
      </c>
      <c r="E15" s="322">
        <f>График!AJ29</f>
        <v>253</v>
      </c>
      <c r="F15" s="323">
        <v>100</v>
      </c>
      <c r="G15" s="324">
        <f t="shared" ref="G15:G16" si="0">E15*F15</f>
        <v>25300</v>
      </c>
      <c r="H15" s="325"/>
      <c r="I15" s="325"/>
      <c r="J15" s="321" t="str">
        <f>График!B3</f>
        <v>ул. Набережная Ленина, 18</v>
      </c>
      <c r="K15" s="326">
        <f>'Ялта, Ленина, 18'!K8</f>
        <v>0.54184721852541917</v>
      </c>
      <c r="L15" s="615"/>
      <c r="M15" s="615"/>
      <c r="N15" s="296"/>
    </row>
    <row r="16" spans="1:15" ht="19" customHeight="1">
      <c r="A16" s="314"/>
      <c r="B16" s="318"/>
      <c r="C16" s="327"/>
      <c r="D16" s="321" t="s">
        <v>99</v>
      </c>
      <c r="E16" s="328"/>
      <c r="F16" s="323"/>
      <c r="G16" s="324">
        <f t="shared" si="0"/>
        <v>0</v>
      </c>
      <c r="H16" s="313"/>
      <c r="I16" s="313"/>
      <c r="J16" s="304"/>
      <c r="K16" s="329"/>
      <c r="L16" s="616"/>
      <c r="M16" s="616"/>
      <c r="N16" s="317"/>
    </row>
    <row r="17" spans="1:14">
      <c r="A17" s="314"/>
      <c r="B17" s="313"/>
      <c r="C17" s="331"/>
      <c r="D17" s="293"/>
      <c r="E17" s="332"/>
      <c r="F17" s="332"/>
      <c r="G17" s="333"/>
      <c r="H17" s="313"/>
      <c r="I17" s="313"/>
      <c r="J17" s="313"/>
      <c r="K17" s="313"/>
      <c r="L17" s="316"/>
      <c r="M17" s="316"/>
      <c r="N17" s="317"/>
    </row>
    <row r="18" spans="1:14">
      <c r="A18" s="305" t="s">
        <v>100</v>
      </c>
      <c r="B18" s="306"/>
      <c r="C18" s="306"/>
      <c r="D18" s="334">
        <f>G23</f>
        <v>25676.600000000002</v>
      </c>
      <c r="E18" s="335"/>
      <c r="F18" s="309"/>
      <c r="G18" s="309"/>
      <c r="H18" s="309"/>
      <c r="I18" s="306" t="s">
        <v>80</v>
      </c>
      <c r="J18" s="309"/>
      <c r="K18" s="309"/>
      <c r="L18" s="336">
        <f>N23</f>
        <v>9079.1807051282067</v>
      </c>
      <c r="M18" s="309"/>
      <c r="N18" s="312"/>
    </row>
    <row r="19" spans="1:14">
      <c r="A19" s="337"/>
      <c r="B19" s="292"/>
      <c r="C19" s="295"/>
      <c r="D19" s="295"/>
      <c r="E19" s="295"/>
      <c r="F19" s="295"/>
      <c r="G19" s="295"/>
      <c r="H19" s="295"/>
      <c r="I19" s="295"/>
      <c r="J19" s="295"/>
      <c r="K19" s="338"/>
      <c r="L19" s="123"/>
      <c r="M19" s="123"/>
      <c r="N19" s="339"/>
    </row>
    <row r="20" spans="1:14">
      <c r="A20" s="337"/>
      <c r="B20" s="293"/>
      <c r="C20" s="292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6"/>
    </row>
    <row r="21" spans="1:14">
      <c r="A21" s="337"/>
      <c r="B21" s="292" t="s">
        <v>101</v>
      </c>
      <c r="C21" s="295"/>
      <c r="D21" s="295"/>
      <c r="E21" s="295"/>
      <c r="F21" s="295"/>
      <c r="G21" s="295"/>
      <c r="H21" s="295"/>
      <c r="I21" s="340" t="s">
        <v>102</v>
      </c>
      <c r="J21" s="341"/>
      <c r="K21" s="342"/>
      <c r="L21" s="342"/>
      <c r="M21" s="342"/>
      <c r="N21" s="343"/>
    </row>
    <row r="22" spans="1:14" ht="36">
      <c r="A22" s="344"/>
      <c r="B22" s="318" t="s">
        <v>26</v>
      </c>
      <c r="C22" s="614" t="s">
        <v>93</v>
      </c>
      <c r="D22" s="614"/>
      <c r="E22" s="318" t="s">
        <v>103</v>
      </c>
      <c r="F22" s="318" t="s">
        <v>104</v>
      </c>
      <c r="G22" s="318" t="s">
        <v>105</v>
      </c>
      <c r="H22" s="313"/>
      <c r="I22" s="318" t="s">
        <v>26</v>
      </c>
      <c r="J22" s="318" t="s">
        <v>93</v>
      </c>
      <c r="K22" s="318" t="s">
        <v>106</v>
      </c>
      <c r="L22" s="318" t="s">
        <v>107</v>
      </c>
      <c r="M22" s="318" t="s">
        <v>103</v>
      </c>
      <c r="N22" s="345" t="s">
        <v>105</v>
      </c>
    </row>
    <row r="23" spans="1:14">
      <c r="A23" s="337"/>
      <c r="B23" s="321" t="str">
        <f>A4</f>
        <v>Рогалевич Ирина</v>
      </c>
      <c r="C23" s="617" t="str">
        <f>A2</f>
        <v>ул. Набережная Ленина, 18</v>
      </c>
      <c r="D23" s="617"/>
      <c r="E23" s="326">
        <v>0.04</v>
      </c>
      <c r="F23" s="303">
        <f>'Рогалевич И. Е. '!J8</f>
        <v>641915</v>
      </c>
      <c r="G23" s="346">
        <f t="shared" ref="G23:G24" si="1">F23*E23</f>
        <v>25676.600000000002</v>
      </c>
      <c r="H23" s="293"/>
      <c r="I23" s="347" t="str">
        <f>B23</f>
        <v>Рогалевич Ирина</v>
      </c>
      <c r="J23" s="348" t="str">
        <f>C23</f>
        <v>ул. Набережная Ленина, 18</v>
      </c>
      <c r="K23" s="348">
        <f>E15</f>
        <v>253</v>
      </c>
      <c r="L23" s="349">
        <f>График!AJ31</f>
        <v>624</v>
      </c>
      <c r="M23" s="326">
        <v>0.02</v>
      </c>
      <c r="N23" s="350">
        <f>'Ялта, Ленина, 18'!J8*M23*K23/L23</f>
        <v>9079.1807051282067</v>
      </c>
    </row>
    <row r="24" spans="1:14">
      <c r="A24" s="344"/>
      <c r="B24" s="321" t="str">
        <f>B23</f>
        <v>Рогалевич Ирина</v>
      </c>
      <c r="C24" s="618">
        <f>C16</f>
        <v>0</v>
      </c>
      <c r="D24" s="618"/>
      <c r="E24" s="326"/>
      <c r="F24" s="351"/>
      <c r="G24" s="324">
        <f t="shared" si="1"/>
        <v>0</v>
      </c>
      <c r="H24" s="313"/>
      <c r="I24" s="352"/>
      <c r="J24" s="353"/>
      <c r="K24" s="354"/>
      <c r="L24" s="355"/>
      <c r="M24" s="356"/>
      <c r="N24" s="357" t="e">
        <f>1477363.14*M24*K24/L24</f>
        <v>#DIV/0!</v>
      </c>
    </row>
    <row r="25" spans="1:14">
      <c r="A25" s="358"/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  <c r="M25" s="359"/>
      <c r="N25" s="360"/>
    </row>
  </sheetData>
  <mergeCells count="20">
    <mergeCell ref="L15:M15"/>
    <mergeCell ref="L16:M16"/>
    <mergeCell ref="C22:D22"/>
    <mergeCell ref="C23:D23"/>
    <mergeCell ref="C24:D24"/>
    <mergeCell ref="D9:E9"/>
    <mergeCell ref="H9:I9"/>
    <mergeCell ref="J9:K9"/>
    <mergeCell ref="J13:K13"/>
    <mergeCell ref="L14:M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zoomScale="91" workbookViewId="0">
      <selection activeCell="P4" sqref="P4"/>
    </sheetView>
  </sheetViews>
  <sheetFormatPr baseColWidth="10" defaultColWidth="11.5" defaultRowHeight="15"/>
  <cols>
    <col min="1" max="1" width="2.33203125" style="3" customWidth="1"/>
    <col min="2" max="2" width="12.6640625" style="3" customWidth="1"/>
    <col min="3" max="3" width="14.6640625" style="3" customWidth="1"/>
    <col min="4" max="4" width="12.6640625" style="3" customWidth="1"/>
    <col min="5" max="5" width="12.5" style="3" customWidth="1"/>
    <col min="6" max="6" width="12.1640625" style="3" customWidth="1"/>
    <col min="7" max="7" width="11.5" style="3"/>
    <col min="8" max="8" width="12.6640625" style="3" customWidth="1"/>
    <col min="9" max="9" width="13.83203125" style="3" customWidth="1"/>
    <col min="10" max="10" width="17.83203125" style="3" customWidth="1"/>
    <col min="11" max="11" width="13.6640625" style="3" customWidth="1"/>
    <col min="12" max="12" width="12" style="3" customWidth="1"/>
    <col min="13" max="13" width="15.6640625" style="3" customWidth="1"/>
    <col min="14" max="14" width="14" style="3" customWidth="1"/>
  </cols>
  <sheetData>
    <row r="1" spans="1:14" ht="20" customHeight="1">
      <c r="A1" s="601" t="str">
        <f>График!B1</f>
        <v>Ноябрь, 2025</v>
      </c>
      <c r="B1" s="602"/>
      <c r="C1" s="602"/>
      <c r="D1" s="603"/>
      <c r="E1" s="263"/>
      <c r="F1" s="264"/>
      <c r="G1" s="264"/>
      <c r="H1" s="264"/>
      <c r="I1" s="264"/>
      <c r="J1" s="264"/>
      <c r="K1" s="264"/>
      <c r="L1" s="264"/>
      <c r="M1" s="264"/>
      <c r="N1" s="265"/>
    </row>
    <row r="2" spans="1:14" ht="20" customHeight="1">
      <c r="A2" s="619" t="str">
        <f>График!B3</f>
        <v>ул. Набережная Ленина, 18</v>
      </c>
      <c r="B2" s="620"/>
      <c r="C2" s="620"/>
      <c r="D2" s="361" t="str">
        <f>График!B4</f>
        <v>GL-0005</v>
      </c>
      <c r="E2" s="267"/>
      <c r="F2" s="268"/>
      <c r="G2" s="268"/>
      <c r="H2" s="268"/>
      <c r="I2" s="268"/>
      <c r="J2" s="268"/>
      <c r="K2" s="268"/>
      <c r="L2" s="268"/>
      <c r="M2" s="268"/>
      <c r="N2" s="269"/>
    </row>
    <row r="3" spans="1:14" ht="60">
      <c r="A3" s="621" t="s">
        <v>26</v>
      </c>
      <c r="B3" s="621"/>
      <c r="C3" s="621"/>
      <c r="D3" s="362" t="s">
        <v>75</v>
      </c>
      <c r="E3" s="363" t="s">
        <v>76</v>
      </c>
      <c r="F3" s="271" t="s">
        <v>77</v>
      </c>
      <c r="G3" s="272" t="s">
        <v>78</v>
      </c>
      <c r="H3" s="273" t="s">
        <v>79</v>
      </c>
      <c r="I3" s="274" t="s">
        <v>80</v>
      </c>
      <c r="J3" s="274" t="s">
        <v>81</v>
      </c>
      <c r="K3" s="272" t="s">
        <v>82</v>
      </c>
      <c r="L3" s="275" t="s">
        <v>83</v>
      </c>
      <c r="M3" s="364" t="s">
        <v>84</v>
      </c>
      <c r="N3" s="279" t="s">
        <v>85</v>
      </c>
    </row>
    <row r="4" spans="1:14" ht="18" customHeight="1">
      <c r="A4" s="622" t="str">
        <f>График!B27</f>
        <v>Арапова Анна-Мария</v>
      </c>
      <c r="B4" s="623"/>
      <c r="C4" s="623"/>
      <c r="D4" s="365">
        <f>40000-C8</f>
        <v>34800</v>
      </c>
      <c r="E4" s="366"/>
      <c r="F4" s="367">
        <f>H8+H9</f>
        <v>0</v>
      </c>
      <c r="G4" s="368">
        <f>D12</f>
        <v>19300</v>
      </c>
      <c r="H4" s="369">
        <f>D19</f>
        <v>7764.12</v>
      </c>
      <c r="I4" s="370">
        <f>L19</f>
        <v>6926.0153205128217</v>
      </c>
      <c r="J4" s="371">
        <f>L12</f>
        <v>0</v>
      </c>
      <c r="K4" s="372">
        <f>H4+J4+G4+F4+I4</f>
        <v>33990.135320512818</v>
      </c>
      <c r="L4" s="373">
        <f>C8+C9+C10</f>
        <v>5200</v>
      </c>
      <c r="M4" s="374">
        <f>K4-L4-D4-E4</f>
        <v>-6009.864679487182</v>
      </c>
      <c r="N4" s="290"/>
    </row>
    <row r="5" spans="1:14">
      <c r="A5" s="291"/>
      <c r="B5" s="292"/>
      <c r="C5" s="293"/>
      <c r="D5" s="293"/>
      <c r="E5" s="293"/>
      <c r="F5" s="293"/>
      <c r="G5" s="293"/>
      <c r="H5" s="293"/>
      <c r="I5" s="293"/>
      <c r="J5" s="293"/>
      <c r="K5" s="294"/>
      <c r="L5" s="293"/>
      <c r="M5" s="295"/>
      <c r="N5" s="296"/>
    </row>
    <row r="6" spans="1:14">
      <c r="A6" s="291"/>
      <c r="B6" s="292" t="s">
        <v>83</v>
      </c>
      <c r="C6" s="293"/>
      <c r="D6" s="293"/>
      <c r="E6" s="293"/>
      <c r="F6" s="293"/>
      <c r="G6" s="292" t="s">
        <v>86</v>
      </c>
      <c r="H6" s="293"/>
      <c r="I6" s="293"/>
      <c r="J6" s="293"/>
      <c r="K6" s="293"/>
      <c r="L6" s="293"/>
      <c r="M6" s="295"/>
      <c r="N6" s="296"/>
    </row>
    <row r="7" spans="1:14" ht="20" customHeight="1">
      <c r="A7" s="297"/>
      <c r="B7" s="298" t="s">
        <v>27</v>
      </c>
      <c r="C7" s="298" t="s">
        <v>87</v>
      </c>
      <c r="D7" s="610" t="s">
        <v>88</v>
      </c>
      <c r="E7" s="610"/>
      <c r="F7" s="299"/>
      <c r="G7" s="298" t="s">
        <v>27</v>
      </c>
      <c r="H7" s="610" t="s">
        <v>87</v>
      </c>
      <c r="I7" s="610"/>
      <c r="J7" s="610" t="s">
        <v>88</v>
      </c>
      <c r="K7" s="610"/>
      <c r="L7" s="299"/>
      <c r="M7" s="300"/>
      <c r="N7" s="301"/>
    </row>
    <row r="8" spans="1:14" ht="18" customHeight="1">
      <c r="A8" s="291"/>
      <c r="B8" s="302">
        <v>45991</v>
      </c>
      <c r="C8" s="303">
        <v>5200</v>
      </c>
      <c r="D8" s="611" t="s">
        <v>89</v>
      </c>
      <c r="E8" s="611"/>
      <c r="F8" s="293"/>
      <c r="G8" s="302"/>
      <c r="H8" s="624"/>
      <c r="I8" s="624"/>
      <c r="J8" s="611"/>
      <c r="K8" s="611"/>
      <c r="L8" s="293"/>
      <c r="M8" s="295"/>
      <c r="N8" s="296"/>
    </row>
    <row r="9" spans="1:14" ht="18" customHeight="1">
      <c r="A9" s="291"/>
      <c r="B9" s="302"/>
      <c r="C9" s="303"/>
      <c r="D9" s="611"/>
      <c r="E9" s="611"/>
      <c r="F9" s="293"/>
      <c r="G9" s="302"/>
      <c r="H9" s="624"/>
      <c r="I9" s="624"/>
      <c r="J9" s="611"/>
      <c r="K9" s="611"/>
      <c r="L9" s="293"/>
      <c r="M9" s="295"/>
      <c r="N9" s="296"/>
    </row>
    <row r="10" spans="1:14" ht="18" customHeight="1">
      <c r="A10" s="291"/>
      <c r="B10" s="302"/>
      <c r="C10" s="303"/>
      <c r="D10" s="611"/>
      <c r="E10" s="611"/>
      <c r="F10" s="293"/>
      <c r="G10" s="375"/>
      <c r="H10" s="376"/>
      <c r="I10" s="376"/>
      <c r="J10" s="377"/>
      <c r="K10" s="377"/>
      <c r="L10" s="293"/>
      <c r="M10" s="295"/>
      <c r="N10" s="296"/>
    </row>
    <row r="11" spans="1:14" ht="34" customHeight="1">
      <c r="A11" s="291"/>
      <c r="B11" s="292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5"/>
      <c r="N11" s="296"/>
    </row>
    <row r="12" spans="1:14">
      <c r="A12" s="305" t="s">
        <v>91</v>
      </c>
      <c r="B12" s="306"/>
      <c r="C12" s="306"/>
      <c r="D12" s="307">
        <f>G16</f>
        <v>19300</v>
      </c>
      <c r="E12" s="308"/>
      <c r="F12" s="309"/>
      <c r="G12" s="306"/>
      <c r="H12" s="306"/>
      <c r="I12" s="311" t="s">
        <v>81</v>
      </c>
      <c r="J12" s="306"/>
      <c r="K12" s="306"/>
      <c r="L12" s="310">
        <f>L16+L17</f>
        <v>0</v>
      </c>
      <c r="M12" s="309"/>
      <c r="N12" s="312"/>
    </row>
    <row r="13" spans="1:14">
      <c r="A13" s="291"/>
      <c r="B13" s="292"/>
      <c r="C13" s="293"/>
      <c r="D13" s="313"/>
      <c r="E13" s="313"/>
      <c r="F13" s="293"/>
      <c r="G13" s="293"/>
      <c r="H13" s="293"/>
      <c r="I13" s="293"/>
      <c r="J13" s="293"/>
      <c r="K13" s="295"/>
      <c r="L13" s="295"/>
      <c r="M13" s="295"/>
      <c r="N13" s="296"/>
    </row>
    <row r="14" spans="1:14">
      <c r="A14" s="314"/>
      <c r="B14" s="315" t="s">
        <v>91</v>
      </c>
      <c r="C14" s="313"/>
      <c r="D14" s="313"/>
      <c r="E14" s="313"/>
      <c r="F14" s="313"/>
      <c r="G14" s="313"/>
      <c r="H14" s="313"/>
      <c r="I14" s="313"/>
      <c r="J14" s="613" t="s">
        <v>81</v>
      </c>
      <c r="K14" s="613"/>
      <c r="L14" s="316"/>
      <c r="M14" s="316"/>
      <c r="N14" s="317"/>
    </row>
    <row r="15" spans="1:14" ht="24">
      <c r="A15" s="314"/>
      <c r="B15" s="318" t="s">
        <v>92</v>
      </c>
      <c r="C15" s="318" t="s">
        <v>93</v>
      </c>
      <c r="D15" s="318" t="s">
        <v>94</v>
      </c>
      <c r="E15" s="318" t="s">
        <v>95</v>
      </c>
      <c r="F15" s="318" t="s">
        <v>96</v>
      </c>
      <c r="G15" s="318" t="s">
        <v>97</v>
      </c>
      <c r="H15" s="313"/>
      <c r="I15" s="313"/>
      <c r="J15" s="318" t="s">
        <v>93</v>
      </c>
      <c r="K15" s="318" t="s">
        <v>60</v>
      </c>
      <c r="L15" s="318" t="s">
        <v>98</v>
      </c>
      <c r="M15" s="316"/>
      <c r="N15" s="317"/>
    </row>
    <row r="16" spans="1:14" ht="17" customHeight="1">
      <c r="A16" s="291"/>
      <c r="B16" s="320">
        <f>График!AI27</f>
        <v>19</v>
      </c>
      <c r="C16" s="321" t="str">
        <f>A2</f>
        <v>ул. Набережная Ленина, 18</v>
      </c>
      <c r="D16" s="321" t="s">
        <v>99</v>
      </c>
      <c r="E16" s="322">
        <f>График!AJ27</f>
        <v>193</v>
      </c>
      <c r="F16" s="323">
        <v>100</v>
      </c>
      <c r="G16" s="324">
        <f>E16*F16</f>
        <v>19300</v>
      </c>
      <c r="H16" s="325"/>
      <c r="I16" s="325"/>
      <c r="J16" s="321" t="str">
        <f>График!B3</f>
        <v>ул. Набережная Ленина, 18</v>
      </c>
      <c r="K16" s="326">
        <f>'Ялта, Ленина, 18'!K8</f>
        <v>0.54184721852541917</v>
      </c>
      <c r="L16" s="323">
        <v>0</v>
      </c>
      <c r="M16" s="295"/>
      <c r="N16" s="296"/>
    </row>
    <row r="17" spans="1:14" ht="17" customHeight="1">
      <c r="A17" s="314"/>
      <c r="B17" s="318"/>
      <c r="C17" s="327"/>
      <c r="D17" s="321"/>
      <c r="E17" s="328"/>
      <c r="F17" s="323"/>
      <c r="G17" s="324"/>
      <c r="H17" s="313"/>
      <c r="I17" s="313"/>
      <c r="J17" s="304"/>
      <c r="K17" s="329"/>
      <c r="L17" s="330"/>
      <c r="M17" s="316"/>
      <c r="N17" s="317"/>
    </row>
    <row r="18" spans="1:14">
      <c r="A18" s="314"/>
      <c r="B18" s="313"/>
      <c r="C18" s="331"/>
      <c r="D18" s="293"/>
      <c r="E18" s="332"/>
      <c r="F18" s="332"/>
      <c r="G18" s="333"/>
      <c r="H18" s="313"/>
      <c r="I18" s="313"/>
      <c r="J18" s="313"/>
      <c r="K18" s="313"/>
      <c r="L18" s="316"/>
      <c r="M18" s="316"/>
      <c r="N18" s="317"/>
    </row>
    <row r="19" spans="1:14">
      <c r="A19" s="305" t="s">
        <v>100</v>
      </c>
      <c r="B19" s="306"/>
      <c r="C19" s="306"/>
      <c r="D19" s="334">
        <f>G24</f>
        <v>7764.12</v>
      </c>
      <c r="E19" s="335"/>
      <c r="F19" s="309"/>
      <c r="G19" s="309"/>
      <c r="H19" s="309"/>
      <c r="I19" s="306" t="s">
        <v>80</v>
      </c>
      <c r="J19" s="309"/>
      <c r="K19" s="309"/>
      <c r="L19" s="378">
        <f>N24</f>
        <v>6926.0153205128217</v>
      </c>
      <c r="M19" s="309"/>
      <c r="N19" s="312"/>
    </row>
    <row r="20" spans="1:14">
      <c r="A20" s="337"/>
      <c r="B20" s="292"/>
      <c r="C20" s="295"/>
      <c r="D20" s="295"/>
      <c r="E20" s="295"/>
      <c r="F20" s="295"/>
      <c r="G20" s="295"/>
      <c r="H20" s="295"/>
      <c r="I20" s="295"/>
      <c r="J20" s="295"/>
      <c r="K20" s="338"/>
      <c r="L20" s="123"/>
      <c r="M20" s="123"/>
      <c r="N20" s="339"/>
    </row>
    <row r="21" spans="1:14">
      <c r="A21" s="337"/>
      <c r="B21" s="293"/>
      <c r="C21" s="292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6"/>
    </row>
    <row r="22" spans="1:14">
      <c r="A22" s="337"/>
      <c r="B22" s="292" t="s">
        <v>101</v>
      </c>
      <c r="C22" s="295"/>
      <c r="D22" s="295"/>
      <c r="E22" s="295"/>
      <c r="F22" s="295"/>
      <c r="G22" s="295"/>
      <c r="H22" s="295"/>
      <c r="I22" s="340" t="s">
        <v>102</v>
      </c>
      <c r="J22" s="341"/>
      <c r="K22" s="342"/>
      <c r="L22" s="342"/>
      <c r="M22" s="342"/>
      <c r="N22" s="343"/>
    </row>
    <row r="23" spans="1:14" ht="36">
      <c r="A23" s="344"/>
      <c r="B23" s="318" t="s">
        <v>26</v>
      </c>
      <c r="C23" s="614" t="s">
        <v>93</v>
      </c>
      <c r="D23" s="614"/>
      <c r="E23" s="318" t="s">
        <v>103</v>
      </c>
      <c r="F23" s="318" t="s">
        <v>104</v>
      </c>
      <c r="G23" s="318" t="s">
        <v>105</v>
      </c>
      <c r="H23" s="313"/>
      <c r="I23" s="318" t="s">
        <v>26</v>
      </c>
      <c r="J23" s="318" t="s">
        <v>93</v>
      </c>
      <c r="K23" s="318" t="s">
        <v>106</v>
      </c>
      <c r="L23" s="318" t="s">
        <v>107</v>
      </c>
      <c r="M23" s="318" t="s">
        <v>103</v>
      </c>
      <c r="N23" s="345" t="s">
        <v>105</v>
      </c>
    </row>
    <row r="24" spans="1:14">
      <c r="A24" s="337"/>
      <c r="B24" s="321" t="str">
        <f>A4</f>
        <v>Арапова Анна-Мария</v>
      </c>
      <c r="C24" s="617" t="str">
        <f>A2</f>
        <v>ул. Набережная Ленина, 18</v>
      </c>
      <c r="D24" s="617"/>
      <c r="E24" s="326">
        <v>0.04</v>
      </c>
      <c r="F24" s="303">
        <f>'Арапова А. В.'!D57</f>
        <v>194103</v>
      </c>
      <c r="G24" s="346">
        <f>F24*E24</f>
        <v>7764.12</v>
      </c>
      <c r="H24" s="293"/>
      <c r="I24" s="347" t="str">
        <f>B24</f>
        <v>Арапова Анна-Мария</v>
      </c>
      <c r="J24" s="348" t="str">
        <f>C24</f>
        <v>ул. Набережная Ленина, 18</v>
      </c>
      <c r="K24" s="348">
        <f>E16</f>
        <v>193</v>
      </c>
      <c r="L24" s="349">
        <f>График!AJ31</f>
        <v>624</v>
      </c>
      <c r="M24" s="326">
        <v>0.02</v>
      </c>
      <c r="N24" s="350">
        <f>'Ялта, Ленина, 18'!D56*M24*K24/L24</f>
        <v>6926.0153205128217</v>
      </c>
    </row>
    <row r="25" spans="1:14">
      <c r="A25" s="344"/>
      <c r="B25" s="321" t="str">
        <f>B24</f>
        <v>Арапова Анна-Мария</v>
      </c>
      <c r="C25" s="618"/>
      <c r="D25" s="618"/>
      <c r="E25" s="326"/>
      <c r="F25" s="351"/>
      <c r="G25" s="324"/>
      <c r="H25" s="313"/>
      <c r="I25" s="352"/>
      <c r="J25" s="353"/>
      <c r="K25" s="354"/>
      <c r="L25" s="355"/>
      <c r="M25" s="356"/>
      <c r="N25" s="357"/>
    </row>
    <row r="26" spans="1:14">
      <c r="A26" s="358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60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6"/>
  <sheetViews>
    <sheetView tabSelected="1" zoomScale="91" workbookViewId="0">
      <selection activeCell="I15" sqref="I15"/>
    </sheetView>
  </sheetViews>
  <sheetFormatPr baseColWidth="10" defaultColWidth="11.5" defaultRowHeight="15"/>
  <cols>
    <col min="1" max="1" width="2.33203125" style="3" customWidth="1"/>
    <col min="2" max="2" width="14.1640625" style="3" customWidth="1"/>
    <col min="3" max="3" width="15.33203125" style="3" customWidth="1"/>
    <col min="4" max="4" width="11.5" style="3"/>
    <col min="5" max="5" width="12" style="3" customWidth="1"/>
    <col min="6" max="6" width="12.1640625" style="3" customWidth="1"/>
    <col min="7" max="7" width="11.5" style="3"/>
    <col min="8" max="8" width="11.6640625" style="3" customWidth="1"/>
    <col min="9" max="9" width="17.83203125" style="3" customWidth="1"/>
    <col min="10" max="10" width="17.6640625" style="3" customWidth="1"/>
    <col min="11" max="11" width="11.5" style="3" customWidth="1"/>
    <col min="12" max="12" width="11.5" style="3"/>
    <col min="13" max="14" width="13.33203125" style="3" customWidth="1"/>
  </cols>
  <sheetData>
    <row r="1" spans="1:19" ht="20" customHeight="1">
      <c r="A1" s="601" t="str">
        <f>График!B1</f>
        <v>Ноябрь, 2025</v>
      </c>
      <c r="B1" s="602"/>
      <c r="C1" s="602"/>
      <c r="D1" s="603"/>
      <c r="E1" s="263"/>
      <c r="F1" s="264"/>
      <c r="G1" s="264"/>
      <c r="H1" s="264"/>
      <c r="I1" s="264"/>
      <c r="J1" s="264"/>
      <c r="K1" s="264"/>
      <c r="L1" s="264"/>
      <c r="M1" s="264"/>
      <c r="N1" s="265"/>
    </row>
    <row r="2" spans="1:19" ht="20" customHeight="1">
      <c r="A2" s="604" t="str">
        <f>График!B3</f>
        <v>ул. Набережная Ленина, 18</v>
      </c>
      <c r="B2" s="605"/>
      <c r="C2" s="605"/>
      <c r="D2" s="266" t="str">
        <f>График!B4</f>
        <v>GL-0005</v>
      </c>
      <c r="E2" s="267"/>
      <c r="F2" s="268"/>
      <c r="G2" s="268"/>
      <c r="H2" s="268"/>
      <c r="I2" s="268"/>
      <c r="J2" s="268"/>
      <c r="K2" s="268"/>
      <c r="L2" s="268"/>
      <c r="M2" s="268"/>
      <c r="N2" s="269"/>
    </row>
    <row r="3" spans="1:19" ht="75">
      <c r="A3" s="606" t="s">
        <v>26</v>
      </c>
      <c r="B3" s="607"/>
      <c r="C3" s="607"/>
      <c r="D3" s="270" t="s">
        <v>75</v>
      </c>
      <c r="E3" s="270" t="s">
        <v>76</v>
      </c>
      <c r="F3" s="271" t="s">
        <v>77</v>
      </c>
      <c r="G3" s="272" t="s">
        <v>78</v>
      </c>
      <c r="H3" s="273" t="s">
        <v>79</v>
      </c>
      <c r="I3" s="274" t="s">
        <v>80</v>
      </c>
      <c r="J3" s="275" t="s">
        <v>81</v>
      </c>
      <c r="K3" s="276" t="s">
        <v>82</v>
      </c>
      <c r="L3" s="277" t="s">
        <v>83</v>
      </c>
      <c r="M3" s="379" t="s">
        <v>84</v>
      </c>
      <c r="N3" s="279" t="s">
        <v>85</v>
      </c>
    </row>
    <row r="4" spans="1:19" ht="19" customHeight="1">
      <c r="A4" s="608" t="str">
        <f>График!B28</f>
        <v>Уразгильдеева Екатерина</v>
      </c>
      <c r="B4" s="609"/>
      <c r="C4" s="609"/>
      <c r="D4" s="380">
        <f>1934+18212.89+13928.92</f>
        <v>34075.81</v>
      </c>
      <c r="E4" s="381"/>
      <c r="F4" s="367">
        <f>H8+H9</f>
        <v>16009.92</v>
      </c>
      <c r="G4" s="368">
        <f>D12</f>
        <v>14200</v>
      </c>
      <c r="H4" s="369">
        <f>D19</f>
        <v>10553.960000000001</v>
      </c>
      <c r="I4" s="370">
        <f>L19</f>
        <v>5095.8247435897438</v>
      </c>
      <c r="J4" s="382">
        <f>L12</f>
        <v>0</v>
      </c>
      <c r="K4" s="287">
        <f>H4+J4+G4+F4+I4</f>
        <v>45859.70474358974</v>
      </c>
      <c r="L4" s="288">
        <f>C8+C9+C10</f>
        <v>5092</v>
      </c>
      <c r="M4" s="289">
        <f>K4-L4-D4-E4</f>
        <v>6691.8947435897426</v>
      </c>
      <c r="N4" s="290"/>
      <c r="S4" t="s">
        <v>108</v>
      </c>
    </row>
    <row r="5" spans="1:19">
      <c r="A5" s="291"/>
      <c r="B5" s="292"/>
      <c r="C5" s="293"/>
      <c r="D5" s="293"/>
      <c r="E5" s="293"/>
      <c r="F5" s="293"/>
      <c r="G5" s="293"/>
      <c r="H5" s="293"/>
      <c r="I5" s="293"/>
      <c r="J5" s="293"/>
      <c r="K5" s="294"/>
      <c r="L5" s="293"/>
      <c r="M5" s="295"/>
      <c r="N5" s="296"/>
    </row>
    <row r="6" spans="1:19">
      <c r="A6" s="291"/>
      <c r="B6" s="292" t="s">
        <v>83</v>
      </c>
      <c r="C6" s="293"/>
      <c r="D6" s="293"/>
      <c r="E6" s="293"/>
      <c r="F6" s="293"/>
      <c r="G6" s="292" t="s">
        <v>86</v>
      </c>
      <c r="H6" s="293"/>
      <c r="I6" s="293"/>
      <c r="J6" s="293"/>
      <c r="K6" s="293"/>
      <c r="L6" s="293"/>
      <c r="M6" s="295"/>
      <c r="N6" s="296"/>
    </row>
    <row r="7" spans="1:19">
      <c r="A7" s="297"/>
      <c r="B7" s="298" t="s">
        <v>27</v>
      </c>
      <c r="C7" s="298" t="s">
        <v>87</v>
      </c>
      <c r="D7" s="610" t="s">
        <v>88</v>
      </c>
      <c r="E7" s="610"/>
      <c r="F7" s="299"/>
      <c r="G7" s="298" t="s">
        <v>27</v>
      </c>
      <c r="H7" s="610" t="s">
        <v>87</v>
      </c>
      <c r="I7" s="610"/>
      <c r="J7" s="610" t="s">
        <v>88</v>
      </c>
      <c r="K7" s="610"/>
      <c r="L7" s="299"/>
      <c r="M7" s="300"/>
      <c r="N7" s="301"/>
    </row>
    <row r="8" spans="1:19" ht="20" customHeight="1">
      <c r="A8" s="291"/>
      <c r="B8" s="302">
        <v>45991</v>
      </c>
      <c r="C8" s="303">
        <f>2081+289+2722</f>
        <v>5092</v>
      </c>
      <c r="D8" s="611" t="s">
        <v>89</v>
      </c>
      <c r="E8" s="611"/>
      <c r="F8" s="293"/>
      <c r="G8" s="302">
        <v>45991</v>
      </c>
      <c r="H8" s="624">
        <v>16009.92</v>
      </c>
      <c r="I8" s="624"/>
      <c r="J8" s="611" t="s">
        <v>134</v>
      </c>
      <c r="K8" s="611"/>
      <c r="L8" s="293"/>
      <c r="M8" s="295"/>
      <c r="N8" s="296"/>
    </row>
    <row r="9" spans="1:19" ht="20" customHeight="1">
      <c r="A9" s="291"/>
      <c r="B9" s="302"/>
      <c r="C9" s="303"/>
      <c r="D9" s="611"/>
      <c r="E9" s="611"/>
      <c r="F9" s="293"/>
      <c r="G9" s="302"/>
      <c r="H9" s="624"/>
      <c r="I9" s="624"/>
      <c r="J9" s="611"/>
      <c r="K9" s="611"/>
      <c r="L9" s="293"/>
      <c r="M9" s="295"/>
      <c r="N9" s="296"/>
    </row>
    <row r="10" spans="1:19" ht="20" customHeight="1">
      <c r="A10" s="291"/>
      <c r="B10" s="302"/>
      <c r="C10" s="303"/>
      <c r="D10" s="611"/>
      <c r="E10" s="611"/>
      <c r="F10" s="293"/>
      <c r="G10" s="375"/>
      <c r="H10" s="376"/>
      <c r="I10" s="376"/>
      <c r="J10" s="377"/>
      <c r="K10" s="377"/>
      <c r="L10" s="293"/>
      <c r="M10" s="295"/>
      <c r="N10" s="296"/>
    </row>
    <row r="11" spans="1:19" ht="34" customHeight="1">
      <c r="A11" s="291"/>
      <c r="B11" s="292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5"/>
      <c r="N11" s="296"/>
    </row>
    <row r="12" spans="1:19">
      <c r="A12" s="305" t="s">
        <v>91</v>
      </c>
      <c r="B12" s="306"/>
      <c r="C12" s="306"/>
      <c r="D12" s="307">
        <f>G16</f>
        <v>14200</v>
      </c>
      <c r="E12" s="308"/>
      <c r="F12" s="309"/>
      <c r="G12" s="306"/>
      <c r="H12" s="306"/>
      <c r="I12" s="310" t="s">
        <v>81</v>
      </c>
      <c r="J12" s="306"/>
      <c r="K12" s="306"/>
      <c r="L12" s="311">
        <f>L16+L17</f>
        <v>0</v>
      </c>
      <c r="M12" s="309"/>
      <c r="N12" s="312"/>
    </row>
    <row r="13" spans="1:19">
      <c r="A13" s="291"/>
      <c r="B13" s="292"/>
      <c r="C13" s="293"/>
      <c r="D13" s="313"/>
      <c r="E13" s="313"/>
      <c r="F13" s="293"/>
      <c r="G13" s="293"/>
      <c r="H13" s="293"/>
      <c r="I13" s="293"/>
      <c r="J13" s="293"/>
      <c r="K13" s="295"/>
      <c r="L13" s="295"/>
      <c r="M13" s="295"/>
      <c r="N13" s="296"/>
    </row>
    <row r="14" spans="1:19">
      <c r="A14" s="314"/>
      <c r="B14" s="315" t="s">
        <v>91</v>
      </c>
      <c r="C14" s="313"/>
      <c r="D14" s="313"/>
      <c r="E14" s="313"/>
      <c r="F14" s="313"/>
      <c r="G14" s="313"/>
      <c r="H14" s="313"/>
      <c r="I14" s="313"/>
      <c r="J14" s="613" t="s">
        <v>81</v>
      </c>
      <c r="K14" s="613"/>
      <c r="L14" s="316"/>
      <c r="M14" s="316"/>
      <c r="N14" s="317"/>
    </row>
    <row r="15" spans="1:19" ht="24">
      <c r="A15" s="314"/>
      <c r="B15" s="318" t="s">
        <v>92</v>
      </c>
      <c r="C15" s="318" t="s">
        <v>93</v>
      </c>
      <c r="D15" s="318" t="s">
        <v>94</v>
      </c>
      <c r="E15" s="318" t="s">
        <v>95</v>
      </c>
      <c r="F15" s="318" t="s">
        <v>96</v>
      </c>
      <c r="G15" s="318" t="s">
        <v>97</v>
      </c>
      <c r="H15" s="313"/>
      <c r="I15" s="313"/>
      <c r="J15" s="318" t="s">
        <v>93</v>
      </c>
      <c r="K15" s="318" t="s">
        <v>60</v>
      </c>
      <c r="L15" s="318" t="s">
        <v>98</v>
      </c>
      <c r="M15" s="316"/>
      <c r="N15" s="317"/>
    </row>
    <row r="16" spans="1:19">
      <c r="A16" s="291"/>
      <c r="B16" s="320">
        <f>График!AI28</f>
        <v>13</v>
      </c>
      <c r="C16" s="321" t="str">
        <f>A2</f>
        <v>ул. Набережная Ленина, 18</v>
      </c>
      <c r="D16" s="321" t="s">
        <v>99</v>
      </c>
      <c r="E16" s="322">
        <f>График!AJ28</f>
        <v>142</v>
      </c>
      <c r="F16" s="323">
        <v>100</v>
      </c>
      <c r="G16" s="324">
        <f>E16*F16</f>
        <v>14200</v>
      </c>
      <c r="H16" s="325"/>
      <c r="I16" s="325"/>
      <c r="J16" s="321" t="str">
        <f>График!B3</f>
        <v>ул. Набережная Ленина, 18</v>
      </c>
      <c r="K16" s="326">
        <f>'Ялта, Ленина, 18'!K8</f>
        <v>0.54184721852541917</v>
      </c>
      <c r="L16" s="323">
        <v>0</v>
      </c>
      <c r="M16" s="295"/>
      <c r="N16" s="296"/>
    </row>
    <row r="17" spans="1:14">
      <c r="A17" s="314"/>
      <c r="B17" s="318"/>
      <c r="C17" s="327"/>
      <c r="D17" s="321"/>
      <c r="E17" s="328"/>
      <c r="F17" s="323"/>
      <c r="G17" s="324"/>
      <c r="H17" s="313"/>
      <c r="I17" s="313"/>
      <c r="J17" s="304"/>
      <c r="K17" s="329"/>
      <c r="L17" s="330"/>
      <c r="M17" s="316"/>
      <c r="N17" s="317"/>
    </row>
    <row r="18" spans="1:14">
      <c r="A18" s="314"/>
      <c r="B18" s="313"/>
      <c r="C18" s="331"/>
      <c r="D18" s="293"/>
      <c r="E18" s="332"/>
      <c r="F18" s="332"/>
      <c r="G18" s="333"/>
      <c r="H18" s="313"/>
      <c r="I18" s="313"/>
      <c r="J18" s="313"/>
      <c r="K18" s="313"/>
      <c r="L18" s="316"/>
      <c r="M18" s="316"/>
      <c r="N18" s="317"/>
    </row>
    <row r="19" spans="1:14">
      <c r="A19" s="305" t="s">
        <v>100</v>
      </c>
      <c r="B19" s="306"/>
      <c r="C19" s="306"/>
      <c r="D19" s="334">
        <f>G24</f>
        <v>10553.960000000001</v>
      </c>
      <c r="E19" s="335"/>
      <c r="F19" s="309"/>
      <c r="G19" s="309"/>
      <c r="H19" s="309"/>
      <c r="I19" s="306" t="s">
        <v>80</v>
      </c>
      <c r="J19" s="309"/>
      <c r="K19" s="309"/>
      <c r="L19" s="336">
        <f>N24</f>
        <v>5095.8247435897438</v>
      </c>
      <c r="M19" s="309"/>
      <c r="N19" s="312"/>
    </row>
    <row r="20" spans="1:14">
      <c r="A20" s="337"/>
      <c r="B20" s="292"/>
      <c r="C20" s="295"/>
      <c r="D20" s="295"/>
      <c r="E20" s="295"/>
      <c r="F20" s="295"/>
      <c r="G20" s="295"/>
      <c r="H20" s="295"/>
      <c r="I20" s="295"/>
      <c r="J20" s="295"/>
      <c r="K20" s="338"/>
      <c r="L20" s="123"/>
      <c r="M20" s="123"/>
      <c r="N20" s="339"/>
    </row>
    <row r="21" spans="1:14">
      <c r="A21" s="337"/>
      <c r="B21" s="293"/>
      <c r="C21" s="292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6"/>
    </row>
    <row r="22" spans="1:14">
      <c r="A22" s="337"/>
      <c r="B22" s="292" t="s">
        <v>101</v>
      </c>
      <c r="C22" s="295"/>
      <c r="D22" s="295"/>
      <c r="E22" s="295"/>
      <c r="F22" s="295"/>
      <c r="G22" s="295"/>
      <c r="H22" s="295"/>
      <c r="I22" s="340" t="s">
        <v>102</v>
      </c>
      <c r="J22" s="341"/>
      <c r="K22" s="342"/>
      <c r="L22" s="342"/>
      <c r="M22" s="342"/>
      <c r="N22" s="343"/>
    </row>
    <row r="23" spans="1:14" ht="36">
      <c r="A23" s="344"/>
      <c r="B23" s="318" t="s">
        <v>26</v>
      </c>
      <c r="C23" s="614" t="s">
        <v>93</v>
      </c>
      <c r="D23" s="614"/>
      <c r="E23" s="318" t="s">
        <v>103</v>
      </c>
      <c r="F23" s="318" t="s">
        <v>104</v>
      </c>
      <c r="G23" s="318" t="s">
        <v>105</v>
      </c>
      <c r="H23" s="313"/>
      <c r="I23" s="318" t="s">
        <v>26</v>
      </c>
      <c r="J23" s="318" t="s">
        <v>93</v>
      </c>
      <c r="K23" s="318" t="s">
        <v>106</v>
      </c>
      <c r="L23" s="318" t="s">
        <v>107</v>
      </c>
      <c r="M23" s="318" t="s">
        <v>103</v>
      </c>
      <c r="N23" s="345" t="s">
        <v>105</v>
      </c>
    </row>
    <row r="24" spans="1:14">
      <c r="A24" s="337"/>
      <c r="B24" s="321" t="str">
        <f>A4</f>
        <v>Уразгильдеева Екатерина</v>
      </c>
      <c r="C24" s="617" t="str">
        <f>A2</f>
        <v>ул. Набережная Ленина, 18</v>
      </c>
      <c r="D24" s="617"/>
      <c r="E24" s="326">
        <v>0.04</v>
      </c>
      <c r="F24" s="303">
        <f>'Уразгильдеева Е. Р. '!J8</f>
        <v>263849</v>
      </c>
      <c r="G24" s="346">
        <f>F24*E24</f>
        <v>10553.960000000001</v>
      </c>
      <c r="H24" s="293"/>
      <c r="I24" s="347" t="str">
        <f>B24</f>
        <v>Уразгильдеева Екатерина</v>
      </c>
      <c r="J24" s="348" t="str">
        <f>C24</f>
        <v>ул. Набережная Ленина, 18</v>
      </c>
      <c r="K24" s="348">
        <f>E16</f>
        <v>142</v>
      </c>
      <c r="L24" s="349">
        <f>График!AJ31</f>
        <v>624</v>
      </c>
      <c r="M24" s="326">
        <v>0.02</v>
      </c>
      <c r="N24" s="350">
        <f>'Ялта, Ленина, 18'!J8*M24*K24/L24</f>
        <v>5095.8247435897438</v>
      </c>
    </row>
    <row r="25" spans="1:14">
      <c r="A25" s="344"/>
      <c r="B25" s="321" t="str">
        <f>B24</f>
        <v>Уразгильдеева Екатерина</v>
      </c>
      <c r="C25" s="618"/>
      <c r="D25" s="618"/>
      <c r="E25" s="326"/>
      <c r="F25" s="351"/>
      <c r="G25" s="324"/>
      <c r="H25" s="313"/>
      <c r="I25" s="352"/>
      <c r="J25" s="353"/>
      <c r="K25" s="354"/>
      <c r="L25" s="355"/>
      <c r="M25" s="356"/>
      <c r="N25" s="357" t="e">
        <f>1477363.14*M25*K25/L25</f>
        <v>#DIV/0!</v>
      </c>
    </row>
    <row r="26" spans="1:14">
      <c r="A26" s="358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60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34"/>
  <sheetViews>
    <sheetView topLeftCell="A4" zoomScale="75" workbookViewId="0">
      <selection activeCell="AI31" sqref="AI31"/>
    </sheetView>
  </sheetViews>
  <sheetFormatPr baseColWidth="10" defaultColWidth="11.5" defaultRowHeight="15"/>
  <cols>
    <col min="1" max="1" width="4.83203125" style="3" customWidth="1"/>
    <col min="2" max="2" width="26.664062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383"/>
      <c r="B1" s="384" t="s">
        <v>109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 t="s">
        <v>69</v>
      </c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</row>
    <row r="2" spans="1:40" ht="16">
      <c r="A2" s="383"/>
      <c r="B2" s="386" t="s">
        <v>110</v>
      </c>
      <c r="C2" s="387"/>
      <c r="D2" s="387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</row>
    <row r="3" spans="1:40" ht="16">
      <c r="A3" s="383"/>
      <c r="B3" s="389" t="s">
        <v>111</v>
      </c>
      <c r="C3" s="390"/>
      <c r="D3" s="390"/>
      <c r="E3" s="391"/>
      <c r="F3" s="391"/>
      <c r="G3" s="391"/>
      <c r="H3" s="391"/>
      <c r="I3" s="391"/>
      <c r="J3" s="391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  <c r="AB3" s="388"/>
      <c r="AC3" s="388"/>
      <c r="AD3" s="388"/>
      <c r="AE3" s="388"/>
      <c r="AF3" s="388"/>
      <c r="AG3" s="388"/>
      <c r="AH3" s="388"/>
      <c r="AI3" s="388"/>
      <c r="AJ3" s="388"/>
      <c r="AK3" s="388"/>
      <c r="AL3" s="388"/>
      <c r="AM3" s="388"/>
      <c r="AN3" s="388"/>
    </row>
    <row r="4" spans="1:40" ht="19">
      <c r="A4" s="383"/>
      <c r="B4" s="392" t="s">
        <v>112</v>
      </c>
      <c r="C4" s="387"/>
      <c r="D4" s="387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388"/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</row>
    <row r="5" spans="1:40" ht="16">
      <c r="A5" s="383"/>
      <c r="B5" s="393" t="s">
        <v>113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388"/>
      <c r="AB5" s="388"/>
      <c r="AC5" s="388"/>
      <c r="AD5" s="388"/>
      <c r="AE5" s="388"/>
      <c r="AF5" s="388"/>
      <c r="AG5" s="388"/>
      <c r="AH5" s="388"/>
      <c r="AI5" s="388"/>
      <c r="AJ5" s="625"/>
      <c r="AK5" s="626"/>
      <c r="AL5" s="627"/>
      <c r="AM5" s="628"/>
      <c r="AN5" s="629"/>
    </row>
    <row r="6" spans="1:40">
      <c r="A6" s="383"/>
      <c r="B6" s="394" t="s">
        <v>114</v>
      </c>
      <c r="C6" s="630" t="s">
        <v>115</v>
      </c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1"/>
      <c r="Y6" s="631"/>
      <c r="Z6" s="631"/>
      <c r="AA6" s="631"/>
      <c r="AB6" s="631"/>
      <c r="AC6" s="631"/>
      <c r="AD6" s="631"/>
      <c r="AE6" s="631"/>
      <c r="AF6" s="631"/>
      <c r="AG6" s="631"/>
      <c r="AH6" s="631"/>
      <c r="AI6" s="631"/>
      <c r="AJ6" s="632"/>
      <c r="AK6" s="395">
        <v>30</v>
      </c>
      <c r="AL6" s="396"/>
      <c r="AM6" s="396"/>
      <c r="AN6" s="396"/>
    </row>
    <row r="7" spans="1:40">
      <c r="A7" s="397"/>
      <c r="B7" s="398" t="e">
        <f>BT31*100/BH31</f>
        <v>#DIV/0!</v>
      </c>
      <c r="C7" s="630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  <c r="U7" s="631"/>
      <c r="V7" s="631"/>
      <c r="W7" s="631"/>
      <c r="X7" s="631"/>
      <c r="Y7" s="631"/>
      <c r="Z7" s="631"/>
      <c r="AA7" s="631"/>
      <c r="AB7" s="631"/>
      <c r="AC7" s="631"/>
      <c r="AD7" s="631"/>
      <c r="AE7" s="631"/>
      <c r="AF7" s="631"/>
      <c r="AG7" s="631"/>
      <c r="AH7" s="631"/>
      <c r="AI7" s="631"/>
      <c r="AJ7" s="632"/>
      <c r="AK7" s="399"/>
      <c r="AL7" s="399"/>
      <c r="AM7" s="400"/>
      <c r="AN7" s="400"/>
    </row>
    <row r="8" spans="1:40" ht="30">
      <c r="A8" s="401"/>
      <c r="B8" s="402"/>
      <c r="C8" s="403"/>
      <c r="D8" s="404" t="s">
        <v>48</v>
      </c>
      <c r="E8" s="404" t="s">
        <v>50</v>
      </c>
      <c r="F8" s="404" t="s">
        <v>52</v>
      </c>
      <c r="G8" s="404" t="s">
        <v>53</v>
      </c>
      <c r="H8" s="404" t="s">
        <v>55</v>
      </c>
      <c r="I8" s="404" t="s">
        <v>56</v>
      </c>
      <c r="J8" s="404" t="s">
        <v>57</v>
      </c>
      <c r="K8" s="404" t="s">
        <v>48</v>
      </c>
      <c r="L8" s="404" t="s">
        <v>50</v>
      </c>
      <c r="M8" s="404" t="s">
        <v>52</v>
      </c>
      <c r="N8" s="404" t="s">
        <v>53</v>
      </c>
      <c r="O8" s="404" t="s">
        <v>55</v>
      </c>
      <c r="P8" s="404" t="s">
        <v>56</v>
      </c>
      <c r="Q8" s="404" t="s">
        <v>57</v>
      </c>
      <c r="R8" s="404" t="s">
        <v>48</v>
      </c>
      <c r="S8" s="404" t="s">
        <v>50</v>
      </c>
      <c r="T8" s="404" t="s">
        <v>52</v>
      </c>
      <c r="U8" s="404" t="s">
        <v>53</v>
      </c>
      <c r="V8" s="404" t="s">
        <v>55</v>
      </c>
      <c r="W8" s="404" t="s">
        <v>56</v>
      </c>
      <c r="X8" s="404" t="s">
        <v>57</v>
      </c>
      <c r="Y8" s="404" t="s">
        <v>48</v>
      </c>
      <c r="Z8" s="404" t="s">
        <v>50</v>
      </c>
      <c r="AA8" s="404" t="s">
        <v>52</v>
      </c>
      <c r="AB8" s="404" t="s">
        <v>53</v>
      </c>
      <c r="AC8" s="404" t="s">
        <v>55</v>
      </c>
      <c r="AD8" s="404" t="s">
        <v>56</v>
      </c>
      <c r="AE8" s="404" t="s">
        <v>57</v>
      </c>
      <c r="AF8" s="404" t="s">
        <v>48</v>
      </c>
      <c r="AG8" s="404" t="s">
        <v>50</v>
      </c>
      <c r="AH8" s="404"/>
      <c r="AI8" s="405"/>
      <c r="AJ8" s="406" t="s">
        <v>116</v>
      </c>
      <c r="AK8" s="406" t="s">
        <v>117</v>
      </c>
      <c r="AL8" s="633" t="s">
        <v>118</v>
      </c>
      <c r="AM8" s="633" t="s">
        <v>119</v>
      </c>
      <c r="AN8" s="637" t="s">
        <v>120</v>
      </c>
    </row>
    <row r="9" spans="1:40">
      <c r="A9" s="383"/>
      <c r="B9" s="388"/>
      <c r="C9" s="407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  <c r="AE9" s="408"/>
      <c r="AF9" s="408"/>
      <c r="AG9" s="408"/>
      <c r="AH9" s="408"/>
      <c r="AI9" s="409"/>
      <c r="AJ9" s="410"/>
      <c r="AK9" s="410"/>
      <c r="AL9" s="634"/>
      <c r="AM9" s="634"/>
      <c r="AN9" s="638"/>
    </row>
    <row r="10" spans="1:40">
      <c r="A10" s="411" t="s">
        <v>121</v>
      </c>
      <c r="B10" s="412" t="s">
        <v>122</v>
      </c>
      <c r="C10" s="413" t="s">
        <v>94</v>
      </c>
      <c r="D10" s="414">
        <v>1</v>
      </c>
      <c r="E10" s="414">
        <v>2</v>
      </c>
      <c r="F10" s="414">
        <v>3</v>
      </c>
      <c r="G10" s="414">
        <v>4</v>
      </c>
      <c r="H10" s="414">
        <v>5</v>
      </c>
      <c r="I10" s="414">
        <v>6</v>
      </c>
      <c r="J10" s="414">
        <v>7</v>
      </c>
      <c r="K10" s="414">
        <v>8</v>
      </c>
      <c r="L10" s="414">
        <v>9</v>
      </c>
      <c r="M10" s="414">
        <v>10</v>
      </c>
      <c r="N10" s="414">
        <v>11</v>
      </c>
      <c r="O10" s="414">
        <v>12</v>
      </c>
      <c r="P10" s="414">
        <v>13</v>
      </c>
      <c r="Q10" s="414">
        <v>14</v>
      </c>
      <c r="R10" s="414">
        <v>15</v>
      </c>
      <c r="S10" s="414">
        <v>16</v>
      </c>
      <c r="T10" s="414">
        <v>17</v>
      </c>
      <c r="U10" s="414">
        <v>18</v>
      </c>
      <c r="V10" s="414">
        <v>19</v>
      </c>
      <c r="W10" s="414">
        <v>20</v>
      </c>
      <c r="X10" s="414">
        <v>21</v>
      </c>
      <c r="Y10" s="414">
        <v>22</v>
      </c>
      <c r="Z10" s="414">
        <v>23</v>
      </c>
      <c r="AA10" s="414">
        <v>24</v>
      </c>
      <c r="AB10" s="414">
        <v>25</v>
      </c>
      <c r="AC10" s="414">
        <v>26</v>
      </c>
      <c r="AD10" s="414">
        <v>27</v>
      </c>
      <c r="AE10" s="414">
        <v>28</v>
      </c>
      <c r="AF10" s="414">
        <v>29</v>
      </c>
      <c r="AG10" s="414">
        <v>30</v>
      </c>
      <c r="AH10" s="414"/>
      <c r="AI10" s="415" t="s">
        <v>123</v>
      </c>
      <c r="AJ10" s="416"/>
      <c r="AK10" s="417"/>
      <c r="AL10" s="635"/>
      <c r="AM10" s="636"/>
      <c r="AN10" s="639"/>
    </row>
    <row r="11" spans="1:40">
      <c r="A11" s="418">
        <v>20</v>
      </c>
      <c r="B11" s="419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  <c r="P11" s="420"/>
      <c r="Q11" s="420"/>
      <c r="R11" s="420"/>
      <c r="S11" s="420"/>
      <c r="T11" s="420"/>
      <c r="U11" s="420"/>
      <c r="V11" s="420"/>
      <c r="W11" s="420"/>
      <c r="X11" s="420"/>
      <c r="Y11" s="420"/>
      <c r="Z11" s="421"/>
      <c r="AA11" s="421"/>
      <c r="AB11" s="421"/>
      <c r="AC11" s="421"/>
      <c r="AD11" s="421"/>
      <c r="AE11" s="421"/>
      <c r="AF11" s="420"/>
      <c r="AG11" s="420"/>
      <c r="AH11" s="422"/>
      <c r="AI11" s="423">
        <v>0</v>
      </c>
      <c r="AJ11" s="424">
        <v>0</v>
      </c>
      <c r="AK11" s="425">
        <v>0</v>
      </c>
      <c r="AL11" s="425">
        <v>0</v>
      </c>
      <c r="AM11" s="425">
        <v>0</v>
      </c>
      <c r="AN11" s="426">
        <v>0</v>
      </c>
    </row>
    <row r="12" spans="1:40">
      <c r="A12" s="427">
        <v>19</v>
      </c>
      <c r="B12" s="428"/>
      <c r="C12" s="429"/>
      <c r="D12" s="429"/>
      <c r="E12" s="429"/>
      <c r="F12" s="429"/>
      <c r="G12" s="429"/>
      <c r="H12" s="429"/>
      <c r="I12" s="429"/>
      <c r="J12" s="429"/>
      <c r="K12" s="429"/>
      <c r="L12" s="429"/>
      <c r="M12" s="429"/>
      <c r="N12" s="429"/>
      <c r="O12" s="429"/>
      <c r="P12" s="429"/>
      <c r="Q12" s="429"/>
      <c r="R12" s="429"/>
      <c r="S12" s="429"/>
      <c r="T12" s="429"/>
      <c r="U12" s="429"/>
      <c r="V12" s="429"/>
      <c r="W12" s="429"/>
      <c r="X12" s="429"/>
      <c r="Y12" s="429"/>
      <c r="Z12" s="430"/>
      <c r="AA12" s="430"/>
      <c r="AB12" s="430"/>
      <c r="AC12" s="430"/>
      <c r="AD12" s="430"/>
      <c r="AE12" s="430"/>
      <c r="AF12" s="429"/>
      <c r="AG12" s="429"/>
      <c r="AH12" s="431"/>
      <c r="AI12" s="432">
        <v>0</v>
      </c>
      <c r="AJ12" s="433">
        <v>0</v>
      </c>
      <c r="AK12" s="434">
        <v>0</v>
      </c>
      <c r="AL12" s="434">
        <v>0</v>
      </c>
      <c r="AM12" s="434">
        <v>0</v>
      </c>
      <c r="AN12" s="435">
        <v>0</v>
      </c>
    </row>
    <row r="13" spans="1:40">
      <c r="A13" s="427">
        <v>18</v>
      </c>
      <c r="B13" s="428"/>
      <c r="C13" s="429"/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29"/>
      <c r="O13" s="429"/>
      <c r="P13" s="429"/>
      <c r="Q13" s="429"/>
      <c r="R13" s="429"/>
      <c r="S13" s="429"/>
      <c r="T13" s="429"/>
      <c r="U13" s="429"/>
      <c r="V13" s="429"/>
      <c r="W13" s="429"/>
      <c r="X13" s="429"/>
      <c r="Y13" s="429"/>
      <c r="Z13" s="430"/>
      <c r="AA13" s="430"/>
      <c r="AB13" s="430"/>
      <c r="AC13" s="430"/>
      <c r="AD13" s="430"/>
      <c r="AE13" s="430"/>
      <c r="AF13" s="429"/>
      <c r="AG13" s="429"/>
      <c r="AH13" s="431"/>
      <c r="AI13" s="432">
        <v>0</v>
      </c>
      <c r="AJ13" s="424">
        <v>0</v>
      </c>
      <c r="AK13" s="425">
        <v>0</v>
      </c>
      <c r="AL13" s="425">
        <v>0</v>
      </c>
      <c r="AM13" s="425">
        <v>0</v>
      </c>
      <c r="AN13" s="426">
        <v>0</v>
      </c>
    </row>
    <row r="14" spans="1:40">
      <c r="A14" s="427">
        <v>17</v>
      </c>
      <c r="B14" s="428"/>
      <c r="C14" s="429"/>
      <c r="D14" s="429"/>
      <c r="E14" s="429"/>
      <c r="F14" s="429"/>
      <c r="G14" s="429"/>
      <c r="H14" s="429"/>
      <c r="I14" s="429"/>
      <c r="J14" s="429"/>
      <c r="K14" s="429"/>
      <c r="L14" s="429"/>
      <c r="M14" s="429"/>
      <c r="N14" s="429"/>
      <c r="O14" s="429"/>
      <c r="P14" s="429"/>
      <c r="Q14" s="429"/>
      <c r="R14" s="429"/>
      <c r="S14" s="429"/>
      <c r="T14" s="429"/>
      <c r="U14" s="429"/>
      <c r="V14" s="429"/>
      <c r="W14" s="429"/>
      <c r="X14" s="429"/>
      <c r="Y14" s="429"/>
      <c r="Z14" s="429"/>
      <c r="AA14" s="429"/>
      <c r="AB14" s="429"/>
      <c r="AC14" s="429"/>
      <c r="AD14" s="429"/>
      <c r="AE14" s="429"/>
      <c r="AF14" s="429"/>
      <c r="AG14" s="429"/>
      <c r="AH14" s="431"/>
      <c r="AI14" s="432">
        <v>0</v>
      </c>
      <c r="AJ14" s="433">
        <v>0</v>
      </c>
      <c r="AK14" s="434">
        <v>0</v>
      </c>
      <c r="AL14" s="434">
        <v>0</v>
      </c>
      <c r="AM14" s="434">
        <v>0</v>
      </c>
      <c r="AN14" s="435">
        <v>0</v>
      </c>
    </row>
    <row r="15" spans="1:40">
      <c r="A15" s="427">
        <v>16</v>
      </c>
      <c r="B15" s="428"/>
      <c r="C15" s="429"/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36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31"/>
      <c r="AI15" s="432">
        <v>0</v>
      </c>
      <c r="AJ15" s="424">
        <v>0</v>
      </c>
      <c r="AK15" s="425">
        <v>0</v>
      </c>
      <c r="AL15" s="425">
        <v>0</v>
      </c>
      <c r="AM15" s="425">
        <v>0</v>
      </c>
      <c r="AN15" s="426">
        <v>0</v>
      </c>
    </row>
    <row r="16" spans="1:40">
      <c r="A16" s="427">
        <v>15</v>
      </c>
      <c r="B16" s="428"/>
      <c r="C16" s="429"/>
      <c r="D16" s="429"/>
      <c r="E16" s="429"/>
      <c r="F16" s="429"/>
      <c r="G16" s="429"/>
      <c r="H16" s="429"/>
      <c r="I16" s="429"/>
      <c r="J16" s="429"/>
      <c r="K16" s="429"/>
      <c r="L16" s="429"/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31"/>
      <c r="AI16" s="432">
        <v>0</v>
      </c>
      <c r="AJ16" s="433">
        <v>0</v>
      </c>
      <c r="AK16" s="434">
        <v>0</v>
      </c>
      <c r="AL16" s="434">
        <v>0</v>
      </c>
      <c r="AM16" s="434">
        <v>0</v>
      </c>
      <c r="AN16" s="435">
        <v>0</v>
      </c>
    </row>
    <row r="17" spans="1:40">
      <c r="A17" s="427">
        <v>14</v>
      </c>
      <c r="B17" s="428"/>
      <c r="C17" s="429"/>
      <c r="D17" s="429"/>
      <c r="E17" s="429"/>
      <c r="F17" s="429"/>
      <c r="G17" s="429"/>
      <c r="H17" s="429"/>
      <c r="I17" s="429"/>
      <c r="J17" s="429"/>
      <c r="K17" s="429"/>
      <c r="L17" s="429"/>
      <c r="M17" s="429"/>
      <c r="N17" s="429"/>
      <c r="O17" s="429"/>
      <c r="P17" s="429"/>
      <c r="Q17" s="429"/>
      <c r="R17" s="429"/>
      <c r="S17" s="429"/>
      <c r="T17" s="429"/>
      <c r="U17" s="429"/>
      <c r="V17" s="429"/>
      <c r="W17" s="429"/>
      <c r="X17" s="429"/>
      <c r="Y17" s="429"/>
      <c r="Z17" s="429"/>
      <c r="AA17" s="429"/>
      <c r="AB17" s="429"/>
      <c r="AC17" s="429"/>
      <c r="AD17" s="429"/>
      <c r="AE17" s="429"/>
      <c r="AF17" s="429"/>
      <c r="AG17" s="429"/>
      <c r="AH17" s="431"/>
      <c r="AI17" s="432">
        <v>0</v>
      </c>
      <c r="AJ17" s="433">
        <v>0</v>
      </c>
      <c r="AK17" s="434">
        <v>0</v>
      </c>
      <c r="AL17" s="434">
        <v>0</v>
      </c>
      <c r="AM17" s="434">
        <v>0</v>
      </c>
      <c r="AN17" s="435">
        <v>0</v>
      </c>
    </row>
    <row r="18" spans="1:40">
      <c r="A18" s="427">
        <v>13</v>
      </c>
      <c r="B18" s="428"/>
      <c r="C18" s="429"/>
      <c r="D18" s="429"/>
      <c r="E18" s="429"/>
      <c r="F18" s="429"/>
      <c r="G18" s="429"/>
      <c r="H18" s="429"/>
      <c r="I18" s="429"/>
      <c r="J18" s="429"/>
      <c r="K18" s="429"/>
      <c r="L18" s="429"/>
      <c r="M18" s="429"/>
      <c r="N18" s="429"/>
      <c r="O18" s="429"/>
      <c r="P18" s="429"/>
      <c r="Q18" s="429"/>
      <c r="R18" s="429"/>
      <c r="S18" s="429"/>
      <c r="T18" s="429"/>
      <c r="U18" s="429"/>
      <c r="V18" s="429"/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31"/>
      <c r="AI18" s="432">
        <v>0</v>
      </c>
      <c r="AJ18" s="433">
        <v>0</v>
      </c>
      <c r="AK18" s="434">
        <v>0</v>
      </c>
      <c r="AL18" s="434">
        <v>0</v>
      </c>
      <c r="AM18" s="434">
        <v>0</v>
      </c>
      <c r="AN18" s="435">
        <v>0</v>
      </c>
    </row>
    <row r="19" spans="1:40">
      <c r="A19" s="427">
        <v>12</v>
      </c>
      <c r="B19" s="428"/>
      <c r="C19" s="429"/>
      <c r="D19" s="429"/>
      <c r="E19" s="429"/>
      <c r="F19" s="429"/>
      <c r="G19" s="429"/>
      <c r="H19" s="429"/>
      <c r="I19" s="429"/>
      <c r="J19" s="429"/>
      <c r="K19" s="429"/>
      <c r="L19" s="429"/>
      <c r="M19" s="429"/>
      <c r="N19" s="429"/>
      <c r="O19" s="429"/>
      <c r="P19" s="429"/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429"/>
      <c r="AH19" s="431"/>
      <c r="AI19" s="432">
        <v>0</v>
      </c>
      <c r="AJ19" s="433">
        <v>0</v>
      </c>
      <c r="AK19" s="434">
        <v>0</v>
      </c>
      <c r="AL19" s="434">
        <v>0</v>
      </c>
      <c r="AM19" s="434">
        <v>0</v>
      </c>
      <c r="AN19" s="435">
        <v>0</v>
      </c>
    </row>
    <row r="20" spans="1:40">
      <c r="A20" s="427">
        <v>11</v>
      </c>
      <c r="B20" s="428"/>
      <c r="C20" s="429"/>
      <c r="D20" s="429"/>
      <c r="E20" s="429"/>
      <c r="F20" s="429"/>
      <c r="G20" s="429"/>
      <c r="H20" s="429"/>
      <c r="I20" s="429"/>
      <c r="J20" s="429"/>
      <c r="K20" s="429"/>
      <c r="L20" s="429"/>
      <c r="M20" s="429"/>
      <c r="N20" s="429"/>
      <c r="O20" s="429"/>
      <c r="P20" s="429"/>
      <c r="Q20" s="429"/>
      <c r="R20" s="429"/>
      <c r="S20" s="429"/>
      <c r="T20" s="429"/>
      <c r="U20" s="429"/>
      <c r="V20" s="429"/>
      <c r="W20" s="429"/>
      <c r="X20" s="429"/>
      <c r="Y20" s="429"/>
      <c r="Z20" s="429"/>
      <c r="AA20" s="429"/>
      <c r="AB20" s="429"/>
      <c r="AC20" s="429"/>
      <c r="AD20" s="429"/>
      <c r="AE20" s="429"/>
      <c r="AF20" s="429"/>
      <c r="AG20" s="429"/>
      <c r="AH20" s="431"/>
      <c r="AI20" s="432">
        <v>0</v>
      </c>
      <c r="AJ20" s="433">
        <v>0</v>
      </c>
      <c r="AK20" s="434">
        <v>0</v>
      </c>
      <c r="AL20" s="434">
        <v>0</v>
      </c>
      <c r="AM20" s="434">
        <v>0</v>
      </c>
      <c r="AN20" s="435">
        <v>0</v>
      </c>
    </row>
    <row r="21" spans="1:40">
      <c r="A21" s="427">
        <v>10</v>
      </c>
      <c r="B21" s="428"/>
      <c r="C21" s="437"/>
      <c r="D21" s="429"/>
      <c r="E21" s="429"/>
      <c r="F21" s="429"/>
      <c r="G21" s="429"/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29"/>
      <c r="AH21" s="431"/>
      <c r="AI21" s="432">
        <v>0</v>
      </c>
      <c r="AJ21" s="433">
        <v>0</v>
      </c>
      <c r="AK21" s="434">
        <v>0</v>
      </c>
      <c r="AL21" s="434">
        <v>0</v>
      </c>
      <c r="AM21" s="434">
        <v>0</v>
      </c>
      <c r="AN21" s="435">
        <v>0</v>
      </c>
    </row>
    <row r="22" spans="1:40">
      <c r="A22" s="427">
        <v>9</v>
      </c>
      <c r="B22" s="428"/>
      <c r="C22" s="429"/>
      <c r="D22" s="429"/>
      <c r="E22" s="429"/>
      <c r="F22" s="429"/>
      <c r="G22" s="429"/>
      <c r="H22" s="429"/>
      <c r="I22" s="429"/>
      <c r="J22" s="429"/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31"/>
      <c r="AI22" s="432">
        <f t="shared" ref="AI22:AI24" si="0">COUNTIF(D22:AH22, "&gt;0")</f>
        <v>0</v>
      </c>
      <c r="AJ22" s="433">
        <v>0</v>
      </c>
      <c r="AK22" s="434">
        <v>0</v>
      </c>
      <c r="AL22" s="434">
        <v>0</v>
      </c>
      <c r="AM22" s="434">
        <v>0</v>
      </c>
      <c r="AN22" s="435">
        <v>0</v>
      </c>
    </row>
    <row r="23" spans="1:40">
      <c r="A23" s="427">
        <v>8</v>
      </c>
      <c r="B23" s="438"/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40"/>
      <c r="O23" s="441"/>
      <c r="P23" s="441"/>
      <c r="Q23" s="441"/>
      <c r="R23" s="441"/>
      <c r="S23" s="441"/>
      <c r="T23" s="441"/>
      <c r="U23" s="441"/>
      <c r="V23" s="441"/>
      <c r="W23" s="442"/>
      <c r="X23" s="441"/>
      <c r="Y23" s="441"/>
      <c r="Z23" s="441"/>
      <c r="AA23" s="441"/>
      <c r="AB23" s="441"/>
      <c r="AC23" s="441"/>
      <c r="AD23" s="441"/>
      <c r="AE23" s="441"/>
      <c r="AF23" s="441"/>
      <c r="AG23" s="441"/>
      <c r="AH23" s="443"/>
      <c r="AI23" s="432">
        <f t="shared" si="0"/>
        <v>0</v>
      </c>
      <c r="AJ23" s="433">
        <v>0</v>
      </c>
      <c r="AK23" s="434">
        <v>0</v>
      </c>
      <c r="AL23" s="434">
        <v>0</v>
      </c>
      <c r="AM23" s="434">
        <v>0</v>
      </c>
      <c r="AN23" s="435">
        <v>0</v>
      </c>
    </row>
    <row r="24" spans="1:40" ht="16">
      <c r="A24" s="427">
        <v>7</v>
      </c>
      <c r="B24" s="444"/>
      <c r="C24" s="445"/>
      <c r="D24" s="446"/>
      <c r="E24" s="446"/>
      <c r="F24" s="446"/>
      <c r="G24" s="446"/>
      <c r="H24" s="441"/>
      <c r="I24" s="441"/>
      <c r="J24" s="439"/>
      <c r="K24" s="439"/>
      <c r="L24" s="441"/>
      <c r="M24" s="441"/>
      <c r="N24" s="439"/>
      <c r="O24" s="439"/>
      <c r="P24" s="441"/>
      <c r="Q24" s="441"/>
      <c r="R24" s="439"/>
      <c r="S24" s="439"/>
      <c r="T24" s="441"/>
      <c r="U24" s="441"/>
      <c r="V24" s="441"/>
      <c r="W24" s="439"/>
      <c r="X24" s="439"/>
      <c r="Y24" s="441"/>
      <c r="Z24" s="441"/>
      <c r="AA24" s="441"/>
      <c r="AB24" s="439"/>
      <c r="AC24" s="439"/>
      <c r="AD24" s="441"/>
      <c r="AE24" s="441"/>
      <c r="AF24" s="441"/>
      <c r="AG24" s="441"/>
      <c r="AH24" s="439"/>
      <c r="AI24" s="432">
        <f t="shared" si="0"/>
        <v>0</v>
      </c>
      <c r="AJ24" s="433">
        <v>0</v>
      </c>
      <c r="AK24" s="434">
        <v>0</v>
      </c>
      <c r="AL24" s="434">
        <v>0</v>
      </c>
      <c r="AM24" s="434">
        <v>0</v>
      </c>
      <c r="AN24" s="435">
        <v>0</v>
      </c>
    </row>
    <row r="25" spans="1:40" ht="16">
      <c r="A25" s="447">
        <v>6</v>
      </c>
      <c r="B25" s="444" t="s">
        <v>136</v>
      </c>
      <c r="C25" s="445"/>
      <c r="D25" s="448"/>
      <c r="E25" s="448"/>
      <c r="F25" s="448"/>
      <c r="G25" s="446"/>
      <c r="H25" s="449"/>
      <c r="I25" s="449"/>
      <c r="J25" s="450"/>
      <c r="K25" s="450"/>
      <c r="L25" s="641">
        <v>8</v>
      </c>
      <c r="M25" s="450"/>
      <c r="N25" s="450"/>
      <c r="O25" s="450"/>
      <c r="P25" s="450"/>
      <c r="Q25" s="450"/>
      <c r="R25" s="450"/>
      <c r="S25" s="439"/>
      <c r="T25" s="449"/>
      <c r="U25" s="449"/>
      <c r="V25" s="642">
        <v>8</v>
      </c>
      <c r="W25" s="450"/>
      <c r="X25" s="450"/>
      <c r="Y25" s="449"/>
      <c r="Z25" s="449"/>
      <c r="AA25" s="449"/>
      <c r="AB25" s="451"/>
      <c r="AC25" s="450"/>
      <c r="AD25" s="449"/>
      <c r="AE25" s="449"/>
      <c r="AF25" s="449"/>
      <c r="AG25" s="449"/>
      <c r="AH25" s="450"/>
      <c r="AI25" s="452">
        <f>COUNTIF(D25:AH25,"&gt;0")</f>
        <v>2</v>
      </c>
      <c r="AJ25" s="453">
        <f t="shared" ref="AJ25:AJ30" si="1">SUMIF(D25:AH25,"&gt;0")</f>
        <v>16</v>
      </c>
      <c r="AK25" s="454">
        <f>COUNTIF(D25:AH25,"В")</f>
        <v>0</v>
      </c>
      <c r="AL25" s="454">
        <f>COUNTIF(E25:AI25,"о")</f>
        <v>0</v>
      </c>
      <c r="AM25" s="454">
        <f>COUNTIF(F25:AJ25,"б")</f>
        <v>0</v>
      </c>
      <c r="AN25" s="455">
        <v>0</v>
      </c>
    </row>
    <row r="26" spans="1:40" ht="16">
      <c r="A26" s="456">
        <v>5</v>
      </c>
      <c r="B26" s="444" t="s">
        <v>135</v>
      </c>
      <c r="C26" s="441"/>
      <c r="D26" s="446"/>
      <c r="E26" s="446"/>
      <c r="F26" s="446"/>
      <c r="G26" s="446"/>
      <c r="H26" s="446"/>
      <c r="I26" s="439"/>
      <c r="J26" s="441"/>
      <c r="K26" s="640">
        <v>11</v>
      </c>
      <c r="M26" s="441"/>
      <c r="N26" s="441"/>
      <c r="O26" s="439"/>
      <c r="P26" s="439"/>
      <c r="Q26" s="441"/>
      <c r="R26" s="439"/>
      <c r="S26" s="446"/>
      <c r="T26" s="439"/>
      <c r="U26" s="441"/>
      <c r="V26" s="441"/>
      <c r="W26" s="441"/>
      <c r="X26" s="642">
        <v>9</v>
      </c>
      <c r="Y26" s="441"/>
      <c r="Z26" s="441"/>
      <c r="AA26" s="441"/>
      <c r="AB26" s="441"/>
      <c r="AC26" s="441"/>
      <c r="AD26" s="441"/>
      <c r="AE26" s="441"/>
      <c r="AF26" s="441"/>
      <c r="AG26" s="441"/>
      <c r="AH26" s="439"/>
      <c r="AI26" s="457">
        <f>COUNTIF(D26:AH26, "&gt;0")</f>
        <v>2</v>
      </c>
      <c r="AJ26" s="458">
        <f t="shared" si="1"/>
        <v>20</v>
      </c>
      <c r="AK26" s="459">
        <f>COUNTIF(D26:AH26, "В")</f>
        <v>0</v>
      </c>
      <c r="AL26" s="459">
        <v>0</v>
      </c>
      <c r="AM26" s="459">
        <v>0</v>
      </c>
      <c r="AN26" s="460">
        <v>0</v>
      </c>
    </row>
    <row r="27" spans="1:40" ht="16">
      <c r="A27" s="461">
        <v>4</v>
      </c>
      <c r="B27" s="438" t="s">
        <v>124</v>
      </c>
      <c r="C27" s="462" t="s">
        <v>99</v>
      </c>
      <c r="D27" s="463">
        <v>12</v>
      </c>
      <c r="E27" s="439" t="s">
        <v>69</v>
      </c>
      <c r="F27" s="463">
        <v>11</v>
      </c>
      <c r="G27" s="463">
        <v>11</v>
      </c>
      <c r="H27" s="446" t="s">
        <v>69</v>
      </c>
      <c r="I27" s="464">
        <v>9</v>
      </c>
      <c r="J27" s="464">
        <v>9</v>
      </c>
      <c r="K27" s="463">
        <v>10</v>
      </c>
      <c r="L27" s="446" t="s">
        <v>69</v>
      </c>
      <c r="M27" s="446" t="s">
        <v>69</v>
      </c>
      <c r="N27" s="465">
        <v>11</v>
      </c>
      <c r="O27" s="465">
        <v>9</v>
      </c>
      <c r="P27" s="446" t="s">
        <v>69</v>
      </c>
      <c r="Q27" s="463">
        <v>10</v>
      </c>
      <c r="R27" s="446" t="s">
        <v>69</v>
      </c>
      <c r="S27" s="464">
        <v>11</v>
      </c>
      <c r="T27" s="464">
        <v>11</v>
      </c>
      <c r="U27" s="463">
        <v>3</v>
      </c>
      <c r="V27" s="446" t="s">
        <v>69</v>
      </c>
      <c r="W27" s="446" t="s">
        <v>69</v>
      </c>
      <c r="X27" s="463">
        <v>10</v>
      </c>
      <c r="Y27" s="463">
        <v>12</v>
      </c>
      <c r="Z27" s="446" t="s">
        <v>69</v>
      </c>
      <c r="AA27" s="463">
        <v>9</v>
      </c>
      <c r="AB27" s="463">
        <v>11</v>
      </c>
      <c r="AC27" s="446" t="s">
        <v>69</v>
      </c>
      <c r="AD27" s="446" t="s">
        <v>69</v>
      </c>
      <c r="AE27" s="463">
        <v>12</v>
      </c>
      <c r="AF27" s="463">
        <v>11</v>
      </c>
      <c r="AG27" s="463">
        <v>11</v>
      </c>
      <c r="AH27" s="446"/>
      <c r="AI27" s="466">
        <f t="shared" ref="AI27:AI29" si="2">COUNTIF(D27:AH27,"&gt;0")</f>
        <v>19</v>
      </c>
      <c r="AJ27" s="453">
        <f t="shared" si="1"/>
        <v>193</v>
      </c>
      <c r="AK27" s="454">
        <f t="shared" ref="AK27:AK29" si="3">COUNTIF(D27:AH27,"В")</f>
        <v>11</v>
      </c>
      <c r="AL27" s="454">
        <f t="shared" ref="AL27:AL29" si="4">COUNTIF(E27:AI27,"о")</f>
        <v>0</v>
      </c>
      <c r="AM27" s="454">
        <f t="shared" ref="AM27:AM29" si="5">COUNTIF(F27:AJ27,"б")</f>
        <v>0</v>
      </c>
      <c r="AN27" s="467">
        <v>0</v>
      </c>
    </row>
    <row r="28" spans="1:40" ht="16">
      <c r="A28" s="447">
        <v>3</v>
      </c>
      <c r="B28" s="444" t="s">
        <v>125</v>
      </c>
      <c r="C28" s="462" t="s">
        <v>99</v>
      </c>
      <c r="D28" s="468">
        <v>9</v>
      </c>
      <c r="E28" s="468">
        <v>11</v>
      </c>
      <c r="F28" s="469" t="s">
        <v>126</v>
      </c>
      <c r="G28" s="470" t="s">
        <v>126</v>
      </c>
      <c r="H28" s="469" t="s">
        <v>126</v>
      </c>
      <c r="I28" s="469" t="s">
        <v>126</v>
      </c>
      <c r="J28" s="469" t="s">
        <v>126</v>
      </c>
      <c r="K28" s="471" t="s">
        <v>126</v>
      </c>
      <c r="L28" s="470" t="s">
        <v>126</v>
      </c>
      <c r="M28" s="469" t="s">
        <v>126</v>
      </c>
      <c r="N28" s="469" t="s">
        <v>126</v>
      </c>
      <c r="O28" s="471" t="s">
        <v>126</v>
      </c>
      <c r="P28" s="471" t="s">
        <v>126</v>
      </c>
      <c r="Q28" s="470" t="s">
        <v>126</v>
      </c>
      <c r="R28" s="468">
        <v>12</v>
      </c>
      <c r="S28" s="468">
        <v>11</v>
      </c>
      <c r="T28" s="472">
        <v>11</v>
      </c>
      <c r="U28" s="446" t="s">
        <v>69</v>
      </c>
      <c r="V28" s="468">
        <v>11</v>
      </c>
      <c r="W28" s="468">
        <v>11</v>
      </c>
      <c r="X28" s="446" t="s">
        <v>69</v>
      </c>
      <c r="Y28" s="441" t="s">
        <v>69</v>
      </c>
      <c r="Z28" s="472">
        <v>11</v>
      </c>
      <c r="AA28" s="468">
        <v>11</v>
      </c>
      <c r="AB28" s="446" t="s">
        <v>69</v>
      </c>
      <c r="AC28" s="473">
        <v>11</v>
      </c>
      <c r="AD28" s="474">
        <v>11</v>
      </c>
      <c r="AE28" s="446" t="s">
        <v>69</v>
      </c>
      <c r="AF28" s="468">
        <v>12</v>
      </c>
      <c r="AG28" s="468">
        <v>10</v>
      </c>
      <c r="AH28" s="446"/>
      <c r="AI28" s="466">
        <f t="shared" si="2"/>
        <v>13</v>
      </c>
      <c r="AJ28" s="453">
        <f t="shared" si="1"/>
        <v>142</v>
      </c>
      <c r="AK28" s="454">
        <f t="shared" si="3"/>
        <v>5</v>
      </c>
      <c r="AL28" s="454">
        <f t="shared" si="4"/>
        <v>12</v>
      </c>
      <c r="AM28" s="454">
        <f t="shared" si="5"/>
        <v>0</v>
      </c>
      <c r="AN28" s="455">
        <v>0</v>
      </c>
    </row>
    <row r="29" spans="1:40" ht="16">
      <c r="A29" s="447">
        <v>2</v>
      </c>
      <c r="B29" s="475" t="s">
        <v>127</v>
      </c>
      <c r="C29" s="462" t="s">
        <v>128</v>
      </c>
      <c r="D29" s="468">
        <v>8</v>
      </c>
      <c r="E29" s="468">
        <v>8</v>
      </c>
      <c r="F29" s="468">
        <v>11</v>
      </c>
      <c r="G29" s="468">
        <v>11</v>
      </c>
      <c r="H29" s="468">
        <v>11</v>
      </c>
      <c r="I29" s="468">
        <v>11</v>
      </c>
      <c r="J29" s="468">
        <v>12</v>
      </c>
      <c r="K29" s="468">
        <v>12</v>
      </c>
      <c r="L29" s="468">
        <v>11</v>
      </c>
      <c r="M29" s="468">
        <v>11</v>
      </c>
      <c r="N29" s="468">
        <v>11</v>
      </c>
      <c r="O29" s="468">
        <v>11</v>
      </c>
      <c r="P29" s="468">
        <v>11</v>
      </c>
      <c r="Q29" s="468">
        <v>12</v>
      </c>
      <c r="R29" s="472">
        <v>9</v>
      </c>
      <c r="S29" s="446" t="s">
        <v>69</v>
      </c>
      <c r="T29" s="446" t="s">
        <v>69</v>
      </c>
      <c r="U29" s="468">
        <v>11</v>
      </c>
      <c r="V29" s="472">
        <v>8</v>
      </c>
      <c r="W29" s="468">
        <v>8</v>
      </c>
      <c r="X29" s="468">
        <v>12</v>
      </c>
      <c r="Y29" s="468">
        <v>10</v>
      </c>
      <c r="Z29" s="468">
        <v>8</v>
      </c>
      <c r="AA29" s="446" t="s">
        <v>69</v>
      </c>
      <c r="AB29" s="468">
        <v>9</v>
      </c>
      <c r="AC29" s="468">
        <v>8</v>
      </c>
      <c r="AD29" s="468">
        <v>8</v>
      </c>
      <c r="AE29" s="472">
        <v>11</v>
      </c>
      <c r="AF29" s="446" t="s">
        <v>69</v>
      </c>
      <c r="AG29" s="446" t="s">
        <v>69</v>
      </c>
      <c r="AH29" s="446"/>
      <c r="AI29" s="466">
        <f t="shared" si="2"/>
        <v>25</v>
      </c>
      <c r="AJ29" s="453">
        <f t="shared" si="1"/>
        <v>253</v>
      </c>
      <c r="AK29" s="454">
        <f t="shared" si="3"/>
        <v>5</v>
      </c>
      <c r="AL29" s="454">
        <f t="shared" si="4"/>
        <v>0</v>
      </c>
      <c r="AM29" s="454">
        <f t="shared" si="5"/>
        <v>0</v>
      </c>
      <c r="AN29" s="455">
        <v>0</v>
      </c>
    </row>
    <row r="30" spans="1:40" ht="16">
      <c r="A30" s="476">
        <v>1</v>
      </c>
      <c r="B30" s="477"/>
      <c r="C30" s="478"/>
      <c r="D30" s="479"/>
      <c r="E30" s="446"/>
      <c r="F30" s="446"/>
      <c r="G30" s="446"/>
      <c r="H30" s="446"/>
      <c r="I30" s="446"/>
      <c r="J30" s="446"/>
      <c r="K30" s="446"/>
      <c r="L30" s="480"/>
      <c r="M30" s="446"/>
      <c r="N30" s="446"/>
      <c r="O30" s="446"/>
      <c r="P30" s="446"/>
      <c r="Q30" s="446"/>
      <c r="R30" s="446"/>
      <c r="S30" s="446"/>
      <c r="T30" s="446"/>
      <c r="U30" s="481"/>
      <c r="V30" s="482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83">
        <f>COUNTIF(D30:AH30, "&gt;0")</f>
        <v>0</v>
      </c>
      <c r="AJ30" s="458">
        <f t="shared" si="1"/>
        <v>0</v>
      </c>
      <c r="AK30" s="484">
        <f>COUNTIF(D30:AH30, "В")</f>
        <v>0</v>
      </c>
      <c r="AL30" s="484">
        <f>COUNTIF(E30:AI30, "о")</f>
        <v>0</v>
      </c>
      <c r="AM30" s="484">
        <f>COUNTIF(F30:AJ30, "б")</f>
        <v>0</v>
      </c>
      <c r="AN30" s="485">
        <v>0</v>
      </c>
    </row>
    <row r="31" spans="1:40">
      <c r="A31" s="486"/>
      <c r="B31" s="487" t="s">
        <v>129</v>
      </c>
      <c r="C31" s="488"/>
      <c r="D31" s="489">
        <f t="shared" ref="D31:J31" si="6">COUNTIF(D11:D30, "&gt;0")</f>
        <v>3</v>
      </c>
      <c r="E31" s="487">
        <f t="shared" si="6"/>
        <v>2</v>
      </c>
      <c r="F31" s="487">
        <f t="shared" si="6"/>
        <v>2</v>
      </c>
      <c r="G31" s="487">
        <f t="shared" si="6"/>
        <v>2</v>
      </c>
      <c r="H31" s="487">
        <f t="shared" si="6"/>
        <v>1</v>
      </c>
      <c r="I31" s="487">
        <f t="shared" si="6"/>
        <v>2</v>
      </c>
      <c r="J31" s="487">
        <f t="shared" si="6"/>
        <v>2</v>
      </c>
      <c r="K31" s="487">
        <f>COUNTIF(K11:K29, "&gt;0")</f>
        <v>3</v>
      </c>
      <c r="L31" s="487">
        <f t="shared" ref="L31:AH31" si="7">COUNTIF(L11:L30, "&gt;0")</f>
        <v>2</v>
      </c>
      <c r="M31" s="487">
        <f t="shared" si="7"/>
        <v>1</v>
      </c>
      <c r="N31" s="487">
        <f t="shared" si="7"/>
        <v>2</v>
      </c>
      <c r="O31" s="487">
        <f t="shared" si="7"/>
        <v>2</v>
      </c>
      <c r="P31" s="487">
        <f t="shared" si="7"/>
        <v>1</v>
      </c>
      <c r="Q31" s="487">
        <f t="shared" si="7"/>
        <v>2</v>
      </c>
      <c r="R31" s="487">
        <f t="shared" si="7"/>
        <v>2</v>
      </c>
      <c r="S31" s="487">
        <f t="shared" si="7"/>
        <v>2</v>
      </c>
      <c r="T31" s="487">
        <f t="shared" si="7"/>
        <v>2</v>
      </c>
      <c r="U31" s="487">
        <f t="shared" si="7"/>
        <v>2</v>
      </c>
      <c r="V31" s="487">
        <f t="shared" si="7"/>
        <v>3</v>
      </c>
      <c r="W31" s="487">
        <f t="shared" si="7"/>
        <v>2</v>
      </c>
      <c r="X31" s="487">
        <f t="shared" si="7"/>
        <v>3</v>
      </c>
      <c r="Y31" s="487">
        <f t="shared" si="7"/>
        <v>2</v>
      </c>
      <c r="Z31" s="487">
        <f t="shared" si="7"/>
        <v>2</v>
      </c>
      <c r="AA31" s="487">
        <f t="shared" si="7"/>
        <v>2</v>
      </c>
      <c r="AB31" s="487">
        <f t="shared" si="7"/>
        <v>2</v>
      </c>
      <c r="AC31" s="487">
        <f t="shared" si="7"/>
        <v>2</v>
      </c>
      <c r="AD31" s="487">
        <f t="shared" si="7"/>
        <v>2</v>
      </c>
      <c r="AE31" s="487">
        <f t="shared" si="7"/>
        <v>2</v>
      </c>
      <c r="AF31" s="487">
        <f t="shared" si="7"/>
        <v>2</v>
      </c>
      <c r="AG31" s="487">
        <f t="shared" si="7"/>
        <v>2</v>
      </c>
      <c r="AH31" s="490">
        <f t="shared" si="7"/>
        <v>0</v>
      </c>
      <c r="AI31" s="491">
        <f>SUM(AI11:AI30)</f>
        <v>61</v>
      </c>
      <c r="AJ31" s="491">
        <f>SUM(AJ11:AJ30)</f>
        <v>624</v>
      </c>
      <c r="AK31" s="491">
        <f>SUM(AK11:AK30)</f>
        <v>21</v>
      </c>
      <c r="AL31" s="491">
        <f>SUM(AL11:AL30)</f>
        <v>12</v>
      </c>
      <c r="AM31" s="491">
        <f>SUM(AM11:AM30)</f>
        <v>0</v>
      </c>
      <c r="AN31" s="491">
        <f>SUM(AN11:AN30)</f>
        <v>0</v>
      </c>
    </row>
    <row r="32" spans="1:40">
      <c r="K32" s="3" t="s">
        <v>130</v>
      </c>
      <c r="L32" s="3" t="s">
        <v>130</v>
      </c>
      <c r="V32" s="3" t="s">
        <v>130</v>
      </c>
      <c r="X32" s="3" t="s">
        <v>130</v>
      </c>
    </row>
    <row r="33" spans="2:16">
      <c r="B33" s="3" t="s">
        <v>131</v>
      </c>
      <c r="P33" s="3" t="s">
        <v>132</v>
      </c>
    </row>
    <row r="34" spans="2:16">
      <c r="B34" s="3" t="s">
        <v>133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Арапова А. В.</vt:lpstr>
      <vt:lpstr>Доп сотрудник</vt:lpstr>
      <vt:lpstr>Вед-ть Рогалевич</vt:lpstr>
      <vt:lpstr>Вед-ть Арапова</vt:lpstr>
      <vt:lpstr>Вед-ть Уразгильдеева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893</cp:revision>
  <dcterms:created xsi:type="dcterms:W3CDTF">2025-04-30T22:17:27Z</dcterms:created>
  <dcterms:modified xsi:type="dcterms:W3CDTF">2025-12-10T14:12:34Z</dcterms:modified>
</cp:coreProperties>
</file>