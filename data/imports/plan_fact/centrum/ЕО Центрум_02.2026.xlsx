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xr6="http://schemas.microsoft.com/office/spreadsheetml/2016/revision6" xmlns:mc="http://schemas.openxmlformats.org/markup-compatibility/2006" xmlns:unk1="http://schemas.microsoft.com/office/spreadsheetml/2010/11/main" xmlns:r="http://schemas.openxmlformats.org/officeDocument/2006/relationships" xmlns:s="http://schemas.openxmlformats.org/spreadsheetml/2006/main" xmlns:unk2="http://schemas.microsoft.com/office/spreadsheetml/2018/calcfeatures" xmlns:xr2="http://schemas.microsoft.com/office/spreadsheetml/2015/revision2" xmlns:xr="http://schemas.microsoft.com/office/spreadsheetml/2014/revision" xmlns:xr10="http://schemas.microsoft.com/office/spreadsheetml/2016/revision10" mc:Ignorable="unk1 xr xr6 xr10 xr2">
  <s:fileVersion appName="xl" lastEdited="7" lowestEdited="7" rupBuild="10302"/>
  <s:workbookPr/>
  <s:bookViews>
    <s:workbookView xr2:uid="{00000000-000D-0000-FFFF-FFFF00000000}" xWindow="0" yWindow="580" windowWidth="25600" windowHeight="16060" firstSheet="3" activeTab="11"/>
  </s:bookViews>
  <s:sheets>
    <s:sheet name="Центрум" sheetId="1" state="visible" r:id="rId1"/>
    <s:sheet name="Сводная" sheetId="3" state="visible" r:id="rId2"/>
    <s:sheet name="Справочник магазинов" sheetId="4" state="hidden" r:id="rId3"/>
    <s:sheet name="План на день" sheetId="5" state="visible" r:id="rId4"/>
    <s:sheet name="Сейтджелилова А.Э." sheetId="6" state="visible" r:id="rId5"/>
    <s:sheet name="Корж А. А." sheetId="7" state="visible" r:id="rId6"/>
    <s:sheet name="Свидовская С. А." sheetId="8" state="visible" r:id="rId7"/>
    <s:sheet name="Доп сотрудник" sheetId="9" state="visible" r:id="rId8"/>
    <s:sheet name="Козлова В. Э." sheetId="10" state="visible" r:id="rId9"/>
    <s:sheet name="Вед-ть Свидовская" sheetId="12" state="visible" r:id="rId10"/>
    <s:sheet name="Вед-ть Корж" sheetId="13" state="visible" r:id="rId11"/>
    <s:sheet name="Вед-ть Сейтджелилова" sheetId="14" state="visible" r:id="rId12"/>
    <s:sheet name="График" sheetId="16" state="visible" r:id="rId13"/>
    <s:sheet name="Вед-ть Доп сотрудник" sheetId="15" state="visible" r:id="rId14"/>
    <s:sheet name="Вед-ть Козлова" sheetId="11" state="visible" r:id="rId15"/>
    <s:sheet name="ПК4" sheetId="17" state="visible" r:id="rId16"/>
    <s:sheet name="Конкурс" sheetId="2" state="visible" r:id="rId17"/>
  </s:sheets>
  <s:definedNames>
    <s:definedName name="маг">NA()</s:definedName>
  </s:definedNames>
  <s:calcPr calcId="191029"/>
  <s:extLst>
    <s:ext uri="{B58B0392-4F1F-4190-BB64-5DF3571DCE5F}">
      <unk2:calcFeatures>
        <unk2:feature name="microsoft.com:RD"/>
        <unk2:feature name="microsoft.com:Single"/>
        <unk2:feature name="microsoft.com:FV"/>
        <unk2:feature name="microsoft.com:CNMTM"/>
        <unk2:feature name="microsoft.com:LET_WF"/>
        <unk2:feature name="microsoft.com:LAMBDA_WF"/>
        <unk2:feature name="microsoft.com:ARRAYTEXT_WF"/>
      </unk2:calcFeatures>
    </s:ext>
  </s:extLst>
</s:workbook>
</file>

<file path=xl/sharedStrings.xml><?xml version="1.0" encoding="utf-8"?>
<s:sst xmlns:s="http://schemas.openxmlformats.org/spreadsheetml/2006/main" count="927" uniqueCount="154">
  <s:si>
    <s:t>(01.02.2026-28.02.2026)</s:t>
  </s:si>
  <s:si>
    <s:t xml:space="preserve">                          ЕЖЕДНЕВНЫЙ ОТЧЕТ О ПРОДАЖАХ</s:t>
  </s:si>
  <s:si>
    <s:t>Осталось до выполнения плана!!!</s:t>
  </s:si>
  <s:si>
    <s:t>ТРК Центрум</s:t>
  </s:si>
  <s:si>
    <s:t>Целевые показатели</s:t>
  </s:si>
  <s:si>
    <s:t>Показатель</s:t>
  </s:si>
  <s:si>
    <s:t>План</s:t>
  </s:si>
  <s:si>
    <s:t>Факт</s:t>
  </s:si>
  <s:si>
    <s:t>% выполнения</s:t>
  </s:si>
  <s:si>
    <s:t>Прогноз выполнения</s:t>
  </s:si>
  <s:si>
    <s:t>% выполнения по прогнозу</s:t>
  </s:si>
  <s:si>
    <s:t>Отклонение</s:t>
  </s:si>
  <s:si>
    <s:t>Факт аналогичного месяца прошлого года</s:t>
  </s:si>
  <s:si>
    <s:t>Отклонение LFL</s:t>
  </s:si>
  <s:si>
    <s:t>Выручка</s:t>
  </s:si>
  <s:si>
    <s:t>Кол-во изделий</s:t>
  </s:si>
  <s:si>
    <s:t>Средний чек</s:t>
  </s:si>
  <s:si>
    <s:t>Средняя стоимость изделия</s:t>
  </s:si>
  <s:si>
    <s:t>Длина чека</s:t>
  </s:si>
  <s:si>
    <s:t>Кол-во чеков</s:t>
  </s:si>
  <s:si>
    <s:t>Кол-во смен</s:t>
  </s:si>
  <s:si>
    <s:t>Средние продажи в смену</s:t>
  </s:si>
  <s:si>
    <s:t>Отставание/Перевыполнение</s:t>
  </s:si>
  <s:si>
    <s:t>Подарочные сертификаты</s:t>
  </s:si>
  <s:si>
    <s:t>Трафик</s:t>
  </s:si>
  <s:si>
    <s:t>Конверсия</s:t>
  </s:si>
  <s:si>
    <s:t>Факт продаж за месяц</s:t>
  </s:si>
  <s:si>
    <s:t>Раcпределение плана по дням</s:t>
  </s:si>
  <s:si>
    <s:t>Сотрудник</s:t>
  </s:si>
  <s:si>
    <s:t>Дата</s:t>
  </s:si>
  <s:si>
    <s:t>День недели</s:t>
  </s:si>
  <s:si>
    <s:t>Выручка (руб)</s:t>
  </s:si>
  <s:si>
    <s:t>Кол-во единиц (шт.)</s:t>
  </s:si>
  <s:si>
    <s:t>Средняя стоимость изделия (руб.)</s:t>
  </s:si>
  <s:si>
    <s:t>Количество чеков  (шт.)</s:t>
  </s:si>
  <s:si>
    <s:t>Средняя сумма чека (руб.)</s:t>
  </s:si>
  <s:si>
    <s:t>Длина чека (шт.)</s:t>
  </s:si>
  <s:si>
    <s:t>UNOde50</s:t>
  </s:si>
  <s:si>
    <s:t>IS</s:t>
  </s:si>
  <s:si>
    <s:t>Agafi</s:t>
  </s:si>
  <s:si>
    <s:t>Kalliope</s:t>
  </s:si>
  <s:si>
    <s:t>Raganella</s:t>
  </s:si>
  <s:si>
    <s:t>CC/MP</s:t>
  </s:si>
  <s:si>
    <s:t>Eva Rites</s:t>
  </s:si>
  <s:si>
    <s:t>Antura</s:t>
  </s:si>
  <s:si>
    <s:t>SALE</s:t>
  </s:si>
  <s:si>
    <s:t>Конверсия (%)</s:t>
  </s:si>
  <s:si>
    <s:t>% выполнения дневного плана</s:t>
  </s:si>
  <s:si>
    <s:t>выручка, план</s:t>
  </s:si>
  <s:si>
    <s:t>кол-во ед, план</s:t>
  </s:si>
  <s:si>
    <s:t>Кол-во чеков, план</s:t>
  </s:si>
  <s:si>
    <s:t>выручка, скорректир.план</s:t>
  </s:si>
  <s:si>
    <s:t>кол-во ед, скорр. план</s:t>
  </s:si>
  <s:si>
    <s:t>кол-во чеков, скорр. план</s:t>
  </s:si>
  <s:si>
    <s:t>Коэфф. Дня Недели</s:t>
  </s:si>
  <s:si>
    <s:t>Специфика месяца</s:t>
  </s:si>
  <s:si>
    <s:t>Козлова, Сейтджеилова</s:t>
  </s:si>
  <s:si>
    <s:t>вс</s:t>
  </s:si>
  <s:si>
    <s:t>пн</s:t>
  </s:si>
  <s:si>
    <s:t>Корж, Сейтджелилова</s:t>
  </s:si>
  <s:si>
    <s:t>вт</s:t>
  </s:si>
  <s:si>
    <s:t>Корж, Козлова</s:t>
  </s:si>
  <s:si>
    <s:t>ср</s:t>
  </s:si>
  <s:si>
    <s:t>чт</s:t>
  </s:si>
  <s:si>
    <s:t>пт</s:t>
  </s:si>
  <s:si>
    <s:t>Сейтджелилова, Козлова</s:t>
  </s:si>
  <s:si>
    <s:t>сб</s:t>
  </s:si>
  <s:si>
    <s:t>Козлова, Корж</s:t>
  </s:si>
  <s:si>
    <s:t>Свидовская, Сейтджелилова</s:t>
  </s:si>
  <s:si>
    <s:t>Корж, Свидовская</s:t>
  </s:si>
  <s:si>
    <s:t>Свидовская, Корж</s:t>
  </s:si>
  <s:si>
    <s:t>Свидовская,  Корж, Сейтджелилова</s:t>
  </s:si>
  <s:si>
    <s:t>итого</s:t>
  </s:si>
  <s:si>
    <s:t>Личный ежедневный КВП, %</s:t>
  </s:si>
  <s:si>
    <s:t>Сотруник</s:t>
  </s:si>
  <s:si>
    <s:t>Итого:</s:t>
  </s:si>
  <s:si>
    <s:t>Доп сотрудник</s:t>
  </s:si>
  <s:si>
    <s:t>Стекольщикова Алла</s:t>
  </s:si>
  <s:si>
    <s:t>Свидовская София</s:t>
  </s:si>
  <s:si>
    <s:t>Корж Анастасия</s:t>
  </s:si>
  <s:si>
    <s:t>Козлова Валерия</s:t>
  </s:si>
  <s:si>
    <s:t>Личный КВП, баллы</s:t>
  </s:si>
  <s:si>
    <s:t>Сводная по показателям</s:t>
  </s:si>
  <s:si>
    <s:t xml:space="preserve">Факт </s:t>
  </s:si>
  <s:si>
    <s:t>Прогноз</s:t>
  </s:si>
  <s:si>
    <s:t>Кол-во смен план/отработано</s:t>
  </s:si>
  <s:si>
    <s:t>МЕГА Белая Дача</s:t>
  </s:si>
  <s:si>
    <s:t>Гагаринский</s:t>
  </s:si>
  <s:si>
    <s:t>Марфино</s:t>
  </s:si>
  <s:si>
    <s:t>(отчетная дата)</s:t>
  </s:si>
  <s:si>
    <s:t>Конверсия план/факт</s:t>
  </s:si>
  <s:si>
    <s:t>в</s:t>
  </s:si>
  <s:si>
    <s:t>Выплачено на карту</s:t>
  </s:si>
  <s:si>
    <s:t>Выплачено наличными по платежной ведомости</s:t>
  </s:si>
  <s:si>
    <s:t>Дополнительные начисления, доплаты</s:t>
  </s:si>
  <s:si>
    <s:t>Оклад</s:t>
  </s:si>
  <s:si>
    <s:t>Бонусная часть от личных продаж</s:t>
  </s:si>
  <s:si>
    <s:t>Бонусная часть от общих продаж</s:t>
  </s:si>
  <s:si>
    <s:t>Базовый бонус за выполнение плана</s:t>
  </s:si>
  <s:si>
    <s:t>Вычеты</s:t>
  </s:si>
  <s:si>
    <s:t>Итого к выдаче с учетом авансов и вычетов</s:t>
  </s:si>
  <s:si>
    <s:t>Подпись</s:t>
  </s:si>
  <s:si>
    <s:t>Доп начисления</s:t>
  </s:si>
  <s:si>
    <s:t>Сумма</s:t>
  </s:si>
  <s:si>
    <s:t>Описание</s:t>
  </s:si>
  <s:si>
    <s:t>НДФЛ</s:t>
  </s:si>
  <s:si>
    <s:t>Компенсация, неиспользованный отпуск</s:t>
  </s:si>
  <s:si>
    <s:t>Оклад:</s:t>
  </s:si>
  <s:si>
    <s:t>Базовый бонус</s:t>
  </s:si>
  <s:si>
    <s:t>Дней</s:t>
  </s:si>
  <s:si>
    <s:t>Магазин</s:t>
  </s:si>
  <s:si>
    <s:t>Должность</s:t>
  </s:si>
  <s:si>
    <s:t>Зачислено часов</s:t>
  </s:si>
  <s:si>
    <s:t>Ставка за час, руб</s:t>
  </s:si>
  <s:si>
    <s:t>Начислено за день, руб</s:t>
  </s:si>
  <s:si>
    <s:t>КВП</s:t>
  </s:si>
  <s:si>
    <s:t>Начисленный ББ</s:t>
  </s:si>
  <s:si>
    <s:t>ПК</s:t>
  </s:si>
  <s:si>
    <s:t>БонуснаяЧасть</s:t>
  </s:si>
  <s:si>
    <s:t>Бонус от личных продаж по категории товара</s:t>
  </s:si>
  <s:si>
    <s:t>Бонус от общих продаж</s:t>
  </s:si>
  <s:si>
    <s:t>Процент от продажи</s:t>
  </s:si>
  <s:si>
    <s:t>Продано на сумму, руб</s:t>
  </s:si>
  <s:si>
    <s:t>Начисленный бонус от продаж, руб</s:t>
  </s:si>
  <s:si>
    <s:t>Кол-во отработанных личных часов</s:t>
  </s:si>
  <s:si>
    <s:t>Кол-во отработанных общих часов</s:t>
  </s:si>
  <s:si>
    <s:t>Вычет по инвентаризационной ведомости от 09.01</s:t>
  </s:si>
  <s:si>
    <s:t>Административный %</s:t>
  </s:si>
  <s:si>
    <s:t>% наличного оборота &lt; 60%</s:t>
  </s:si>
  <s:si>
    <s:t>УМ</s:t>
  </s:si>
  <s:si>
    <s:t>Администартивный %</s:t>
  </s:si>
  <s:si>
    <s:t>Февраль, 2026</s:t>
  </s:si>
  <s:si>
    <s:t>г. Симферополь</s:t>
  </s:si>
  <s:si>
    <s:t>ул. Севастопольская, 62</s:t>
  </s:si>
  <s:si>
    <s:t>GL-0004</s:t>
  </s:si>
  <s:si>
    <s:t>10.00-21.00</s:t>
  </s:si>
  <s:si>
    <s:t>ФОТ</s:t>
  </s:si>
  <s:si>
    <s:t>Кол-во дней в месяц</s:t>
  </s:si>
  <s:si>
    <s:t>Премия Директора, грн.</s:t>
  </s:si>
  <s:si>
    <s:t>Часы</s:t>
  </s:si>
  <s:si>
    <s:t>Выходные</s:t>
  </s:si>
  <s:si>
    <s:t>Отпуск</s:t>
  </s:si>
  <s:si>
    <s:t>Больничный (официальный)</s:t>
  </s:si>
  <s:si>
    <s:t>Дни стажировки</s:t>
  </s:si>
  <s:si>
    <s:t>№</s:t>
  </s:si>
  <s:si>
    <s:t>ФИО</s:t>
  </s:si>
  <s:si>
    <s:t>Дни</s:t>
  </s:si>
  <s:si>
    <s:t>у</s:t>
  </s:si>
  <s:si>
    <s:t>о</s:t>
  </s:si>
  <s:si>
    <s:t>Сейтджелилова Алина</s:t>
  </s:si>
  <s:si>
    <s:t>Итого магазин</s:t>
  </s:si>
  <s:si>
    <s:t xml:space="preserve">    </s:t>
  </s:si>
  <s:si>
    <s:t>.</s:t>
  </s:si>
  <s:si>
    <s:t xml:space="preserve"> </s:t>
  </s:si>
</s:sst>
</file>

<file path=xl/styles.xml><?xml version="1.0" encoding="utf-8"?>
<s:styleSheet xmlns:s="http://schemas.openxmlformats.org/spreadsheetml/2006/main" xmlns:mc="http://schemas.openxmlformats.org/markup-compatibility/2006" xmlns:xr="http://schemas.microsoft.com/office/spreadsheetml/2014/revision" xmlns:x14="http://schemas.microsoft.com/office/spreadsheetml/2009/9/main" xmlns:x14ac="http://schemas.microsoft.com/office/spreadsheetml/2009/9/ac" xmlns:x16r2="http://schemas.microsoft.com/office/spreadsheetml/2015/02/main" xmlns:unk1="http://schemas.microsoft.com/office/spreadsheetml/2010/11/main" xmlns:vyd="http://volga.yandex.com/schemas/document/model" mc:Ignorable="x14ac x16r2 xr">
  <s:numFmts count="8">
    <s:numFmt numFmtId="164" formatCode="_-* #,##0.00_р_._-;\-* #,##0.00_р_._-;_-* \-??_р_._-;_-@_-"/>
    <s:numFmt numFmtId="165" formatCode="dddd&quot;, &quot;mmmm\ dd&quot;, &quot;yyyy"/>
    <s:numFmt numFmtId="166" formatCode="0.0%"/>
    <s:numFmt numFmtId="167" formatCode="#,##0.00\ &quot;₽&quot;"/>
    <s:numFmt numFmtId="168" formatCode="#,##0\ &quot;₽&quot;"/>
    <s:numFmt numFmtId="169" formatCode="#,##0.00\ _₽"/>
    <s:numFmt numFmtId="170" formatCode="0.0"/>
    <s:numFmt numFmtId="171" formatCode="mmmm\ yyyy;@"/>
  </s:numFmts>
  <s:fonts count="52">
    <s:font>
      <s:name val="Calibri"/>
      <s:color indexed="63"/>
      <s:sz val="11"/>
    </s:font>
    <s:font>
      <s:name val="Arial"/>
      <s:family val="2"/>
      <s:sz val="8"/>
    </s:font>
    <s:font>
      <s:name val="Clinica Pro Regular"/>
      <s:color indexed="63"/>
      <s:sz val="10"/>
    </s:font>
    <s:font>
      <s:name val="Clinica Pro Regular"/>
      <s:color indexed="63"/>
      <s:sz val="11"/>
    </s:font>
    <s:font>
      <s:name val="Times New Roman"/>
      <s:family val="1"/>
      <s:color indexed="63"/>
      <s:sz val="11"/>
    </s:font>
    <s:font>
      <s:name val="Clinica Pro Regular"/>
      <s:b val="1"/>
      <s:color rgb="FFCC66FF"/>
      <s:sz val="8"/>
    </s:font>
    <s:font>
      <s:name val="Clinica Pro Regular"/>
      <s:color rgb="FFCC66FF"/>
      <s:sz val="11"/>
    </s:font>
    <s:font>
      <s:name val="Clinica Pro Regular"/>
      <s:sz val="8"/>
    </s:font>
    <s:font>
      <s:name val="Clinica Pro Regular"/>
      <s:color rgb="FFCC66FF"/>
      <s:sz val="28"/>
    </s:font>
    <s:font>
      <s:name val="Clinica Pro Regular"/>
      <s:color rgb="FFCC66FF"/>
      <s:sz val="8"/>
    </s:font>
    <s:font>
      <s:name val="Clinica Pro Regular"/>
      <s:b val="1"/>
      <s:color rgb="FFCC66FF"/>
      <s:sz val="11"/>
    </s:font>
    <s:font>
      <s:name val="Clinica Pro Regular"/>
      <s:b val="1"/>
      <s:color rgb="FFCC66FF"/>
      <s:sz val="12"/>
    </s:font>
    <s:font>
      <s:name val="Clinica Pro Regular"/>
      <s:b val="1"/>
      <s:sz val="8"/>
    </s:font>
    <s:font>
      <s:name val="Clinica Pro Regular"/>
      <s:color rgb="FFFFC000"/>
      <s:sz val="11"/>
    </s:font>
    <s:font>
      <s:name val="Clinica Pro Regular"/>
      <s:b val="1"/>
      <s:sz val="12"/>
    </s:font>
    <s:font>
      <s:name val="Clinica Pro Regular"/>
      <s:b val="1"/>
      <s:color indexed="17"/>
      <s:sz val="8"/>
    </s:font>
    <s:font>
      <s:name val="Clinica Pro Regular"/>
      <s:b val="1"/>
      <s:sz val="9"/>
    </s:font>
    <s:font>
      <s:name val="Clinica Pro Regular"/>
      <s:b val="1"/>
      <s:sz val="10"/>
    </s:font>
    <s:font>
      <s:name val="Clinica Pro Regular"/>
      <s:b val="1"/>
      <s:color theme="1"/>
      <s:sz val="9"/>
    </s:font>
    <s:font>
      <s:name val="Clinica Pro Regular"/>
      <s:sz val="9"/>
    </s:font>
    <s:font>
      <s:name val="Clinica Pro Regular"/>
      <s:b val="1"/>
      <s:color theme="1"/>
      <s:sz val="8"/>
    </s:font>
    <s:font>
      <s:name val="Clinica Pro Regular"/>
      <s:b val="1"/>
      <s:color indexed="17"/>
      <s:sz val="9"/>
    </s:font>
    <s:font>
      <s:name val="Clinica Pro Regular"/>
      <s:b val="1"/>
      <s:color indexed="63"/>
      <s:sz val="10"/>
    </s:font>
    <s:font>
      <s:name val="Clinica Pro Regular"/>
      <s:b val="1"/>
      <s:color rgb="FF3B3838"/>
      <s:sz val="8"/>
    </s:font>
    <s:font>
      <s:name val="Clinica Pro Regular"/>
      <s:b val="1"/>
      <s:color rgb="FF1F4E79"/>
      <s:sz val="8"/>
    </s:font>
    <s:font>
      <s:name val="Clinica Pro Regular"/>
      <s:color indexed="2"/>
      <s:sz val="8"/>
    </s:font>
    <s:font>
      <s:name val="Clinica Pro Regular"/>
      <s:color theme="1"/>
      <s:sz val="10"/>
    </s:font>
    <s:font>
      <s:name val="Clinica Pro Regular"/>
      <s:color theme="1"/>
      <s:sz val="8"/>
    </s:font>
    <s:font>
      <s:name val="Clinica Pro Regular"/>
      <s:color theme="1"/>
      <s:sz val="11"/>
    </s:font>
    <s:font>
      <s:name val="Times New Roman"/>
      <s:family val="1"/>
      <s:color theme="1"/>
      <s:sz val="11"/>
    </s:font>
    <s:font>
      <s:name val="Clinica Pro Regular"/>
      <s:color indexed="63"/>
      <s:sz val="8"/>
    </s:font>
    <s:font>
      <s:name val="Clinica Pro Regular"/>
      <s:color theme="1"/>
      <s:sz val="12"/>
    </s:font>
    <s:font>
      <s:name val="Clinica Pro Regular"/>
      <s:b val="1"/>
      <s:color theme="1"/>
      <s:sz val="12"/>
    </s:font>
    <s:font>
      <s:name val="Clinica Pro Regular"/>
      <s:color theme="1"/>
      <s:sz val="9"/>
    </s:font>
    <s:font>
      <s:name val="Clinica Pro Regular"/>
      <s:color indexed="63"/>
      <s:sz val="9"/>
    </s:font>
    <s:font>
      <s:name val="Clinica Pro Regular"/>
      <s:sz val="10"/>
    </s:font>
    <s:font>
      <s:name val="Clinica Pro Regular"/>
      <s:color rgb="FF413003"/>
      <s:sz val="8"/>
    </s:font>
    <s:font>
      <s:name val="Clinica Pro Regular"/>
      <s:b val="1"/>
      <s:color rgb="FF413003"/>
      <s:sz val="8"/>
    </s:font>
    <s:font>
      <s:name val="Clinica Pro Regular"/>
      <s:b val="1"/>
      <s:color indexed="63"/>
      <s:sz val="8"/>
    </s:font>
    <s:font>
      <s:name val="Arial"/>
      <s:family val="2"/>
      <s:b val="1"/>
      <s:color indexed="56"/>
      <s:sz val="11"/>
    </s:font>
    <s:font>
      <s:name val="Clinica Pro Regular"/>
      <s:b val="1"/>
      <s:color indexed="56"/>
      <s:sz val="11"/>
    </s:font>
    <s:font>
      <s:name val="Clinica Pro Regular"/>
      <s:b val="1"/>
      <s:color indexed="56"/>
      <s:sz val="14"/>
    </s:font>
    <s:font>
      <s:name val="Clinica Pro Regular"/>
      <s:b val="1"/>
      <s:color indexed="18"/>
      <s:sz val="12"/>
    </s:font>
    <s:font>
      <s:name val="Clinica Pro Regular"/>
      <s:color indexed="56"/>
      <s:sz val="10"/>
    </s:font>
    <s:font>
      <s:name val="Clinica Pro Regular"/>
      <s:b val="1"/>
      <s:color indexed="16"/>
      <s:sz val="10"/>
    </s:font>
    <s:font>
      <s:name val="Clinica Pro Regular"/>
      <s:sz val="11"/>
    </s:font>
    <s:font>
      <s:name val="Clinica Pro Regular"/>
      <s:sz val="12"/>
    </s:font>
    <s:font>
      <s:name val="Calibri"/>
      <s:family val="2"/>
      <s:color indexed="63"/>
      <s:sz val="11"/>
    </s:font>
    <s:font>
      <s:name val="Clinica Pro Regular"/>
      <s:charset val="204"/>
      <s:b val="1"/>
      <s:sz val="8"/>
    </s:font>
    <s:font>
      <s:name val="Clinica Pro Regular"/>
      <s:charset val="204"/>
      <s:sz val="8"/>
    </s:font>
    <s:font>
      <s:name val="Clinica Pro Regular"/>
      <s:charset val="204"/>
      <s:color indexed="2"/>
      <s:sz val="8"/>
    </s:font>
    <s:font>
      <s:name val="Clinica Pro Regular"/>
      <s:charset val="204"/>
      <s:color theme="1"/>
      <s:sz val="8"/>
    </s:font>
  </s:fonts>
  <s:fills count="34">
    <s:fill>
      <s:patternFill patternType="none"/>
    </s:fill>
    <s:fill>
      <s:patternFill patternType="gray125"/>
    </s:fill>
    <s:fill>
      <s:patternFill patternType="solid">
        <s:fgColor rgb="FF66FFFF"/>
        <s:bgColor rgb="FF4ACCD3"/>
      </s:patternFill>
    </s:fill>
    <s:fill>
      <s:patternFill patternType="solid">
        <s:fgColor rgb="FFCCFF00"/>
        <s:bgColor indexed="5"/>
      </s:patternFill>
    </s:fill>
    <s:fill>
      <s:patternFill patternType="solid">
        <s:fgColor indexed="65"/>
        <s:bgColor indexed="26"/>
      </s:patternFill>
    </s:fill>
    <s:fill>
      <s:patternFill patternType="solid">
        <s:fgColor indexed="5"/>
        <s:bgColor indexed="26"/>
      </s:patternFill>
    </s:fill>
    <s:fill>
      <s:patternFill patternType="solid">
        <s:fgColor rgb="FF00CCCC"/>
        <s:bgColor rgb="FF4ACCD3"/>
      </s:patternFill>
    </s:fill>
    <s:fill>
      <s:patternFill patternType="solid">
        <s:fgColor rgb="FFD0CECE"/>
        <s:bgColor rgb="FFD0CECE"/>
      </s:patternFill>
    </s:fill>
    <s:fill>
      <s:patternFill patternType="solid">
        <s:fgColor rgb="FFD0CECE"/>
        <s:bgColor rgb="FF5B9BD5"/>
      </s:patternFill>
    </s:fill>
    <s:fill>
      <s:patternFill patternType="solid">
        <s:fgColor theme="2"/>
        <s:bgColor theme="2"/>
      </s:patternFill>
    </s:fill>
    <s:fill>
      <s:patternFill patternType="solid">
        <s:fgColor theme="0"/>
        <s:bgColor theme="0"/>
      </s:patternFill>
    </s:fill>
    <s:fill>
      <s:patternFill patternType="solid">
        <s:fgColor theme="2"/>
        <s:bgColor theme="0"/>
      </s:patternFill>
    </s:fill>
    <s:fill>
      <s:patternFill patternType="solid">
        <s:fgColor theme="2"/>
        <s:bgColor rgb="FF4ACCD3"/>
      </s:patternFill>
    </s:fill>
    <s:fill>
      <s:patternFill patternType="solid">
        <s:fgColor theme="9" tint="0.6"/>
        <s:bgColor theme="9" tint="0.6"/>
      </s:patternFill>
    </s:fill>
    <s:fill>
      <s:patternFill patternType="solid">
        <s:fgColor theme="6" tint="0.8"/>
        <s:bgColor rgb="FF4ACCD3"/>
      </s:patternFill>
    </s:fill>
    <s:fill>
      <s:patternFill patternType="solid">
        <s:fgColor rgb="FFCCFF00"/>
        <s:bgColor rgb="FFCCFF00"/>
      </s:patternFill>
    </s:fill>
    <s:fill>
      <s:patternFill patternType="solid">
        <s:fgColor theme="2" tint="-0.1"/>
        <s:bgColor rgb="FF5B9BD5"/>
      </s:patternFill>
    </s:fill>
    <s:fill>
      <s:patternFill patternType="solid">
        <s:fgColor theme="0"/>
        <s:bgColor theme="2"/>
      </s:patternFill>
    </s:fill>
    <s:fill>
      <s:patternFill patternType="solid">
        <s:fgColor theme="9" tint="0.8"/>
        <s:bgColor theme="9" tint="0.8"/>
      </s:patternFill>
    </s:fill>
    <s:fill>
      <s:patternFill patternType="solid">
        <s:fgColor indexed="65"/>
      </s:patternFill>
    </s:fill>
    <s:fill>
      <s:patternFill patternType="solid">
        <s:fgColor rgb="FFE7E6E6"/>
        <s:bgColor rgb="FFE7E6E6"/>
      </s:patternFill>
    </s:fill>
    <s:fill>
      <s:patternFill patternType="solid">
        <s:fgColor rgb="FFF4ECC5"/>
        <s:bgColor rgb="FFF4ECC5"/>
      </s:patternFill>
    </s:fill>
    <s:fill>
      <s:patternFill patternType="solid">
        <s:fgColor rgb="FFFBF9EC"/>
        <s:bgColor rgb="FFFBF9EC"/>
      </s:patternFill>
    </s:fill>
    <s:fill>
      <s:patternFill patternType="solid">
        <s:fgColor rgb="FFFCFAEB"/>
        <s:bgColor rgb="FFFCFAEB"/>
      </s:patternFill>
    </s:fill>
    <s:fill>
      <s:patternFill patternType="solid">
        <s:fgColor theme="8" tint="0.6"/>
        <s:bgColor rgb="FF3B3838"/>
      </s:patternFill>
    </s:fill>
    <s:fill>
      <s:patternFill patternType="solid">
        <s:fgColor rgb="FF92D050"/>
        <s:bgColor rgb="FFED7D31"/>
      </s:patternFill>
    </s:fill>
    <s:fill>
      <s:patternFill patternType="solid">
        <s:fgColor theme="8" tint="0.6"/>
        <s:bgColor rgb="FFED7D31"/>
      </s:patternFill>
    </s:fill>
    <s:fill>
      <s:patternFill patternType="solid">
        <s:fgColor rgb="FFFFC000"/>
        <s:bgColor indexed="5"/>
      </s:patternFill>
    </s:fill>
    <s:fill>
      <s:patternFill patternType="solid">
        <s:fgColor theme="8" tint="0.4"/>
        <s:bgColor rgb="FFED7D31"/>
      </s:patternFill>
    </s:fill>
    <s:fill>
      <s:patternFill patternType="solid">
        <s:fgColor theme="8" tint="0.8"/>
        <s:bgColor rgb="FF3B3838"/>
      </s:patternFill>
    </s:fill>
    <s:fill>
      <s:patternFill patternType="solid">
        <s:fgColor theme="9" tint="0.8"/>
        <s:bgColor indexed="7"/>
      </s:patternFill>
    </s:fill>
    <s:fill>
      <s:patternFill patternType="solid">
        <s:fgColor theme="7" tint="0.8"/>
        <s:bgColor theme="7" tint="0.8"/>
      </s:patternFill>
    </s:fill>
    <s:fill>
      <s:patternFill patternType="solid">
        <s:fgColor theme="8" tint="0.6"/>
        <s:bgColor indexed="43"/>
      </s:patternFill>
    </s:fill>
    <s:fill>
      <s:patternFill patternType="solid">
        <s:fgColor theme="5" tint="0.8"/>
        <s:bgColor theme="2"/>
      </s:patternFill>
    </s:fill>
  </s:fills>
  <s:borders count="172">
    <s:border>
      <s:left/>
      <s:right/>
      <s:top/>
      <s:bottom/>
      <s:diagonal/>
    </s:border>
    <s:border>
      <s:left style="medium">
        <s:color auto="1"/>
      </s:left>
      <s:right/>
      <s:top style="medium">
        <s:color auto="1"/>
      </s:top>
      <s:bottom/>
      <s:diagonal/>
    </s:border>
    <s:border>
      <s:left/>
      <s:right/>
      <s:top style="medium">
        <s:color auto="1"/>
      </s:top>
      <s:bottom/>
      <s:diagonal/>
    </s:border>
    <s:border>
      <s:left/>
      <s:right style="medium">
        <s:color auto="1"/>
      </s:right>
      <s:top style="medium">
        <s:color auto="1"/>
      </s:top>
      <s:bottom/>
      <s:diagonal/>
    </s:border>
    <s:border>
      <s:left style="medium">
        <s:color auto="1"/>
      </s:left>
      <s:right style="hair">
        <s:color auto="1"/>
      </s:right>
      <s:top style="medium">
        <s:color auto="1"/>
      </s:top>
      <s:bottom style="medium">
        <s:color auto="1"/>
      </s:bottom>
      <s:diagonal/>
    </s:border>
    <s:border>
      <s:left style="hair">
        <s:color auto="1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hair">
        <s:color auto="1"/>
      </s:right>
      <s:top style="hair">
        <s:color auto="1"/>
      </s:top>
      <s:bottom style="hair">
        <s:color auto="1"/>
      </s:bottom>
      <s:diagonal/>
    </s:border>
    <s:border>
      <s:left style="medium">
        <s:color auto="1"/>
      </s:left>
      <s:right/>
      <s:top/>
      <s:bottom style="medium">
        <s:color auto="1"/>
      </s:bottom>
      <s:diagonal/>
    </s:border>
    <s:border>
      <s:left/>
      <s:right/>
      <s:top/>
      <s:bottom style="medium">
        <s:color auto="1"/>
      </s:bottom>
      <s:diagonal/>
    </s:border>
    <s:border>
      <s:left/>
      <s:right style="medium">
        <s:color auto="1"/>
      </s:right>
      <s:top/>
      <s:bottom style="medium">
        <s:color auto="1"/>
      </s:bottom>
      <s:diagonal/>
    </s:border>
    <s:border>
      <s:left style="medium">
        <s:color auto="1"/>
      </s:left>
      <s:right/>
      <s:top style="medium">
        <s:color auto="1"/>
      </s:top>
      <s:bottom style="medium">
        <s:color auto="1"/>
      </s:bottom>
      <s:diagonal/>
    </s:border>
    <s:border>
      <s:left/>
      <s:right/>
      <s:top style="medium">
        <s:color auto="1"/>
      </s:top>
      <s:bottom style="medium">
        <s:color auto="1"/>
      </s:bottom>
      <s:diagonal/>
    </s:border>
    <s:border>
      <s:left/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/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/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/>
      <s:top/>
      <s:bottom style="thin">
        <s:color auto="1"/>
      </s:bottom>
      <s:diagonal/>
    </s:border>
    <s:border>
      <s:left style="medium">
        <s:color auto="1"/>
      </s:left>
      <s:right style="medium">
        <s:color auto="1"/>
      </s:right>
      <s:top/>
      <s:bottom style="thin">
        <s:color auto="1"/>
      </s:bottom>
      <s:diagonal/>
    </s:border>
    <s:border>
      <s:left/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/>
      <s:bottom style="thin">
        <s:color auto="1"/>
      </s:bottom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/>
      <s:diagonal/>
    </s:border>
    <s:border>
      <s:left/>
      <s:right style="thin">
        <s:color auto="1"/>
      </s:right>
      <s:top style="thin">
        <s:color auto="1"/>
      </s:top>
      <s:bottom/>
      <s:diagonal/>
    </s:border>
    <s:border>
      <s:left style="thin">
        <s:color auto="1"/>
      </s:left>
      <s:right/>
      <s:top style="thin">
        <s:color auto="1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/>
      <s:right/>
      <s:top style="thin">
        <s:color auto="1"/>
      </s:top>
      <s:bottom style="thin">
        <s:color auto="1"/>
      </s:bottom>
      <s:diagonal/>
    </s:border>
    <s:border>
      <s:left style="thin">
        <s:color theme="1"/>
      </s:left>
      <s:right style="thin">
        <s:color theme="1"/>
      </s:right>
      <s:top style="thin">
        <s:color theme="1"/>
      </s:top>
      <s:bottom/>
      <s:diagonal/>
    </s:border>
    <s:border>
      <s:left style="thin">
        <s:color theme="1"/>
      </s:left>
      <s:right style="thin">
        <s:color theme="1"/>
      </s:right>
      <s:top style="thin">
        <s:color theme="1"/>
      </s:top>
      <s:bottom style="thin">
        <s:color theme="1"/>
      </s:bottom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/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/>
      <s:diagonal/>
    </s:border>
    <s:border>
      <s:left style="thin">
        <s:color auto="1"/>
      </s:left>
      <s:right style="medium">
        <s:color auto="1"/>
      </s:right>
      <s:top style="medium">
        <s:color auto="1"/>
      </s:top>
      <s:bottom/>
      <s:diagonal/>
    </s:border>
    <s:border>
      <s:left style="medium">
        <s:color theme="1"/>
      </s:left>
      <s:right style="medium">
        <s:color theme="1"/>
      </s:right>
      <s:top style="medium">
        <s:color theme="1"/>
      </s:top>
      <s:bottom style="medium">
        <s:color theme="1"/>
      </s:bottom>
      <s:diagonal/>
    </s:border>
    <s:border>
      <s:left style="medium">
        <s:color auto="1"/>
      </s:left>
      <s:right style="thin">
        <s:color auto="1"/>
      </s:right>
      <s:top/>
      <s:bottom style="thin">
        <s:color auto="1"/>
      </s:bottom>
      <s:diagonal/>
    </s:border>
    <s:border>
      <s:left style="medium">
        <s:color auto="1"/>
      </s:left>
      <s:right style="medium">
        <s:color auto="1"/>
      </s:right>
      <s:top/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/>
      <s:bottom/>
      <s:diagonal/>
    </s:border>
    <s:border>
      <s:left style="thin">
        <s:color auto="1"/>
      </s:left>
      <s:right style="thin">
        <s:color auto="1"/>
      </s:right>
      <s:top/>
      <s:bottom/>
      <s:diagonal/>
    </s:border>
    <s:border>
      <s:left style="thin">
        <s:color auto="1"/>
      </s:left>
      <s:right style="medium">
        <s:color auto="1"/>
      </s:right>
      <s:top/>
      <s:bottom/>
      <s:diagonal/>
    </s:border>
    <s:border>
      <s:left style="thin">
        <s:color auto="1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thin">
        <s:color auto="1"/>
      </s:right>
      <s:top/>
      <s:bottom style="medium">
        <s:color auto="1"/>
      </s:bottom>
      <s:diagonal/>
    </s:border>
    <s:border>
      <s:left style="thin">
        <s:color auto="1"/>
      </s:left>
      <s:right/>
      <s:top/>
      <s:bottom style="medium">
        <s:color auto="1"/>
      </s:bottom>
      <s:diagonal/>
    </s:border>
    <s:border>
      <s:left style="medium">
        <s:color auto="1"/>
      </s:left>
      <s:right/>
      <s:top/>
      <s:bottom/>
      <s:diagonal/>
    </s:border>
    <s:border>
      <s:left/>
      <s:right style="thin">
        <s:color auto="1"/>
      </s:right>
      <s:top/>
      <s:bottom/>
      <s:diagonal/>
    </s:border>
    <s:border>
      <s:left style="thin">
        <s:color auto="1"/>
      </s:left>
      <s:right/>
      <s:top/>
      <s:bottom/>
      <s:diagonal/>
    </s:border>
    <s:border>
      <s:left style="medium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/>
      <s:right/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/>
      <s:diagonal/>
    </s:border>
    <s:border>
      <s:left/>
      <s:right/>
      <s:top style="thin">
        <s:color auto="1"/>
      </s:top>
      <s:bottom/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 style="thin">
        <s:color auto="1"/>
      </s:right>
      <s:top/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/>
      <s:bottom style="medium">
        <s:color auto="1"/>
      </s:bottom>
      <s:diagonal/>
    </s:border>
    <s:border>
      <s:left/>
      <s:right/>
      <s:top/>
      <s:bottom style="thin">
        <s:color auto="1"/>
      </s:bottom>
      <s:diagonal/>
    </s:border>
    <s:border>
      <s:left style="hair">
        <s:color auto="1"/>
      </s:left>
      <s:right style="hair">
        <s:color auto="1"/>
      </s:right>
      <s:top style="hair">
        <s:color auto="1"/>
      </s:top>
      <s:bottom style="hair">
        <s:color auto="1"/>
      </s:bottom>
      <s:diagonal/>
    </s:border>
    <s:border>
      <s:left/>
      <s:right style="thin">
        <s:color theme="1"/>
      </s:right>
      <s:top style="thin">
        <s:color theme="1"/>
      </s:top>
      <s:bottom style="thin">
        <s:color theme="1"/>
      </s:bottom>
      <s:diagonal/>
    </s:border>
    <s:border>
      <s:left style="thin">
        <s:color auto="1"/>
      </s:left>
      <s:right style="thin">
        <s:color theme="1"/>
      </s:right>
      <s:top style="thin">
        <s:color auto="1"/>
      </s:top>
      <s:bottom style="thin">
        <s:color auto="1"/>
      </s:bottom>
      <s:diagonal/>
    </s:border>
    <s:border>
      <s:left style="thin">
        <s:color theme="1"/>
      </s:left>
      <s:right style="thin">
        <s:color theme="1"/>
      </s:right>
      <s:top/>
      <s:bottom style="thin">
        <s:color theme="1"/>
      </s:bottom>
      <s:diagonal/>
    </s:border>
    <s:border>
      <s:left style="thin">
        <s:color theme="1"/>
      </s:left>
      <s:right/>
      <s:top style="thin">
        <s:color theme="1"/>
      </s:top>
      <s:bottom style="thin">
        <s:color theme="1"/>
      </s:bottom>
      <s:diagonal/>
    </s:border>
    <s:border>
      <s:left style="thin">
        <s:color theme="1"/>
      </s:left>
      <s:right style="thin">
        <s:color theme="1"/>
      </s:right>
      <s:top style="thin">
        <s:color auto="1"/>
      </s:top>
      <s:bottom style="thin">
        <s:color auto="1"/>
      </s:bottom>
      <s:diagonal/>
    </s:border>
    <s:border>
      <s:left style="thin">
        <s:color theme="1"/>
      </s:left>
      <s:right style="thin">
        <s:color theme="1"/>
      </s:right>
      <s:top/>
      <s:bottom style="thin">
        <s:color auto="1"/>
      </s:bottom>
      <s:diagonal/>
    </s:border>
    <s:border>
      <s:left style="thin">
        <s:color theme="1"/>
      </s:left>
      <s:right style="thin">
        <s:color theme="1"/>
      </s:right>
      <s:top/>
      <s:bottom/>
      <s:diagonal/>
    </s:border>
    <s:border>
      <s:left style="medium">
        <s:color auto="1"/>
      </s:left>
      <s:right/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medium">
        <s:color auto="1"/>
      </s:top>
      <s:bottom/>
      <s:diagonal/>
    </s:border>
    <s:border>
      <s:left style="medium">
        <s:color auto="1"/>
      </s:left>
      <s:right/>
      <s:top style="thin">
        <s:color auto="1"/>
      </s:top>
      <s:bottom style="thin">
        <s:color auto="1"/>
      </s:bottom>
      <s:diagonal/>
    </s:border>
    <s:border>
      <s:left/>
      <s:right style="medium">
        <s:color auto="1"/>
      </s:right>
      <s:top/>
      <s:bottom style="thin">
        <s:color auto="1"/>
      </s:bottom>
      <s:diagonal/>
    </s:border>
    <s:border>
      <s:left/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/>
      <s:right style="medium">
        <s:color auto="1"/>
      </s:right>
      <s:top/>
      <s:bottom/>
      <s:diagonal/>
    </s:border>
    <s:border>
      <s:left style="medium">
        <s:color auto="1"/>
      </s:left>
      <s:right style="thin">
        <s:color rgb="FFB3AC86"/>
      </s:right>
      <s:top/>
      <s:bottom/>
      <s:diagonal/>
    </s:border>
    <s:border>
      <s:left style="medium">
        <s:color auto="1"/>
      </s:left>
      <s:right style="thin">
        <s:color auto="1"/>
      </s:right>
      <s:top/>
      <s:bottom/>
      <s:diagonal/>
    </s:border>
    <s:border>
      <s:left/>
      <s:right style="medium">
        <s:color auto="1"/>
      </s:right>
      <s:top/>
      <s:bottom style="thin">
        <s:color rgb="FFCCC085"/>
      </s:bottom>
      <s:diagonal/>
    </s:border>
    <s:border>
      <s:left/>
      <s:right style="thin">
        <s:color rgb="FFCCC085"/>
      </s:right>
      <s:top style="thin">
        <s:color auto="1"/>
      </s:top>
      <s:bottom style="thin">
        <s:color auto="1"/>
      </s:bottom>
      <s:diagonal/>
    </s:border>
    <s:border>
      <s:left style="thin">
        <s:color rgb="FFCCC085"/>
      </s:left>
      <s:right style="medium">
        <s:color auto="1"/>
      </s:right>
      <s:top/>
      <s:bottom style="thin">
        <s:color auto="1"/>
      </s:bottom>
      <s:diagonal/>
    </s:border>
    <s:border>
      <s:left style="medium">
        <s:color auto="1"/>
      </s:left>
      <s:right style="thin">
        <s:color rgb="FFCCC085"/>
      </s:right>
      <s:top style="thin">
        <s:color rgb="FFCCC085"/>
      </s:top>
      <s:bottom style="thin">
        <s:color auto="1"/>
      </s:bottom>
      <s:diagonal/>
    </s:border>
    <s:border>
      <s:left style="thin">
        <s:color rgb="FFCCC085"/>
      </s:left>
      <s:right style="medium">
        <s:color auto="1"/>
      </s:right>
      <s:top style="thin">
        <s:color rgb="FFCCC085"/>
      </s:top>
      <s:bottom style="thin">
        <s:color auto="1"/>
      </s:bottom>
      <s:diagonal/>
    </s:border>
    <s:border>
      <s:left style="medium">
        <s:color auto="1"/>
      </s:left>
      <s:right style="medium">
        <s:color auto="1"/>
      </s:right>
      <s:top style="thin">
        <s:color rgb="FFCCC085"/>
      </s:top>
      <s:bottom style="thin">
        <s:color auto="1"/>
      </s:bottom>
      <s:diagonal/>
    </s:border>
    <s:border>
      <s:left style="medium">
        <s:color auto="1"/>
      </s:left>
      <s:right style="thin">
        <s:color rgb="FFCCC085"/>
      </s:right>
      <s:top/>
      <s:bottom style="thin">
        <s:color auto="1"/>
      </s:bottom>
      <s:diagonal/>
    </s:border>
    <s:border>
      <s:left/>
      <s:right/>
      <s:top/>
      <s:bottom style="thin">
        <s:color rgb="FFB3AC86"/>
      </s:bottom>
      <s:diagonal/>
    </s:border>
    <s:border>
      <s:left style="thin">
        <s:color rgb="FFB3AC86"/>
      </s:left>
      <s:right style="thin">
        <s:color rgb="FFB3AC86"/>
      </s:right>
      <s:top style="thin">
        <s:color rgb="FFB3AC86"/>
      </s:top>
      <s:bottom style="thin">
        <s:color rgb="FFB3AC86"/>
      </s:bottom>
      <s:diagonal/>
    </s:border>
    <s:border>
      <s:left style="thin">
        <s:color rgb="FFB3AC86"/>
      </s:left>
      <s:right/>
      <s:top style="thin">
        <s:color rgb="FFB3AC86"/>
      </s:top>
      <s:bottom style="thin">
        <s:color rgb="FFB3AC86"/>
      </s:bottom>
      <s:diagonal/>
    </s:border>
    <s:border>
      <s:left/>
      <s:right style="thin">
        <s:color rgb="FFB3AC86"/>
      </s:right>
      <s:top style="thin">
        <s:color rgb="FFB3AC86"/>
      </s:top>
      <s:bottom style="thin">
        <s:color rgb="FFB3AC86"/>
      </s:bottom>
      <s:diagonal/>
    </s:border>
    <s:border>
      <s:left style="thin">
        <s:color rgb="FFB3AC86"/>
      </s:left>
      <s:right style="thin">
        <s:color auto="1"/>
      </s:right>
      <s:top/>
      <s:bottom/>
      <s:diagonal/>
    </s:border>
    <s:border>
      <s:left/>
      <s:right/>
      <s:top style="thin">
        <s:color rgb="FFB3AC86"/>
      </s:top>
      <s:bottom style="medium">
        <s:color auto="1"/>
      </s:bottom>
      <s:diagonal/>
    </s:border>
    <s:border>
      <s:left/>
      <s:right/>
      <s:top style="thin">
        <s:color auto="1"/>
      </s:top>
      <s:bottom style="medium">
        <s:color auto="1"/>
      </s:bottom>
      <s:diagonal/>
    </s:border>
    <s:border>
      <s:left/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/>
      <s:top/>
      <s:bottom style="thin">
        <s:color rgb="FFCCC085"/>
      </s:bottom>
      <s:diagonal/>
    </s:border>
    <s:border>
      <s:left/>
      <s:right/>
      <s:top/>
      <s:bottom style="thin">
        <s:color rgb="FFCCC085"/>
      </s:bottom>
      <s:diagonal/>
    </s:border>
    <s:border>
      <s:left/>
      <s:right style="thin">
        <s:color rgb="FFCCC085"/>
      </s:right>
      <s:top/>
      <s:bottom style="thin">
        <s:color rgb="FFCCC085"/>
      </s:bottom>
      <s:diagonal/>
    </s:border>
    <s:border>
      <s:left style="thin">
        <s:color rgb="FFCCC085"/>
      </s:left>
      <s:right style="thin">
        <s:color rgb="FFCCC085"/>
      </s:right>
      <s:top/>
      <s:bottom style="thin">
        <s:color rgb="FFCCC085"/>
      </s:bottom>
      <s:diagonal/>
    </s:border>
    <s:border>
      <s:left style="thin">
        <s:color rgb="FFCCC085"/>
      </s:left>
      <s:right style="medium">
        <s:color auto="1"/>
      </s:right>
      <s:top/>
      <s:bottom style="thin">
        <s:color rgb="FFCCC085"/>
      </s:bottom>
      <s:diagonal/>
    </s:border>
    <s:border>
      <s:left style="medium">
        <s:color auto="1"/>
      </s:left>
      <s:right style="thin">
        <s:color rgb="FFCCC085"/>
      </s:right>
      <s:top/>
      <s:bottom style="thin">
        <s:color rgb="FFCCC085"/>
      </s:bottom>
      <s:diagonal/>
    </s:border>
    <s:border>
      <s:left style="medium">
        <s:color auto="1"/>
      </s:left>
      <s:right style="medium">
        <s:color auto="1"/>
      </s:right>
      <s:top/>
      <s:bottom style="thin">
        <s:color rgb="FFCCC085"/>
      </s:bottom>
      <s:diagonal/>
    </s:border>
    <s:border>
      <s:left style="medium">
        <s:color auto="1"/>
      </s:left>
      <s:right/>
      <s:top style="thin">
        <s:color rgb="FFCCC085"/>
      </s:top>
      <s:bottom/>
      <s:diagonal/>
    </s:border>
    <s:border>
      <s:left/>
      <s:right style="medium">
        <s:color auto="1"/>
      </s:right>
      <s:top style="thin">
        <s:color rgb="FFCCC085"/>
      </s:top>
      <s:bottom/>
      <s:diagonal/>
    </s:border>
    <s:border>
      <s:left style="medium">
        <s:color auto="1"/>
      </s:left>
      <s:right/>
      <s:top style="thin">
        <s:color auto="1"/>
      </s:top>
      <s:bottom/>
      <s:diagonal/>
    </s:border>
    <s:border>
      <s:left style="thin">
        <s:color rgb="FFB3AC86"/>
      </s:left>
      <s:right/>
      <s:top/>
      <s:bottom/>
      <s:diagonal/>
    </s:border>
    <s:border>
      <s:left style="medium">
        <s:color auto="1"/>
      </s:left>
      <s:right/>
      <s:top style="thin">
        <s:color auto="1"/>
      </s:top>
      <s:bottom style="thin">
        <s:color rgb="FFCCC085"/>
      </s:bottom>
      <s:diagonal/>
    </s:border>
    <s:border>
      <s:left/>
      <s:right/>
      <s:top style="thin">
        <s:color auto="1"/>
      </s:top>
      <s:bottom style="thin">
        <s:color rgb="FFCCC085"/>
      </s:bottom>
      <s:diagonal/>
    </s:border>
    <s:border>
      <s:left/>
      <s:right style="thin">
        <s:color rgb="FFCCC085"/>
      </s:right>
      <s:top style="thin">
        <s:color auto="1"/>
      </s:top>
      <s:bottom style="thin">
        <s:color rgb="FFCCC085"/>
      </s:bottom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rgb="FFCCC085"/>
      </s:bottom>
      <s:diagonal/>
    </s:border>
    <s:border>
      <s:left style="medium">
        <s:color auto="1"/>
      </s:left>
      <s:right style="thin">
        <s:color rgb="FFCCC085"/>
      </s:right>
      <s:top style="thin">
        <s:color rgb="FFCCC085"/>
      </s:top>
      <s:bottom style="thin">
        <s:color rgb="FFCCC085"/>
      </s:bottom>
      <s:diagonal/>
    </s:border>
    <s:border>
      <s:left style="thin">
        <s:color rgb="FFCCC085"/>
      </s:left>
      <s:right style="medium">
        <s:color auto="1"/>
      </s:right>
      <s:top style="thin">
        <s:color rgb="FFCCC085"/>
      </s:top>
      <s:bottom style="thin">
        <s:color rgb="FFCCC085"/>
      </s:bottom>
      <s:diagonal/>
    </s:border>
    <s:border>
      <s:left style="medium">
        <s:color auto="1"/>
      </s:left>
      <s:right style="medium">
        <s:color auto="1"/>
      </s:right>
      <s:top style="thin">
        <s:color rgb="FFCCC085"/>
      </s:top>
      <s:bottom style="thin">
        <s:color rgb="FFCCC085"/>
      </s:bottom>
      <s:diagonal/>
    </s:border>
    <s:border>
      <s:left style="medium">
        <s:color auto="1"/>
      </s:left>
      <s:right/>
      <s:top style="thin">
        <s:color rgb="FFCCC085"/>
      </s:top>
      <s:bottom style="thin">
        <s:color rgb="FFCCC085"/>
      </s:bottom>
      <s:diagonal/>
    </s:border>
    <s:border>
      <s:left/>
      <s:right/>
      <s:top style="thin">
        <s:color rgb="FFCCC085"/>
      </s:top>
      <s:bottom style="thin">
        <s:color rgb="FFCCC085"/>
      </s:bottom>
      <s:diagonal/>
    </s:border>
    <s:border>
      <s:left/>
      <s:right style="thin">
        <s:color rgb="FFCCC085"/>
      </s:right>
      <s:top style="thin">
        <s:color rgb="FFCCC085"/>
      </s:top>
      <s:bottom style="thin">
        <s:color rgb="FFCCC085"/>
      </s:bottom>
      <s:diagonal/>
    </s:border>
    <s:border>
      <s:left style="thin">
        <s:color rgb="FFCCC085"/>
      </s:left>
      <s:right style="thin">
        <s:color rgb="FFCCC085"/>
      </s:right>
      <s:top style="thin">
        <s:color rgb="FFCCC085"/>
      </s:top>
      <s:bottom style="thin">
        <s:color rgb="FFCCC085"/>
      </s:bottom>
      <s:diagonal/>
    </s:border>
    <s:border>
      <s:left style="medium">
        <s:color auto="1"/>
      </s:left>
      <s:right style="medium">
        <s:color auto="1"/>
      </s:right>
      <s:top style="thin">
        <s:color rgb="FFCCC085"/>
      </s:top>
      <s:bottom style="medium">
        <s:color auto="1"/>
      </s:bottom>
      <s:diagonal/>
    </s:border>
    <s:border>
      <s:left style="medium">
        <s:color indexed="16"/>
      </s:left>
      <s:right/>
      <s:top/>
      <s:bottom/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indexed="16"/>
      </s:bottom>
      <s:diagonal/>
    </s:border>
    <s:border>
      <s:left/>
      <s:right/>
      <s:top style="medium">
        <s:color indexed="16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indexed="16"/>
      </s:top>
      <s:bottom style="thin">
        <s:color indexed="16"/>
      </s:bottom>
      <s:diagonal/>
    </s:border>
    <s:border>
      <s:left style="medium">
        <s:color auto="1"/>
      </s:left>
      <s:right style="medium">
        <s:color auto="1"/>
      </s:right>
      <s:top style="thin">
        <s:color indexed="16"/>
      </s:top>
      <s:bottom style="medium">
        <s:color auto="1"/>
      </s:bottom>
      <s:diagonal/>
    </s:border>
    <s:border>
      <s:left style="medium">
        <s:color indexed="16"/>
      </s:left>
      <s:right/>
      <s:top style="medium">
        <s:color indexed="16"/>
      </s:top>
      <s:bottom style="medium">
        <s:color indexed="16"/>
      </s:bottom>
      <s:diagonal/>
    </s:border>
    <s:border>
      <s:left/>
      <s:right style="medium">
        <s:color indexed="16"/>
      </s:right>
      <s:top style="medium">
        <s:color indexed="16"/>
      </s:top>
      <s:bottom style="medium">
        <s:color indexed="16"/>
      </s:bottom>
      <s:diagonal/>
    </s:border>
    <s:border>
      <s:left/>
      <s:right/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medium">
        <s:color indexed="16"/>
      </s:right>
      <s:top/>
      <s:bottom style="medium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medium">
        <s:color indexed="16"/>
      </s:top>
      <s:bottom/>
      <s:diagonal/>
    </s:border>
    <s:border>
      <s:left style="medium">
        <s:color indexed="16"/>
      </s:left>
      <s:right/>
      <s:top/>
      <s:bottom style="medium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thin">
        <s:color indexed="16"/>
      </s:right>
      <s:top style="medium">
        <s:color indexed="16"/>
      </s:top>
      <s:bottom style="medium">
        <s:color indexed="16"/>
      </s:bottom>
      <s:diagonal/>
    </s:border>
    <s:border>
      <s:left style="thin">
        <s:color indexed="16"/>
      </s:left>
      <s:right style="thin">
        <s:color indexed="16"/>
      </s:right>
      <s:top style="medium">
        <s:color indexed="16"/>
      </s:top>
      <s:bottom/>
      <s:diagonal/>
    </s:border>
    <s:border>
      <s:left style="medium">
        <s:color indexed="16"/>
      </s:left>
      <s:right style="thin">
        <s:color indexed="16"/>
      </s:right>
      <s:top/>
      <s:bottom/>
      <s:diagonal/>
    </s:border>
    <s:border>
      <s:left style="thin">
        <s:color indexed="16"/>
      </s:left>
      <s:right style="thin">
        <s:color indexed="16"/>
      </s:right>
      <s:top/>
      <s:bottom/>
      <s:diagonal/>
    </s:border>
    <s:border>
      <s:left style="thin">
        <s:color indexed="16"/>
      </s:left>
      <s:right style="thin">
        <s:color auto="1"/>
      </s:right>
      <s:top style="medium">
        <s:color auto="1"/>
      </s:top>
      <s:bottom/>
      <s:diagonal/>
    </s:border>
    <s:border>
      <s:left/>
      <s:right style="thin">
        <s:color indexed="16"/>
      </s:right>
      <s:top/>
      <s:bottom/>
      <s:diagonal/>
    </s:border>
    <s:border>
      <s:left style="medium">
        <s:color auto="1"/>
      </s:left>
      <s:right style="medium">
        <s:color indexed="16"/>
      </s:right>
      <s:top style="medium">
        <s:color auto="1"/>
      </s:top>
      <s:bottom style="medium">
        <s:color auto="1"/>
      </s:bottom>
      <s:diagonal/>
    </s:border>
    <s:border>
      <s:left style="medium">
        <s:color indexed="16"/>
      </s:left>
      <s:right style="medium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thin">
        <s:color indexed="16"/>
      </s:right>
      <s:top/>
      <s:bottom style="medium">
        <s:color indexed="16"/>
      </s:bottom>
      <s:diagonal/>
    </s:border>
    <s:border>
      <s:left style="thin">
        <s:color indexed="16"/>
      </s:left>
      <s:right style="thin">
        <s:color indexed="16"/>
      </s:right>
      <s:top/>
      <s:bottom style="medium">
        <s:color indexed="16"/>
      </s:bottom>
      <s:diagonal/>
    </s:border>
    <s:border>
      <s:left style="thin">
        <s:color indexed="16"/>
      </s:left>
      <s:right style="thin">
        <s:color indexed="16"/>
      </s:right>
      <s:top/>
      <s:bottom style="thin">
        <s:color indexed="16"/>
      </s:bottom>
      <s:diagonal/>
    </s:border>
    <s:border>
      <s:left style="thin">
        <s:color indexed="16"/>
      </s:left>
      <s:right style="thin">
        <s:color auto="1"/>
      </s:right>
      <s:top/>
      <s:bottom style="thin">
        <s:color indexed="16"/>
      </s:bottom>
      <s:diagonal/>
    </s:border>
    <s:border>
      <s:left/>
      <s:right style="thin">
        <s:color indexed="16"/>
      </s:right>
      <s:top/>
      <s:bottom style="thin">
        <s:color indexed="16"/>
      </s:bottom>
      <s:diagonal/>
    </s:border>
    <s:border>
      <s:left style="thin">
        <s:color indexed="16"/>
      </s:left>
      <s:right/>
      <s:top/>
      <s:bottom style="thin">
        <s:color indexed="16"/>
      </s:bottom>
      <s:diagonal/>
    </s:border>
    <s:border>
      <s:left/>
      <s:right style="thin">
        <s:color indexed="16"/>
      </s:right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 style="thin">
        <s:color auto="1"/>
      </s:right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/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 style="thin">
        <s:color indexed="16"/>
      </s:top>
      <s:bottom/>
      <s:diagonal/>
    </s:border>
    <s:border>
      <s:left style="medium">
        <s:color auto="1"/>
      </s:left>
      <s:right style="thin">
        <s:color indexed="16"/>
      </s:right>
      <s:top style="thin">
        <s:color indexed="16"/>
      </s:top>
      <s:bottom/>
      <s:diagonal/>
    </s:border>
    <s:border>
      <s:left style="thin">
        <s:color indexed="16"/>
      </s:left>
      <s:right style="thin">
        <s:color auto="1"/>
      </s:right>
      <s:top style="thin">
        <s:color indexed="16"/>
      </s:top>
      <s:bottom/>
      <s:diagonal/>
    </s:border>
    <s:border>
      <s:left/>
      <s:right style="thin">
        <s:color indexed="16"/>
      </s:right>
      <s:top style="thin">
        <s:color indexed="16"/>
      </s:top>
      <s:bottom/>
      <s:diagonal/>
    </s:border>
    <s:border>
      <s:left style="medium">
        <s:color auto="1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/>
      <s:top/>
      <s:bottom style="thin">
        <s:color indexed="64"/>
      </s:bottom>
      <s:diagonal/>
    </s:border>
    <s:border>
      <s:left/>
      <s:right/>
      <s:top/>
      <s:bottom style="thin">
        <s:color indexed="64"/>
      </s:bottom>
      <s:diagonal/>
    </s:border>
    <s:border>
      <s:left style="medium">
        <s:color auto="1"/>
      </s:left>
      <s:right style="thin">
        <s:color rgb="FFCCC085"/>
      </s:right>
      <s:top/>
      <s:bottom style="thin">
        <s:color auto="1"/>
      </s:bottom>
      <s:diagonal/>
    </s:border>
    <s:border>
      <s:left style="thin">
        <s:color rgb="FFCCC085"/>
      </s:left>
      <s:right style="medium">
        <s:color auto="1"/>
      </s:right>
      <s:top/>
      <s:bottom style="thin">
        <s:color auto="1"/>
      </s:bottom>
      <s:diagonal/>
    </s:border>
    <s:border>
      <s:left/>
      <s:right style="medium">
        <s:color auto="1"/>
      </s:right>
      <s:top/>
      <s:bottom style="thin">
        <s:color indexed="64"/>
      </s:bottom>
      <s:diagonal/>
    </s:border>
    <s:border>
      <s:left style="medium">
        <s:color auto="1"/>
      </s:left>
      <s:right style="medium">
        <s:color auto="1"/>
      </s:right>
      <s:top/>
      <s:bottom style="thin">
        <s:color auto="1"/>
      </s:bottom>
      <s:diagonal/>
    </s:border>
    <s:border>
      <s:left style="thin">
        <s:color indexed="64"/>
      </s:left>
      <s:right style="thin">
        <s:color indexed="64"/>
      </s:right>
      <s:top style="thin">
        <s:color indexed="64"/>
      </s:top>
      <s:bottom style="thin">
        <s:color indexed="64"/>
      </s:bottom>
      <s:diagonal/>
    </s:border>
    <s:border>
      <s:left/>
      <s:right style="thin">
        <s:color rgb="FFCCC085"/>
      </s:right>
      <s:top/>
      <s:bottom style="thin">
        <s:color auto="1"/>
      </s:bottom>
      <s:diagonal/>
    </s:border>
  </s:borders>
  <s:cellStyleXfs count="4">
    <s:xf numFmtId="0" fontId="0" fillId="0" borderId="0"/>
    <s:xf numFmtId="9" fontId="47" fillId="0" borderId="0" applyBorder="0" applyProtection="0"/>
    <s:xf numFmtId="164" fontId="47" fillId="0" borderId="0" applyBorder="0" applyProtection="0"/>
    <s:xf numFmtId="0" fontId="1" fillId="0" borderId="0"/>
  </s:cellStyleXfs>
  <s:cellXfs count="963">
    <s:xf numFmtId="0" fontId="0" fillId="0" borderId="0" xfId="0"/>
    <s:xf numFmtId="0" fontId="3" fillId="0" borderId="0" xfId="0" applyFont="1"/>
    <s:xf numFmtId="0" fontId="4" fillId="0" borderId="0" xfId="0" applyFont="1"/>
    <s:xf numFmtId="165" fontId="5" fillId="2" borderId="0" xfId="0" applyNumberFormat="1" applyFont="1" applyFill="1" applyAlignment="1">
      <s:alignment horizontal="center" vertical="center" mc:Ignorable="vyd"/>
    </s:xf>
    <s:xf numFmtId="0" fontId="6" fillId="2" borderId="0" xfId="0" applyFont="1" applyFill="1"/>
    <s:xf numFmtId="0" fontId="3" fillId="2" borderId="0" xfId="0" applyFont="1" applyFill="1"/>
    <s:xf numFmtId="0" fontId="7" fillId="2" borderId="0" xfId="0" applyFont="1" applyFill="1"/>
    <s:xf numFmtId="0" fontId="8" fillId="2" borderId="0" xfId="0" applyFont="1" applyFill="1" applyAlignment="1">
      <s:alignment horizontal="center" mc:Ignorable="vyd"/>
    </s:xf>
    <s:xf numFmtId="0" fontId="9" fillId="2" borderId="0" xfId="0" applyFont="1" applyFill="1" applyAlignment="1">
      <s:alignment horizontal="center" vertical="top" mc:Ignorable="vyd"/>
    </s:xf>
    <s:xf numFmtId="0" fontId="10" fillId="2" borderId="0" xfId="0" applyFont="1" applyFill="1" applyAlignment="1">
      <s:alignment vertical="top" mc:Ignorable="vyd"/>
    </s:xf>
    <s:xf numFmtId="0" fontId="10" fillId="2" borderId="0" xfId="0" applyFont="1" applyFill="1"/>
    <s:xf numFmtId="0" fontId="11" fillId="3" borderId="1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2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3" xfId="0" applyFont="1" applyFill="1" applyBorder="1" applyAlignment="1" applyProtection="1">
      <s:alignment horizontal="center" vertical="center" wrapText="1" mc:Ignorable="vyd"/>
      <s:protection locked="0"/>
    </s:xf>
    <s:xf numFmtId="165" fontId="12" fillId="2" borderId="0" xfId="0" applyNumberFormat="1" applyFont="1" applyFill="1" applyAlignment="1">
      <s:alignment horizontal="center" vertical="center" mc:Ignorable="vyd"/>
    </s:xf>
    <s:xf numFmtId="3" fontId="6" fillId="2" borderId="4" xfId="0" applyNumberFormat="1" applyFont="1" applyFill="1" applyBorder="1" applyAlignment="1" applyProtection="1">
      <s:alignment horizontal="center" mc:Ignorable="vyd"/>
      <s:protection locked="0"/>
    </s:xf>
    <s:xf numFmtId="3" fontId="6" fillId="2" borderId="5" xfId="0" applyNumberFormat="1" applyFont="1" applyFill="1" applyBorder="1" applyAlignment="1" applyProtection="1">
      <s:alignment horizontal="center" mc:Ignorable="vyd"/>
      <s:protection locked="0"/>
    </s:xf>
    <s:xf numFmtId="9" fontId="6" fillId="2" borderId="6" xfId="1" applyFont="1" applyFill="1" applyBorder="1" applyProtection="1"/>
    <s:xf numFmtId="0" fontId="11" fillId="3" borderId="7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8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9" xfId="0" applyFont="1" applyFill="1" applyBorder="1" applyAlignment="1" applyProtection="1">
      <s:alignment horizontal="center" vertical="center" wrapText="1" mc:Ignorable="vyd"/>
      <s:protection locked="0"/>
    </s:xf>
    <s:xf numFmtId="0" fontId="7" fillId="2" borderId="0" xfId="0" applyFont="1" applyFill="1" applyAlignment="1">
      <s:alignment horizontal="center" vertical="top" mc:Ignorable="vyd"/>
    </s:xf>
    <s:xf numFmtId="0" fontId="7" fillId="2" borderId="0" xfId="0" applyFont="1" applyFill="1" applyAlignment="1">
      <s:alignment vertical="top" mc:Ignorable="vyd"/>
    </s:xf>
    <s:xf numFmtId="0" fontId="13" fillId="2" borderId="0" xfId="0" applyFont="1" applyFill="1"/>
    <s:xf numFmtId="0" fontId="3" fillId="2" borderId="0" xfId="0" applyFont="1" applyFill="1" applyAlignment="1">
      <s:alignment horizontal="center" mc:Ignorable="vyd"/>
    </s:xf>
    <s:xf numFmtId="0" fontId="14" fillId="2" borderId="10" xfId="0" applyFont="1" applyFill="1" applyBorder="1" applyAlignment="1">
      <s:alignment horizontal="center" vertical="center" mc:Ignorable="vyd"/>
    </s:xf>
    <s:xf numFmtId="0" fontId="14" fillId="2" borderId="11" xfId="0" applyFont="1" applyFill="1" applyBorder="1" applyAlignment="1">
      <s:alignment horizontal="center" vertical="center" mc:Ignorable="vyd"/>
    </s:xf>
    <s:xf numFmtId="0" fontId="14" fillId="2" borderId="12" xfId="0" applyFont="1" applyFill="1" applyBorder="1" applyAlignment="1">
      <s:alignment horizontal="center" vertical="center" mc:Ignorable="vyd"/>
    </s:xf>
    <s:xf numFmtId="166" fontId="7" fillId="2" borderId="0" xfId="1" applyNumberFormat="1" applyFont="1" applyFill="1" applyAlignment="1" applyProtection="1">
      <s:alignment vertical="center" mc:Ignorable="vyd"/>
    </s:xf>
    <s:xf numFmtId="166" fontId="3" fillId="2" borderId="0" xfId="0" applyNumberFormat="1" applyFont="1" applyFill="1"/>
    <s:xf numFmtId="0" fontId="12" fillId="2" borderId="13" xfId="0" applyFont="1" applyFill="1" applyBorder="1" applyAlignment="1">
      <s:alignment horizontal="left" vertical="center" wrapText="1" mc:Ignorable="vyd"/>
    </s:xf>
    <s:xf numFmtId="3" fontId="12" fillId="2" borderId="14" xfId="0" applyNumberFormat="1" applyFont="1" applyFill="1" applyBorder="1" applyAlignment="1">
      <s:alignment horizontal="center" vertical="center" mc:Ignorable="vyd"/>
    </s:xf>
    <s:xf numFmtId="3" fontId="12" fillId="2" borderId="15" xfId="0" applyNumberFormat="1" applyFont="1" applyFill="1" applyBorder="1" applyAlignment="1">
      <s:alignment horizontal="center" vertical="center" mc:Ignorable="vyd"/>
    </s:xf>
    <s:xf numFmtId="3" fontId="12" fillId="2" borderId="15" xfId="0" applyNumberFormat="1" applyFont="1" applyFill="1" applyBorder="1" applyAlignment="1">
      <s:alignment horizontal="center" vertical="center" wrapText="1" mc:Ignorable="vyd"/>
    </s:xf>
    <s:xf numFmtId="0" fontId="15" fillId="2" borderId="15" xfId="0" applyFont="1" applyFill="1" applyBorder="1" applyAlignment="1">
      <s:alignment horizontal="center" vertical="center" wrapText="1" mc:Ignorable="vyd"/>
    </s:xf>
    <s:xf numFmtId="0" fontId="12" fillId="2" borderId="16" xfId="0" applyFont="1" applyFill="1" applyBorder="1" applyAlignment="1">
      <s:alignment horizontal="center" vertical="center" wrapText="1" mc:Ignorable="vyd"/>
    </s:xf>
    <s:xf numFmtId="0" fontId="12" fillId="2" borderId="13" xfId="0" applyFont="1" applyFill="1" applyBorder="1" applyAlignment="1">
      <s:alignment horizontal="center" vertical="center" wrapText="1" mc:Ignorable="vyd"/>
    </s:xf>
    <s:xf numFmtId="0" fontId="12" fillId="2" borderId="11" xfId="0" applyFont="1" applyFill="1" applyBorder="1" applyAlignment="1">
      <s:alignment horizontal="center" vertical="center" wrapText="1" mc:Ignorable="vyd"/>
    </s:xf>
    <s:xf numFmtId="0" fontId="12" fillId="2" borderId="12" xfId="0" applyFont="1" applyFill="1" applyBorder="1" applyAlignment="1">
      <s:alignment horizontal="center" vertical="center" wrapText="1" mc:Ignorable="vyd"/>
    </s:xf>
    <s:xf numFmtId="0" fontId="16" fillId="0" borderId="17" xfId="0" applyFont="1" applyBorder="1" applyAlignment="1">
      <s:alignment horizontal="left" vertical="center" mc:Ignorable="vyd"/>
    </s:xf>
    <s:xf numFmtId="3" fontId="16" fillId="0" borderId="18" xfId="0" applyNumberFormat="1" applyFont="1" applyBorder="1" applyAlignment="1">
      <s:alignment horizontal="center" vertical="center" mc:Ignorable="vyd"/>
    </s:xf>
    <s:xf numFmtId="3" fontId="16" fillId="4" borderId="19" xfId="0" applyNumberFormat="1" applyFont="1" applyFill="1" applyBorder="1" applyAlignment="1">
      <s:alignment horizontal="center" vertical="center" mc:Ignorable="vyd"/>
    </s:xf>
    <s:xf numFmtId="10" fontId="17" fillId="4" borderId="19" xfId="1" applyNumberFormat="1" applyFont="1" applyFill="1" applyBorder="1" applyAlignment="1" applyProtection="1">
      <s:alignment horizontal="center" vertical="center" mc:Ignorable="vyd"/>
    </s:xf>
    <s:xf numFmtId="3" fontId="18" fillId="0" borderId="19" xfId="0" applyNumberFormat="1" applyFont="1" applyBorder="1" applyAlignment="1">
      <s:alignment horizontal="center" vertical="center" mc:Ignorable="vyd"/>
    </s:xf>
    <s:xf numFmtId="10" fontId="15" fillId="0" borderId="20" xfId="1" applyNumberFormat="1" applyFont="1" applyBorder="1" applyAlignment="1" applyProtection="1">
      <s:alignment horizontal="center" vertical="center" mc:Ignorable="vyd"/>
    </s:xf>
    <s:xf numFmtId="3" fontId="7" fillId="0" borderId="20" xfId="0" applyNumberFormat="1" applyFont="1" applyBorder="1" applyAlignment="1">
      <s:alignment horizontal="center" vertical="center" mc:Ignorable="vyd"/>
    </s:xf>
    <s:xf numFmtId="3" fontId="7" fillId="3" borderId="21" xfId="0" applyNumberFormat="1" applyFont="1" applyFill="1" applyBorder="1" applyAlignment="1" applyProtection="1">
      <s:alignment horizontal="center" vertical="center" mc:Ignorable="vyd"/>
      <s:protection locked="0"/>
    </s:xf>
    <s:xf numFmtId="3" fontId="7" fillId="0" borderId="22" xfId="0" applyNumberFormat="1" applyFont="1" applyBorder="1" applyAlignment="1">
      <s:alignment horizontal="center" vertical="center" mc:Ignorable="vyd"/>
    </s:xf>
    <s:xf numFmtId="166" fontId="7" fillId="0" borderId="23" xfId="1" applyNumberFormat="1" applyFont="1" applyBorder="1" applyAlignment="1" applyProtection="1">
      <s:alignment horizontal="center" vertical="center" mc:Ignorable="vyd"/>
    </s:xf>
    <s:xf numFmtId="0" fontId="7" fillId="0" borderId="24" xfId="0" applyFont="1" applyBorder="1" applyAlignment="1">
      <s:alignment horizontal="left" vertical="center" mc:Ignorable="vyd"/>
    </s:xf>
    <s:xf numFmtId="3" fontId="19" fillId="4" borderId="25" xfId="0" applyNumberFormat="1" applyFont="1" applyFill="1" applyBorder="1" applyAlignment="1">
      <s:alignment horizontal="center" vertical="center" mc:Ignorable="vyd"/>
    </s:xf>
    <s:xf numFmtId="3" fontId="7" fillId="4" borderId="26" xfId="0" applyNumberFormat="1" applyFont="1" applyFill="1" applyBorder="1" applyAlignment="1">
      <s:alignment horizontal="center" vertical="center" mc:Ignorable="vyd"/>
    </s:xf>
    <s:xf numFmtId="10" fontId="7" fillId="4" borderId="26" xfId="1" applyNumberFormat="1" applyFont="1" applyFill="1" applyBorder="1" applyAlignment="1" applyProtection="1">
      <s:alignment horizontal="center" vertical="center" mc:Ignorable="vyd"/>
    </s:xf>
    <s:xf numFmtId="3" fontId="18" fillId="0" borderId="26" xfId="0" applyNumberFormat="1" applyFont="1" applyBorder="1" applyAlignment="1">
      <s:alignment horizontal="center" vertical="center" mc:Ignorable="vyd"/>
    </s:xf>
    <s:xf numFmtId="10" fontId="20" fillId="0" borderId="27" xfId="1" applyNumberFormat="1" applyFont="1" applyBorder="1" applyAlignment="1" applyProtection="1">
      <s:alignment horizontal="center" vertical="center" mc:Ignorable="vyd"/>
    </s:xf>
    <s:xf numFmtId="3" fontId="7" fillId="0" borderId="27" xfId="0" applyNumberFormat="1" applyFont="1" applyBorder="1" applyAlignment="1">
      <s:alignment horizontal="center" vertical="center" mc:Ignorable="vyd"/>
    </s:xf>
    <s:xf numFmtId="3" fontId="7" fillId="4" borderId="24" xfId="0" applyNumberFormat="1" applyFont="1" applyFill="1" applyBorder="1" applyAlignment="1" applyProtection="1">
      <s:alignment horizontal="center" vertical="center" mc:Ignorable="vyd"/>
      <s:protection locked="0"/>
    </s:xf>
    <s:xf numFmtId="3" fontId="7" fillId="0" borderId="25" xfId="0" applyNumberFormat="1" applyFont="1" applyBorder="1" applyAlignment="1">
      <s:alignment horizontal="center" vertical="center" mc:Ignorable="vyd"/>
    </s:xf>
    <s:xf numFmtId="166" fontId="7" fillId="0" borderId="28" xfId="1" applyNumberFormat="1" applyFont="1" applyBorder="1" applyAlignment="1" applyProtection="1">
      <s:alignment horizontal="center" vertical="center" mc:Ignorable="vyd"/>
    </s:xf>
    <s:xf numFmtId="0" fontId="16" fillId="0" borderId="24" xfId="0" applyFont="1" applyBorder="1" applyAlignment="1">
      <s:alignment horizontal="left" vertical="center" mc:Ignorable="vyd"/>
    </s:xf>
    <s:xf numFmtId="3" fontId="16" fillId="4" borderId="25" xfId="0" applyNumberFormat="1" applyFont="1" applyFill="1" applyBorder="1" applyAlignment="1">
      <s:alignment horizontal="center" vertical="center" mc:Ignorable="vyd"/>
    </s:xf>
    <s:xf numFmtId="3" fontId="16" fillId="4" borderId="26" xfId="0" applyNumberFormat="1" applyFont="1" applyFill="1" applyBorder="1" applyAlignment="1">
      <s:alignment horizontal="center" vertical="center" mc:Ignorable="vyd"/>
    </s:xf>
    <s:xf numFmtId="10" fontId="16" fillId="4" borderId="26" xfId="1" applyNumberFormat="1" applyFont="1" applyFill="1" applyBorder="1" applyAlignment="1" applyProtection="1">
      <s:alignment horizontal="center" vertical="center" mc:Ignorable="vyd"/>
    </s:xf>
    <s:xf numFmtId="10" fontId="18" fillId="0" borderId="27" xfId="1" applyNumberFormat="1" applyFont="1" applyBorder="1" applyAlignment="1" applyProtection="1">
      <s:alignment horizontal="center" vertical="center" mc:Ignorable="vyd"/>
    </s:xf>
    <s:xf numFmtId="3" fontId="16" fillId="0" borderId="27" xfId="0" applyNumberFormat="1" applyFont="1" applyBorder="1" applyAlignment="1">
      <s:alignment horizontal="center" vertical="center" mc:Ignorable="vyd"/>
    </s:xf>
    <s:xf numFmtId="3" fontId="16" fillId="4" borderId="24" xfId="0" applyNumberFormat="1" applyFont="1" applyFill="1" applyBorder="1" applyAlignment="1">
      <s:alignment horizontal="center" vertical="center" mc:Ignorable="vyd"/>
    </s:xf>
    <s:xf numFmtId="3" fontId="16" fillId="0" borderId="25" xfId="0" applyNumberFormat="1" applyFont="1" applyBorder="1" applyAlignment="1">
      <s:alignment horizontal="center" vertical="center" mc:Ignorable="vyd"/>
    </s:xf>
    <s:xf numFmtId="166" fontId="16" fillId="0" borderId="28" xfId="1" applyNumberFormat="1" applyFont="1" applyBorder="1" applyAlignment="1" applyProtection="1">
      <s:alignment horizontal="center" vertical="center" mc:Ignorable="vyd"/>
    </s:xf>
    <s:xf numFmtId="3" fontId="19" fillId="3" borderId="25" xfId="0" applyNumberFormat="1" applyFont="1" applyFill="1" applyBorder="1" applyAlignment="1">
      <s:alignment horizontal="center" vertical="center" mc:Ignorable="vyd"/>
    </s:xf>
    <s:xf numFmtId="3" fontId="7" fillId="3" borderId="24" xfId="0" applyNumberFormat="1" applyFont="1" applyFill="1" applyBorder="1" applyAlignment="1">
      <s:alignment horizontal="center" vertical="center" mc:Ignorable="vyd"/>
    </s:xf>
    <s:xf numFmtId="4" fontId="19" fillId="3" borderId="25" xfId="0" applyNumberFormat="1" applyFont="1" applyFill="1" applyBorder="1" applyAlignment="1">
      <s:alignment horizontal="center" vertical="center" mc:Ignorable="vyd"/>
    </s:xf>
    <s:xf numFmtId="4" fontId="7" fillId="4" borderId="26" xfId="0" applyNumberFormat="1" applyFont="1" applyFill="1" applyBorder="1" applyAlignment="1">
      <s:alignment horizontal="center" vertical="center" mc:Ignorable="vyd"/>
    </s:xf>
    <s:xf numFmtId="4" fontId="18" fillId="0" borderId="26" xfId="0" applyNumberFormat="1" applyFont="1" applyBorder="1" applyAlignment="1">
      <s:alignment horizontal="center" vertical="center" mc:Ignorable="vyd"/>
    </s:xf>
    <s:xf numFmtId="4" fontId="7" fillId="0" borderId="27" xfId="0" applyNumberFormat="1" applyFont="1" applyBorder="1" applyAlignment="1">
      <s:alignment horizontal="center" vertical="center" mc:Ignorable="vyd"/>
    </s:xf>
    <s:xf numFmtId="4" fontId="7" fillId="3" borderId="24" xfId="0" applyNumberFormat="1" applyFont="1" applyFill="1" applyBorder="1" applyAlignment="1" applyProtection="1">
      <s:alignment horizontal="center" vertical="center" mc:Ignorable="vyd"/>
      <s:protection locked="0"/>
    </s:xf>
    <s:xf numFmtId="3" fontId="7" fillId="3" borderId="24" xfId="0" applyNumberFormat="1" applyFont="1" applyFill="1" applyBorder="1" applyAlignment="1" applyProtection="1">
      <s:alignment horizontal="center" vertical="center" mc:Ignorable="vyd"/>
      <s:protection locked="0"/>
    </s:xf>
    <s:xf numFmtId="3" fontId="7" fillId="5" borderId="26" xfId="0" applyNumberFormat="1" applyFont="1" applyFill="1" applyBorder="1" applyAlignment="1">
      <s:alignment horizontal="center" vertical="center" mc:Ignorable="vyd"/>
    </s:xf>
    <s:xf numFmtId="10" fontId="7" fillId="2" borderId="0" xfId="1" applyNumberFormat="1" applyFont="1" applyFill="1" applyAlignment="1" applyProtection="1">
      <s:alignment horizontal="center" vertical="center" mc:Ignorable="vyd"/>
    </s:xf>
    <s:xf numFmtId="10" fontId="20" fillId="0" borderId="26" xfId="1" applyNumberFormat="1" applyFont="1" applyBorder="1" applyAlignment="1" applyProtection="1">
      <s:alignment horizontal="center" vertical="center" mc:Ignorable="vyd"/>
    </s:xf>
    <s:xf numFmtId="3" fontId="21" fillId="0" borderId="26" xfId="0" applyNumberFormat="1" applyFont="1" applyBorder="1" applyAlignment="1">
      <s:alignment horizontal="center" vertical="center" mc:Ignorable="vyd"/>
    </s:xf>
    <s:xf numFmtId="10" fontId="15" fillId="0" borderId="26" xfId="1" applyNumberFormat="1" applyFont="1" applyBorder="1" applyAlignment="1" applyProtection="1">
      <s:alignment horizontal="center" vertical="center" mc:Ignorable="vyd"/>
    </s:xf>
    <s:xf numFmtId="166" fontId="7" fillId="4" borderId="29" xfId="1" applyNumberFormat="1" applyFont="1" applyFill="1" applyBorder="1" applyAlignment="1" applyProtection="1">
      <s:alignment horizontal="center" vertical="center" wrapText="1" mc:Ignorable="vyd"/>
    </s:xf>
    <s:xf numFmtId="166" fontId="7" fillId="4" borderId="19" xfId="1" applyNumberFormat="1" applyFont="1" applyFill="1" applyBorder="1" applyAlignment="1" applyProtection="1">
      <s:alignment horizontal="center" vertical="center" wrapText="1" mc:Ignorable="vyd"/>
    </s:xf>
    <s:xf numFmtId="3" fontId="7" fillId="6" borderId="26" xfId="1" applyNumberFormat="1" applyFont="1" applyFill="1" applyBorder="1" applyAlignment="1" applyProtection="1">
      <s:alignment horizontal="center" vertical="center" mc:Ignorable="vyd"/>
    </s:xf>
    <s:xf numFmtId="3" fontId="19" fillId="4" borderId="30" xfId="0" applyNumberFormat="1" applyFont="1" applyFill="1" applyBorder="1" applyAlignment="1">
      <s:alignment horizontal="center" vertical="center" mc:Ignorable="vyd"/>
    </s:xf>
    <s:xf numFmtId="3" fontId="7" fillId="4" borderId="29" xfId="0" applyNumberFormat="1" applyFont="1" applyFill="1" applyBorder="1" applyAlignment="1">
      <s:alignment horizontal="center" vertical="center" mc:Ignorable="vyd"/>
    </s:xf>
    <s:xf numFmtId="3" fontId="21" fillId="0" borderId="29" xfId="0" applyNumberFormat="1" applyFont="1" applyBorder="1" applyAlignment="1">
      <s:alignment horizontal="center" vertical="center" mc:Ignorable="vyd"/>
    </s:xf>
    <s:xf numFmtId="10" fontId="15" fillId="0" borderId="31" xfId="1" applyNumberFormat="1" applyFont="1" applyBorder="1" applyAlignment="1" applyProtection="1">
      <s:alignment horizontal="center" vertical="center" mc:Ignorable="vyd"/>
    </s:xf>
    <s:xf numFmtId="3" fontId="7" fillId="3" borderId="32" xfId="0" applyNumberFormat="1" applyFont="1" applyFill="1" applyBorder="1" applyAlignment="1" applyProtection="1">
      <s:alignment horizontal="center" vertical="center" mc:Ignorable="vyd"/>
      <s:protection locked="0"/>
    </s:xf>
    <s:xf numFmtId="0" fontId="16" fillId="0" borderId="33" xfId="0" applyFont="1" applyBorder="1" applyAlignment="1">
      <s:alignment horizontal="left" vertical="center" mc:Ignorable="vyd"/>
    </s:xf>
    <s:xf numFmtId="10" fontId="16" fillId="3" borderId="34" xfId="1" applyNumberFormat="1" applyFont="1" applyFill="1" applyBorder="1" applyAlignment="1" applyProtection="1">
      <s:alignment horizontal="center" vertical="center" mc:Ignorable="vyd"/>
    </s:xf>
    <s:xf numFmtId="10" fontId="16" fillId="4" borderId="35" xfId="1" applyNumberFormat="1" applyFont="1" applyFill="1" applyBorder="1" applyAlignment="1" applyProtection="1">
      <s:alignment horizontal="center" vertical="center" mc:Ignorable="vyd"/>
    </s:xf>
    <s:xf numFmtId="166" fontId="21" fillId="0" borderId="35" xfId="1" applyNumberFormat="1" applyFont="1" applyBorder="1" applyAlignment="1" applyProtection="1">
      <s:alignment horizontal="center" vertical="center" mc:Ignorable="vyd"/>
    </s:xf>
    <s:xf numFmtId="10" fontId="21" fillId="0" borderId="36" xfId="1" applyNumberFormat="1" applyFont="1" applyBorder="1" applyAlignment="1" applyProtection="1">
      <s:alignment horizontal="center" vertical="center" mc:Ignorable="vyd"/>
    </s:xf>
    <s:xf numFmtId="166" fontId="19" fillId="0" borderId="36" xfId="1" applyNumberFormat="1" applyFont="1" applyBorder="1" applyAlignment="1" applyProtection="1">
      <s:alignment horizontal="center" vertical="center" mc:Ignorable="vyd"/>
    </s:xf>
    <s:xf numFmtId="166" fontId="19" fillId="3" borderId="33" xfId="1" applyNumberFormat="1" applyFont="1" applyFill="1" applyBorder="1" applyAlignment="1" applyProtection="1">
      <s:alignment horizontal="center" vertical="center" mc:Ignorable="vyd"/>
      <s:protection locked="0"/>
    </s:xf>
    <s:xf numFmtId="3" fontId="19" fillId="0" borderId="34" xfId="0" applyNumberFormat="1" applyFont="1" applyBorder="1" applyAlignment="1">
      <s:alignment horizontal="center" vertical="center" mc:Ignorable="vyd"/>
    </s:xf>
    <s:xf numFmtId="166" fontId="19" fillId="0" borderId="37" xfId="1" applyNumberFormat="1" applyFont="1" applyBorder="1" applyAlignment="1" applyProtection="1">
      <s:alignment horizontal="center" vertical="center" mc:Ignorable="vyd"/>
    </s:xf>
    <s:xf numFmtId="0" fontId="14" fillId="7" borderId="27" xfId="0" applyFont="1" applyFill="1" applyBorder="1" applyAlignment="1">
      <s:alignment horizontal="center" vertical="center" mc:Ignorable="vyd"/>
    </s:xf>
    <s:xf numFmtId="0" fontId="14" fillId="7" borderId="38" xfId="0" applyFont="1" applyFill="1" applyBorder="1" applyAlignment="1">
      <s:alignment horizontal="center" vertical="center" mc:Ignorable="vyd"/>
    </s:xf>
    <s:xf numFmtId="0" fontId="14" fillId="7" borderId="25" xfId="0" applyFont="1" applyFill="1" applyBorder="1" applyAlignment="1">
      <s:alignment horizontal="center" vertical="center" mc:Ignorable="vyd"/>
    </s:xf>
    <s:xf numFmtId="0" fontId="14" fillId="7" borderId="30" xfId="0" applyFont="1" applyFill="1" applyBorder="1" applyAlignment="1">
      <s:alignment horizontal="center" vertical="center" mc:Ignorable="vyd"/>
    </s:xf>
    <s:xf numFmtId="0" fontId="12" fillId="7" borderId="29" xfId="0" applyFont="1" applyFill="1" applyBorder="1" applyAlignment="1">
      <s:alignment horizontal="center" vertical="center" wrapText="1" mc:Ignorable="vyd"/>
    </s:xf>
    <s:xf numFmtId="0" fontId="22" fillId="7" borderId="29" xfId="0" applyFont="1" applyFill="1" applyBorder="1" applyAlignment="1">
      <s:alignment horizontal="center" vertical="center" mc:Ignorable="vyd"/>
    </s:xf>
    <s:xf numFmtId="0" fontId="12" fillId="7" borderId="26" xfId="0" applyFont="1" applyFill="1" applyBorder="1" applyAlignment="1">
      <s:alignment horizontal="center" vertical="center" wrapText="1" mc:Ignorable="vyd"/>
    </s:xf>
    <s:xf numFmtId="0" fontId="12" fillId="8" borderId="26" xfId="0" applyFont="1" applyFill="1" applyBorder="1" applyAlignment="1">
      <s:alignment horizontal="center" vertical="center" wrapText="1" mc:Ignorable="vyd"/>
    </s:xf>
    <s:xf numFmtId="0" fontId="12" fillId="8" borderId="27" xfId="0" applyFont="1" applyFill="1" applyBorder="1" applyAlignment="1">
      <s:alignment horizontal="center" vertical="center" wrapText="1" mc:Ignorable="vyd"/>
    </s:xf>
    <s:xf numFmtId="0" fontId="12" fillId="8" borderId="39" xfId="0" applyFont="1" applyFill="1" applyBorder="1" applyAlignment="1">
      <s:alignment horizontal="center" vertical="center" wrapText="1" mc:Ignorable="vyd"/>
    </s:xf>
    <s:xf numFmtId="0" fontId="12" fillId="8" borderId="30" xfId="0" applyFont="1" applyFill="1" applyBorder="1" applyAlignment="1">
      <s:alignment horizontal="center" vertical="center" wrapText="1" mc:Ignorable="vyd"/>
    </s:xf>
    <s:xf numFmtId="0" fontId="12" fillId="7" borderId="25" xfId="0" applyFont="1" applyFill="1" applyBorder="1" applyAlignment="1">
      <s:alignment horizontal="center" vertical="center" wrapText="1" mc:Ignorable="vyd"/>
    </s:xf>
    <s:xf numFmtId="0" fontId="23" fillId="7" borderId="26" xfId="0" applyFont="1" applyFill="1" applyBorder="1" applyAlignment="1">
      <s:alignment horizontal="center" vertical="center" wrapText="1" mc:Ignorable="vyd"/>
    </s:xf>
    <s:xf numFmtId="3" fontId="4" fillId="0" borderId="0" xfId="0" applyNumberFormat="1" applyFont="1"/>
    <s:xf numFmtId="0" fontId="22" fillId="7" borderId="19" xfId="0" applyFont="1" applyFill="1" applyBorder="1" applyAlignment="1">
      <s:alignment horizontal="center" vertical="center" mc:Ignorable="vyd"/>
    </s:xf>
    <s:xf numFmtId="0" fontId="7" fillId="7" borderId="26" xfId="0" applyFont="1" applyFill="1" applyBorder="1" applyAlignment="1">
      <s:alignment horizontal="center" vertical="top" wrapText="1" mc:Ignorable="vyd"/>
    </s:xf>
    <s:xf numFmtId="0" fontId="7" fillId="7" borderId="27" xfId="0" applyFont="1" applyFill="1" applyBorder="1" applyAlignment="1">
      <s:alignment horizontal="center" vertical="top" wrapText="1" mc:Ignorable="vyd"/>
    </s:xf>
    <s:xf numFmtId="0" fontId="7" fillId="7" borderId="40" xfId="0" applyFont="1" applyFill="1" applyBorder="1" applyAlignment="1">
      <s:alignment horizontal="center" vertical="top" wrapText="1" mc:Ignorable="vyd"/>
    </s:xf>
    <s:xf numFmtId="0" fontId="7" fillId="7" borderId="0" xfId="0" applyFont="1" applyFill="1" applyAlignment="1">
      <s:alignment horizontal="center" vertical="top" wrapText="1" mc:Ignorable="vyd"/>
    </s:xf>
    <s:xf numFmtId="0" fontId="12" fillId="7" borderId="19" xfId="0" applyFont="1" applyFill="1" applyBorder="1" applyAlignment="1">
      <s:alignment horizontal="center" vertical="center" wrapText="1" mc:Ignorable="vyd"/>
    </s:xf>
    <s:xf numFmtId="0" fontId="12" fillId="7" borderId="26" xfId="0" applyFont="1" applyFill="1" applyBorder="1" applyAlignment="1">
      <s:alignment horizontal="center" vertical="top" wrapText="1" mc:Ignorable="vyd"/>
    </s:xf>
    <s:xf numFmtId="0" fontId="2" fillId="9" borderId="29" xfId="0" applyFont="1" applyFill="1" applyBorder="1" applyAlignment="1">
      <s:alignment horizontal="center" vertical="center" mc:Ignorable="vyd"/>
    </s:xf>
    <s:xf numFmtId="16" fontId="7" fillId="9" borderId="26" xfId="0" applyNumberFormat="1" applyFont="1" applyFill="1" applyBorder="1" applyAlignment="1">
      <s:alignment horizontal="center" vertical="top" mc:Ignorable="vyd"/>
    </s:xf>
    <s:xf numFmtId="0" fontId="7" fillId="9" borderId="26" xfId="0" applyFont="1" applyFill="1" applyBorder="1" applyAlignment="1">
      <s:alignment horizontal="center" vertical="top" mc:Ignorable="vyd"/>
    </s:xf>
    <s:xf numFmtId="3" fontId="7" fillId="9" borderId="25" xfId="0" applyNumberFormat="1" applyFont="1" applyFill="1" applyBorder="1" applyAlignment="1">
      <s:alignment horizontal="center" vertical="top" mc:Ignorable="vyd"/>
    </s:xf>
    <s:xf numFmtId="3" fontId="7" fillId="9" borderId="26" xfId="0" applyNumberFormat="1" applyFont="1" applyFill="1" applyBorder="1" applyAlignment="1">
      <s:alignment horizontal="center" vertical="top" mc:Ignorable="vyd"/>
    </s:xf>
    <s:xf numFmtId="4" fontId="7" fillId="9" borderId="26" xfId="0" applyNumberFormat="1" applyFont="1" applyFill="1" applyBorder="1" applyAlignment="1">
      <s:alignment horizontal="center" vertical="top" mc:Ignorable="vyd"/>
    </s:xf>
    <s:xf numFmtId="3" fontId="7" fillId="9" borderId="22" xfId="0" applyNumberFormat="1" applyFont="1" applyFill="1" applyBorder="1" applyAlignment="1">
      <s:alignment horizontal="center" vertical="top" mc:Ignorable="vyd"/>
    </s:xf>
    <s:xf numFmtId="10" fontId="7" fillId="9" borderId="26" xfId="0" applyNumberFormat="1" applyFont="1" applyFill="1" applyBorder="1" applyAlignment="1">
      <s:alignment horizontal="center" vertical="top" mc:Ignorable="vyd"/>
    </s:xf>
    <s:xf numFmtId="9" fontId="3" fillId="9" borderId="26" xfId="0" applyNumberFormat="1" applyFont="1" applyFill="1" applyBorder="1" applyAlignment="1">
      <s:alignment horizontal="center" vertical="center" mc:Ignorable="vyd"/>
    </s:xf>
    <s:xf numFmtId="3" fontId="24" fillId="9" borderId="26" xfId="0" applyNumberFormat="1" applyFont="1" applyFill="1" applyBorder="1" applyAlignment="1">
      <s:alignment horizontal="center" mc:Ignorable="vyd"/>
    </s:xf>
    <s:xf numFmtId="3" fontId="7" fillId="9" borderId="26" xfId="0" applyNumberFormat="1" applyFont="1" applyFill="1" applyBorder="1" applyAlignment="1">
      <s:alignment horizontal="center" mc:Ignorable="vyd"/>
    </s:xf>
    <s:xf numFmtId="2" fontId="7" fillId="9" borderId="26" xfId="0" applyNumberFormat="1" applyFont="1" applyFill="1" applyBorder="1" applyAlignment="1">
      <s:alignment horizontal="right" mc:Ignorable="vyd"/>
    </s:xf>
    <s:xf numFmtId="0" fontId="4" fillId="9" borderId="0" xfId="0" applyFont="1" applyFill="1"/>
    <s:xf numFmtId="166" fontId="4" fillId="9" borderId="0" xfId="0" applyNumberFormat="1" applyFont="1" applyFill="1"/>
    <s:xf numFmtId="0" fontId="2" fillId="0" borderId="29" xfId="0" applyFont="1" applyBorder="1" applyAlignment="1">
      <s:alignment horizontal="center" vertical="center" mc:Ignorable="vyd"/>
    </s:xf>
    <s:xf numFmtId="16" fontId="7" fillId="0" borderId="26" xfId="0" applyNumberFormat="1" applyFont="1" applyBorder="1" applyAlignment="1">
      <s:alignment horizontal="center" vertical="top" mc:Ignorable="vyd"/>
    </s:xf>
    <s:xf numFmtId="0" fontId="7" fillId="0" borderId="26" xfId="0" applyFont="1" applyBorder="1" applyAlignment="1">
      <s:alignment horizontal="center" vertical="top" mc:Ignorable="vyd"/>
    </s:xf>
    <s:xf numFmtId="3" fontId="7" fillId="0" borderId="22" xfId="0" applyNumberFormat="1" applyFont="1" applyBorder="1" applyAlignment="1">
      <s:alignment horizontal="center" vertical="top" mc:Ignorable="vyd"/>
    </s:xf>
    <s:xf numFmtId="3" fontId="7" fillId="0" borderId="26" xfId="0" applyNumberFormat="1" applyFont="1" applyBorder="1" applyAlignment="1">
      <s:alignment horizontal="center" vertical="top" mc:Ignorable="vyd"/>
    </s:xf>
    <s:xf numFmtId="4" fontId="7" fillId="0" borderId="26" xfId="0" applyNumberFormat="1" applyFont="1" applyBorder="1" applyAlignment="1">
      <s:alignment horizontal="center" vertical="top" mc:Ignorable="vyd"/>
    </s:xf>
    <s:xf numFmtId="3" fontId="7" fillId="0" borderId="25" xfId="0" applyNumberFormat="1" applyFont="1" applyBorder="1" applyAlignment="1">
      <s:alignment horizontal="center" vertical="top" mc:Ignorable="vyd"/>
    </s:xf>
    <s:xf numFmtId="10" fontId="7" fillId="0" borderId="26" xfId="0" applyNumberFormat="1" applyFont="1" applyBorder="1" applyAlignment="1">
      <s:alignment horizontal="center" vertical="top" mc:Ignorable="vyd"/>
    </s:xf>
    <s:xf numFmtId="9" fontId="3" fillId="0" borderId="26" xfId="0" applyNumberFormat="1" applyFont="1" applyBorder="1" applyAlignment="1">
      <s:alignment horizontal="center" vertical="center" mc:Ignorable="vyd"/>
    </s:xf>
    <s:xf numFmtId="3" fontId="24" fillId="0" borderId="26" xfId="0" applyNumberFormat="1" applyFont="1" applyBorder="1" applyAlignment="1">
      <s:alignment horizontal="center" mc:Ignorable="vyd"/>
    </s:xf>
    <s:xf numFmtId="3" fontId="7" fillId="0" borderId="26" xfId="0" applyNumberFormat="1" applyFont="1" applyBorder="1" applyAlignment="1">
      <s:alignment horizontal="center" mc:Ignorable="vyd"/>
    </s:xf>
    <s:xf numFmtId="2" fontId="7" fillId="10" borderId="26" xfId="0" applyNumberFormat="1" applyFont="1" applyFill="1" applyBorder="1" applyAlignment="1">
      <s:alignment horizontal="right" mc:Ignorable="vyd"/>
    </s:xf>
    <s:xf numFmtId="166" fontId="4" fillId="0" borderId="0" xfId="0" applyNumberFormat="1" applyFont="1"/>
    <s:xf numFmtId="0" fontId="2" fillId="0" borderId="26" xfId="0" applyFont="1" applyBorder="1" applyAlignment="1">
      <s:alignment horizontal="center" vertical="center" mc:Ignorable="vyd"/>
    </s:xf>
    <s:xf numFmtId="4" fontId="7" fillId="0" borderId="22" xfId="0" applyNumberFormat="1" applyFont="1" applyBorder="1" applyAlignment="1">
      <s:alignment horizontal="center" vertical="top" mc:Ignorable="vyd"/>
    </s:xf>
    <s:xf numFmtId="3" fontId="7" fillId="0" borderId="19" xfId="0" applyNumberFormat="1" applyFont="1" applyBorder="1" applyAlignment="1">
      <s:alignment horizontal="center" vertical="top" mc:Ignorable="vyd"/>
    </s:xf>
    <s:xf numFmtId="166" fontId="4" fillId="0" borderId="0" xfId="0" applyNumberFormat="1" applyFont="1" applyAlignment="1">
      <s:alignment vertical="center" mc:Ignorable="vyd"/>
    </s:xf>
    <s:xf numFmtId="0" fontId="2" fillId="0" borderId="0" xfId="0" applyFont="1" applyAlignment="1">
      <s:alignment horizontal="center" vertical="center" mc:Ignorable="vyd"/>
    </s:xf>
    <s:xf numFmtId="0" fontId="2" fillId="9" borderId="26" xfId="0" applyFont="1" applyFill="1" applyBorder="1" applyAlignment="1">
      <s:alignment horizontal="center" vertical="center" mc:Ignorable="vyd"/>
    </s:xf>
    <s:xf numFmtId="2" fontId="7" fillId="11" borderId="26" xfId="0" applyNumberFormat="1" applyFont="1" applyFill="1" applyBorder="1" applyAlignment="1">
      <s:alignment horizontal="right" mc:Ignorable="vyd"/>
    </s:xf>
    <s:xf numFmtId="3" fontId="7" fillId="9" borderId="29" xfId="0" applyNumberFormat="1" applyFont="1" applyFill="1" applyBorder="1" applyAlignment="1">
      <s:alignment horizontal="center" vertical="top" mc:Ignorable="vyd"/>
    </s:xf>
    <s:xf numFmtId="2" fontId="7" fillId="0" borderId="26" xfId="0" applyNumberFormat="1" applyFont="1" applyBorder="1" applyAlignment="1">
      <s:alignment horizontal="right" mc:Ignorable="vyd"/>
    </s:xf>
    <s:xf numFmtId="0" fontId="7" fillId="0" borderId="22" xfId="0" applyFont="1" applyBorder="1" applyAlignment="1">
      <s:alignment horizontal="center" vertical="top" mc:Ignorable="vyd"/>
    </s:xf>
    <s:xf numFmtId="0" fontId="2" fillId="9" borderId="19" xfId="0" applyFont="1" applyFill="1" applyBorder="1" applyAlignment="1">
      <s:alignment horizontal="center" vertical="center" mc:Ignorable="vyd"/>
    </s:xf>
    <s:xf numFmtId="3" fontId="12" fillId="9" borderId="26" xfId="0" applyNumberFormat="1" applyFont="1" applyFill="1" applyBorder="1" applyAlignment="1">
      <s:alignment horizontal="center" vertical="top" mc:Ignorable="vyd"/>
    </s:xf>
    <s:xf numFmtId="0" fontId="2" fillId="0" borderId="19" xfId="0" applyFont="1" applyBorder="1" applyAlignment="1">
      <s:alignment horizontal="center" vertical="center" mc:Ignorable="vyd"/>
    </s:xf>
    <s:xf numFmtId="3" fontId="12" fillId="0" borderId="26" xfId="0" applyNumberFormat="1" applyFont="1" applyBorder="1" applyAlignment="1">
      <s:alignment horizontal="center" vertical="top" mc:Ignorable="vyd"/>
    </s:xf>
    <s:xf numFmtId="164" fontId="4" fillId="0" borderId="0" xfId="0" applyNumberFormat="1" applyFont="1"/>
    <s:xf numFmtId="164" fontId="4" fillId="9" borderId="0" xfId="0" applyNumberFormat="1" applyFont="1" applyFill="1"/>
    <s:xf numFmtId="0" fontId="26" fillId="0" borderId="19" xfId="0" applyFont="1" applyBorder="1" applyAlignment="1">
      <s:alignment horizontal="center" vertical="center" mc:Ignorable="vyd"/>
    </s:xf>
    <s:xf numFmtId="4" fontId="27" fillId="0" borderId="26" xfId="0" applyNumberFormat="1" applyFont="1" applyBorder="1" applyAlignment="1">
      <s:alignment horizontal="center" vertical="top" mc:Ignorable="vyd"/>
    </s:xf>
    <s:xf numFmtId="3" fontId="27" fillId="0" borderId="22" xfId="0" applyNumberFormat="1" applyFont="1" applyBorder="1" applyAlignment="1">
      <s:alignment horizontal="center" vertical="top" mc:Ignorable="vyd"/>
    </s:xf>
    <s:xf numFmtId="3" fontId="27" fillId="0" borderId="26" xfId="0" applyNumberFormat="1" applyFont="1" applyBorder="1" applyAlignment="1">
      <s:alignment horizontal="center" vertical="top" mc:Ignorable="vyd"/>
    </s:xf>
    <s:xf numFmtId="3" fontId="27" fillId="0" borderId="25" xfId="0" applyNumberFormat="1" applyFont="1" applyBorder="1" applyAlignment="1">
      <s:alignment horizontal="center" vertical="top" mc:Ignorable="vyd"/>
    </s:xf>
    <s:xf numFmtId="10" fontId="27" fillId="0" borderId="26" xfId="0" applyNumberFormat="1" applyFont="1" applyBorder="1" applyAlignment="1">
      <s:alignment horizontal="center" vertical="top" mc:Ignorable="vyd"/>
    </s:xf>
    <s:xf numFmtId="9" fontId="28" fillId="0" borderId="26" xfId="0" applyNumberFormat="1" applyFont="1" applyBorder="1" applyAlignment="1">
      <s:alignment horizontal="center" vertical="center" mc:Ignorable="vyd"/>
    </s:xf>
    <s:xf numFmtId="3" fontId="20" fillId="0" borderId="26" xfId="0" applyNumberFormat="1" applyFont="1" applyBorder="1" applyAlignment="1">
      <s:alignment horizontal="center" mc:Ignorable="vyd"/>
    </s:xf>
    <s:xf numFmtId="3" fontId="27" fillId="0" borderId="26" xfId="0" applyNumberFormat="1" applyFont="1" applyBorder="1" applyAlignment="1">
      <s:alignment horizontal="center" mc:Ignorable="vyd"/>
    </s:xf>
    <s:xf numFmtId="166" fontId="29" fillId="0" borderId="0" xfId="0" applyNumberFormat="1" applyFont="1"/>
    <s:xf numFmtId="164" fontId="29" fillId="0" borderId="0" xfId="0" applyNumberFormat="1" applyFont="1"/>
    <s:xf numFmtId="0" fontId="29" fillId="0" borderId="0" xfId="0" applyFont="1"/>
    <s:xf numFmtId="3" fontId="7" fillId="0" borderId="0" xfId="0" applyNumberFormat="1" applyFont="1" applyAlignment="1">
      <s:alignment horizontal="center" vertical="top" mc:Ignorable="vyd"/>
    </s:xf>
    <s:xf numFmtId="0" fontId="7" fillId="0" borderId="27" xfId="0" applyFont="1" applyBorder="1" applyAlignment="1">
      <s:alignment horizontal="center" vertical="top" mc:Ignorable="vyd"/>
    </s:xf>
    <s:xf numFmtId="0" fontId="7" fillId="0" borderId="38" xfId="0" applyFont="1" applyBorder="1" applyAlignment="1">
      <s:alignment horizontal="center" vertical="top" mc:Ignorable="vyd"/>
    </s:xf>
    <s:xf numFmtId="0" fontId="12" fillId="9" borderId="26" xfId="0" applyFont="1" applyFill="1" applyBorder="1" applyAlignment="1">
      <s:alignment horizontal="center" vertical="top" mc:Ignorable="vyd"/>
    </s:xf>
    <s:xf numFmtId="166" fontId="7" fillId="12" borderId="26" xfId="0" applyNumberFormat="1" applyFont="1" applyFill="1" applyBorder="1" applyAlignment="1">
      <s:alignment horizontal="center" vertical="top" mc:Ignorable="vyd"/>
    </s:xf>
    <s:xf numFmtId="166" fontId="3" fillId="9" borderId="26" xfId="0" applyNumberFormat="1" applyFont="1" applyFill="1" applyBorder="1" applyAlignment="1">
      <s:alignment horizontal="center" vertical="center" mc:Ignorable="vyd"/>
    </s:xf>
    <s:xf numFmtId="3" fontId="7" fillId="9" borderId="26" xfId="0" applyNumberFormat="1" applyFont="1" applyFill="1" applyBorder="1" applyAlignment="1">
      <s:alignment horizontal="right" mc:Ignorable="vyd"/>
    </s:xf>
    <s:xf numFmtId="0" fontId="7" fillId="0" borderId="0" xfId="0" applyFont="1" applyAlignment="1">
      <s:alignment horizontal="center" vertical="top" mc:Ignorable="vyd"/>
    </s:xf>
    <s:xf numFmtId="0" fontId="7" fillId="0" borderId="0" xfId="0" applyFont="1"/>
    <s:xf numFmtId="3" fontId="30" fillId="0" borderId="0" xfId="0" applyNumberFormat="1" applyFont="1"/>
    <s:xf numFmtId="166" fontId="7" fillId="0" borderId="0" xfId="1" applyNumberFormat="1" applyFont="1" applyProtection="1"/>
    <s:xf numFmtId="0" fontId="7" fillId="0" borderId="0" xfId="0" applyFont="1" applyAlignment="1">
      <s:alignment vertical="top" mc:Ignorable="vyd"/>
    </s:xf>
    <s:xf numFmtId="166" fontId="7" fillId="0" borderId="0" xfId="0" applyNumberFormat="1" applyFont="1" applyAlignment="1">
      <s:alignment vertical="top" mc:Ignorable="vyd"/>
    </s:xf>
    <s:xf numFmtId="3" fontId="7" fillId="0" borderId="0" xfId="0" applyNumberFormat="1" applyFont="1"/>
    <s:xf numFmtId="9" fontId="30" fillId="0" borderId="0" xfId="1" applyFont="1" applyProtection="1"/>
    <s:xf numFmtId="4" fontId="3" fillId="0" borderId="0" xfId="0" applyNumberFormat="1" applyFont="1"/>
    <s:xf numFmtId="3" fontId="3" fillId="0" borderId="0" xfId="0" applyNumberFormat="1" applyFont="1"/>
    <s:xf numFmtId="10" fontId="47" fillId="0" borderId="0" xfId="1" applyNumberFormat="1"/>
    <s:xf numFmtId="1" fontId="3" fillId="0" borderId="0" xfId="0" applyNumberFormat="1" applyFont="1"/>
    <s:xf numFmtId="0" fontId="3" fillId="0" borderId="0" xfId="0" applyFont="1" applyAlignment="1">
      <s:alignment wrapText="1" mc:Ignorable="vyd"/>
    </s:xf>
    <s:xf numFmtId="0" fontId="31" fillId="0" borderId="0" xfId="0" applyFont="1"/>
    <s:xf numFmtId="0" fontId="32" fillId="0" borderId="0" xfId="0" applyFont="1" applyAlignment="1">
      <s:alignment horizontal="center" vertical="center" mc:Ignorable="vyd"/>
    </s:xf>
    <s:xf numFmtId="0" fontId="32" fillId="0" borderId="41" xfId="0" applyFont="1" applyBorder="1" applyAlignment="1">
      <s:alignment horizontal="center" vertical="center" mc:Ignorable="vyd"/>
    </s:xf>
    <s:xf numFmtId="16" fontId="32" fillId="0" borderId="42" xfId="0" applyNumberFormat="1" applyFont="1" applyBorder="1" applyAlignment="1">
      <s:alignment horizontal="center" vertical="center" mc:Ignorable="vyd"/>
    </s:xf>
    <s:xf numFmtId="16" fontId="32" fillId="0" borderId="43" xfId="0" applyNumberFormat="1" applyFont="1" applyBorder="1" applyAlignment="1">
      <s:alignment horizontal="center" vertical="center" mc:Ignorable="vyd"/>
    </s:xf>
    <s:xf numFmtId="0" fontId="26" fillId="0" borderId="13" xfId="0" applyFont="1" applyBorder="1" applyAlignment="1">
      <s:alignment horizontal="left" vertical="center" wrapText="1" mc:Ignorable="vyd"/>
    </s:xf>
    <s:xf numFmtId="9" fontId="26" fillId="0" borderId="15" xfId="0" applyNumberFormat="1" applyFont="1" applyBorder="1" applyAlignment="1">
      <s:alignment horizontal="center" vertical="center" wrapText="1" mc:Ignorable="vyd"/>
    </s:xf>
    <s:xf numFmtId="9" fontId="26" fillId="13" borderId="15" xfId="0" applyNumberFormat="1" applyFont="1" applyFill="1" applyBorder="1" applyAlignment="1">
      <s:alignment horizontal="center" vertical="center" wrapText="1" mc:Ignorable="vyd"/>
    </s:xf>
    <s:xf numFmtId="9" fontId="26" fillId="0" borderId="16" xfId="0" applyNumberFormat="1" applyFont="1" applyBorder="1" applyAlignment="1">
      <s:alignment horizontal="center" vertical="center" wrapText="1" mc:Ignorable="vyd"/>
    </s:xf>
    <s:xf numFmtId="10" fontId="26" fillId="0" borderId="44" xfId="0" applyNumberFormat="1" applyFont="1" applyBorder="1" applyAlignment="1">
      <s:alignment horizontal="center" vertical="center" wrapText="1" mc:Ignorable="vyd"/>
    </s:xf>
    <s:xf numFmtId="0" fontId="26" fillId="0" borderId="21" xfId="0" applyFont="1" applyBorder="1" applyAlignment="1">
      <s:alignment horizontal="left" vertical="center" wrapText="1" mc:Ignorable="vyd"/>
    </s:xf>
    <s:xf numFmtId="9" fontId="26" fillId="0" borderId="45" xfId="0" applyNumberFormat="1" applyFont="1" applyBorder="1" applyAlignment="1">
      <s:alignment horizontal="center" vertical="center" wrapText="1" mc:Ignorable="vyd"/>
    </s:xf>
    <s:xf numFmtId="9" fontId="26" fillId="0" borderId="19" xfId="0" applyNumberFormat="1" applyFont="1" applyBorder="1" applyAlignment="1">
      <s:alignment horizontal="center" vertical="center" wrapText="1" mc:Ignorable="vyd"/>
    </s:xf>
    <s:xf numFmtId="9" fontId="26" fillId="13" borderId="19" xfId="0" applyNumberFormat="1" applyFont="1" applyFill="1" applyBorder="1" applyAlignment="1">
      <s:alignment horizontal="center" vertical="center" wrapText="1" mc:Ignorable="vyd"/>
    </s:xf>
    <s:xf numFmtId="9" fontId="26" fillId="0" borderId="23" xfId="0" applyNumberFormat="1" applyFont="1" applyBorder="1" applyAlignment="1">
      <s:alignment horizontal="center" vertical="center" wrapText="1" mc:Ignorable="vyd"/>
    </s:xf>
    <s:xf numFmtId="10" fontId="26" fillId="0" borderId="46" xfId="0" applyNumberFormat="1" applyFont="1" applyBorder="1" applyAlignment="1">
      <s:alignment horizontal="center" vertical="center" wrapText="1" mc:Ignorable="vyd"/>
    </s:xf>
    <s:xf numFmtId="9" fontId="26" fillId="10" borderId="19" xfId="0" applyNumberFormat="1" applyFont="1" applyFill="1" applyBorder="1" applyAlignment="1">
      <s:alignment horizontal="center" vertical="center" wrapText="1" mc:Ignorable="vyd"/>
    </s:xf>
    <s:xf numFmtId="9" fontId="26" fillId="13" borderId="26" xfId="0" applyNumberFormat="1" applyFont="1" applyFill="1" applyBorder="1" applyAlignment="1">
      <s:alignment horizontal="center" vertical="center" wrapText="1" mc:Ignorable="vyd"/>
    </s:xf>
    <s:xf numFmtId="9" fontId="26" fillId="13" borderId="23" xfId="0" applyNumberFormat="1" applyFont="1" applyFill="1" applyBorder="1" applyAlignment="1">
      <s:alignment horizontal="center" vertical="center" wrapText="1" mc:Ignorable="vyd"/>
    </s:xf>
    <s:xf numFmtId="0" fontId="26" fillId="0" borderId="47" xfId="0" applyFont="1" applyBorder="1" applyAlignment="1">
      <s:alignment horizontal="left" vertical="center" wrapText="1" mc:Ignorable="vyd"/>
    </s:xf>
    <s:xf numFmtId="9" fontId="26" fillId="0" borderId="48" xfId="0" applyNumberFormat="1" applyFont="1" applyBorder="1" applyAlignment="1">
      <s:alignment horizontal="center" vertical="center" wrapText="1" mc:Ignorable="vyd"/>
    </s:xf>
    <s:xf numFmtId="9" fontId="26" fillId="0" borderId="0" xfId="0" applyNumberFormat="1" applyFont="1" applyAlignment="1">
      <s:alignment horizontal="center" vertical="center" wrapText="1" mc:Ignorable="vyd"/>
    </s:xf>
    <s:xf numFmtId="9" fontId="26" fillId="0" borderId="49" xfId="0" applyNumberFormat="1" applyFont="1" applyBorder="1" applyAlignment="1">
      <s:alignment horizontal="center" vertical="center" wrapText="1" mc:Ignorable="vyd"/>
    </s:xf>
    <s:xf numFmtId="0" fontId="26" fillId="0" borderId="33" xfId="0" applyFont="1" applyBorder="1" applyAlignment="1">
      <s:alignment horizontal="left" vertical="center" wrapText="1" mc:Ignorable="vyd"/>
    </s:xf>
    <s:xf numFmtId="9" fontId="26" fillId="0" borderId="35" xfId="0" applyNumberFormat="1" applyFont="1" applyBorder="1" applyAlignment="1">
      <s:alignment horizontal="center" vertical="center" wrapText="1" mc:Ignorable="vyd"/>
    </s:xf>
    <s:xf numFmtId="9" fontId="26" fillId="13" borderId="35" xfId="0" applyNumberFormat="1" applyFont="1" applyFill="1" applyBorder="1" applyAlignment="1">
      <s:alignment horizontal="center" vertical="center" wrapText="1" mc:Ignorable="vyd"/>
    </s:xf>
    <s:xf numFmtId="9" fontId="26" fillId="0" borderId="37" xfId="0" applyNumberFormat="1" applyFont="1" applyBorder="1" applyAlignment="1">
      <s:alignment horizontal="center" vertical="center" wrapText="1" mc:Ignorable="vyd"/>
    </s:xf>
    <s:xf numFmtId="0" fontId="26" fillId="0" borderId="0" xfId="0" applyFont="1" applyAlignment="1">
      <s:alignment horizontal="left" vertical="center" wrapText="1" mc:Ignorable="vyd"/>
    </s:xf>
    <s:xf numFmtId="1" fontId="26" fillId="0" borderId="0" xfId="0" applyNumberFormat="1" applyFont="1" applyAlignment="1">
      <s:alignment horizontal="center" vertical="center" wrapText="1" mc:Ignorable="vyd"/>
    </s:xf>
    <s:xf numFmtId="0" fontId="26" fillId="0" borderId="15" xfId="0" applyFont="1" applyBorder="1" applyAlignment="1">
      <s:alignment horizontal="center" vertical="center" wrapText="1" mc:Ignorable="vyd"/>
    </s:xf>
    <s:xf numFmtId="0" fontId="26" fillId="13" borderId="15" xfId="0" applyFont="1" applyFill="1" applyBorder="1" applyAlignment="1">
      <s:alignment horizontal="center" vertical="center" wrapText="1" mc:Ignorable="vyd"/>
    </s:xf>
    <s:xf numFmtId="9" fontId="26" fillId="0" borderId="50" xfId="0" applyNumberFormat="1" applyFont="1" applyBorder="1" applyAlignment="1">
      <s:alignment horizontal="center" vertical="center" wrapText="1" mc:Ignorable="vyd"/>
    </s:xf>
    <s:xf numFmtId="1" fontId="26" fillId="10" borderId="13" xfId="0" applyNumberFormat="1" applyFont="1" applyFill="1" applyBorder="1" applyAlignment="1">
      <s:alignment horizontal="center" vertical="center" wrapText="1" mc:Ignorable="vyd"/>
    </s:xf>
    <s:xf numFmtId="1" fontId="26" fillId="0" borderId="45" xfId="0" applyNumberFormat="1" applyFont="1" applyBorder="1" applyAlignment="1">
      <s:alignment horizontal="center" vertical="center" wrapText="1" mc:Ignorable="vyd"/>
    </s:xf>
    <s:xf numFmtId="1" fontId="26" fillId="0" borderId="19" xfId="0" applyNumberFormat="1" applyFont="1" applyBorder="1" applyAlignment="1">
      <s:alignment horizontal="center" vertical="center" wrapText="1" mc:Ignorable="vyd"/>
    </s:xf>
    <s:xf numFmtId="1" fontId="26" fillId="13" borderId="19" xfId="0" applyNumberFormat="1" applyFont="1" applyFill="1" applyBorder="1" applyAlignment="1">
      <s:alignment horizontal="center" vertical="center" wrapText="1" mc:Ignorable="vyd"/>
    </s:xf>
    <s:xf numFmtId="1" fontId="26" fillId="0" borderId="23" xfId="0" applyNumberFormat="1" applyFont="1" applyBorder="1" applyAlignment="1">
      <s:alignment horizontal="center" vertical="center" wrapText="1" mc:Ignorable="vyd"/>
    </s:xf>
    <s:xf numFmtId="1" fontId="26" fillId="10" borderId="21" xfId="0" applyNumberFormat="1" applyFont="1" applyFill="1" applyBorder="1" applyAlignment="1">
      <s:alignment horizontal="center" vertical="center" wrapText="1" mc:Ignorable="vyd"/>
    </s:xf>
    <s:xf numFmtId="1" fontId="26" fillId="13" borderId="24" xfId="0" applyNumberFormat="1" applyFont="1" applyFill="1" applyBorder="1" applyAlignment="1">
      <s:alignment horizontal="center" vertical="center" wrapText="1" mc:Ignorable="vyd"/>
    </s:xf>
    <s:xf numFmtId="1" fontId="26" fillId="0" borderId="48" xfId="0" applyNumberFormat="1" applyFont="1" applyBorder="1" applyAlignment="1">
      <s:alignment horizontal="center" vertical="center" wrapText="1" mc:Ignorable="vyd"/>
    </s:xf>
    <s:xf numFmtId="1" fontId="26" fillId="0" borderId="49" xfId="0" applyNumberFormat="1" applyFont="1" applyBorder="1" applyAlignment="1">
      <s:alignment horizontal="center" vertical="center" wrapText="1" mc:Ignorable="vyd"/>
    </s:xf>
    <s:xf numFmtId="1" fontId="26" fillId="0" borderId="24" xfId="0" applyNumberFormat="1" applyFont="1" applyBorder="1" applyAlignment="1">
      <s:alignment horizontal="center" vertical="center" wrapText="1" mc:Ignorable="vyd"/>
    </s:xf>
    <s:xf numFmtId="1" fontId="26" fillId="0" borderId="35" xfId="0" applyNumberFormat="1" applyFont="1" applyBorder="1" applyAlignment="1">
      <s:alignment horizontal="center" vertical="center" wrapText="1" mc:Ignorable="vyd"/>
    </s:xf>
    <s:xf numFmtId="1" fontId="26" fillId="13" borderId="35" xfId="0" applyNumberFormat="1" applyFont="1" applyFill="1" applyBorder="1" applyAlignment="1">
      <s:alignment horizontal="center" vertical="center" wrapText="1" mc:Ignorable="vyd"/>
    </s:xf>
    <s:xf numFmtId="1" fontId="26" fillId="0" borderId="37" xfId="0" applyNumberFormat="1" applyFont="1" applyBorder="1" applyAlignment="1">
      <s:alignment horizontal="center" vertical="center" wrapText="1" mc:Ignorable="vyd"/>
    </s:xf>
    <s:xf numFmtId="1" fontId="26" fillId="10" borderId="46" xfId="0" applyNumberFormat="1" applyFont="1" applyFill="1" applyBorder="1" applyAlignment="1">
      <s:alignment horizontal="center" vertical="center" wrapText="1" mc:Ignorable="vyd"/>
    </s:xf>
    <s:xf numFmtId="0" fontId="17" fillId="14" borderId="10" xfId="0" applyFont="1" applyFill="1" applyBorder="1" applyAlignment="1">
      <s:alignment horizontal="center" vertical="center" mc:Ignorable="vyd"/>
    </s:xf>
    <s:xf numFmtId="0" fontId="17" fillId="14" borderId="11" xfId="0" applyFont="1" applyFill="1" applyBorder="1" applyAlignment="1">
      <s:alignment horizontal="center" vertical="center" mc:Ignorable="vyd"/>
    </s:xf>
    <s:xf numFmtId="0" fontId="17" fillId="14" borderId="12" xfId="0" applyFont="1" applyFill="1" applyBorder="1" applyAlignment="1">
      <s:alignment horizontal="center" vertical="center" mc:Ignorable="vyd"/>
    </s:xf>
    <s:xf numFmtId="0" fontId="12" fillId="14" borderId="1" xfId="0" applyFont="1" applyFill="1" applyBorder="1" applyAlignment="1">
      <s:alignment horizontal="center" vertical="center" wrapText="1" mc:Ignorable="vyd"/>
    </s:xf>
    <s:xf numFmtId="0" fontId="12" fillId="14" borderId="2" xfId="0" applyFont="1" applyFill="1" applyBorder="1" applyAlignment="1">
      <s:alignment horizontal="center" vertical="center" wrapText="1" mc:Ignorable="vyd"/>
    </s:xf>
    <s:xf numFmtId="0" fontId="12" fillId="14" borderId="3" xfId="0" applyFont="1" applyFill="1" applyBorder="1" applyAlignment="1">
      <s:alignment horizontal="center" vertical="center" wrapText="1" mc:Ignorable="vyd"/>
    </s:xf>
    <s:xf numFmtId="3" fontId="12" fillId="14" borderId="10" xfId="0" applyNumberFormat="1" applyFont="1" applyFill="1" applyBorder="1" applyAlignment="1">
      <s:alignment horizontal="center" vertical="center" mc:Ignorable="vyd"/>
    </s:xf>
    <s:xf numFmtId="3" fontId="12" fillId="14" borderId="11" xfId="0" applyNumberFormat="1" applyFont="1" applyFill="1" applyBorder="1" applyAlignment="1">
      <s:alignment horizontal="center" vertical="center" mc:Ignorable="vyd"/>
    </s:xf>
    <s:xf numFmtId="3" fontId="12" fillId="14" borderId="10" xfId="0" applyNumberFormat="1" applyFont="1" applyFill="1" applyBorder="1" applyAlignment="1">
      <s:alignment horizontal="center" vertical="center" wrapText="1" mc:Ignorable="vyd"/>
    </s:xf>
    <s:xf numFmtId="3" fontId="12" fillId="14" borderId="11" xfId="0" applyNumberFormat="1" applyFont="1" applyFill="1" applyBorder="1" applyAlignment="1">
      <s:alignment horizontal="center" vertical="center" wrapText="1" mc:Ignorable="vyd"/>
    </s:xf>
    <s:xf numFmtId="3" fontId="12" fillId="14" borderId="51" xfId="0" applyNumberFormat="1" applyFont="1" applyFill="1" applyBorder="1" applyAlignment="1">
      <s:alignment horizontal="center" vertical="center" wrapText="1" mc:Ignorable="vyd"/>
    </s:xf>
    <s:xf numFmtId="3" fontId="12" fillId="14" borderId="50" xfId="0" applyNumberFormat="1" applyFont="1" applyFill="1" applyBorder="1" applyAlignment="1">
      <s:alignment horizontal="center" vertical="center" wrapText="1" mc:Ignorable="vyd"/>
    </s:xf>
    <s:xf numFmtId="3" fontId="12" fillId="14" borderId="12" xfId="0" applyNumberFormat="1" applyFont="1" applyFill="1" applyBorder="1" applyAlignment="1">
      <s:alignment horizontal="center" vertical="center" wrapText="1" mc:Ignorable="vyd"/>
    </s:xf>
    <s:xf numFmtId="0" fontId="12" fillId="14" borderId="7" xfId="0" applyFont="1" applyFill="1" applyBorder="1" applyAlignment="1">
      <s:alignment horizontal="center" vertical="center" wrapText="1" mc:Ignorable="vyd"/>
    </s:xf>
    <s:xf numFmtId="0" fontId="12" fillId="14" borderId="8" xfId="0" applyFont="1" applyFill="1" applyBorder="1" applyAlignment="1">
      <s:alignment horizontal="center" vertical="center" wrapText="1" mc:Ignorable="vyd"/>
    </s:xf>
    <s:xf numFmtId="0" fontId="12" fillId="14" borderId="9" xfId="0" applyFont="1" applyFill="1" applyBorder="1" applyAlignment="1">
      <s:alignment horizontal="center" vertical="center" wrapText="1" mc:Ignorable="vyd"/>
    </s:xf>
    <s:xf numFmtId="3" fontId="12" fillId="14" borderId="7" xfId="0" applyNumberFormat="1" applyFont="1" applyFill="1" applyBorder="1" applyAlignment="1">
      <s:alignment horizontal="center" vertical="center" mc:Ignorable="vyd"/>
    </s:xf>
    <s:xf numFmtId="3" fontId="12" fillId="14" borderId="52" xfId="0" applyNumberFormat="1" applyFont="1" applyFill="1" applyBorder="1" applyAlignment="1">
      <s:alignment horizontal="center" vertical="center" mc:Ignorable="vyd"/>
    </s:xf>
    <s:xf numFmtId="3" fontId="12" fillId="14" borderId="53" xfId="0" applyNumberFormat="1" applyFont="1" applyFill="1" applyBorder="1" applyAlignment="1">
      <s:alignment horizontal="center" vertical="center" mc:Ignorable="vyd"/>
    </s:xf>
    <s:xf numFmtId="3" fontId="12" fillId="14" borderId="54" xfId="0" applyNumberFormat="1" applyFont="1" applyFill="1" applyBorder="1" applyAlignment="1">
      <s:alignment horizontal="center" vertical="center" wrapText="1" mc:Ignorable="vyd"/>
    </s:xf>
    <s:xf numFmtId="3" fontId="12" fillId="14" borderId="55" xfId="0" applyNumberFormat="1" applyFont="1" applyFill="1" applyBorder="1" applyAlignment="1">
      <s:alignment horizontal="center" vertical="center" wrapText="1" mc:Ignorable="vyd"/>
    </s:xf>
    <s:xf numFmtId="3" fontId="12" fillId="14" borderId="56" xfId="0" applyNumberFormat="1" applyFont="1" applyFill="1" applyBorder="1" applyAlignment="1">
      <s:alignment horizontal="center" vertical="center" mc:Ignorable="vyd"/>
    </s:xf>
    <s:xf numFmtId="0" fontId="12" fillId="14" borderId="49" xfId="0" applyFont="1" applyFill="1" applyBorder="1" applyAlignment="1">
      <s:alignment horizontal="center" vertical="center" wrapText="1" mc:Ignorable="vyd"/>
    </s:xf>
    <s:xf numFmtId="3" fontId="12" fillId="14" borderId="14" xfId="0" applyNumberFormat="1" applyFont="1" applyFill="1" applyBorder="1" applyAlignment="1">
      <s:alignment horizontal="center" vertical="center" wrapText="1" mc:Ignorable="vyd"/>
    </s:xf>
    <s:xf numFmtId="0" fontId="16" fillId="0" borderId="21" xfId="0" applyFont="1" applyBorder="1" applyAlignment="1">
      <s:alignment horizontal="left" vertical="center" mc:Ignorable="vyd"/>
    </s:xf>
    <s:xf numFmtId="10" fontId="33" fillId="0" borderId="57" xfId="0" applyNumberFormat="1" applyFont="1" applyBorder="1" applyAlignment="1">
      <s:alignment horizontal="center" vertical="center" mc:Ignorable="vyd"/>
    </s:xf>
    <s:xf numFmtId="167" fontId="33" fillId="0" borderId="58" xfId="0" applyNumberFormat="1" applyFont="1" applyBorder="1" applyAlignment="1">
      <s:alignment horizontal="center" vertical="center" mc:Ignorable="vyd"/>
    </s:xf>
    <s:xf numFmtId="10" fontId="33" fillId="0" borderId="59" xfId="0" applyNumberFormat="1" applyFont="1" applyBorder="1" applyAlignment="1">
      <s:alignment horizontal="center" vertical="center" mc:Ignorable="vyd"/>
    </s:xf>
    <s:xf numFmtId="10" fontId="27" fillId="0" borderId="57" xfId="1" applyNumberFormat="1" applyFont="1" applyBorder="1" applyAlignment="1" applyProtection="1">
      <s:alignment horizontal="center" vertical="center" mc:Ignorable="vyd"/>
    </s:xf>
    <s:xf numFmtId="167" fontId="27" fillId="0" borderId="60" xfId="1" applyNumberFormat="1" applyFont="1" applyBorder="1" applyAlignment="1" applyProtection="1">
      <s:alignment horizontal="center" vertical="center" mc:Ignorable="vyd"/>
    </s:xf>
    <s:xf numFmtId="10" fontId="7" fillId="0" borderId="61" xfId="0" applyNumberFormat="1" applyFont="1" applyBorder="1" applyAlignment="1">
      <s:alignment horizontal="center" vertical="center" mc:Ignorable="vyd"/>
    </s:xf>
    <s:xf numFmtId="10" fontId="33" fillId="0" borderId="62" xfId="0" applyNumberFormat="1" applyFont="1" applyBorder="1" applyAlignment="1">
      <s:alignment horizontal="center" vertical="center" mc:Ignorable="vyd"/>
    </s:xf>
    <s:xf numFmtId="1" fontId="33" fillId="0" borderId="38" xfId="0" applyNumberFormat="1" applyFont="1" applyBorder="1" applyAlignment="1">
      <s:alignment horizontal="center" vertical="center" mc:Ignorable="vyd"/>
    </s:xf>
    <s:xf numFmtId="10" fontId="27" fillId="0" borderId="27" xfId="0" applyNumberFormat="1" applyFont="1" applyBorder="1" applyAlignment="1">
      <s:alignment horizontal="center" vertical="center" mc:Ignorable="vyd"/>
    </s:xf>
    <s:xf numFmtId="10" fontId="27" fillId="0" borderId="62" xfId="1" applyNumberFormat="1" applyFont="1" applyBorder="1" applyAlignment="1" applyProtection="1">
      <s:alignment horizontal="center" vertical="center" mc:Ignorable="vyd"/>
    </s:xf>
    <s:xf numFmtId="1" fontId="27" fillId="0" borderId="26" xfId="1" applyNumberFormat="1" applyFont="1" applyBorder="1" applyAlignment="1" applyProtection="1">
      <s:alignment horizontal="center" vertical="center" mc:Ignorable="vyd"/>
    </s:xf>
    <s:xf numFmtId="10" fontId="33" fillId="0" borderId="27" xfId="0" applyNumberFormat="1" applyFont="1" applyBorder="1" applyAlignment="1">
      <s:alignment horizontal="center" vertical="center" mc:Ignorable="vyd"/>
    </s:xf>
    <s:xf numFmtId="10" fontId="7" fillId="0" borderId="28" xfId="0" applyNumberFormat="1" applyFont="1" applyBorder="1" applyAlignment="1">
      <s:alignment horizontal="center" vertical="center" mc:Ignorable="vyd"/>
    </s:xf>
    <s:xf numFmtId="167" fontId="33" fillId="0" borderId="38" xfId="0" applyNumberFormat="1" applyFont="1" applyBorder="1" applyAlignment="1">
      <s:alignment horizontal="center" vertical="center" mc:Ignorable="vyd"/>
    </s:xf>
    <s:xf numFmtId="167" fontId="27" fillId="0" borderId="26" xfId="1" applyNumberFormat="1" applyFont="1" applyBorder="1" applyAlignment="1" applyProtection="1">
      <s:alignment horizontal="center" vertical="center" mc:Ignorable="vyd"/>
    </s:xf>
    <s:xf numFmtId="2" fontId="33" fillId="0" borderId="38" xfId="0" applyNumberFormat="1" applyFont="1" applyBorder="1" applyAlignment="1">
      <s:alignment horizontal="center" vertical="center" mc:Ignorable="vyd"/>
    </s:xf>
    <s:xf numFmtId="2" fontId="27" fillId="0" borderId="26" xfId="1" applyNumberFormat="1" applyFont="1" applyBorder="1" applyAlignment="1" applyProtection="1">
      <s:alignment horizontal="center" vertical="center" mc:Ignorable="vyd"/>
    </s:xf>
    <s:xf numFmtId="0" fontId="7" fillId="0" borderId="32" xfId="0" applyFont="1" applyBorder="1" applyAlignment="1">
      <s:alignment horizontal="left" vertical="center" mc:Ignorable="vyd"/>
    </s:xf>
    <s:xf numFmtId="10" fontId="33" fillId="0" borderId="63" xfId="0" applyNumberFormat="1" applyFont="1" applyBorder="1" applyAlignment="1">
      <s:alignment horizontal="center" vertical="center" mc:Ignorable="vyd"/>
    </s:xf>
    <s:xf numFmtId="167" fontId="33" fillId="0" borderId="64" xfId="0" applyNumberFormat="1" applyFont="1" applyBorder="1" applyAlignment="1">
      <s:alignment horizontal="center" vertical="center" mc:Ignorable="vyd"/>
    </s:xf>
    <s:xf numFmtId="10" fontId="27" fillId="0" borderId="31" xfId="0" applyNumberFormat="1" applyFont="1" applyBorder="1" applyAlignment="1">
      <s:alignment horizontal="center" vertical="center" mc:Ignorable="vyd"/>
    </s:xf>
    <s:xf numFmtId="10" fontId="27" fillId="0" borderId="65" xfId="1" applyNumberFormat="1" applyFont="1" applyBorder="1" applyAlignment="1" applyProtection="1">
      <s:alignment horizontal="center" vertical="center" mc:Ignorable="vyd"/>
    </s:xf>
    <s:xf numFmtId="167" fontId="27" fillId="0" borderId="35" xfId="1" applyNumberFormat="1" applyFont="1" applyBorder="1" applyAlignment="1" applyProtection="1">
      <s:alignment horizontal="center" vertical="center" mc:Ignorable="vyd"/>
    </s:xf>
    <s:xf numFmtId="10" fontId="33" fillId="0" borderId="36" xfId="0" applyNumberFormat="1" applyFont="1" applyBorder="1" applyAlignment="1">
      <s:alignment horizontal="center" vertical="center" mc:Ignorable="vyd"/>
    </s:xf>
    <s:xf numFmtId="10" fontId="7" fillId="0" borderId="37" xfId="0" applyNumberFormat="1" applyFont="1" applyBorder="1" applyAlignment="1">
      <s:alignment horizontal="center" vertical="center" mc:Ignorable="vyd"/>
    </s:xf>
    <s:xf numFmtId="0" fontId="7" fillId="0" borderId="13" xfId="0" applyFont="1" applyBorder="1" applyAlignment="1">
      <s:alignment horizontal="left" vertical="center" mc:Ignorable="vyd"/>
    </s:xf>
    <s:xf numFmtId="168" fontId="33" fillId="0" borderId="10" xfId="0" applyNumberFormat="1" applyFont="1" applyBorder="1" applyAlignment="1">
      <s:alignment horizontal="center" vertical="center" mc:Ignorable="vyd"/>
    </s:xf>
    <s:xf numFmtId="168" fontId="33" fillId="0" borderId="11" xfId="0" applyNumberFormat="1" applyFont="1" applyBorder="1" applyAlignment="1">
      <s:alignment horizontal="center" vertical="center" mc:Ignorable="vyd"/>
    </s:xf>
    <s:xf numFmtId="168" fontId="33" fillId="0" borderId="12" xfId="0" applyNumberFormat="1" applyFont="1" applyBorder="1" applyAlignment="1">
      <s:alignment horizontal="center" vertical="center" mc:Ignorable="vyd"/>
    </s:xf>
    <s:xf numFmtId="168" fontId="27" fillId="0" borderId="7" xfId="1" applyNumberFormat="1" applyFont="1" applyBorder="1" applyAlignment="1" applyProtection="1">
      <s:alignment horizontal="center" vertical="center" mc:Ignorable="vyd"/>
    </s:xf>
    <s:xf numFmtId="168" fontId="27" fillId="0" borderId="8" xfId="1" applyNumberFormat="1" applyFont="1" applyBorder="1" applyAlignment="1" applyProtection="1">
      <s:alignment horizontal="center" vertical="center" mc:Ignorable="vyd"/>
    </s:xf>
    <s:xf numFmtId="168" fontId="27" fillId="0" borderId="66" xfId="1" applyNumberFormat="1" applyFont="1" applyBorder="1" applyAlignment="1" applyProtection="1">
      <s:alignment horizontal="center" vertical="center" mc:Ignorable="vyd"/>
    </s:xf>
    <s:xf numFmtId="168" fontId="27" fillId="0" borderId="67" xfId="1" applyNumberFormat="1" applyFont="1" applyBorder="1" applyAlignment="1" applyProtection="1">
      <s:alignment horizontal="center" vertical="center" mc:Ignorable="vyd"/>
    </s:xf>
    <s:xf numFmtId="168" fontId="27" fillId="0" borderId="68" xfId="1" applyNumberFormat="1" applyFont="1" applyBorder="1" applyAlignment="1" applyProtection="1">
      <s:alignment horizontal="center" vertical="center" mc:Ignorable="vyd"/>
    </s:xf>
    <s:xf numFmtId="168" fontId="27" fillId="0" borderId="10" xfId="1" applyNumberFormat="1" applyFont="1" applyBorder="1" applyAlignment="1" applyProtection="1">
      <s:alignment horizontal="center" vertical="center" mc:Ignorable="vyd"/>
    </s:xf>
    <s:xf numFmtId="168" fontId="27" fillId="0" borderId="11" xfId="1" applyNumberFormat="1" applyFont="1" applyBorder="1" applyAlignment="1" applyProtection="1">
      <s:alignment horizontal="center" vertical="center" mc:Ignorable="vyd"/>
    </s:xf>
    <s:xf numFmtId="168" fontId="27" fillId="0" borderId="12" xfId="1" applyNumberFormat="1" applyFont="1" applyBorder="1" applyAlignment="1" applyProtection="1">
      <s:alignment horizontal="center" vertical="center" mc:Ignorable="vyd"/>
    </s:xf>
    <s:xf numFmtId="3" fontId="16" fillId="3" borderId="57" xfId="0" applyNumberFormat="1" applyFont="1" applyFill="1" applyBorder="1" applyAlignment="1">
      <s:alignment horizontal="center" vertical="center" mc:Ignorable="vyd"/>
    </s:xf>
    <s:xf numFmtId="10" fontId="19" fillId="4" borderId="25" xfId="0" applyNumberFormat="1" applyFont="1" applyFill="1" applyBorder="1" applyAlignment="1">
      <s:alignment horizontal="center" vertical="center" mc:Ignorable="vyd"/>
    </s:xf>
    <s:xf numFmtId="0" fontId="10" fillId="2" borderId="69" xfId="0" applyFont="1" applyFill="1" applyBorder="1" applyAlignment="1">
      <s:alignment horizontal="center" vertical="top" mc:Ignorable="vyd"/>
    </s:xf>
    <s:xf numFmtId="0" fontId="11" fillId="3" borderId="31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64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30" xfId="0" applyFont="1" applyFill="1" applyBorder="1" applyAlignment="1" applyProtection="1">
      <s:alignment horizontal="center" vertical="center" wrapText="1" mc:Ignorable="vyd"/>
      <s:protection locked="0"/>
    </s:xf>
    <s:xf numFmtId="3" fontId="6" fillId="2" borderId="70" xfId="0" applyNumberFormat="1" applyFont="1" applyFill="1" applyBorder="1" applyAlignment="1" applyProtection="1">
      <s:alignment horizontal="center" mc:Ignorable="vyd"/>
      <s:protection locked="0"/>
    </s:xf>
    <s:xf numFmtId="9" fontId="6" fillId="2" borderId="70" xfId="1" applyFont="1" applyFill="1" applyBorder="1" applyProtection="1"/>
    <s:xf numFmtId="0" fontId="11" fillId="3" borderId="20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69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22" xfId="0" applyFont="1" applyFill="1" applyBorder="1" applyAlignment="1" applyProtection="1">
      <s:alignment horizontal="center" vertical="center" wrapText="1" mc:Ignorable="vyd"/>
      <s:protection locked="0"/>
    </s:xf>
    <s:xf numFmtId="0" fontId="12" fillId="2" borderId="41" xfId="0" applyFont="1" applyFill="1" applyBorder="1" applyAlignment="1">
      <s:alignment horizontal="left" vertical="center" wrapText="1" mc:Ignorable="vyd"/>
    </s:xf>
    <s:xf numFmtId="3" fontId="16" fillId="0" borderId="57" xfId="0" applyNumberFormat="1" applyFont="1" applyBorder="1" applyAlignment="1">
      <s:alignment horizontal="center" vertical="center" mc:Ignorable="vyd"/>
    </s:xf>
    <s:xf numFmtId="166" fontId="17" fillId="4" borderId="19" xfId="1" applyNumberFormat="1" applyFont="1" applyFill="1" applyBorder="1" applyAlignment="1" applyProtection="1">
      <s:alignment horizontal="center" vertical="center" mc:Ignorable="vyd"/>
    </s:xf>
    <s:xf numFmtId="166" fontId="15" fillId="0" borderId="20" xfId="1" applyNumberFormat="1" applyFont="1" applyBorder="1" applyAlignment="1" applyProtection="1">
      <s:alignment horizontal="center" vertical="center" mc:Ignorable="vyd"/>
    </s:xf>
    <s:xf numFmtId="166" fontId="7" fillId="4" borderId="26" xfId="1" applyNumberFormat="1" applyFont="1" applyFill="1" applyBorder="1" applyAlignment="1" applyProtection="1">
      <s:alignment horizontal="center" vertical="center" mc:Ignorable="vyd"/>
    </s:xf>
    <s:xf numFmtId="166" fontId="20" fillId="0" borderId="27" xfId="1" applyNumberFormat="1" applyFont="1" applyBorder="1" applyAlignment="1" applyProtection="1">
      <s:alignment horizontal="center" vertical="center" mc:Ignorable="vyd"/>
    </s:xf>
    <s:xf numFmtId="166" fontId="16" fillId="4" borderId="26" xfId="1" applyNumberFormat="1" applyFont="1" applyFill="1" applyBorder="1" applyAlignment="1" applyProtection="1">
      <s:alignment horizontal="center" vertical="center" mc:Ignorable="vyd"/>
    </s:xf>
    <s:xf numFmtId="166" fontId="18" fillId="0" borderId="27" xfId="1" applyNumberFormat="1" applyFont="1" applyBorder="1" applyAlignment="1" applyProtection="1">
      <s:alignment horizontal="center" vertical="center" mc:Ignorable="vyd"/>
    </s:xf>
    <s:xf numFmtId="3" fontId="19" fillId="3" borderId="30" xfId="0" applyNumberFormat="1" applyFont="1" applyFill="1" applyBorder="1" applyAlignment="1">
      <s:alignment horizontal="center" vertical="center" mc:Ignorable="vyd"/>
    </s:xf>
    <s:xf numFmtId="166" fontId="7" fillId="4" borderId="29" xfId="1" applyNumberFormat="1" applyFont="1" applyFill="1" applyBorder="1" applyAlignment="1" applyProtection="1">
      <s:alignment horizontal="center" vertical="center" mc:Ignorable="vyd"/>
    </s:xf>
    <s:xf numFmtId="166" fontId="15" fillId="0" borderId="31" xfId="1" applyNumberFormat="1" applyFont="1" applyBorder="1" applyAlignment="1" applyProtection="1">
      <s:alignment horizontal="center" vertical="center" mc:Ignorable="vyd"/>
    </s:xf>
    <s:xf numFmtId="166" fontId="7" fillId="4" borderId="26" xfId="1" applyNumberFormat="1" applyFont="1" applyFill="1" applyBorder="1" applyAlignment="1" applyProtection="1">
      <s:alignment horizontal="center" vertical="center" wrapText="1" mc:Ignorable="vyd"/>
    </s:xf>
    <s:xf numFmtId="3" fontId="7" fillId="4" borderId="32" xfId="0" applyNumberFormat="1" applyFont="1" applyFill="1" applyBorder="1" applyAlignment="1" applyProtection="1">
      <s:alignment horizontal="center" vertical="center" mc:Ignorable="vyd"/>
      <s:protection locked="0"/>
    </s:xf>
    <s:xf numFmtId="166" fontId="16" fillId="15" borderId="34" xfId="0" applyNumberFormat="1" applyFont="1" applyFill="1" applyBorder="1" applyAlignment="1">
      <s:alignment horizontal="center" vertical="center" mc:Ignorable="vyd"/>
    </s:xf>
    <s:xf numFmtId="166" fontId="16" fillId="4" borderId="35" xfId="1" applyNumberFormat="1" applyFont="1" applyFill="1" applyBorder="1" applyAlignment="1" applyProtection="1">
      <s:alignment horizontal="center" vertical="center" mc:Ignorable="vyd"/>
    </s:xf>
    <s:xf numFmtId="166" fontId="21" fillId="0" borderId="36" xfId="1" applyNumberFormat="1" applyFont="1" applyBorder="1" applyAlignment="1" applyProtection="1">
      <s:alignment horizontal="center" vertical="center" mc:Ignorable="vyd"/>
    </s:xf>
    <s:xf numFmtId="0" fontId="14" fillId="16" borderId="26" xfId="0" applyFont="1" applyFill="1" applyBorder="1" applyAlignment="1">
      <s:alignment horizontal="center" vertical="center" mc:Ignorable="vyd"/>
    </s:xf>
    <s:xf numFmtId="0" fontId="12" fillId="16" borderId="26" xfId="0" applyFont="1" applyFill="1" applyBorder="1" applyAlignment="1">
      <s:alignment horizontal="center" vertical="center" wrapText="1" mc:Ignorable="vyd"/>
    </s:xf>
    <s:xf numFmtId="0" fontId="12" fillId="8" borderId="0" xfId="0" applyFont="1" applyFill="1" applyAlignment="1">
      <s:alignment horizontal="center" vertical="center" wrapText="1" mc:Ignorable="vyd"/>
    </s:xf>
    <s:xf numFmtId="0" fontId="23" fillId="16" borderId="26" xfId="0" applyFont="1" applyFill="1" applyBorder="1" applyAlignment="1">
      <s:alignment horizontal="center" vertical="center" wrapText="1" mc:Ignorable="vyd"/>
    </s:xf>
    <s:xf numFmtId="0" fontId="3" fillId="0" borderId="55" xfId="0" applyFont="1" applyBorder="1"/>
    <s:xf numFmtId="0" fontId="7" fillId="16" borderId="25" xfId="0" applyFont="1" applyFill="1" applyBorder="1" applyAlignment="1">
      <s:alignment horizontal="center" vertical="top" wrapText="1" mc:Ignorable="vyd"/>
    </s:xf>
    <s:xf numFmtId="0" fontId="7" fillId="16" borderId="29" xfId="0" applyFont="1" applyFill="1" applyBorder="1" applyAlignment="1">
      <s:alignment horizontal="center" vertical="top" wrapText="1" mc:Ignorable="vyd"/>
    </s:xf>
    <s:xf numFmtId="0" fontId="7" fillId="16" borderId="26" xfId="0" applyFont="1" applyFill="1" applyBorder="1" applyAlignment="1">
      <s:alignment horizontal="center" vertical="top" wrapText="1" mc:Ignorable="vyd"/>
    </s:xf>
    <s:xf numFmtId="0" fontId="12" fillId="16" borderId="26" xfId="0" applyFont="1" applyFill="1" applyBorder="1" applyAlignment="1">
      <s:alignment horizontal="center" vertical="top" wrapText="1" mc:Ignorable="vyd"/>
    </s:xf>
    <s:xf numFmtId="0" fontId="34" fillId="0" borderId="19" xfId="0" applyFont="1" applyBorder="1" applyAlignment="1">
      <s:alignment horizontal="center" vertical="center" mc:Ignorable="vyd"/>
    </s:xf>
    <s:xf numFmtId="164" fontId="7" fillId="0" borderId="26" xfId="0" applyNumberFormat="1" applyFont="1" applyBorder="1" applyAlignment="1">
      <s:alignment horizontal="center" vertical="center" mc:Ignorable="vyd"/>
    </s:xf>
    <s:xf numFmtId="0" fontId="34" fillId="0" borderId="26" xfId="0" applyFont="1" applyBorder="1" applyAlignment="1">
      <s:alignment horizontal="center" vertical="center" mc:Ignorable="vyd"/>
    </s:xf>
    <s:xf numFmtId="16" fontId="7" fillId="0" borderId="25" xfId="0" applyNumberFormat="1" applyFont="1" applyBorder="1" applyAlignment="1">
      <s:alignment horizontal="center" vertical="top" mc:Ignorable="vyd"/>
    </s:xf>
    <s:xf numFmtId="4" fontId="7" fillId="0" borderId="19" xfId="0" applyNumberFormat="1" applyFont="1" applyBorder="1" applyAlignment="1">
      <s:alignment horizontal="center" vertical="top" mc:Ignorable="vyd"/>
    </s:xf>
    <s:xf numFmtId="0" fontId="7" fillId="0" borderId="19" xfId="0" applyFont="1" applyBorder="1" applyAlignment="1">
      <s:alignment horizontal="center" vertical="top" mc:Ignorable="vyd"/>
    </s:xf>
    <s:xf numFmtId="3" fontId="7" fillId="0" borderId="48" xfId="0" applyNumberFormat="1" applyFont="1" applyBorder="1" applyAlignment="1">
      <s:alignment horizontal="center" vertical="top" mc:Ignorable="vyd"/>
    </s:xf>
    <s:xf numFmtId="4" fontId="7" fillId="0" borderId="29" xfId="0" applyNumberFormat="1" applyFont="1" applyBorder="1" applyAlignment="1">
      <s:alignment horizontal="center" vertical="top" mc:Ignorable="vyd"/>
    </s:xf>
    <s:xf numFmtId="3" fontId="7" fillId="0" borderId="29" xfId="0" applyNumberFormat="1" applyFont="1" applyBorder="1" applyAlignment="1">
      <s:alignment horizontal="center" vertical="top" mc:Ignorable="vyd"/>
    </s:xf>
    <s:xf numFmtId="4" fontId="7" fillId="0" borderId="0" xfId="0" applyNumberFormat="1" applyFont="1" applyAlignment="1">
      <s:alignment horizontal="center" vertical="top" mc:Ignorable="vyd"/>
    </s:xf>
    <s:xf numFmtId="9" fontId="3" fillId="0" borderId="0" xfId="0" applyNumberFormat="1" applyFont="1" applyAlignment="1">
      <s:alignment horizontal="center" vertical="center" mc:Ignorable="vyd"/>
    </s:xf>
    <s:xf numFmtId="3" fontId="7" fillId="0" borderId="0" xfId="0" applyNumberFormat="1" applyFont="1" applyAlignment="1">
      <s:alignment horizontal="center" mc:Ignorable="vyd"/>
    </s:xf>
    <s:xf numFmtId="10" fontId="7" fillId="0" borderId="0" xfId="0" applyNumberFormat="1" applyFont="1" applyAlignment="1">
      <s:alignment horizontal="center" vertical="top" mc:Ignorable="vyd"/>
    </s:xf>
    <s:xf numFmtId="3" fontId="24" fillId="0" borderId="0" xfId="0" applyNumberFormat="1" applyFont="1" applyAlignment="1">
      <s:alignment horizontal="center" mc:Ignorable="vyd"/>
    </s:xf>
    <s:xf numFmtId="166" fontId="7" fillId="0" borderId="26" xfId="0" applyNumberFormat="1" applyFont="1" applyBorder="1" applyAlignment="1">
      <s:alignment horizontal="center" vertical="top" mc:Ignorable="vyd"/>
    </s:xf>
    <s:xf numFmtId="166" fontId="3" fillId="0" borderId="0" xfId="1" applyNumberFormat="1" applyFont="1" applyProtection="1"/>
    <s:xf numFmtId="3" fontId="7" fillId="0" borderId="20" xfId="0" applyNumberFormat="1" applyFont="1" applyBorder="1" applyAlignment="1">
      <s:alignment horizontal="center" vertical="top" mc:Ignorable="vyd"/>
    </s:xf>
    <s:xf numFmtId="3" fontId="7" fillId="0" borderId="40" xfId="0" applyNumberFormat="1" applyFont="1" applyBorder="1" applyAlignment="1">
      <s:alignment horizontal="center" vertical="top" mc:Ignorable="vyd"/>
    </s:xf>
    <s:xf numFmtId="164" fontId="3" fillId="0" borderId="0" xfId="0" applyNumberFormat="1" applyFont="1"/>
    <s:xf numFmtId="4" fontId="7" fillId="0" borderId="26" xfId="0" applyNumberFormat="1" applyFont="1" applyBorder="1" applyAlignment="1" applyProtection="1">
      <s:alignment horizontal="center" vertical="top" mc:Ignorable="vyd"/>
      <s:protection locked="0"/>
    </s:xf>
    <s:xf numFmtId="3" fontId="7" fillId="0" borderId="26" xfId="0" applyNumberFormat="1" applyFont="1" applyBorder="1" applyAlignment="1" applyProtection="1">
      <s:alignment horizontal="center" vertical="top" mc:Ignorable="vyd"/>
      <s:protection locked="0"/>
    </s:xf>
    <s:xf numFmtId="2" fontId="7" fillId="0" borderId="26" xfId="0" applyNumberFormat="1" applyFont="1" applyBorder="1" applyAlignment="1">
      <s:alignment horizontal="center" vertical="center" mc:Ignorable="vyd"/>
    </s:xf>
    <s:xf numFmtId="166" fontId="3" fillId="0" borderId="0" xfId="1" applyNumberFormat="1" applyFont="1" applyAlignment="1" applyProtection="1">
      <s:alignment vertical="center" mc:Ignorable="vyd"/>
    </s:xf>
    <s:xf numFmtId="0" fontId="12" fillId="12" borderId="27" xfId="0" applyFont="1" applyFill="1" applyBorder="1" applyAlignment="1">
      <s:alignment horizontal="center" vertical="top" mc:Ignorable="vyd"/>
    </s:xf>
    <s:xf numFmtId="0" fontId="12" fillId="12" borderId="25" xfId="0" applyFont="1" applyFill="1" applyBorder="1" applyAlignment="1">
      <s:alignment horizontal="center" vertical="top" mc:Ignorable="vyd"/>
    </s:xf>
    <s:xf numFmtId="3" fontId="7" fillId="12" borderId="26" xfId="0" applyNumberFormat="1" applyFont="1" applyFill="1" applyBorder="1" applyAlignment="1">
      <s:alignment horizontal="center" vertical="top" mc:Ignorable="vyd"/>
    </s:xf>
    <s:xf numFmtId="4" fontId="7" fillId="12" borderId="26" xfId="0" applyNumberFormat="1" applyFont="1" applyFill="1" applyBorder="1" applyAlignment="1">
      <s:alignment horizontal="center" vertical="top" mc:Ignorable="vyd"/>
    </s:xf>
    <s:xf numFmtId="9" fontId="3" fillId="12" borderId="26" xfId="1" applyFont="1" applyFill="1" applyBorder="1" applyAlignment="1" applyProtection="1">
      <s:alignment horizontal="center" vertical="center" mc:Ignorable="vyd"/>
    </s:xf>
    <s:xf numFmtId="3" fontId="7" fillId="12" borderId="26" xfId="0" applyNumberFormat="1" applyFont="1" applyFill="1" applyBorder="1" applyAlignment="1">
      <s:alignment horizontal="center" mc:Ignorable="vyd"/>
    </s:xf>
    <s:xf numFmtId="3" fontId="7" fillId="12" borderId="26" xfId="0" applyNumberFormat="1" applyFont="1" applyFill="1" applyBorder="1" applyAlignment="1">
      <s:alignment horizontal="right" mc:Ignorable="vyd"/>
    </s:xf>
    <s:xf numFmtId="0" fontId="3" fillId="2" borderId="0" xfId="0" applyFont="1" applyFill="1" applyAlignment="1">
      <s:alignment horizontal="right" mc:Ignorable="vyd"/>
    </s:xf>
    <s:xf numFmtId="3" fontId="12" fillId="2" borderId="52" xfId="0" applyNumberFormat="1" applyFont="1" applyFill="1" applyBorder="1" applyAlignment="1">
      <s:alignment horizontal="center" vertical="center" mc:Ignorable="vyd"/>
    </s:xf>
    <s:xf numFmtId="3" fontId="12" fillId="2" borderId="67" xfId="0" applyNumberFormat="1" applyFont="1" applyFill="1" applyBorder="1" applyAlignment="1">
      <s:alignment horizontal="center" vertical="center" mc:Ignorable="vyd"/>
    </s:xf>
    <s:xf numFmtId="3" fontId="12" fillId="2" borderId="67" xfId="0" applyNumberFormat="1" applyFont="1" applyFill="1" applyBorder="1" applyAlignment="1">
      <s:alignment horizontal="center" vertical="center" wrapText="1" mc:Ignorable="vyd"/>
    </s:xf>
    <s:xf numFmtId="0" fontId="15" fillId="2" borderId="67" xfId="0" applyFont="1" applyFill="1" applyBorder="1" applyAlignment="1">
      <s:alignment horizontal="center" vertical="center" wrapText="1" mc:Ignorable="vyd"/>
    </s:xf>
    <s:xf numFmtId="0" fontId="12" fillId="2" borderId="53" xfId="0" applyFont="1" applyFill="1" applyBorder="1" applyAlignment="1">
      <s:alignment horizontal="center" vertical="center" wrapText="1" mc:Ignorable="vyd"/>
    </s:xf>
    <s:xf numFmtId="0" fontId="12" fillId="2" borderId="8" xfId="0" applyFont="1" applyFill="1" applyBorder="1" applyAlignment="1">
      <s:alignment horizontal="center" vertical="center" wrapText="1" mc:Ignorable="vyd"/>
    </s:xf>
    <s:xf numFmtId="0" fontId="12" fillId="2" borderId="9" xfId="0" applyFont="1" applyFill="1" applyBorder="1" applyAlignment="1">
      <s:alignment horizontal="center" vertical="center" wrapText="1" mc:Ignorable="vyd"/>
    </s:xf>
    <s:xf numFmtId="3" fontId="7" fillId="3" borderId="17" xfId="0" applyNumberFormat="1" applyFont="1" applyFill="1" applyBorder="1" applyAlignment="1" applyProtection="1">
      <s:alignment horizontal="center" vertical="center" mc:Ignorable="vyd"/>
      <s:protection locked="0"/>
    </s:xf>
    <s:xf numFmtId="0" fontId="23" fillId="16" borderId="26" xfId="0" applyFont="1" applyFill="1" applyBorder="1" applyAlignment="1">
      <s:alignment horizontal="right" vertical="center" wrapText="1" mc:Ignorable="vyd"/>
    </s:xf>
    <s:xf numFmtId="0" fontId="12" fillId="16" borderId="26" xfId="0" applyFont="1" applyFill="1" applyBorder="1" applyAlignment="1">
      <s:alignment horizontal="right" vertical="top" wrapText="1" mc:Ignorable="vyd"/>
    </s:xf>
    <s:xf numFmtId="164" fontId="7" fillId="0" borderId="26" xfId="0" applyNumberFormat="1" applyFont="1" applyBorder="1" applyAlignment="1">
      <s:alignment horizontal="right" mc:Ignorable="vyd"/>
    </s:xf>
    <s:xf numFmtId="3" fontId="24" fillId="0" borderId="25" xfId="0" applyNumberFormat="1" applyFont="1" applyBorder="1" applyAlignment="1">
      <s:alignment horizontal="center" mc:Ignorable="vyd"/>
    </s:xf>
    <s:xf numFmtId="3" fontId="7" fillId="0" borderId="25" xfId="0" applyNumberFormat="1" applyFont="1" applyBorder="1" applyAlignment="1">
      <s:alignment horizontal="center" mc:Ignorable="vyd"/>
    </s:xf>
    <s:xf numFmtId="3" fontId="7" fillId="0" borderId="27" xfId="0" applyNumberFormat="1" applyFont="1" applyBorder="1" applyAlignment="1">
      <s:alignment horizontal="center" mc:Ignorable="vyd"/>
    </s:xf>
    <s:xf numFmtId="9" fontId="3" fillId="0" borderId="25" xfId="0" applyNumberFormat="1" applyFont="1" applyBorder="1" applyAlignment="1">
      <s:alignment horizontal="center" vertical="center" mc:Ignorable="vyd"/>
    </s:xf>
    <s:xf numFmtId="9" fontId="3" fillId="0" borderId="26" xfId="1" applyFont="1" applyBorder="1" applyAlignment="1" applyProtection="1">
      <s:alignment horizontal="center" vertical="center" mc:Ignorable="vyd"/>
    </s:xf>
    <s:xf numFmtId="164" fontId="7" fillId="0" borderId="26" xfId="2" applyFont="1" applyBorder="1" applyAlignment="1" applyProtection="1">
      <s:alignment horizontal="right" mc:Ignorable="vyd"/>
    </s:xf>
    <s:xf numFmtId="3" fontId="7" fillId="0" borderId="56" xfId="0" applyNumberFormat="1" applyFont="1" applyBorder="1" applyAlignment="1">
      <s:alignment horizontal="center" vertical="top" mc:Ignorable="vyd"/>
    </s:xf>
    <s:xf numFmtId="0" fontId="12" fillId="12" borderId="26" xfId="0" applyFont="1" applyFill="1" applyBorder="1" applyAlignment="1">
      <s:alignment horizontal="center" vertical="top" mc:Ignorable="vyd"/>
    </s:xf>
    <s:xf numFmtId="0" fontId="14" fillId="16" borderId="29" xfId="0" applyFont="1" applyFill="1" applyBorder="1" applyAlignment="1">
      <s:alignment horizontal="center" vertical="center" mc:Ignorable="vyd"/>
    </s:xf>
    <s:xf numFmtId="0" fontId="7" fillId="16" borderId="19" xfId="0" applyFont="1" applyFill="1" applyBorder="1" applyAlignment="1">
      <s:alignment horizontal="center" vertical="top" wrapText="1" mc:Ignorable="vyd"/>
    </s:xf>
    <s:xf numFmtId="3" fontId="7" fillId="0" borderId="55" xfId="0" applyNumberFormat="1" applyFont="1" applyBorder="1" applyAlignment="1">
      <s:alignment horizontal="center" vertical="top" mc:Ignorable="vyd"/>
    </s:xf>
    <s:xf numFmtId="4" fontId="7" fillId="0" borderId="27" xfId="0" applyNumberFormat="1" applyFont="1" applyBorder="1" applyAlignment="1">
      <s:alignment horizontal="center" vertical="top" mc:Ignorable="vyd"/>
    </s:xf>
    <s:xf numFmtId="0" fontId="7" fillId="0" borderId="29" xfId="0" applyFont="1" applyBorder="1" applyAlignment="1">
      <s:alignment horizontal="center" vertical="top" mc:Ignorable="vyd"/>
    </s:xf>
    <s:xf numFmtId="16" fontId="7" fillId="0" borderId="27" xfId="0" applyNumberFormat="1" applyFont="1" applyBorder="1" applyAlignment="1">
      <s:alignment horizontal="center" vertical="top" mc:Ignorable="vyd"/>
    </s:xf>
    <s:xf numFmtId="0" fontId="7" fillId="0" borderId="40" xfId="0" applyFont="1" applyBorder="1" applyAlignment="1">
      <s:alignment horizontal="center" vertical="top" mc:Ignorable="vyd"/>
    </s:xf>
    <s:xf numFmtId="4" fontId="7" fillId="0" borderId="25" xfId="0" applyNumberFormat="1" applyFont="1" applyBorder="1" applyAlignment="1">
      <s:alignment horizontal="center" vertical="top" mc:Ignorable="vyd"/>
    </s:xf>
    <s:xf numFmtId="0" fontId="7" fillId="0" borderId="39" xfId="0" applyFont="1" applyBorder="1" applyAlignment="1">
      <s:alignment horizontal="center" vertical="top" mc:Ignorable="vyd"/>
    </s:xf>
    <s:xf numFmtId="4" fontId="7" fillId="0" borderId="30" xfId="0" applyNumberFormat="1" applyFont="1" applyBorder="1" applyAlignment="1">
      <s:alignment horizontal="center" vertical="top" mc:Ignorable="vyd"/>
    </s:xf>
    <s:xf numFmtId="4" fontId="7" fillId="0" borderId="71" xfId="0" applyNumberFormat="1" applyFont="1" applyBorder="1" applyAlignment="1">
      <s:alignment horizontal="center" vertical="top" mc:Ignorable="vyd"/>
    </s:xf>
    <s:xf numFmtId="4" fontId="7" fillId="0" borderId="38" xfId="0" applyNumberFormat="1" applyFont="1" applyBorder="1" applyAlignment="1">
      <s:alignment horizontal="center" vertical="top" mc:Ignorable="vyd"/>
    </s:xf>
    <s:xf numFmtId="16" fontId="7" fillId="0" borderId="72" xfId="0" applyNumberFormat="1" applyFont="1" applyBorder="1" applyAlignment="1">
      <s:alignment horizontal="center" vertical="top" mc:Ignorable="vyd"/>
    </s:xf>
    <s:xf numFmtId="0" fontId="7" fillId="0" borderId="73" xfId="0" applyFont="1" applyBorder="1" applyAlignment="1">
      <s:alignment horizontal="center" vertical="top" mc:Ignorable="vyd"/>
    </s:xf>
    <s:xf numFmtId="4" fontId="7" fillId="0" borderId="40" xfId="0" applyNumberFormat="1" applyFont="1" applyBorder="1" applyAlignment="1">
      <s:alignment horizontal="center" vertical="top" mc:Ignorable="vyd"/>
    </s:xf>
    <s:xf numFmtId="0" fontId="7" fillId="0" borderId="74" xfId="0" applyFont="1" applyBorder="1" applyAlignment="1">
      <s:alignment horizontal="center" vertical="top" mc:Ignorable="vyd"/>
    </s:xf>
    <s:xf numFmtId="4" fontId="7" fillId="0" borderId="39" xfId="0" applyNumberFormat="1" applyFont="1" applyBorder="1" applyAlignment="1">
      <s:alignment horizontal="center" vertical="top" mc:Ignorable="vyd"/>
    </s:xf>
    <s:xf numFmtId="0" fontId="0" fillId="0" borderId="64" xfId="0" applyBorder="1"/>
    <s:xf numFmtId="3" fontId="7" fillId="0" borderId="19" xfId="0" applyNumberFormat="1" applyFont="1" applyBorder="1" applyAlignment="1" applyProtection="1">
      <s:alignment horizontal="center" vertical="top" mc:Ignorable="vyd"/>
      <s:protection locked="0"/>
    </s:xf>
    <s:xf numFmtId="0" fontId="0" fillId="10" borderId="64" xfId="0" applyFill="1" applyBorder="1"/>
    <s:xf numFmtId="0" fontId="7" fillId="10" borderId="27" xfId="0" applyFont="1" applyFill="1" applyBorder="1" applyAlignment="1">
      <s:alignment horizontal="center" vertical="top" mc:Ignorable="vyd"/>
    </s:xf>
    <s:xf numFmtId="4" fontId="7" fillId="10" borderId="19" xfId="0" applyNumberFormat="1" applyFont="1" applyFill="1" applyBorder="1" applyAlignment="1">
      <s:alignment horizontal="center" vertical="top" mc:Ignorable="vyd"/>
    </s:xf>
    <s:xf numFmtId="3" fontId="7" fillId="10" borderId="19" xfId="0" applyNumberFormat="1" applyFont="1" applyFill="1" applyBorder="1" applyAlignment="1">
      <s:alignment horizontal="center" vertical="top" mc:Ignorable="vyd"/>
    </s:xf>
    <s:xf numFmtId="3" fontId="7" fillId="10" borderId="26" xfId="0" applyNumberFormat="1" applyFont="1" applyFill="1" applyBorder="1" applyAlignment="1">
      <s:alignment horizontal="center" vertical="top" mc:Ignorable="vyd"/>
    </s:xf>
    <s:xf numFmtId="3" fontId="12" fillId="10" borderId="19" xfId="0" applyNumberFormat="1" applyFont="1" applyFill="1" applyBorder="1" applyAlignment="1">
      <s:alignment horizontal="center" vertical="top" mc:Ignorable="vyd"/>
    </s:xf>
    <s:xf numFmtId="4" fontId="7" fillId="17" borderId="26" xfId="0" applyNumberFormat="1" applyFont="1" applyFill="1" applyBorder="1" applyAlignment="1">
      <s:alignment horizontal="center" vertical="top" mc:Ignorable="vyd"/>
    </s:xf>
    <s:xf numFmtId="3" fontId="24" fillId="17" borderId="26" xfId="0" applyNumberFormat="1" applyFont="1" applyFill="1" applyBorder="1" applyAlignment="1">
      <s:alignment horizontal="center" mc:Ignorable="vyd"/>
    </s:xf>
    <s:xf numFmtId="3" fontId="7" fillId="17" borderId="26" xfId="0" applyNumberFormat="1" applyFont="1" applyFill="1" applyBorder="1" applyAlignment="1">
      <s:alignment horizontal="center" mc:Ignorable="vyd"/>
    </s:xf>
    <s:xf numFmtId="164" fontId="7" fillId="10" borderId="26" xfId="0" applyNumberFormat="1" applyFont="1" applyFill="1" applyBorder="1" applyAlignment="1">
      <s:alignment horizontal="right" mc:Ignorable="vyd"/>
    </s:xf>
    <s:xf numFmtId="166" fontId="3" fillId="17" borderId="0" xfId="1" applyNumberFormat="1" applyFont="1" applyFill="1" applyProtection="1"/>
    <s:xf numFmtId="166" fontId="3" fillId="17" borderId="0" xfId="1" applyNumberFormat="1" applyFont="1" applyFill="1" applyAlignment="1" applyProtection="1">
      <s:alignment vertical="center" mc:Ignorable="vyd"/>
    </s:xf>
    <s:xf numFmtId="16" fontId="7" fillId="10" borderId="26" xfId="0" applyNumberFormat="1" applyFont="1" applyFill="1" applyBorder="1" applyAlignment="1">
      <s:alignment horizontal="center" vertical="top" mc:Ignorable="vyd"/>
    </s:xf>
    <s:xf numFmtId="3" fontId="12" fillId="0" borderId="19" xfId="0" applyNumberFormat="1" applyFont="1" applyBorder="1" applyAlignment="1">
      <s:alignment horizontal="center" vertical="top" mc:Ignorable="vyd"/>
    </s:xf>
    <s:xf numFmtId="0" fontId="10" fillId="2" borderId="69" xfId="0" applyFont="1" applyFill="1" applyBorder="1" applyAlignment="1">
      <s:alignment horizontal="left" vertical="center" mc:Ignorable="vyd"/>
    </s:xf>
    <s:xf numFmtId="0" fontId="12" fillId="2" borderId="47" xfId="0" applyFont="1" applyFill="1" applyBorder="1" applyAlignment="1">
      <s:alignment horizontal="left" vertical="center" wrapText="1" mc:Ignorable="vyd"/>
    </s:xf>
    <s:xf numFmtId="0" fontId="12" fillId="2" borderId="68" xfId="0" applyFont="1" applyFill="1" applyBorder="1" applyAlignment="1">
      <s:alignment horizontal="center" vertical="center" wrapText="1" mc:Ignorable="vyd"/>
    </s:xf>
    <s:xf numFmtId="3" fontId="16" fillId="0" borderId="0" xfId="0" applyNumberFormat="1" applyFont="1" applyAlignment="1">
      <s:alignment horizontal="center" vertical="center" mc:Ignorable="vyd"/>
    </s:xf>
    <s:xf numFmtId="4" fontId="21" fillId="0" borderId="26" xfId="0" applyNumberFormat="1" applyFont="1" applyBorder="1" applyAlignment="1">
      <s:alignment horizontal="center" vertical="center" mc:Ignorable="vyd"/>
    </s:xf>
    <s:xf numFmtId="166" fontId="20" fillId="0" borderId="31" xfId="1" applyNumberFormat="1" applyFont="1" applyBorder="1" applyAlignment="1" applyProtection="1">
      <s:alignment horizontal="center" vertical="center" mc:Ignorable="vyd"/>
    </s:xf>
    <s:xf numFmtId="0" fontId="12" fillId="8" borderId="25" xfId="0" applyFont="1" applyFill="1" applyBorder="1" applyAlignment="1">
      <s:alignment horizontal="center" vertical="center" wrapText="1" mc:Ignorable="vyd"/>
    </s:xf>
    <s:xf numFmtId="0" fontId="7" fillId="7" borderId="75" xfId="0" applyFont="1" applyFill="1" applyBorder="1" applyAlignment="1">
      <s:alignment horizontal="center" vertical="top" wrapText="1" mc:Ignorable="vyd"/>
    </s:xf>
    <s:xf numFmtId="0" fontId="7" fillId="7" borderId="25" xfId="0" applyFont="1" applyFill="1" applyBorder="1" applyAlignment="1">
      <s:alignment horizontal="center" vertical="top" wrapText="1" mc:Ignorable="vyd"/>
    </s:xf>
    <s:xf numFmtId="3" fontId="7" fillId="0" borderId="69" xfId="0" applyNumberFormat="1" applyFont="1" applyBorder="1" applyAlignment="1">
      <s:alignment horizontal="center" vertical="top" mc:Ignorable="vyd"/>
    </s:xf>
    <s:xf numFmtId="3" fontId="7" fillId="0" borderId="76" xfId="0" applyNumberFormat="1" applyFont="1" applyBorder="1" applyAlignment="1">
      <s:alignment horizontal="center" vertical="top" mc:Ignorable="vyd"/>
    </s:xf>
    <s:xf numFmtId="3" fontId="7" fillId="0" borderId="27" xfId="0" applyNumberFormat="1" applyFont="1" applyBorder="1" applyAlignment="1">
      <s:alignment horizontal="center" vertical="top" mc:Ignorable="vyd"/>
    </s:xf>
    <s:xf numFmtId="3" fontId="7" fillId="0" borderId="75" xfId="0" applyNumberFormat="1" applyFont="1" applyBorder="1" applyAlignment="1">
      <s:alignment horizontal="center" vertical="top" mc:Ignorable="vyd"/>
    </s:xf>
    <s:xf numFmtId="3" fontId="7" fillId="0" borderId="77" xfId="0" applyNumberFormat="1" applyFont="1" applyBorder="1" applyAlignment="1">
      <s:alignment horizontal="center" vertical="top" mc:Ignorable="vyd"/>
    </s:xf>
    <s:xf numFmtId="0" fontId="34" fillId="0" borderId="48" xfId="0" applyFont="1" applyBorder="1" applyAlignment="1">
      <s:alignment horizontal="center" vertical="center" mc:Ignorable="vyd"/>
    </s:xf>
    <s:xf numFmtId="16" fontId="7" fillId="0" borderId="29" xfId="0" applyNumberFormat="1" applyFont="1" applyBorder="1" applyAlignment="1">
      <s:alignment horizontal="center" vertical="top" mc:Ignorable="vyd"/>
    </s:xf>
    <s:xf numFmtId="3" fontId="7" fillId="0" borderId="39" xfId="0" applyNumberFormat="1" applyFont="1" applyBorder="1" applyAlignment="1">
      <s:alignment horizontal="center" vertical="top" mc:Ignorable="vyd"/>
    </s:xf>
    <s:xf numFmtId="10" fontId="7" fillId="0" borderId="29" xfId="0" applyNumberFormat="1" applyFont="1" applyBorder="1" applyAlignment="1">
      <s:alignment horizontal="center" vertical="top" mc:Ignorable="vyd"/>
    </s:xf>
    <s:xf numFmtId="9" fontId="3" fillId="0" borderId="29" xfId="0" applyNumberFormat="1" applyFont="1" applyBorder="1" applyAlignment="1">
      <s:alignment horizontal="center" vertical="center" mc:Ignorable="vyd"/>
    </s:xf>
    <s:xf numFmtId="3" fontId="24" fillId="0" borderId="29" xfId="0" applyNumberFormat="1" applyFont="1" applyBorder="1" applyAlignment="1">
      <s:alignment horizontal="center" mc:Ignorable="vyd"/>
    </s:xf>
    <s:xf numFmtId="3" fontId="7" fillId="0" borderId="29" xfId="0" applyNumberFormat="1" applyFont="1" applyBorder="1" applyAlignment="1">
      <s:alignment horizontal="center" mc:Ignorable="vyd"/>
    </s:xf>
    <s:xf numFmtId="164" fontId="7" fillId="0" borderId="29" xfId="0" applyNumberFormat="1" applyFont="1" applyBorder="1" applyAlignment="1">
      <s:alignment horizontal="right" mc:Ignorable="vyd"/>
    </s:xf>
    <s:xf numFmtId="16" fontId="7" fillId="0" borderId="19" xfId="0" applyNumberFormat="1" applyFont="1" applyBorder="1" applyAlignment="1">
      <s:alignment horizontal="center" vertical="top" mc:Ignorable="vyd"/>
    </s:xf>
    <s:xf numFmtId="0" fontId="7" fillId="0" borderId="20" xfId="0" applyFont="1" applyBorder="1" applyAlignment="1">
      <s:alignment horizontal="center" vertical="top" mc:Ignorable="vyd"/>
    </s:xf>
    <s:xf numFmtId="3" fontId="7" fillId="0" borderId="73" xfId="0" applyNumberFormat="1" applyFont="1" applyBorder="1" applyAlignment="1">
      <s:alignment horizontal="center" vertical="top" mc:Ignorable="vyd"/>
    </s:xf>
    <s:xf numFmtId="10" fontId="7" fillId="0" borderId="48" xfId="0" applyNumberFormat="1" applyFont="1" applyBorder="1" applyAlignment="1">
      <s:alignment horizontal="center" vertical="top" mc:Ignorable="vyd"/>
    </s:xf>
    <s:xf numFmtId="3" fontId="24" fillId="0" borderId="19" xfId="0" applyNumberFormat="1" applyFont="1" applyBorder="1" applyAlignment="1">
      <s:alignment horizontal="center" mc:Ignorable="vyd"/>
    </s:xf>
    <s:xf numFmtId="3" fontId="7" fillId="0" borderId="19" xfId="0" applyNumberFormat="1" applyFont="1" applyBorder="1" applyAlignment="1">
      <s:alignment horizontal="center" mc:Ignorable="vyd"/>
    </s:xf>
    <s:xf numFmtId="164" fontId="7" fillId="0" borderId="19" xfId="0" applyNumberFormat="1" applyFont="1" applyBorder="1" applyAlignment="1">
      <s:alignment horizontal="right" mc:Ignorable="vyd"/>
    </s:xf>
    <s:xf numFmtId="0" fontId="3" fillId="0" borderId="0" xfId="0" applyFont="1" applyAlignment="1">
      <s:alignment horizontal="center" mc:Ignorable="vyd"/>
    </s:xf>
    <s:xf numFmtId="16" fontId="7" fillId="0" borderId="26" xfId="0" applyNumberFormat="1" applyFont="1" applyBorder="1" applyAlignment="1" applyProtection="1">
      <s:alignment horizontal="center" vertical="top" mc:Ignorable="vyd"/>
      <s:protection locked="0"/>
    </s:xf>
    <s:xf numFmtId="3" fontId="7" fillId="12" borderId="19" xfId="0" applyNumberFormat="1" applyFont="1" applyFill="1" applyBorder="1" applyAlignment="1">
      <s:alignment horizontal="center" vertical="top" mc:Ignorable="vyd"/>
    </s:xf>
    <s:xf numFmtId="0" fontId="12" fillId="0" borderId="79" xfId="0" applyFont="1" applyBorder="1" applyAlignment="1">
      <s:alignment horizontal="center" vertical="center" mc:Ignorable="vyd"/>
    </s:xf>
    <s:xf numFmtId="0" fontId="7" fillId="0" borderId="2" xfId="0" applyFont="1" applyBorder="1" applyAlignment="1">
      <s:alignment horizontal="center" vertical="center" mc:Ignorable="vyd"/>
    </s:xf>
    <s:xf numFmtId="0" fontId="7" fillId="0" borderId="3" xfId="0" applyFont="1" applyBorder="1" applyAlignment="1">
      <s:alignment horizontal="center" vertical="center" mc:Ignorable="vyd"/>
    </s:xf>
    <s:xf numFmtId="0" fontId="17" fillId="20" borderId="26" xfId="0" applyFont="1" applyFill="1" applyBorder="1" applyAlignment="1">
      <s:alignment horizontal="center" vertical="center" mc:Ignorable="vyd"/>
    </s:xf>
    <s:xf numFmtId="9" fontId="12" fillId="0" borderId="20" xfId="0" applyNumberFormat="1" applyFont="1" applyBorder="1" applyAlignment="1">
      <s:alignment horizontal="center" vertical="center" mc:Ignorable="vyd"/>
    </s:xf>
    <s:xf numFmtId="0" fontId="7" fillId="0" borderId="0" xfId="0" applyFont="1" applyAlignment="1">
      <s:alignment horizontal="center" vertical="center" mc:Ignorable="vyd"/>
    </s:xf>
    <s:xf numFmtId="0" fontId="7" fillId="0" borderId="69" xfId="0" applyFont="1" applyBorder="1" applyAlignment="1">
      <s:alignment horizontal="center" vertical="center" mc:Ignorable="vyd"/>
    </s:xf>
    <s:xf numFmtId="0" fontId="7" fillId="0" borderId="81" xfId="0" applyFont="1" applyBorder="1" applyAlignment="1">
      <s:alignment horizontal="center" vertical="center" mc:Ignorable="vyd"/>
    </s:xf>
    <s:xf numFmtId="0" fontId="35" fillId="21" borderId="26" xfId="0" applyFont="1" applyFill="1" applyBorder="1" applyAlignment="1">
      <s:alignment horizontal="center" vertical="center" wrapText="1" mc:Ignorable="vyd"/>
    </s:xf>
    <s:xf numFmtId="0" fontId="35" fillId="21" borderId="81" xfId="0" applyFont="1" applyFill="1" applyBorder="1" applyAlignment="1">
      <s:alignment horizontal="center" vertical="center" wrapText="1" mc:Ignorable="vyd"/>
    </s:xf>
    <s:xf numFmtId="0" fontId="35" fillId="21" borderId="17" xfId="0" applyFont="1" applyFill="1" applyBorder="1" applyAlignment="1">
      <s:alignment horizontal="center" vertical="center" wrapText="1" mc:Ignorable="vyd"/>
    </s:xf>
    <s:xf numFmtId="0" fontId="35" fillId="21" borderId="57" xfId="0" applyFont="1" applyFill="1" applyBorder="1" applyAlignment="1">
      <s:alignment horizontal="center" vertical="center" wrapText="1" mc:Ignorable="vyd"/>
    </s:xf>
    <s:xf numFmtId="0" fontId="35" fillId="21" borderId="60" xfId="0" applyFont="1" applyFill="1" applyBorder="1" applyAlignment="1">
      <s:alignment horizontal="center" vertical="center" wrapText="1" mc:Ignorable="vyd"/>
    </s:xf>
    <s:xf numFmtId="0" fontId="35" fillId="21" borderId="61" xfId="0" applyFont="1" applyFill="1" applyBorder="1" applyAlignment="1">
      <s:alignment horizontal="center" vertical="center" wrapText="1" mc:Ignorable="vyd"/>
    </s:xf>
    <s:xf numFmtId="0" fontId="35" fillId="21" borderId="62" xfId="0" applyFont="1" applyFill="1" applyBorder="1" applyAlignment="1">
      <s:alignment horizontal="center" vertical="center" wrapText="1" mc:Ignorable="vyd"/>
    </s:xf>
    <s:xf numFmtId="0" fontId="35" fillId="21" borderId="21" xfId="0" applyFont="1" applyFill="1" applyBorder="1" applyAlignment="1">
      <s:alignment horizontal="center" vertical="center" wrapText="1" mc:Ignorable="vyd"/>
    </s:xf>
    <s:xf numFmtId="0" fontId="0" fillId="0" borderId="0" xfId="0" applyAlignment="1">
      <s:alignment vertical="center" mc:Ignorable="vyd"/>
    </s:xf>
    <s:xf numFmtId="169" fontId="35" fillId="22" borderId="26" xfId="0" applyNumberFormat="1" applyFont="1" applyFill="1" applyBorder="1" applyAlignment="1">
      <s:alignment horizontal="right" vertical="center" wrapText="1" mc:Ignorable="vyd"/>
    </s:xf>
    <s:xf numFmtId="169" fontId="35" fillId="22" borderId="82" xfId="0" applyNumberFormat="1" applyFont="1" applyFill="1" applyBorder="1" applyAlignment="1">
      <s:alignment horizontal="right" vertical="center" wrapText="1" mc:Ignorable="vyd"/>
    </s:xf>
    <s:xf numFmtId="169" fontId="35" fillId="22" borderId="24" xfId="0" applyNumberFormat="1" applyFont="1" applyFill="1" applyBorder="1" applyAlignment="1">
      <s:alignment horizontal="right" vertical="center" wrapText="1" mc:Ignorable="vyd"/>
    </s:xf>
    <s:xf numFmtId="169" fontId="35" fillId="22" borderId="62" xfId="0" applyNumberFormat="1" applyFont="1" applyFill="1" applyBorder="1" applyAlignment="1">
      <s:alignment horizontal="right" vertical="center" wrapText="1" mc:Ignorable="vyd"/>
    </s:xf>
    <s:xf numFmtId="169" fontId="35" fillId="0" borderId="28" xfId="0" applyNumberFormat="1" applyFont="1" applyBorder="1" applyAlignment="1">
      <s:alignment horizontal="right" vertical="center" wrapText="1" mc:Ignorable="vyd"/>
    </s:xf>
    <s:xf numFmtId="169" fontId="35" fillId="0" borderId="62" xfId="0" applyNumberFormat="1" applyFont="1" applyBorder="1" applyAlignment="1">
      <s:alignment horizontal="right" vertical="center" wrapText="1" mc:Ignorable="vyd"/>
    </s:xf>
    <s:xf numFmtId="0" fontId="36" fillId="19" borderId="54" xfId="0" applyFont="1" applyFill="1" applyBorder="1" applyAlignment="1">
      <s:alignment horizontal="left" vertical="top" mc:Ignorable="vyd"/>
    </s:xf>
    <s:xf numFmtId="0" fontId="37" fillId="19" borderId="0" xfId="0" applyFont="1" applyFill="1" applyAlignment="1">
      <s:alignment horizontal="left" vertical="top" mc:Ignorable="vyd"/>
    </s:xf>
    <s:xf numFmtId="0" fontId="36" fillId="19" borderId="0" xfId="0" applyFont="1" applyFill="1" applyAlignment="1">
      <s:alignment horizontal="left" vertical="top" mc:Ignorable="vyd"/>
    </s:xf>
    <s:xf numFmtId="2" fontId="36" fillId="19" borderId="0" xfId="0" applyNumberFormat="1" applyFont="1" applyFill="1" applyAlignment="1">
      <s:alignment horizontal="right" vertical="top" mc:Ignorable="vyd"/>
    </s:xf>
    <s:xf numFmtId="0" fontId="7" fillId="19" borderId="0" xfId="0" applyFont="1" applyFill="1" applyAlignment="1">
      <s:alignment horizontal="left" mc:Ignorable="vyd"/>
    </s:xf>
    <s:xf numFmtId="0" fontId="7" fillId="19" borderId="83" xfId="0" applyFont="1" applyFill="1" applyBorder="1" applyAlignment="1">
      <s:alignment horizontal="left" mc:Ignorable="vyd"/>
    </s:xf>
    <s:xf numFmtId="0" fontId="36" fillId="19" borderId="84" xfId="0" applyFont="1" applyFill="1" applyBorder="1" applyAlignment="1">
      <s:alignment horizontal="center" vertical="center" mc:Ignorable="vyd"/>
    </s:xf>
    <s:xf numFmtId="0" fontId="36" fillId="19" borderId="26" xfId="0" applyFont="1" applyFill="1" applyBorder="1" applyAlignment="1">
      <s:alignment horizontal="center" vertical="center" mc:Ignorable="vyd"/>
    </s:xf>
    <s:xf numFmtId="0" fontId="36" fillId="19" borderId="0" xfId="0" applyFont="1" applyFill="1" applyAlignment="1">
      <s:alignment horizontal="center" vertical="center" mc:Ignorable="vyd"/>
    </s:xf>
    <s:xf numFmtId="0" fontId="7" fillId="19" borderId="0" xfId="0" applyFont="1" applyFill="1" applyAlignment="1">
      <s:alignment horizontal="center" vertical="center" mc:Ignorable="vyd"/>
    </s:xf>
    <s:xf numFmtId="0" fontId="7" fillId="19" borderId="83" xfId="0" applyFont="1" applyFill="1" applyBorder="1" applyAlignment="1">
      <s:alignment horizontal="center" vertical="center" mc:Ignorable="vyd"/>
    </s:xf>
    <s:xf numFmtId="0" fontId="36" fillId="19" borderId="84" xfId="0" applyFont="1" applyFill="1" applyBorder="1" applyAlignment="1">
      <s:alignment horizontal="left" vertical="top" mc:Ignorable="vyd"/>
    </s:xf>
    <s:xf numFmtId="14" fontId="36" fillId="19" borderId="26" xfId="0" applyNumberFormat="1" applyFont="1" applyFill="1" applyBorder="1" applyAlignment="1">
      <s:alignment horizontal="center" vertical="top" mc:Ignorable="vyd"/>
    </s:xf>
    <s:xf numFmtId="4" fontId="36" fillId="19" borderId="26" xfId="0" applyNumberFormat="1" applyFont="1" applyFill="1" applyBorder="1" applyAlignment="1">
      <s:alignment horizontal="right" vertical="top" mc:Ignorable="vyd"/>
    </s:xf>
    <s:xf numFmtId="0" fontId="36" fillId="19" borderId="26" xfId="0" applyFont="1" applyFill="1" applyBorder="1" applyAlignment="1">
      <s:alignment horizontal="left" vertical="top" wrapText="1" mc:Ignorable="vyd"/>
    </s:xf>
    <s:xf numFmtId="0" fontId="36" fillId="10" borderId="54" xfId="0" applyFont="1" applyFill="1" applyBorder="1" applyAlignment="1">
      <s:alignment horizontal="left" vertical="top" mc:Ignorable="vyd"/>
    </s:xf>
    <s:xf numFmtId="14" fontId="36" fillId="10" borderId="0" xfId="0" applyNumberFormat="1" applyFont="1" applyFill="1" applyAlignment="1">
      <s:alignment horizontal="center" vertical="top" mc:Ignorable="vyd"/>
    </s:xf>
    <s:xf numFmtId="4" fontId="36" fillId="10" borderId="0" xfId="0" applyNumberFormat="1" applyFont="1" applyFill="1" applyAlignment="1">
      <s:alignment horizontal="right" vertical="top" mc:Ignorable="vyd"/>
    </s:xf>
    <s:xf numFmtId="0" fontId="36" fillId="10" borderId="0" xfId="0" applyFont="1" applyFill="1" applyAlignment="1">
      <s:alignment horizontal="left" vertical="top" mc:Ignorable="vyd"/>
    </s:xf>
    <s:xf numFmtId="14" fontId="25" fillId="10" borderId="0" xfId="0" applyNumberFormat="1" applyFont="1" applyFill="1" applyAlignment="1">
      <s:alignment horizontal="center" vertical="top" mc:Ignorable="vyd"/>
    </s:xf>
    <s:xf numFmtId="4" fontId="25" fillId="10" borderId="0" xfId="0" applyNumberFormat="1" applyFont="1" applyFill="1" applyAlignment="1">
      <s:alignment horizontal="right" vertical="top" mc:Ignorable="vyd"/>
    </s:xf>
    <s:xf numFmtId="14" fontId="36" fillId="19" borderId="0" xfId="0" applyNumberFormat="1" applyFont="1" applyFill="1" applyAlignment="1">
      <s:alignment horizontal="center" vertical="top" mc:Ignorable="vyd"/>
    </s:xf>
    <s:xf numFmtId="4" fontId="36" fillId="19" borderId="0" xfId="0" applyNumberFormat="1" applyFont="1" applyFill="1" applyAlignment="1">
      <s:alignment horizontal="right" vertical="top" mc:Ignorable="vyd"/>
    </s:xf>
    <s:xf numFmtId="0" fontId="36" fillId="19" borderId="0" xfId="0" applyFont="1" applyFill="1" applyAlignment="1">
      <s:alignment horizontal="left" vertical="top" wrapText="1" mc:Ignorable="vyd"/>
    </s:xf>
    <s:xf numFmtId="0" fontId="36" fillId="23" borderId="54" xfId="0" applyFont="1" applyFill="1" applyBorder="1" applyAlignment="1">
      <s:alignment horizontal="left" vertical="top" mc:Ignorable="vyd"/>
    </s:xf>
    <s:xf numFmtId="0" fontId="36" fillId="23" borderId="0" xfId="0" applyFont="1" applyFill="1" applyAlignment="1">
      <s:alignment horizontal="left" vertical="top" mc:Ignorable="vyd"/>
    </s:xf>
    <s:xf numFmtId="4" fontId="37" fillId="23" borderId="0" xfId="0" applyNumberFormat="1" applyFont="1" applyFill="1" applyAlignment="1">
      <s:alignment horizontal="right" vertical="top" mc:Ignorable="vyd"/>
    </s:xf>
    <s:xf numFmtId="0" fontId="36" fillId="23" borderId="0" xfId="0" applyFont="1" applyFill="1" applyAlignment="1">
      <s:alignment horizontal="right" vertical="top" mc:Ignorable="vyd"/>
    </s:xf>
    <s:xf numFmtId="0" fontId="7" fillId="23" borderId="0" xfId="0" applyFont="1" applyFill="1" applyAlignment="1">
      <s:alignment horizontal="left" mc:Ignorable="vyd"/>
    </s:xf>
    <s:xf numFmtId="2" fontId="37" fillId="23" borderId="0" xfId="0" applyNumberFormat="1" applyFont="1" applyFill="1" applyAlignment="1">
      <s:alignment horizontal="left" vertical="top" mc:Ignorable="vyd"/>
    </s:xf>
    <s:xf numFmtId="2" fontId="37" fillId="23" borderId="0" xfId="0" applyNumberFormat="1" applyFont="1" applyFill="1" applyAlignment="1">
      <s:alignment horizontal="right" vertical="top" mc:Ignorable="vyd"/>
    </s:xf>
    <s:xf numFmtId="0" fontId="7" fillId="23" borderId="83" xfId="0" applyFont="1" applyFill="1" applyBorder="1" applyAlignment="1">
      <s:alignment horizontal="left" mc:Ignorable="vyd"/>
    </s:xf>
    <s:xf numFmtId="0" fontId="36" fillId="19" borderId="0" xfId="0" applyFont="1" applyFill="1" applyAlignment="1">
      <s:alignment horizontal="center" vertical="center" wrapText="1" mc:Ignorable="vyd"/>
    </s:xf>
    <s:xf numFmtId="0" fontId="36" fillId="19" borderId="54" xfId="0" applyFont="1" applyFill="1" applyBorder="1" applyAlignment="1">
      <s:alignment horizontal="center" vertical="center" wrapText="1" mc:Ignorable="vyd"/>
    </s:xf>
    <s:xf numFmtId="0" fontId="37" fillId="19" borderId="0" xfId="0" applyFont="1" applyFill="1" applyAlignment="1">
      <s:alignment horizontal="left" vertical="top" wrapText="1" mc:Ignorable="vyd"/>
    </s:xf>
    <s:xf numFmtId="0" fontId="12" fillId="19" borderId="0" xfId="0" applyFont="1" applyFill="1" applyAlignment="1">
      <s:alignment horizontal="left" mc:Ignorable="vyd"/>
    </s:xf>
    <s:xf numFmtId="0" fontId="7" fillId="19" borderId="0" xfId="0" applyFont="1" applyFill="1" applyAlignment="1">
      <s:alignment horizontal="left" wrapText="1" mc:Ignorable="vyd"/>
    </s:xf>
    <s:xf numFmtId="0" fontId="7" fillId="19" borderId="0" xfId="0" applyFont="1" applyFill="1" applyAlignment="1">
      <s:alignment horizontal="center" vertical="center" wrapText="1" mc:Ignorable="vyd"/>
    </s:xf>
    <s:xf numFmtId="0" fontId="7" fillId="19" borderId="83" xfId="0" applyFont="1" applyFill="1" applyBorder="1" applyAlignment="1">
      <s:alignment horizontal="center" vertical="center" wrapText="1" mc:Ignorable="vyd"/>
    </s:xf>
    <s:xf numFmtId="0" fontId="36" fillId="19" borderId="26" xfId="0" applyFont="1" applyFill="1" applyBorder="1" applyAlignment="1">
      <s:alignment horizontal="center" vertical="center" wrapText="1" mc:Ignorable="vyd"/>
    </s:xf>
    <s:xf numFmtId="1" fontId="36" fillId="19" borderId="26" xfId="0" applyNumberFormat="1" applyFont="1" applyFill="1" applyBorder="1" applyAlignment="1">
      <s:alignment horizontal="center" vertical="top" mc:Ignorable="vyd"/>
    </s:xf>
    <s:xf numFmtId="0" fontId="36" fillId="19" borderId="26" xfId="0" applyFont="1" applyFill="1" applyBorder="1" applyAlignment="1">
      <s:alignment horizontal="left" vertical="top" mc:Ignorable="vyd"/>
    </s:xf>
    <s:xf numFmtId="170" fontId="36" fillId="19" borderId="26" xfId="0" applyNumberFormat="1" applyFont="1" applyFill="1" applyBorder="1" applyAlignment="1">
      <s:alignment horizontal="center" vertical="top" mc:Ignorable="vyd"/>
    </s:xf>
    <s:xf numFmtId="2" fontId="36" fillId="19" borderId="26" xfId="0" applyNumberFormat="1" applyFont="1" applyFill="1" applyBorder="1" applyAlignment="1">
      <s:alignment horizontal="center" vertical="top" mc:Ignorable="vyd"/>
    </s:xf>
    <s:xf numFmtId="4" fontId="37" fillId="19" borderId="26" xfId="0" applyNumberFormat="1" applyFont="1" applyFill="1" applyBorder="1" applyAlignment="1">
      <s:alignment vertical="top" indent="1" mc:Ignorable="vyd"/>
    </s:xf>
    <s:xf numFmtId="4" fontId="36" fillId="19" borderId="55" xfId="0" applyNumberFormat="1" applyFont="1" applyFill="1" applyBorder="1" applyAlignment="1">
      <s:alignment horizontal="left" vertical="top" mc:Ignorable="vyd"/>
    </s:xf>
    <s:xf numFmtId="10" fontId="36" fillId="19" borderId="26" xfId="0" applyNumberFormat="1" applyFont="1" applyFill="1" applyBorder="1" applyAlignment="1">
      <s:alignment horizontal="center" vertical="top" mc:Ignorable="vyd"/>
    </s:xf>
    <s:xf numFmtId="0" fontId="36" fillId="19" borderId="54" xfId="0" applyFont="1" applyFill="1" applyBorder="1" applyAlignment="1">
      <s:alignment horizontal="left" vertical="top" wrapText="1" mc:Ignorable="vyd"/>
    </s:xf>
    <s:xf numFmtId="1" fontId="36" fillId="19" borderId="26" xfId="0" applyNumberFormat="1" applyFont="1" applyFill="1" applyBorder="1" applyAlignment="1">
      <s:alignment horizontal="center" vertical="top" wrapText="1" mc:Ignorable="vyd"/>
    </s:xf>
    <s:xf numFmtId="0" fontId="7" fillId="19" borderId="26" xfId="0" applyFont="1" applyFill="1" applyBorder="1" applyAlignment="1">
      <s:alignment horizontal="left" vertical="center" mc:Ignorable="vyd"/>
    </s:xf>
    <s:xf numFmtId="170" fontId="36" fillId="19" borderId="26" xfId="0" applyNumberFormat="1" applyFont="1" applyFill="1" applyBorder="1" applyAlignment="1">
      <s:alignment horizontal="center" vertical="top" wrapText="1" mc:Ignorable="vyd"/>
    </s:xf>
    <s:xf numFmtId="4" fontId="36" fillId="19" borderId="0" xfId="0" applyNumberFormat="1" applyFont="1" applyFill="1" applyAlignment="1">
      <s:alignment horizontal="left" vertical="top" wrapText="1" mc:Ignorable="vyd"/>
    </s:xf>
    <s:xf numFmtId="10" fontId="36" fillId="19" borderId="26" xfId="0" applyNumberFormat="1" applyFont="1" applyFill="1" applyBorder="1" applyAlignment="1">
      <s:alignment horizontal="center" vertical="top" wrapText="1" mc:Ignorable="vyd"/>
    </s:xf>
    <s:xf numFmtId="0" fontId="7" fillId="19" borderId="83" xfId="0" applyFont="1" applyFill="1" applyBorder="1" applyAlignment="1">
      <s:alignment horizontal="left" wrapText="1" mc:Ignorable="vyd"/>
    </s:xf>
    <s:xf numFmtId="0" fontId="7" fillId="19" borderId="54" xfId="0" applyFont="1" applyFill="1" applyBorder="1" applyAlignment="1">
      <s:alignment horizontal="center" vertical="center" wrapText="1" mc:Ignorable="vyd"/>
    </s:xf>
    <s:xf numFmtId="0" fontId="7" fillId="19" borderId="26" xfId="0" applyFont="1" applyFill="1" applyBorder="1" applyAlignment="1">
      <s:alignment horizontal="center" vertical="center" wrapText="1" mc:Ignorable="vyd"/>
    </s:xf>
    <s:xf numFmtId="170" fontId="7" fillId="19" borderId="26" xfId="0" applyNumberFormat="1" applyFont="1" applyFill="1" applyBorder="1" applyAlignment="1">
      <s:alignment horizontal="center" vertical="center" wrapText="1" mc:Ignorable="vyd"/>
    </s:xf>
    <s:xf numFmtId="2" fontId="7" fillId="19" borderId="26" xfId="0" applyNumberFormat="1" applyFont="1" applyFill="1" applyBorder="1" applyAlignment="1">
      <s:alignment horizontal="center" vertical="center" wrapText="1" mc:Ignorable="vyd"/>
    </s:xf>
    <s:xf numFmtId="4" fontId="12" fillId="19" borderId="26" xfId="0" applyNumberFormat="1" applyFont="1" applyFill="1" applyBorder="1" applyAlignment="1">
      <s:alignment vertical="center" wrapText="1" mc:Ignorable="vyd"/>
    </s:xf>
    <s:xf numFmtId="0" fontId="7" fillId="19" borderId="55" xfId="0" applyFont="1" applyFill="1" applyBorder="1" applyAlignment="1">
      <s:alignment horizontal="center" vertical="center" wrapText="1" mc:Ignorable="vyd"/>
    </s:xf>
    <s:xf numFmtId="0" fontId="7" fillId="19" borderId="26" xfId="0" applyFont="1" applyFill="1" applyBorder="1" applyAlignment="1">
      <s:alignment horizontal="left" vertical="center" wrapText="1" mc:Ignorable="vyd"/>
    </s:xf>
    <s:xf numFmtId="10" fontId="7" fillId="19" borderId="26" xfId="0" applyNumberFormat="1" applyFont="1" applyFill="1" applyBorder="1" applyAlignment="1">
      <s:alignment horizontal="center" vertical="center" wrapText="1" mc:Ignorable="vyd"/>
    </s:xf>
    <s:xf numFmtId="0" fontId="36" fillId="19" borderId="0" xfId="0" applyFont="1" applyFill="1" applyAlignment="1">
      <s:alignment horizontal="left" vertical="center" mc:Ignorable="vyd"/>
    </s:xf>
    <s:xf numFmtId="170" fontId="36" fillId="19" borderId="0" xfId="0" applyNumberFormat="1" applyFont="1" applyFill="1" applyAlignment="1">
      <s:alignment horizontal="center" vertical="center" wrapText="1" mc:Ignorable="vyd"/>
    </s:xf>
    <s:xf numFmtId="2" fontId="37" fillId="19" borderId="0" xfId="0" applyNumberFormat="1" applyFont="1" applyFill="1" applyAlignment="1">
      <s:alignment horizontal="right" vertical="center" wrapText="1" mc:Ignorable="vyd"/>
    </s:xf>
    <s:xf numFmtId="4" fontId="12" fillId="23" borderId="0" xfId="0" applyNumberFormat="1" applyFont="1" applyFill="1" applyAlignment="1">
      <s:alignment horizontal="right" mc:Ignorable="vyd"/>
    </s:xf>
    <s:xf numFmtId="0" fontId="7" fillId="23" borderId="0" xfId="0" applyFont="1" applyFill="1" applyAlignment="1">
      <s:alignment horizontal="right" mc:Ignorable="vyd"/>
    </s:xf>
    <s:xf numFmtId="0" fontId="7" fillId="19" borderId="54" xfId="0" applyFont="1" applyFill="1" applyBorder="1" applyAlignment="1">
      <s:alignment horizontal="left" mc:Ignorable="vyd"/>
    </s:xf>
    <s:xf numFmtId="0" fontId="7" fillId="0" borderId="0" xfId="0" applyFont="1" applyAlignment="1">
      <s:alignment horizontal="left" mc:Ignorable="vyd"/>
    </s:xf>
    <s:xf numFmtId="0" fontId="7" fillId="0" borderId="83" xfId="0" applyFont="1" applyBorder="1"/>
    <s:xf numFmtId="0" fontId="7" fillId="19" borderId="54" xfId="0" applyFont="1" applyFill="1" applyBorder="1" applyAlignment="1">
      <s:alignment horizontal="left" wrapText="1" mc:Ignorable="vyd"/>
    </s:xf>
    <s:xf numFmtId="0" fontId="37" fillId="19" borderId="69" xfId="0" applyFont="1" applyFill="1" applyBorder="1" applyAlignment="1">
      <s:alignment horizontal="left" vertical="top" wrapText="1" mc:Ignorable="vyd"/>
    </s:xf>
    <s:xf numFmtId="0" fontId="7" fillId="19" borderId="69" xfId="0" applyFont="1" applyFill="1" applyBorder="1" applyAlignment="1">
      <s:alignment horizontal="left" wrapText="1" mc:Ignorable="vyd"/>
    </s:xf>
    <s:xf numFmtId="0" fontId="7" fillId="19" borderId="81" xfId="0" applyFont="1" applyFill="1" applyBorder="1" applyAlignment="1">
      <s:alignment horizontal="left" wrapText="1" mc:Ignorable="vyd"/>
    </s:xf>
    <s:xf numFmtId="0" fontId="7" fillId="19" borderId="85" xfId="0" applyFont="1" applyFill="1" applyBorder="1" applyAlignment="1">
      <s:alignment horizontal="center" vertical="center" wrapText="1" mc:Ignorable="vyd"/>
    </s:xf>
    <s:xf numFmtId="0" fontId="36" fillId="19" borderId="26" xfId="0" applyFont="1" applyFill="1" applyBorder="1" applyAlignment="1">
      <s:alignment horizontal="center" vertical="center" wrapText="1" indent="1" mc:Ignorable="vyd"/>
    </s:xf>
    <s:xf numFmtId="0" fontId="36" fillId="19" borderId="28" xfId="0" applyFont="1" applyFill="1" applyBorder="1" applyAlignment="1">
      <s:alignment horizontal="center" vertical="center" wrapText="1" indent="1" mc:Ignorable="vyd"/>
    </s:xf>
    <s:xf numFmtId="0" fontId="7" fillId="19" borderId="85" xfId="0" applyFont="1" applyFill="1" applyBorder="1" applyAlignment="1">
      <s:alignment horizontal="left" wrapText="1" mc:Ignorable="vyd"/>
    </s:xf>
    <s:xf numFmtId="4" fontId="36" fillId="19" borderId="26" xfId="0" applyNumberFormat="1" applyFont="1" applyFill="1" applyBorder="1" applyAlignment="1">
      <s:alignment horizontal="right" vertical="top" wrapText="1" mc:Ignorable="vyd"/>
    </s:xf>
    <s:xf numFmtId="2" fontId="37" fillId="19" borderId="26" xfId="0" applyNumberFormat="1" applyFont="1" applyFill="1" applyBorder="1" applyAlignment="1">
      <s:alignment vertical="top" indent="1" mc:Ignorable="vyd"/>
    </s:xf>
    <s:xf numFmtId="3" fontId="36" fillId="19" borderId="26" xfId="0" applyNumberFormat="1" applyFont="1" applyFill="1" applyBorder="1" applyAlignment="1">
      <s:alignment horizontal="left" vertical="top" mc:Ignorable="vyd"/>
    </s:xf>
    <s:xf numFmtId="170" fontId="36" fillId="19" borderId="26" xfId="0" applyNumberFormat="1" applyFont="1" applyFill="1" applyBorder="1" applyAlignment="1">
      <s:alignment vertical="top" mc:Ignorable="vyd"/>
    </s:xf>
    <s:xf numFmtId="170" fontId="36" fillId="19" borderId="0" xfId="0" applyNumberFormat="1" applyFont="1" applyFill="1" applyAlignment="1">
      <s:alignment vertical="top" wrapText="1" mc:Ignorable="vyd"/>
    </s:xf>
    <s:xf numFmtId="4" fontId="7" fillId="19" borderId="26" xfId="0" applyNumberFormat="1" applyFont="1" applyFill="1" applyBorder="1" applyAlignment="1">
      <s:alignment vertical="top" mc:Ignorable="vyd"/>
    </s:xf>
    <s:xf numFmtId="10" fontId="36" fillId="19" borderId="0" xfId="0" applyNumberFormat="1" applyFont="1" applyFill="1" applyAlignment="1">
      <s:alignment horizontal="center" vertical="top" mc:Ignorable="vyd"/>
    </s:xf>
    <s:xf numFmtId="2" fontId="20" fillId="19" borderId="28" xfId="0" applyNumberFormat="1" applyFont="1" applyFill="1" applyBorder="1" applyAlignment="1">
      <s:alignment horizontal="right" vertical="top" indent="1" mc:Ignorable="vyd"/>
    </s:xf>
    <s:xf numFmtId="4" fontId="36" fillId="19" borderId="26" xfId="0" applyNumberFormat="1" applyFont="1" applyFill="1" applyBorder="1" applyAlignment="1">
      <s:alignment horizontal="right" vertical="center" wrapText="1" mc:Ignorable="vyd"/>
    </s:xf>
    <s:xf numFmtId="2" fontId="37" fillId="19" borderId="26" xfId="0" applyNumberFormat="1" applyFont="1" applyFill="1" applyBorder="1" applyAlignment="1">
      <s:alignment vertical="top" mc:Ignorable="vyd"/>
    </s:xf>
    <s:xf numFmtId="0" fontId="36" fillId="19" borderId="48" xfId="0" applyFont="1" applyFill="1" applyBorder="1" applyAlignment="1">
      <s:alignment horizontal="center" vertical="center" wrapText="1" mc:Ignorable="vyd"/>
    </s:xf>
    <s:xf numFmtId="0" fontId="30" fillId="0" borderId="26" xfId="0" applyFont="1" applyBorder="1"/>
    <s:xf numFmtId="170" fontId="36" fillId="19" borderId="26" xfId="0" applyNumberFormat="1" applyFont="1" applyFill="1" applyBorder="1" applyAlignment="1">
      <s:alignment vertical="center" wrapText="1" mc:Ignorable="vyd"/>
    </s:xf>
    <s:xf numFmtId="0" fontId="7" fillId="19" borderId="26" xfId="0" applyFont="1" applyFill="1" applyBorder="1" applyAlignment="1">
      <s:alignment vertical="top" mc:Ignorable="vyd"/>
    </s:xf>
    <s:xf numFmtId="0" fontId="30" fillId="0" borderId="66" xfId="0" applyFont="1" applyBorder="1"/>
    <s:xf numFmtId="0" fontId="36" fillId="19" borderId="35" xfId="0" applyFont="1" applyFill="1" applyBorder="1" applyAlignment="1">
      <s:alignment horizontal="left" vertical="center" mc:Ignorable="vyd"/>
    </s:xf>
    <s:xf numFmtId="10" fontId="36" fillId="19" borderId="35" xfId="0" applyNumberFormat="1" applyFont="1" applyFill="1" applyBorder="1" applyAlignment="1">
      <s:alignment horizontal="center" vertical="center" mc:Ignorable="vyd"/>
    </s:xf>
    <s:xf numFmtId="4" fontId="36" fillId="19" borderId="35" xfId="0" applyNumberFormat="1" applyFont="1" applyFill="1" applyBorder="1" applyAlignment="1">
      <s:alignment horizontal="right" vertical="center" wrapText="1" mc:Ignorable="vyd"/>
    </s:xf>
    <s:xf numFmtId="2" fontId="37" fillId="19" borderId="35" xfId="0" applyNumberFormat="1" applyFont="1" applyFill="1" applyBorder="1" applyAlignment="1">
      <s:alignment vertical="center" mc:Ignorable="vyd"/>
    </s:xf>
    <s:xf numFmtId="0" fontId="30" fillId="0" borderId="67" xfId="0" applyFont="1" applyBorder="1"/>
    <s:xf numFmtId="3" fontId="36" fillId="19" borderId="67" xfId="0" applyNumberFormat="1" applyFont="1" applyFill="1" applyBorder="1" applyAlignment="1">
      <s:alignment horizontal="left" vertical="top" mc:Ignorable="vyd"/>
    </s:xf>
    <s:xf numFmtId="170" fontId="30" fillId="0" borderId="67" xfId="0" applyNumberFormat="1" applyFont="1" applyBorder="1"/>
    <s:xf numFmtId="10" fontId="36" fillId="19" borderId="67" xfId="0" applyNumberFormat="1" applyFont="1" applyFill="1" applyBorder="1" applyAlignment="1">
      <s:alignment horizontal="center" vertical="top" mc:Ignorable="vyd"/>
    </s:xf>
    <s:xf numFmtId="2" fontId="38" fillId="0" borderId="68" xfId="0" applyNumberFormat="1" applyFont="1" applyBorder="1" applyAlignment="1">
      <s:alignment horizontal="right" mc:Ignorable="vyd"/>
    </s:xf>
    <s:xf numFmtId="9" fontId="12" fillId="0" borderId="0" xfId="0" applyNumberFormat="1" applyFont="1" applyAlignment="1">
      <s:alignment horizontal="center" vertical="center" mc:Ignorable="vyd"/>
    </s:xf>
    <s:xf numFmtId="0" fontId="7" fillId="0" borderId="86" xfId="0" applyFont="1" applyBorder="1" applyAlignment="1">
      <s:alignment horizontal="center" vertical="center" mc:Ignorable="vyd"/>
    </s:xf>
    <s:xf numFmtId="0" fontId="35" fillId="21" borderId="69" xfId="0" applyFont="1" applyFill="1" applyBorder="1" applyAlignment="1">
      <s:alignment horizontal="center" vertical="center" wrapText="1" mc:Ignorable="vyd"/>
    </s:xf>
    <s:xf numFmtId="0" fontId="35" fillId="21" borderId="88" xfId="0" applyFont="1" applyFill="1" applyBorder="1" applyAlignment="1">
      <s:alignment horizontal="center" vertical="center" wrapText="1" mc:Ignorable="vyd"/>
    </s:xf>
    <s:xf numFmtId="0" fontId="35" fillId="21" borderId="89" xfId="0" applyFont="1" applyFill="1" applyBorder="1" applyAlignment="1">
      <s:alignment horizontal="center" vertical="center" wrapText="1" mc:Ignorable="vyd"/>
    </s:xf>
    <s:xf numFmtId="0" fontId="35" fillId="21" borderId="90" xfId="0" applyFont="1" applyFill="1" applyBorder="1" applyAlignment="1">
      <s:alignment horizontal="center" vertical="center" wrapText="1" mc:Ignorable="vyd"/>
    </s:xf>
    <s:xf numFmtId="0" fontId="35" fillId="21" borderId="91" xfId="0" applyFont="1" applyFill="1" applyBorder="1" applyAlignment="1">
      <s:alignment horizontal="center" vertical="center" wrapText="1" mc:Ignorable="vyd"/>
    </s:xf>
    <s:xf numFmtId="169" fontId="17" fillId="22" borderId="88" xfId="0" applyNumberFormat="1" applyFont="1" applyFill="1" applyBorder="1" applyAlignment="1">
      <s:alignment horizontal="right" vertical="top" wrapText="1" mc:Ignorable="vyd"/>
    </s:xf>
    <s:xf numFmtId="169" fontId="17" fillId="22" borderId="21" xfId="0" applyNumberFormat="1" applyFont="1" applyFill="1" applyBorder="1" applyAlignment="1">
      <s:alignment horizontal="right" vertical="top" wrapText="1" indent="1" mc:Ignorable="vyd"/>
    </s:xf>
    <s:xf numFmtId="169" fontId="17" fillId="22" borderId="45" xfId="0" applyNumberFormat="1" applyFont="1" applyFill="1" applyBorder="1" applyAlignment="1">
      <s:alignment horizontal="right" vertical="top" wrapText="1" indent="1" mc:Ignorable="vyd"/>
    </s:xf>
    <s:xf numFmtId="169" fontId="17" fillId="22" borderId="19" xfId="0" applyNumberFormat="1" applyFont="1" applyFill="1" applyBorder="1" applyAlignment="1">
      <s:alignment horizontal="right" vertical="top" wrapText="1" indent="1" mc:Ignorable="vyd"/>
    </s:xf>
    <s:xf numFmtId="169" fontId="17" fillId="0" borderId="23" xfId="0" applyNumberFormat="1" applyFont="1" applyBorder="1" applyAlignment="1">
      <s:alignment horizontal="right" vertical="top" wrapText="1" indent="1" mc:Ignorable="vyd"/>
    </s:xf>
    <s:xf numFmtId="169" fontId="17" fillId="0" borderId="92" xfId="0" applyNumberFormat="1" applyFont="1" applyBorder="1" applyAlignment="1">
      <s:alignment horizontal="right" vertical="top" wrapText="1" indent="1" mc:Ignorable="vyd"/>
    </s:xf>
    <s:xf numFmtId="169" fontId="17" fillId="22" borderId="88" xfId="0" applyNumberFormat="1" applyFont="1" applyFill="1" applyBorder="1" applyAlignment="1">
      <s:alignment horizontal="right" vertical="top" wrapText="1" indent="1" mc:Ignorable="vyd"/>
    </s:xf>
    <s:xf numFmtId="169" fontId="17" fillId="22" borderId="21" xfId="0" applyNumberFormat="1" applyFont="1" applyFill="1" applyBorder="1" applyAlignment="1">
      <s:alignment horizontal="right" vertical="top" wrapText="1" mc:Ignorable="vyd"/>
    </s:xf>
    <s:xf numFmtId="0" fontId="37" fillId="19" borderId="93" xfId="0" applyFont="1" applyFill="1" applyBorder="1" applyAlignment="1">
      <s:alignment horizontal="left" vertical="top" mc:Ignorable="vyd"/>
    </s:xf>
    <s:xf numFmtId="0" fontId="36" fillId="19" borderId="93" xfId="0" applyFont="1" applyFill="1" applyBorder="1" applyAlignment="1">
      <s:alignment horizontal="left" vertical="top" mc:Ignorable="vyd"/>
    </s:xf>
    <s:xf numFmtId="0" fontId="12" fillId="19" borderId="69" xfId="0" applyFont="1" applyFill="1" applyBorder="1" applyAlignment="1">
      <s:alignment horizontal="left" mc:Ignorable="vyd"/>
    </s:xf>
    <s:xf numFmtId="0" fontId="36" fillId="19" borderId="84" xfId="0" applyFont="1" applyFill="1" applyBorder="1" applyAlignment="1">
      <s:alignment horizontal="center" vertical="center" wrapText="1" mc:Ignorable="vyd"/>
    </s:xf>
    <s:xf numFmtId="0" fontId="36" fillId="19" borderId="94" xfId="0" applyFont="1" applyFill="1" applyBorder="1" applyAlignment="1">
      <s:alignment horizontal="center" vertical="center" wrapText="1" mc:Ignorable="vyd"/>
    </s:xf>
    <s:xf numFmtId="0" fontId="36" fillId="19" borderId="97" xfId="0" applyFont="1" applyFill="1" applyBorder="1" applyAlignment="1">
      <s:alignment horizontal="center" vertical="center" wrapText="1" mc:Ignorable="vyd"/>
    </s:xf>
    <s:xf numFmtId="1" fontId="36" fillId="19" borderId="94" xfId="0" applyNumberFormat="1" applyFont="1" applyFill="1" applyBorder="1" applyAlignment="1">
      <s:alignment horizontal="center" vertical="top" mc:Ignorable="vyd"/>
    </s:xf>
    <s:xf numFmtId="0" fontId="36" fillId="19" borderId="94" xfId="0" applyFont="1" applyFill="1" applyBorder="1" applyAlignment="1">
      <s:alignment horizontal="left" vertical="top" mc:Ignorable="vyd"/>
    </s:xf>
    <s:xf numFmtId="170" fontId="36" fillId="19" borderId="0" xfId="0" applyNumberFormat="1" applyFont="1" applyFill="1" applyAlignment="1">
      <s:alignment horizontal="center" vertical="top" mc:Ignorable="vyd"/>
    </s:xf>
    <s:xf numFmtId="2" fontId="36" fillId="19" borderId="94" xfId="0" applyNumberFormat="1" applyFont="1" applyFill="1" applyBorder="1" applyAlignment="1">
      <s:alignment horizontal="center" vertical="top" mc:Ignorable="vyd"/>
    </s:xf>
    <s:xf numFmtId="4" fontId="37" fillId="19" borderId="94" xfId="0" applyNumberFormat="1" applyFont="1" applyFill="1" applyBorder="1" applyAlignment="1">
      <s:alignment horizontal="right" vertical="top" indent="1" mc:Ignorable="vyd"/>
    </s:xf>
    <s:xf numFmtId="4" fontId="36" fillId="19" borderId="97" xfId="0" applyNumberFormat="1" applyFont="1" applyFill="1" applyBorder="1" applyAlignment="1">
      <s:alignment horizontal="left" vertical="top" mc:Ignorable="vyd"/>
    </s:xf>
    <s:xf numFmtId="170" fontId="36" fillId="19" borderId="94" xfId="0" applyNumberFormat="1" applyFont="1" applyFill="1" applyBorder="1" applyAlignment="1">
      <s:alignment horizontal="center" vertical="center" wrapText="1" mc:Ignorable="vyd"/>
    </s:xf>
    <s:xf numFmtId="0" fontId="36" fillId="19" borderId="26" xfId="0" applyFont="1" applyFill="1" applyBorder="1" applyAlignment="1">
      <s:alignment horizontal="left" vertical="center" wrapText="1" mc:Ignorable="vyd"/>
    </s:xf>
    <s:xf numFmtId="0" fontId="7" fillId="19" borderId="81" xfId="0" applyFont="1" applyFill="1" applyBorder="1" applyAlignment="1">
      <s:alignment horizontal="left" mc:Ignorable="vyd"/>
    </s:xf>
    <s:xf numFmtId="0" fontId="7" fillId="19" borderId="84" xfId="0" applyFont="1" applyFill="1" applyBorder="1" applyAlignment="1">
      <s:alignment horizontal="center" vertical="center" wrapText="1" mc:Ignorable="vyd"/>
    </s:xf>
    <s:xf numFmtId="0" fontId="36" fillId="19" borderId="28" xfId="0" applyFont="1" applyFill="1" applyBorder="1" applyAlignment="1">
      <s:alignment horizontal="center" vertical="center" wrapText="1" mc:Ignorable="vyd"/>
    </s:xf>
    <s:xf numFmtId="0" fontId="7" fillId="19" borderId="84" xfId="0" applyFont="1" applyFill="1" applyBorder="1" applyAlignment="1">
      <s:alignment horizontal="left" mc:Ignorable="vyd"/>
    </s:xf>
    <s:xf numFmtId="10" fontId="36" fillId="19" borderId="94" xfId="0" applyNumberFormat="1" applyFont="1" applyFill="1" applyBorder="1" applyAlignment="1">
      <s:alignment horizontal="center" vertical="top" mc:Ignorable="vyd"/>
    </s:xf>
    <s:xf numFmtId="2" fontId="37" fillId="19" borderId="94" xfId="0" applyNumberFormat="1" applyFont="1" applyFill="1" applyBorder="1" applyAlignment="1">
      <s:alignment horizontal="right" vertical="top" indent="1" mc:Ignorable="vyd"/>
    </s:xf>
    <s:xf numFmtId="170" fontId="36" fillId="19" borderId="0" xfId="0" applyNumberFormat="1" applyFont="1" applyFill="1" applyAlignment="1">
      <s:alignment vertical="top" mc:Ignorable="vyd"/>
    </s:xf>
    <s:xf numFmtId="4" fontId="7" fillId="19" borderId="0" xfId="0" applyNumberFormat="1" applyFont="1" applyFill="1" applyAlignment="1">
      <s:alignment vertical="top" mc:Ignorable="vyd"/>
    </s:xf>
    <s:xf numFmtId="4" fontId="36" fillId="19" borderId="94" xfId="0" applyNumberFormat="1" applyFont="1" applyFill="1" applyBorder="1" applyAlignment="1">
      <s:alignment horizontal="right" vertical="center" wrapText="1" mc:Ignorable="vyd"/>
    </s:xf>
    <s:xf numFmtId="0" fontId="36" fillId="19" borderId="26" xfId="0" applyFont="1" applyFill="1" applyBorder="1" applyAlignment="1">
      <s:alignment vertical="center" mc:Ignorable="vyd"/>
    </s:xf>
    <s:xf numFmtId="0" fontId="3" fillId="0" borderId="7" xfId="0" applyFont="1" applyBorder="1"/>
    <s:xf numFmtId="0" fontId="3" fillId="0" borderId="98" xfId="0" applyFont="1" applyBorder="1"/>
    <s:xf numFmtId="0" fontId="3" fillId="0" borderId="8" xfId="0" applyFont="1" applyBorder="1"/>
    <s:xf numFmtId="0" fontId="3" fillId="0" borderId="99" xfId="0" applyFont="1" applyBorder="1"/>
    <s:xf numFmtId="0" fontId="0" fillId="0" borderId="100" xfId="0" applyBorder="1"/>
    <s:xf numFmtId="169" fontId="17" fillId="22" borderId="104" xfId="0" applyNumberFormat="1" applyFont="1" applyFill="1" applyBorder="1" applyAlignment="1">
      <s:alignment horizontal="right" vertical="top" wrapText="1" indent="1" mc:Ignorable="vyd"/>
    </s:xf>
    <s:xf numFmtId="169" fontId="17" fillId="22" borderId="105" xfId="0" applyNumberFormat="1" applyFont="1" applyFill="1" applyBorder="1" applyAlignment="1">
      <s:alignment horizontal="right" vertical="top" wrapText="1" mc:Ignorable="vyd"/>
    </s:xf>
    <s:xf numFmtId="169" fontId="17" fillId="22" borderId="46" xfId="0" applyNumberFormat="1" applyFont="1" applyFill="1" applyBorder="1" applyAlignment="1">
      <s:alignment horizontal="right" vertical="top" wrapText="1" indent="1" mc:Ignorable="vyd"/>
    </s:xf>
    <s:xf numFmtId="169" fontId="17" fillId="22" borderId="65" xfId="0" applyNumberFormat="1" applyFont="1" applyFill="1" applyBorder="1" applyAlignment="1">
      <s:alignment horizontal="right" vertical="top" wrapText="1" indent="1" mc:Ignorable="vyd"/>
    </s:xf>
    <s:xf numFmtId="169" fontId="17" fillId="22" borderId="35" xfId="0" applyNumberFormat="1" applyFont="1" applyFill="1" applyBorder="1" applyAlignment="1">
      <s:alignment horizontal="right" vertical="top" wrapText="1" indent="1" mc:Ignorable="vyd"/>
    </s:xf>
    <s:xf numFmtId="169" fontId="17" fillId="0" borderId="37" xfId="0" applyNumberFormat="1" applyFont="1" applyBorder="1" applyAlignment="1">
      <s:alignment horizontal="right" vertical="top" wrapText="1" indent="1" mc:Ignorable="vyd"/>
    </s:xf>
    <s:xf numFmtId="169" fontId="17" fillId="0" borderId="106" xfId="0" applyNumberFormat="1" applyFont="1" applyBorder="1" applyAlignment="1">
      <s:alignment horizontal="right" vertical="top" wrapText="1" indent="1" mc:Ignorable="vyd"/>
    </s:xf>
    <s:xf numFmtId="169" fontId="17" fillId="22" borderId="105" xfId="0" applyNumberFormat="1" applyFont="1" applyFill="1" applyBorder="1" applyAlignment="1">
      <s:alignment horizontal="right" vertical="top" wrapText="1" indent="1" mc:Ignorable="vyd"/>
    </s:xf>
    <s:xf numFmtId="169" fontId="17" fillId="22" borderId="107" xfId="0" applyNumberFormat="1" applyFont="1" applyFill="1" applyBorder="1" applyAlignment="1">
      <s:alignment horizontal="right" vertical="top" wrapText="1" mc:Ignorable="vyd"/>
    </s:xf>
    <s:xf numFmtId="0" fontId="36" fillId="19" borderId="108" xfId="0" applyFont="1" applyFill="1" applyBorder="1" applyAlignment="1">
      <s:alignment horizontal="left" vertical="top" mc:Ignorable="vyd"/>
    </s:xf>
    <s:xf numFmtId="0" fontId="7" fillId="19" borderId="109" xfId="0" applyFont="1" applyFill="1" applyBorder="1" applyAlignment="1">
      <s:alignment horizontal="left" mc:Ignorable="vyd"/>
    </s:xf>
    <s:xf numFmtId="0" fontId="36" fillId="19" borderId="54" xfId="0" applyFont="1" applyFill="1" applyBorder="1" applyAlignment="1">
      <s:alignment horizontal="center" vertical="center" mc:Ignorable="vyd"/>
    </s:xf>
    <s:xf numFmtId="4" fontId="37" fillId="19" borderId="26" xfId="0" applyNumberFormat="1" applyFont="1" applyFill="1" applyBorder="1" applyAlignment="1">
      <s:alignment horizontal="right" vertical="top" indent="1" mc:Ignorable="vyd"/>
    </s:xf>
    <s:xf numFmtId="170" fontId="36" fillId="19" borderId="26" xfId="0" applyNumberFormat="1" applyFont="1" applyFill="1" applyBorder="1" applyAlignment="1">
      <s:alignment horizontal="center" vertical="center" wrapText="1" mc:Ignorable="vyd"/>
    </s:xf>
    <s:xf numFmtId="2" fontId="36" fillId="19" borderId="26" xfId="0" applyNumberFormat="1" applyFont="1" applyFill="1" applyBorder="1" applyAlignment="1">
      <s:alignment horizontal="center" vertical="top" wrapText="1" mc:Ignorable="vyd"/>
    </s:xf>
    <s:xf numFmtId="4" fontId="37" fillId="19" borderId="26" xfId="0" applyNumberFormat="1" applyFont="1" applyFill="1" applyBorder="1" applyAlignment="1">
      <s:alignment horizontal="right" vertical="top" wrapText="1" indent="1" mc:Ignorable="vyd"/>
    </s:xf>
    <s:xf numFmtId="0" fontId="36" fillId="19" borderId="55" xfId="0" applyFont="1" applyFill="1" applyBorder="1" applyAlignment="1">
      <s:alignment horizontal="center" vertical="center" wrapText="1" mc:Ignorable="vyd"/>
    </s:xf>
    <s:xf numFmtId="2" fontId="20" fillId="19" borderId="28" xfId="0" applyNumberFormat="1" applyFont="1" applyFill="1" applyBorder="1" applyAlignment="1">
      <s:alignment horizontal="right" vertical="top" mc:Ignorable="vyd"/>
    </s:xf>
    <s:xf numFmtId="0" fontId="3" fillId="0" borderId="66" xfId="0" applyFont="1" applyBorder="1"/>
    <s:xf numFmtId="0" fontId="36" fillId="19" borderId="35" xfId="0" applyFont="1" applyFill="1" applyBorder="1" applyAlignment="1">
      <s:alignment horizontal="left" vertical="top" mc:Ignorable="vyd"/>
    </s:xf>
    <s:xf numFmtId="0" fontId="3" fillId="0" borderId="67" xfId="0" applyFont="1" applyBorder="1"/>
    <s:xf numFmtId="3" fontId="36" fillId="19" borderId="35" xfId="0" applyNumberFormat="1" applyFont="1" applyFill="1" applyBorder="1" applyAlignment="1">
      <s:alignment horizontal="left" vertical="top" mc:Ignorable="vyd"/>
    </s:xf>
    <s:xf numFmtId="0" fontId="30" fillId="0" borderId="35" xfId="0" applyFont="1" applyBorder="1"/>
    <s:xf numFmtId="170" fontId="30" fillId="0" borderId="35" xfId="0" applyNumberFormat="1" applyFont="1" applyBorder="1"/>
    <s:xf numFmtId="10" fontId="36" fillId="19" borderId="35" xfId="0" applyNumberFormat="1" applyFont="1" applyFill="1" applyBorder="1" applyAlignment="1">
      <s:alignment horizontal="center" vertical="top" mc:Ignorable="vyd"/>
    </s:xf>
    <s:xf numFmtId="2" fontId="38" fillId="0" borderId="37" xfId="0" applyNumberFormat="1" applyFont="1" applyBorder="1" applyAlignment="1">
      <s:alignment horizontal="right" mc:Ignorable="vyd"/>
    </s:xf>
    <s:xf numFmtId="0" fontId="17" fillId="20" borderId="29" xfId="0" applyFont="1" applyFill="1" applyBorder="1" applyAlignment="1">
      <s:alignment horizontal="center" vertical="center" mc:Ignorable="vyd"/>
    </s:xf>
    <s:xf numFmtId="0" fontId="7" fillId="0" borderId="8" xfId="0" applyFont="1" applyBorder="1" applyAlignment="1">
      <s:alignment horizontal="center" vertical="center" mc:Ignorable="vyd"/>
    </s:xf>
    <s:xf numFmtId="0" fontId="7" fillId="0" borderId="102" xfId="0" applyFont="1" applyBorder="1" applyAlignment="1">
      <s:alignment horizontal="center" vertical="center" mc:Ignorable="vyd"/>
    </s:xf>
    <s:xf numFmtId="0" fontId="35" fillId="21" borderId="27" xfId="0" applyFont="1" applyFill="1" applyBorder="1" applyAlignment="1">
      <s:alignment horizontal="center" vertical="center" wrapText="1" mc:Ignorable="vyd"/>
    </s:xf>
    <s:xf numFmtId="169" fontId="17" fillId="22" borderId="26" xfId="0" applyNumberFormat="1" applyFont="1" applyFill="1" applyBorder="1" applyAlignment="1">
      <s:alignment horizontal="right" vertical="top" wrapText="1" indent="1" mc:Ignorable="vyd"/>
    </s:xf>
    <s:xf numFmtId="169" fontId="17" fillId="22" borderId="27" xfId="0" applyNumberFormat="1" applyFont="1" applyFill="1" applyBorder="1" applyAlignment="1">
      <s:alignment horizontal="right" vertical="top" wrapText="1" mc:Ignorable="vyd"/>
    </s:xf>
    <s:xf numFmtId="169" fontId="17" fillId="22" borderId="66" xfId="0" applyNumberFormat="1" applyFont="1" applyFill="1" applyBorder="1" applyAlignment="1">
      <s:alignment horizontal="right" vertical="top" wrapText="1" indent="1" mc:Ignorable="vyd"/>
    </s:xf>
    <s:xf numFmtId="169" fontId="17" fillId="22" borderId="67" xfId="0" applyNumberFormat="1" applyFont="1" applyFill="1" applyBorder="1" applyAlignment="1">
      <s:alignment horizontal="right" vertical="top" wrapText="1" indent="1" mc:Ignorable="vyd"/>
    </s:xf>
    <s:xf numFmtId="169" fontId="17" fillId="0" borderId="68" xfId="0" applyNumberFormat="1" applyFont="1" applyBorder="1" applyAlignment="1">
      <s:alignment horizontal="right" vertical="top" wrapText="1" indent="1" mc:Ignorable="vyd"/>
    </s:xf>
    <s:xf numFmtId="0" fontId="36" fillId="19" borderId="111" xfId="0" applyFont="1" applyFill="1" applyBorder="1" applyAlignment="1">
      <s:alignment horizontal="center" vertical="center" mc:Ignorable="vyd"/>
    </s:xf>
    <s:xf numFmtId="0" fontId="36" fillId="19" borderId="111" xfId="0" applyFont="1" applyFill="1" applyBorder="1" applyAlignment="1">
      <s:alignment horizontal="left" vertical="top" mc:Ignorable="vyd"/>
    </s:xf>
    <s:xf numFmtId="0" fontId="37" fillId="23" borderId="54" xfId="0" applyFont="1" applyFill="1" applyBorder="1" applyAlignment="1">
      <s:alignment horizontal="left" vertical="top" mc:Ignorable="vyd"/>
    </s:xf>
    <s:xf numFmtId="0" fontId="37" fillId="23" borderId="0" xfId="0" applyFont="1" applyFill="1" applyAlignment="1">
      <s:alignment horizontal="left" vertical="top" mc:Ignorable="vyd"/>
    </s:xf>
    <s:xf numFmtId="0" fontId="37" fillId="19" borderId="69" xfId="0" applyFont="1" applyFill="1" applyBorder="1" applyAlignment="1">
      <s:alignment horizontal="left" vertical="top" mc:Ignorable="vyd"/>
    </s:xf>
    <s:xf numFmtId="0" fontId="7" fillId="19" borderId="69" xfId="0" applyFont="1" applyFill="1" applyBorder="1" applyAlignment="1">
      <s:alignment horizontal="left" mc:Ignorable="vyd"/>
    </s:xf>
    <s:xf numFmtId="2" fontId="37" fillId="19" borderId="26" xfId="0" applyNumberFormat="1" applyFont="1" applyFill="1" applyBorder="1" applyAlignment="1">
      <s:alignment horizontal="right" vertical="top" indent="1" mc:Ignorable="vyd"/>
    </s:xf>
    <s:xf numFmtId="0" fontId="36" fillId="19" borderId="55" xfId="0" applyFont="1" applyFill="1" applyBorder="1" applyAlignment="1">
      <s:alignment horizontal="left" vertical="top" mc:Ignorable="vyd"/>
    </s:xf>
    <s:xf numFmtId="0" fontId="35" fillId="21" borderId="0" xfId="0" applyFont="1" applyFill="1" applyAlignment="1">
      <s:alignment horizontal="center" vertical="center" wrapText="1" mc:Ignorable="vyd"/>
    </s:xf>
    <s:xf numFmtId="0" fontId="35" fillId="21" borderId="105" xfId="0" applyFont="1" applyFill="1" applyBorder="1" applyAlignment="1">
      <s:alignment horizontal="center" vertical="center" wrapText="1" mc:Ignorable="vyd"/>
    </s:xf>
    <s:xf numFmtId="0" fontId="35" fillId="21" borderId="115" xfId="0" applyFont="1" applyFill="1" applyBorder="1" applyAlignment="1">
      <s:alignment horizontal="center" vertical="center" wrapText="1" mc:Ignorable="vyd"/>
    </s:xf>
    <s:xf numFmtId="0" fontId="35" fillId="21" borderId="116" xfId="0" applyFont="1" applyFill="1" applyBorder="1" applyAlignment="1">
      <s:alignment horizontal="center" vertical="center" wrapText="1" mc:Ignorable="vyd"/>
    </s:xf>
    <s:xf numFmtId="0" fontId="35" fillId="21" borderId="117" xfId="0" applyFont="1" applyFill="1" applyBorder="1" applyAlignment="1">
      <s:alignment horizontal="center" vertical="center" wrapText="1" mc:Ignorable="vyd"/>
    </s:xf>
    <s:xf numFmtId="0" fontId="35" fillId="21" borderId="41" xfId="0" applyFont="1" applyFill="1" applyBorder="1" applyAlignment="1">
      <s:alignment horizontal="center" vertical="center" wrapText="1" mc:Ignorable="vyd"/>
    </s:xf>
    <s:xf numFmtId="0" fontId="35" fillId="21" borderId="118" xfId="0" applyFont="1" applyFill="1" applyBorder="1" applyAlignment="1">
      <s:alignment horizontal="center" vertical="center" wrapText="1" mc:Ignorable="vyd"/>
    </s:xf>
    <s:xf numFmtId="169" fontId="17" fillId="22" borderId="122" xfId="0" applyNumberFormat="1" applyFont="1" applyFill="1" applyBorder="1" applyAlignment="1">
      <s:alignment horizontal="right" vertical="top" wrapText="1" indent="1" mc:Ignorable="vyd"/>
    </s:xf>
    <s:xf numFmtId="169" fontId="17" fillId="22" borderId="117" xfId="0" applyNumberFormat="1" applyFont="1" applyFill="1" applyBorder="1" applyAlignment="1">
      <s:alignment horizontal="right" vertical="top" wrapText="1" mc:Ignorable="vyd"/>
    </s:xf>
    <s:xf numFmtId="169" fontId="17" fillId="22" borderId="123" xfId="0" applyNumberFormat="1" applyFont="1" applyFill="1" applyBorder="1" applyAlignment="1">
      <s:alignment horizontal="right" vertical="top" wrapText="1" indent="1" mc:Ignorable="vyd"/>
    </s:xf>
    <s:xf numFmtId="169" fontId="17" fillId="0" borderId="116" xfId="0" applyNumberFormat="1" applyFont="1" applyBorder="1" applyAlignment="1">
      <s:alignment horizontal="right" vertical="top" wrapText="1" indent="1" mc:Ignorable="vyd"/>
    </s:xf>
    <s:xf numFmtId="169" fontId="17" fillId="22" borderId="117" xfId="0" applyNumberFormat="1" applyFont="1" applyFill="1" applyBorder="1" applyAlignment="1">
      <s:alignment horizontal="right" vertical="top" wrapText="1" indent="1" mc:Ignorable="vyd"/>
    </s:xf>
    <s:xf numFmtId="169" fontId="17" fillId="22" borderId="118" xfId="0" applyNumberFormat="1" applyFont="1" applyFill="1" applyBorder="1" applyAlignment="1">
      <s:alignment horizontal="right" vertical="top" wrapText="1" mc:Ignorable="vyd"/>
    </s:xf>
    <s:xf numFmtId="0" fontId="17" fillId="24" borderId="124" xfId="0" applyFont="1" applyFill="1" applyBorder="1" applyProtection="1">
      <s:protection locked="0"/>
    </s:xf>
    <s:xf numFmtId="171" fontId="39" fillId="25" borderId="125" xfId="0" applyNumberFormat="1" applyFont="1" applyFill="1" applyBorder="1" applyAlignment="1" applyProtection="1">
      <s:alignment horizontal="left" mc:Ignorable="vyd"/>
      <s:protection locked="0"/>
    </s:xf>
    <s:xf numFmtId="0" fontId="35" fillId="24" borderId="126" xfId="0" applyFont="1" applyFill="1" applyBorder="1" applyProtection="1">
      <s:protection locked="0"/>
    </s:xf>
    <s:xf numFmtId="0" fontId="40" fillId="25" borderId="127" xfId="0" applyFont="1" applyFill="1" applyBorder="1" applyProtection="1">
      <s:protection locked="0"/>
    </s:xf>
    <s:xf numFmtId="0" fontId="35" fillId="24" borderId="0" xfId="0" applyFont="1" applyFill="1" applyProtection="1">
      <s:protection locked="0"/>
    </s:xf>
    <s:xf numFmtId="0" fontId="41" fillId="25" borderId="127" xfId="0" applyFont="1" applyFill="1" applyBorder="1" applyProtection="1">
      <s:protection locked="0"/>
    </s:xf>
    <s:xf numFmtId="0" fontId="40" fillId="25" borderId="128" xfId="0" applyFont="1" applyFill="1" applyBorder="1" applyProtection="1">
      <s:protection locked="0"/>
    </s:xf>
    <s:xf numFmtId="0" fontId="17" fillId="24" borderId="132" xfId="0" applyFont="1" applyFill="1" applyBorder="1" applyAlignment="1" applyProtection="1">
      <s:alignment horizontal="center" wrapText="1" mc:Ignorable="vyd"/>
      <s:protection locked="0"/>
    </s:xf>
    <s:xf numFmtId="0" fontId="17" fillId="26" borderId="133" xfId="0" applyFont="1" applyFill="1" applyBorder="1" applyAlignment="1" applyProtection="1">
      <s:alignment horizontal="center" mc:Ignorable="vyd"/>
      <s:protection locked="0"/>
    </s:xf>
    <s:xf numFmtId="0" fontId="35" fillId="27" borderId="0" xfId="0" applyFont="1" applyFill="1" applyProtection="1">
      <s:protection locked="0"/>
    </s:xf>
    <s:xf numFmtId="0" fontId="17" fillId="24" borderId="134" xfId="0" applyFont="1" applyFill="1" applyBorder="1" applyProtection="1">
      <s:protection locked="0"/>
    </s:xf>
    <s:xf numFmtId="2" fontId="17" fillId="24" borderId="132" xfId="1" applyNumberFormat="1" applyFont="1" applyFill="1" applyBorder="1" applyAlignment="1" applyProtection="1">
      <s:alignment horizontal="center" mc:Ignorable="vyd"/>
      <s:protection locked="0"/>
    </s:xf>
    <s:xf numFmtId="3" fontId="44" fillId="26" borderId="135" xfId="0" applyNumberFormat="1" applyFont="1" applyFill="1" applyBorder="1" applyAlignment="1" applyProtection="1">
      <s:alignment horizontal="center" mc:Ignorable="vyd"/>
      <s:protection hidden="1"/>
    </s:xf>
    <s:xf numFmtId="10" fontId="35" fillId="27" borderId="0" xfId="0" applyNumberFormat="1" applyFont="1" applyFill="1" applyProtection="1">
      <s:protection locked="0"/>
    </s:xf>
    <s:xf numFmtId="0" fontId="17" fillId="24" borderId="129" xfId="0" applyFont="1" applyFill="1" applyBorder="1"/>
    <s:xf numFmtId="0" fontId="35" fillId="24" borderId="131" xfId="0" applyFont="1" applyFill="1" applyBorder="1"/>
    <s:xf numFmtId="0" fontId="14" fillId="24" borderId="136" xfId="0" applyFont="1" applyFill="1" applyBorder="1"/>
    <s:xf numFmtId="0" fontId="14" fillId="28" borderId="137" xfId="0" applyFont="1" applyFill="1" applyBorder="1" applyProtection="1">
      <s:protection locked="0"/>
    </s:xf>
    <s:xf numFmtId="0" fontId="14" fillId="28" borderId="138" xfId="0" applyFont="1" applyFill="1" applyBorder="1" applyProtection="1">
      <s:protection locked="0"/>
    </s:xf>
    <s:xf numFmtId="0" fontId="14" fillId="28" borderId="14" xfId="0" applyFont="1" applyFill="1" applyBorder="1" applyProtection="1">
      <s:protection locked="0"/>
    </s:xf>
    <s:xf numFmtId="0" fontId="14" fillId="28" borderId="139" xfId="0" applyFont="1" applyFill="1" applyBorder="1" applyProtection="1">
      <s:protection locked="0"/>
    </s:xf>
    <s:xf numFmtId="0" fontId="14" fillId="28" borderId="15" xfId="0" applyFont="1" applyFill="1" applyBorder="1" applyProtection="1">
      <s:protection locked="0"/>
    </s:xf>
    <s:xf numFmtId="0" fontId="35" fillId="29" borderId="140" xfId="0" applyFont="1" applyFill="1" applyBorder="1"/>
    <s:xf numFmtId="0" fontId="17" fillId="30" borderId="140" xfId="0" applyFont="1" applyFill="1" applyBorder="1" applyAlignment="1" applyProtection="1">
      <s:alignment horizontal="center" vertical="center" wrapText="1" mc:Ignorable="vyd"/>
      <s:protection hidden="1"/>
    </s:xf>
    <s:xf numFmtId="0" fontId="17" fillId="30" borderId="141" xfId="0" applyFont="1" applyFill="1" applyBorder="1" applyAlignment="1" applyProtection="1">
      <s:alignment horizontal="center" vertical="center" wrapText="1" mc:Ignorable="vyd"/>
      <s:protection hidden="1"/>
    </s:xf>
    <s:xf numFmtId="0" fontId="17" fillId="24" borderId="124" xfId="0" applyFont="1" applyFill="1" applyBorder="1"/>
    <s:xf numFmtId="0" fontId="35" fillId="24" borderId="0" xfId="0" applyFont="1" applyFill="1"/>
    <s:xf numFmtId="0" fontId="35" fillId="24" borderId="142" xfId="0" applyFont="1" applyFill="1" applyBorder="1"/>
    <s:xf numFmtId="0" fontId="35" fillId="24" borderId="143" xfId="0" applyFont="1" applyFill="1" applyBorder="1" applyProtection="1">
      <s:protection locked="0"/>
    </s:xf>
    <s:xf numFmtId="0" fontId="35" fillId="24" borderId="144" xfId="0" applyFont="1" applyFill="1" applyBorder="1" applyProtection="1">
      <s:protection locked="0"/>
    </s:xf>
    <s:xf numFmtId="0" fontId="35" fillId="24" borderId="145" xfId="0" applyFont="1" applyFill="1" applyBorder="1" applyProtection="1">
      <s:protection locked="0"/>
    </s:xf>
    <s:xf numFmtId="0" fontId="35" fillId="29" borderId="143" xfId="0" applyFont="1" applyFill="1" applyBorder="1"/>
    <s:xf numFmtId="0" fontId="17" fillId="24" borderId="146" xfId="0" applyFont="1" applyFill="1" applyBorder="1" applyAlignment="1">
      <s:alignment vertical="center" wrapText="1" mc:Ignorable="vyd"/>
    </s:xf>
    <s:xf numFmtId="0" fontId="17" fillId="24" borderId="147" xfId="0" applyFont="1" applyFill="1" applyBorder="1" applyAlignment="1">
      <s:alignment horizontal="center" vertical="center" mc:Ignorable="vyd"/>
    </s:xf>
    <s:xf numFmtId="0" fontId="44" fillId="24" borderId="136" xfId="0" applyFont="1" applyFill="1" applyBorder="1" applyAlignment="1">
      <s:alignment horizontal="center" vertical="center" mc:Ignorable="vyd"/>
    </s:xf>
    <s:xf numFmtId="0" fontId="44" fillId="24" borderId="137" xfId="0" applyFont="1" applyFill="1" applyBorder="1" applyAlignment="1" applyProtection="1">
      <s:alignment horizontal="center" vertical="center" mc:Ignorable="vyd"/>
      <s:protection locked="0"/>
    </s:xf>
    <s:xf numFmtId="0" fontId="44" fillId="24" borderId="138" xfId="0" applyFont="1" applyFill="1" applyBorder="1" applyAlignment="1" applyProtection="1">
      <s:alignment horizontal="center" vertical="center" mc:Ignorable="vyd"/>
      <s:protection locked="0"/>
    </s:xf>
    <s:xf numFmtId="0" fontId="44" fillId="24" borderId="139" xfId="0" applyFont="1" applyFill="1" applyBorder="1" applyAlignment="1" applyProtection="1">
      <s:alignment horizontal="center" vertical="center" mc:Ignorable="vyd"/>
      <s:protection locked="0"/>
    </s:xf>
    <s:xf numFmtId="0" fontId="44" fillId="29" borderId="137" xfId="0" applyFont="1" applyFill="1" applyBorder="1" applyAlignment="1">
      <s:alignment horizontal="center" vertical="center" mc:Ignorable="vyd"/>
    </s:xf>
    <s:xf numFmtId="0" fontId="17" fillId="30" borderId="137" xfId="0" applyFont="1" applyFill="1" applyBorder="1" applyAlignment="1" applyProtection="1">
      <s:alignment horizontal="center" vertical="center" wrapText="1" mc:Ignorable="vyd"/>
      <s:protection hidden="1"/>
    </s:xf>
    <s:xf numFmtId="0" fontId="17" fillId="30" borderId="148" xfId="0" applyFont="1" applyFill="1" applyBorder="1" applyAlignment="1" applyProtection="1">
      <s:alignment horizontal="center" vertical="center" wrapText="1" mc:Ignorable="vyd"/>
      <s:protection hidden="1"/>
    </s:xf>
    <s:xf numFmtId="0" fontId="17" fillId="24" borderId="151" xfId="0" applyFont="1" applyFill="1" applyBorder="1" applyProtection="1">
      <s:protection locked="0"/>
    </s:xf>
    <s:xf numFmtId="0" fontId="35" fillId="0" borderId="151" xfId="0" applyFont="1" applyBorder="1" applyProtection="1">
      <s:protection locked="0"/>
    </s:xf>
    <s:xf numFmtId="0" fontId="35" fillId="0" borderId="152" xfId="0" applyFont="1" applyBorder="1" applyProtection="1">
      <s:protection locked="0"/>
    </s:xf>
    <s:xf numFmtId="0" fontId="35" fillId="0" borderId="153" xfId="0" applyFont="1" applyBorder="1" applyProtection="1">
      <s:protection locked="0"/>
    </s:xf>
    <s:xf numFmtId="0" fontId="3" fillId="0" borderId="151" xfId="0" applyFont="1" applyBorder="1" applyProtection="1">
      <s:protection locked="0"/>
    </s:xf>
    <s:xf numFmtId="0" fontId="35" fillId="0" borderId="154" xfId="0" applyFont="1" applyBorder="1" applyProtection="1">
      <s:protection locked="0"/>
    </s:xf>
    <s:xf numFmtId="3" fontId="35" fillId="29" borderId="26" xfId="0" applyNumberFormat="1" applyFont="1" applyFill="1" applyBorder="1" applyAlignment="1" applyProtection="1">
      <s:alignment horizontal="center" mc:Ignorable="vyd"/>
      <s:protection hidden="1"/>
    </s:xf>
    <s:xf numFmtId="4" fontId="35" fillId="30" borderId="155" xfId="0" applyNumberFormat="1" applyFont="1" applyFill="1" applyBorder="1" applyAlignment="1" applyProtection="1">
      <s:alignment horizontal="center" mc:Ignorable="vyd"/>
      <s:protection hidden="1"/>
    </s:xf>
    <s:xf numFmtId="3" fontId="35" fillId="30" borderId="151" xfId="0" applyNumberFormat="1" applyFont="1" applyFill="1" applyBorder="1" applyAlignment="1" applyProtection="1">
      <s:alignment horizontal="center" mc:Ignorable="vyd"/>
      <s:protection hidden="1"/>
    </s:xf>
    <s:xf numFmtId="3" fontId="35" fillId="0" borderId="151" xfId="0" applyNumberFormat="1" applyFont="1" applyBorder="1" applyAlignment="1" applyProtection="1">
      <s:alignment horizontal="center" mc:Ignorable="vyd"/>
      <s:protection hidden="1"/>
    </s:xf>
    <s:xf numFmtId="0" fontId="17" fillId="24" borderId="156" xfId="0" applyFont="1" applyFill="1" applyBorder="1" applyProtection="1">
      <s:protection locked="0"/>
    </s:xf>
    <s:xf numFmtId="0" fontId="35" fillId="0" borderId="156" xfId="0" applyFont="1" applyBorder="1" applyProtection="1">
      <s:protection locked="0"/>
    </s:xf>
    <s:xf numFmtId="0" fontId="35" fillId="0" borderId="157" xfId="0" applyFont="1" applyBorder="1" applyProtection="1">
      <s:protection locked="0"/>
    </s:xf>
    <s:xf numFmtId="0" fontId="35" fillId="0" borderId="155" xfId="0" applyFont="1" applyBorder="1" applyProtection="1">
      <s:protection locked="0"/>
    </s:xf>
    <s:xf numFmtId="0" fontId="3" fillId="0" borderId="156" xfId="0" applyFont="1" applyBorder="1" applyProtection="1">
      <s:protection locked="0"/>
    </s:xf>
    <s:xf numFmtId="0" fontId="35" fillId="0" borderId="158" xfId="0" applyFont="1" applyBorder="1" applyProtection="1">
      <s:protection locked="0"/>
    </s:xf>
    <s:xf numFmtId="3" fontId="35" fillId="30" borderId="156" xfId="0" applyNumberFormat="1" applyFont="1" applyFill="1" applyBorder="1" applyAlignment="1" applyProtection="1">
      <s:alignment horizontal="center" mc:Ignorable="vyd"/>
      <s:protection hidden="1"/>
    </s:xf>
    <s:xf numFmtId="3" fontId="35" fillId="0" borderId="156" xfId="0" applyNumberFormat="1" applyFont="1" applyBorder="1" applyAlignment="1" applyProtection="1">
      <s:alignment horizontal="center" mc:Ignorable="vyd"/>
      <s:protection hidden="1"/>
    </s:xf>
    <s:xf numFmtId="0" fontId="35" fillId="10" borderId="156" xfId="0" applyFont="1" applyFill="1" applyBorder="1" applyProtection="1">
      <s:protection locked="0"/>
    </s:xf>
    <s:xf numFmtId="0" fontId="45" fillId="0" borderId="156" xfId="0" applyFont="1" applyBorder="1" applyProtection="1">
      <s:protection locked="0"/>
    </s:xf>
    <s:xf numFmtId="0" fontId="45" fillId="10" borderId="156" xfId="0" applyFont="1" applyFill="1" applyBorder="1" applyProtection="1">
      <s:protection locked="0"/>
    </s:xf>
    <s:xf numFmtId="0" fontId="46" fillId="0" borderId="26" xfId="0" applyFont="1" applyBorder="1"/>
    <s:xf numFmtId="0" fontId="46" fillId="0" borderId="159" xfId="0" applyFont="1" applyBorder="1" applyProtection="1">
      <s:protection locked="0"/>
    </s:xf>
    <s:xf numFmtId="0" fontId="46" fillId="0" borderId="29" xfId="0" applyFont="1" applyBorder="1"/>
    <s:xf numFmtId="0" fontId="46" fillId="10" borderId="26" xfId="0" applyFont="1" applyFill="1" applyBorder="1"/>
    <s:xf numFmtId="0" fontId="46" fillId="10" borderId="29" xfId="0" applyFont="1" applyFill="1" applyBorder="1"/>
    <s:xf numFmtId="0" fontId="46" fillId="10" borderId="159" xfId="0" applyFont="1" applyFill="1" applyBorder="1" applyProtection="1">
      <s:protection locked="0"/>
    </s:xf>
    <s:xf numFmtId="0" fontId="46" fillId="10" borderId="31" xfId="0" applyFont="1" applyFill="1" applyBorder="1"/>
    <s:xf numFmtId="0" fontId="46" fillId="0" borderId="156" xfId="0" applyFont="1" applyBorder="1" applyProtection="1">
      <s:protection locked="0"/>
    </s:xf>
    <s:xf numFmtId="0" fontId="46" fillId="0" borderId="29" xfId="0" applyFont="1" applyBorder="1" applyProtection="1">
      <s:protection locked="0"/>
    </s:xf>
    <s:xf numFmtId="0" fontId="46" fillId="10" borderId="0" xfId="0" applyFont="1" applyFill="1" applyProtection="1">
      <s:protection locked="0"/>
    </s:xf>
    <s:xf numFmtId="0" fontId="46" fillId="10" borderId="29" xfId="0" applyFont="1" applyFill="1" applyBorder="1" applyProtection="1">
      <s:protection locked="0"/>
    </s:xf>
    <s:xf numFmtId="0" fontId="46" fillId="10" borderId="26" xfId="0" applyFont="1" applyFill="1" applyBorder="1" applyProtection="1">
      <s:protection locked="0"/>
    </s:xf>
    <s:xf numFmtId="0" fontId="35" fillId="10" borderId="26" xfId="0" applyFont="1" applyFill="1" applyBorder="1" applyProtection="1">
      <s:protection locked="0"/>
    </s:xf>
    <s:xf numFmtId="3" fontId="35" fillId="29" borderId="25" xfId="0" applyNumberFormat="1" applyFont="1" applyFill="1" applyBorder="1" applyAlignment="1" applyProtection="1">
      <s:alignment horizontal="center" mc:Ignorable="vyd"/>
      <s:protection hidden="1"/>
    </s:xf>
    <s:xf numFmtId="0" fontId="3" fillId="9" borderId="26" xfId="0" applyFont="1" applyFill="1" applyBorder="1"/>
    <s:xf numFmtId="0" fontId="46" fillId="9" borderId="26" xfId="0" applyFont="1" applyFill="1" applyBorder="1"/>
    <s:xf numFmtId="0" fontId="45" fillId="10" borderId="26" xfId="0" applyFont="1" applyFill="1" applyBorder="1"/>
    <s:xf numFmtId="0" fontId="45" fillId="9" borderId="26" xfId="0" applyFont="1" applyFill="1" applyBorder="1"/>
    <s:xf numFmtId="0" fontId="46" fillId="9" borderId="19" xfId="0" applyFont="1" applyFill="1" applyBorder="1"/>
    <s:xf numFmtId="0" fontId="45" fillId="9" borderId="19" xfId="0" applyFont="1" applyFill="1" applyBorder="1" applyProtection="1">
      <s:protection locked="0"/>
    </s:xf>
    <s:xf numFmtId="0" fontId="46" fillId="10" borderId="19" xfId="0" applyFont="1" applyFill="1" applyBorder="1"/>
    <s:xf numFmtId="0" fontId="46" fillId="9" borderId="19" xfId="0" applyFont="1" applyFill="1" applyBorder="1" applyProtection="1">
      <s:protection locked="0"/>
    </s:xf>
    <s:xf numFmtId="0" fontId="46" fillId="9" borderId="48" xfId="0" applyFont="1" applyFill="1" applyBorder="1"/>
    <s:xf numFmtId="0" fontId="46" fillId="31" borderId="77" xfId="0" applyFont="1" applyFill="1" applyBorder="1" applyProtection="1">
      <s:protection locked="0"/>
    </s:xf>
    <s:xf numFmtId="0" fontId="46" fillId="31" borderId="26" xfId="0" applyFont="1" applyFill="1" applyBorder="1"/>
    <s:xf numFmtId="0" fontId="46" fillId="18" borderId="26" xfId="0" applyFont="1" applyFill="1" applyBorder="1"/>
    <s:xf numFmtId="0" fontId="46" fillId="9" borderId="26" xfId="0" applyFont="1" applyFill="1" applyBorder="1" applyProtection="1">
      <s:protection locked="0"/>
    </s:xf>
    <s:xf numFmtId="0" fontId="45" fillId="24" borderId="160" xfId="0" applyFont="1" applyFill="1" applyBorder="1" applyProtection="1">
      <s:protection locked="0"/>
    </s:xf>
    <s:xf numFmtId="0" fontId="46" fillId="0" borderId="161" xfId="0" applyFont="1" applyBorder="1" applyProtection="1">
      <s:protection locked="0"/>
    </s:xf>
    <s:xf numFmtId="0" fontId="46" fillId="9" borderId="29" xfId="0" applyFont="1" applyFill="1" applyBorder="1"/>
    <s:xf numFmtId="0" fontId="46" fillId="9" borderId="30" xfId="0" applyFont="1" applyFill="1" applyBorder="1"/>
    <s:xf numFmtId="0" fontId="46" fillId="10" borderId="30" xfId="0" applyFont="1" applyFill="1" applyBorder="1"/>
    <s:xf numFmtId="3" fontId="35" fillId="29" borderId="30" xfId="0" applyNumberFormat="1" applyFont="1" applyFill="1" applyBorder="1" applyAlignment="1" applyProtection="1">
      <s:alignment horizontal="center" mc:Ignorable="vyd"/>
      <s:protection hidden="1"/>
    </s:xf>
    <s:xf numFmtId="4" fontId="35" fillId="30" borderId="162" xfId="0" applyNumberFormat="1" applyFont="1" applyFill="1" applyBorder="1" applyAlignment="1" applyProtection="1">
      <s:alignment horizontal="center" mc:Ignorable="vyd"/>
      <s:protection hidden="1"/>
    </s:xf>
    <s:xf numFmtId="3" fontId="35" fillId="30" borderId="159" xfId="0" applyNumberFormat="1" applyFont="1" applyFill="1" applyBorder="1" applyAlignment="1" applyProtection="1">
      <s:alignment horizontal="center" mc:Ignorable="vyd"/>
      <s:protection hidden="1"/>
    </s:xf>
    <s:xf numFmtId="3" fontId="35" fillId="0" borderId="159" xfId="0" applyNumberFormat="1" applyFont="1" applyBorder="1" applyAlignment="1" applyProtection="1">
      <s:alignment horizontal="center" mc:Ignorable="vyd"/>
      <s:protection hidden="1"/>
    </s:xf>
    <s:xf numFmtId="3" fontId="17" fillId="32" borderId="163" xfId="0" applyNumberFormat="1" applyFont="1" applyFill="1" applyBorder="1" applyAlignment="1" applyProtection="1">
      <s:alignment horizontal="center" mc:Ignorable="vyd"/>
      <s:protection locked="0" hidden="1"/>
    </s:xf>
    <s:xf numFmtId="3" fontId="17" fillId="29" borderId="137" xfId="0" applyNumberFormat="1" applyFont="1" applyFill="1" applyBorder="1" applyAlignment="1" applyProtection="1">
      <s:alignment horizontal="center" mc:Ignorable="vyd"/>
      <s:protection locked="0" hidden="1"/>
    </s:xf>
    <s:xf numFmtId="3" fontId="17" fillId="29" borderId="138" xfId="0" applyNumberFormat="1" applyFont="1" applyFill="1" applyBorder="1" applyAlignment="1" applyProtection="1">
      <s:alignment horizontal="center" mc:Ignorable="vyd"/>
      <s:protection locked="0" hidden="1"/>
    </s:xf>
    <s:xf numFmtId="3" fontId="17" fillId="29" borderId="139" xfId="0" applyNumberFormat="1" applyFont="1" applyFill="1" applyBorder="1" applyAlignment="1" applyProtection="1">
      <s:alignment horizontal="center" mc:Ignorable="vyd"/>
      <s:protection locked="0" hidden="1"/>
    </s:xf>
    <s:xf numFmtId="3" fontId="17" fillId="29" borderId="137" xfId="0" applyNumberFormat="1" applyFont="1" applyFill="1" applyBorder="1" applyAlignment="1" applyProtection="1">
      <s:alignment horizontal="center" mc:Ignorable="vyd"/>
      <s:protection hidden="1"/>
    </s:xf>
    <s:xf numFmtId="4" fontId="17" fillId="29" borderId="137" xfId="0" applyNumberFormat="1" applyFont="1" applyFill="1" applyBorder="1" applyAlignment="1" applyProtection="1">
      <s:alignment horizontal="center" mc:Ignorable="vyd"/>
      <s:protection hidden="1"/>
    </s:xf>
    <s:xf numFmtId="3" fontId="17" fillId="29" borderId="148" xfId="0" applyNumberFormat="1" applyFont="1" applyFill="1" applyBorder="1" applyAlignment="1" applyProtection="1">
      <s:alignment horizontal="center" mc:Ignorable="vyd"/>
      <s:protection hidden="1"/>
    </s:xf>
    <s:xf numFmtId="0" fontId="10" fillId="2" borderId="0" xfId="0" applyFont="1" applyFill="1" applyAlignment="1">
      <s:alignment horizontal="left" vertical="top" mc:Ignorable="vyd"/>
    </s:xf>
    <s:xf numFmtId="0" fontId="11" fillId="3" borderId="26" xfId="0" applyFont="1" applyFill="1" applyBorder="1" applyAlignment="1" applyProtection="1">
      <s:alignment horizontal="center" vertical="center" wrapText="1" mc:Ignorable="vyd"/>
      <s:protection locked="0"/>
    </s:xf>
    <s:xf numFmtId="0" fontId="12" fillId="2" borderId="15" xfId="0" applyFont="1" applyFill="1" applyBorder="1" applyAlignment="1">
      <s:alignment horizontal="center" vertical="center" wrapText="1" mc:Ignorable="vyd"/>
    </s:xf>
    <s:xf numFmtId="0" fontId="12" fillId="2" borderId="50" xfId="0" applyFont="1" applyFill="1" applyBorder="1" applyAlignment="1">
      <s:alignment horizontal="center" vertical="center" wrapText="1" mc:Ignorable="vyd"/>
    </s:xf>
    <s:xf numFmtId="3" fontId="7" fillId="0" borderId="19" xfId="0" applyNumberFormat="1" applyFont="1" applyBorder="1" applyAlignment="1">
      <s:alignment horizontal="center" vertical="center" mc:Ignorable="vyd"/>
    </s:xf>
    <s:xf numFmtId="3" fontId="7" fillId="3" borderId="69" xfId="0" applyNumberFormat="1" applyFont="1" applyFill="1" applyBorder="1" applyAlignment="1" applyProtection="1">
      <s:alignment horizontal="center" vertical="center" mc:Ignorable="vyd"/>
      <s:protection locked="0"/>
    </s:xf>
    <s:xf numFmtId="3" fontId="7" fillId="0" borderId="26" xfId="0" applyNumberFormat="1" applyFont="1" applyBorder="1" applyAlignment="1">
      <s:alignment horizontal="center" vertical="center" mc:Ignorable="vyd"/>
    </s:xf>
    <s:xf numFmtId="3" fontId="7" fillId="4" borderId="38" xfId="0" applyNumberFormat="1" applyFont="1" applyFill="1" applyBorder="1" applyAlignment="1" applyProtection="1">
      <s:alignment horizontal="center" vertical="center" mc:Ignorable="vyd"/>
      <s:protection locked="0"/>
    </s:xf>
    <s:xf numFmtId="3" fontId="16" fillId="0" borderId="26" xfId="0" applyNumberFormat="1" applyFont="1" applyBorder="1" applyAlignment="1">
      <s:alignment horizontal="center" vertical="center" mc:Ignorable="vyd"/>
    </s:xf>
    <s:xf numFmtId="3" fontId="7" fillId="3" borderId="25" xfId="0" applyNumberFormat="1" applyFont="1" applyFill="1" applyBorder="1" applyAlignment="1">
      <s:alignment horizontal="center" vertical="center" mc:Ignorable="vyd"/>
    </s:xf>
    <s:xf numFmtId="4" fontId="7" fillId="0" borderId="26" xfId="0" applyNumberFormat="1" applyFont="1" applyBorder="1" applyAlignment="1">
      <s:alignment horizontal="center" vertical="center" mc:Ignorable="vyd"/>
    </s:xf>
    <s:xf numFmtId="4" fontId="7" fillId="3" borderId="38" xfId="0" applyNumberFormat="1" applyFont="1" applyFill="1" applyBorder="1" applyAlignment="1" applyProtection="1">
      <s:alignment horizontal="center" vertical="center" mc:Ignorable="vyd"/>
      <s:protection locked="0"/>
    </s:xf>
    <s:xf numFmtId="3" fontId="7" fillId="3" borderId="38" xfId="0" applyNumberFormat="1" applyFont="1" applyFill="1" applyBorder="1" applyAlignment="1" applyProtection="1">
      <s:alignment horizontal="center" vertical="center" mc:Ignorable="vyd"/>
      <s:protection locked="0"/>
    </s:xf>
    <s:xf numFmtId="3" fontId="7" fillId="3" borderId="64" xfId="0" applyNumberFormat="1" applyFont="1" applyFill="1" applyBorder="1" applyAlignment="1" applyProtection="1">
      <s:alignment horizontal="center" vertical="center" mc:Ignorable="vyd"/>
      <s:protection locked="0"/>
    </s:xf>
    <s:xf numFmtId="3" fontId="7" fillId="4" borderId="64" xfId="0" applyNumberFormat="1" applyFont="1" applyFill="1" applyBorder="1" applyAlignment="1" applyProtection="1">
      <s:alignment horizontal="center" vertical="center" mc:Ignorable="vyd"/>
      <s:protection locked="0"/>
    </s:xf>
    <s:xf numFmtId="166" fontId="19" fillId="0" borderId="35" xfId="1" applyNumberFormat="1" applyFont="1" applyBorder="1" applyAlignment="1" applyProtection="1">
      <s:alignment horizontal="center" vertical="center" mc:Ignorable="vyd"/>
    </s:xf>
    <s:xf numFmtId="166" fontId="19" fillId="3" borderId="99" xfId="1" applyNumberFormat="1" applyFont="1" applyFill="1" applyBorder="1" applyAlignment="1" applyProtection="1">
      <s:alignment horizontal="center" vertical="center" mc:Ignorable="vyd"/>
      <s:protection locked="0"/>
    </s:xf>
    <s:xf numFmtId="3" fontId="19" fillId="0" borderId="35" xfId="0" applyNumberFormat="1" applyFont="1" applyBorder="1" applyAlignment="1">
      <s:alignment horizontal="center" vertical="center" mc:Ignorable="vyd"/>
    </s:xf>
    <s:xf numFmtId="0" fontId="34" fillId="9" borderId="19" xfId="0" applyFont="1" applyFill="1" applyBorder="1" applyAlignment="1">
      <s:alignment horizontal="center" vertical="center" mc:Ignorable="vyd"/>
    </s:xf>
    <s:xf numFmtId="4" fontId="7" fillId="9" borderId="19" xfId="0" applyNumberFormat="1" applyFont="1" applyFill="1" applyBorder="1" applyAlignment="1">
      <s:alignment horizontal="center" vertical="top" mc:Ignorable="vyd"/>
    </s:xf>
    <s:xf numFmtId="3" fontId="7" fillId="9" borderId="19" xfId="0" applyNumberFormat="1" applyFont="1" applyFill="1" applyBorder="1" applyAlignment="1">
      <s:alignment horizontal="center" vertical="top" mc:Ignorable="vyd"/>
    </s:xf>
    <s:xf numFmtId="10" fontId="7" fillId="10" borderId="26" xfId="0" applyNumberFormat="1" applyFont="1" applyFill="1" applyBorder="1" applyAlignment="1">
      <s:alignment horizontal="center" vertical="top" mc:Ignorable="vyd"/>
    </s:xf>
    <s:xf numFmtId="9" fontId="3" fillId="10" borderId="26" xfId="0" applyNumberFormat="1" applyFont="1" applyFill="1" applyBorder="1" applyAlignment="1">
      <s:alignment horizontal="center" vertical="center" mc:Ignorable="vyd"/>
    </s:xf>
    <s:xf numFmtId="3" fontId="24" fillId="10" borderId="26" xfId="0" applyNumberFormat="1" applyFont="1" applyFill="1" applyBorder="1" applyAlignment="1">
      <s:alignment horizontal="center" mc:Ignorable="vyd"/>
    </s:xf>
    <s:xf numFmtId="3" fontId="7" fillId="10" borderId="26" xfId="0" applyNumberFormat="1" applyFont="1" applyFill="1" applyBorder="1" applyAlignment="1">
      <s:alignment horizontal="center" mc:Ignorable="vyd"/>
    </s:xf>
    <s:xf numFmtId="166" fontId="4" fillId="10" borderId="0" xfId="0" applyNumberFormat="1" applyFont="1" applyFill="1"/>
    <s:xf numFmtId="164" fontId="4" fillId="10" borderId="0" xfId="0" applyNumberFormat="1" applyFont="1" applyFill="1"/>
    <s:xf numFmtId="0" fontId="4" fillId="10" borderId="0" xfId="0" applyFont="1" applyFill="1"/>
    <s:xf numFmtId="0" fontId="34" fillId="9" borderId="26" xfId="0" applyFont="1" applyFill="1" applyBorder="1" applyAlignment="1">
      <s:alignment horizontal="center" vertical="center" mc:Ignorable="vyd"/>
    </s:xf>
    <s:xf numFmtId="0" fontId="7" fillId="9" borderId="0" xfId="0" applyFont="1" applyFill="1" applyAlignment="1">
      <s:alignment horizontal="center" vertical="top" mc:Ignorable="vyd"/>
    </s:xf>
    <s:xf numFmtId="3" fontId="7" fillId="9" borderId="0" xfId="0" applyNumberFormat="1" applyFont="1" applyFill="1" applyAlignment="1">
      <s:alignment horizontal="center" vertical="top" mc:Ignorable="vyd"/>
    </s:xf>
    <s:xf numFmtId="166" fontId="4" fillId="10" borderId="0" xfId="0" applyNumberFormat="1" applyFont="1" applyFill="1" applyAlignment="1">
      <s:alignment vertical="center" mc:Ignorable="vyd"/>
    </s:xf>
    <s:xf numFmtId="3" fontId="24" fillId="10" borderId="25" xfId="0" applyNumberFormat="1" applyFont="1" applyFill="1" applyBorder="1" applyAlignment="1">
      <s:alignment horizontal="center" mc:Ignorable="vyd"/>
    </s:xf>
    <s:xf numFmtId="3" fontId="7" fillId="10" borderId="25" xfId="0" applyNumberFormat="1" applyFont="1" applyFill="1" applyBorder="1" applyAlignment="1">
      <s:alignment horizontal="center" mc:Ignorable="vyd"/>
    </s:xf>
    <s:xf numFmtId="2" fontId="7" fillId="10" borderId="25" xfId="0" applyNumberFormat="1" applyFont="1" applyFill="1" applyBorder="1" applyAlignment="1">
      <s:alignment horizontal="right" mc:Ignorable="vyd"/>
    </s:xf>
    <s:xf numFmtId="164" fontId="7" fillId="9" borderId="26" xfId="0" applyNumberFormat="1" applyFont="1" applyFill="1" applyBorder="1" applyAlignment="1">
      <s:alignment horizontal="right" mc:Ignorable="vyd"/>
    </s:xf>
    <s:xf numFmtId="0" fontId="34" fillId="10" borderId="19" xfId="0" applyFont="1" applyFill="1" applyBorder="1" applyAlignment="1">
      <s:alignment horizontal="center" vertical="center" mc:Ignorable="vyd"/>
    </s:xf>
    <s:xf numFmtId="0" fontId="7" fillId="10" borderId="0" xfId="0" applyFont="1" applyFill="1" applyAlignment="1">
      <s:alignment horizontal="center" vertical="top" mc:Ignorable="vyd"/>
    </s:xf>
    <s:xf numFmtId="3" fontId="7" fillId="10" borderId="0" xfId="0" applyNumberFormat="1" applyFont="1" applyFill="1" applyAlignment="1">
      <s:alignment horizontal="center" vertical="top" mc:Ignorable="vyd"/>
    </s:xf>
    <s:xf numFmtId="4" fontId="7" fillId="10" borderId="26" xfId="0" applyNumberFormat="1" applyFont="1" applyFill="1" applyBorder="1" applyAlignment="1">
      <s:alignment horizontal="center" vertical="top" mc:Ignorable="vyd"/>
    </s:xf>
    <s:xf numFmtId="3" fontId="7" fillId="10" borderId="22" xfId="0" applyNumberFormat="1" applyFont="1" applyFill="1" applyBorder="1" applyAlignment="1">
      <s:alignment horizontal="center" vertical="top" mc:Ignorable="vyd"/>
    </s:xf>
    <s:xf numFmtId="0" fontId="7" fillId="10" borderId="26" xfId="0" applyFont="1" applyFill="1" applyBorder="1" applyAlignment="1">
      <s:alignment horizontal="center" vertical="top" mc:Ignorable="vyd"/>
    </s:xf>
    <s:xf numFmtId="3" fontId="7" fillId="10" borderId="55" xfId="0" applyNumberFormat="1" applyFont="1" applyFill="1" applyBorder="1" applyAlignment="1">
      <s:alignment horizontal="center" vertical="top" mc:Ignorable="vyd"/>
    </s:xf>
    <s:xf numFmtId="4" fontId="7" fillId="10" borderId="27" xfId="0" applyNumberFormat="1" applyFont="1" applyFill="1" applyBorder="1" applyAlignment="1">
      <s:alignment horizontal="center" vertical="top" mc:Ignorable="vyd"/>
    </s:xf>
    <s:xf numFmtId="3" fontId="7" fillId="10" borderId="40" xfId="0" applyNumberFormat="1" applyFont="1" applyFill="1" applyBorder="1" applyAlignment="1">
      <s:alignment horizontal="center" vertical="top" mc:Ignorable="vyd"/>
    </s:xf>
    <s:xf numFmtId="3" fontId="7" fillId="10" borderId="25" xfId="0" applyNumberFormat="1" applyFont="1" applyFill="1" applyBorder="1" applyAlignment="1">
      <s:alignment horizontal="center" vertical="top" mc:Ignorable="vyd"/>
    </s:xf>
    <s:xf numFmtId="10" fontId="7" fillId="10" borderId="25" xfId="0" applyNumberFormat="1" applyFont="1" applyFill="1" applyBorder="1" applyAlignment="1">
      <s:alignment horizontal="center" vertical="top" mc:Ignorable="vyd"/>
    </s:xf>
    <s:xf numFmtId="0" fontId="7" fillId="10" borderId="19" xfId="0" applyFont="1" applyFill="1" applyBorder="1" applyAlignment="1">
      <s:alignment horizontal="center" vertical="top" mc:Ignorable="vyd"/>
    </s:xf>
    <s:xf numFmtId="10" fontId="7" fillId="9" borderId="25" xfId="0" applyNumberFormat="1" applyFont="1" applyFill="1" applyBorder="1" applyAlignment="1">
      <s:alignment horizontal="center" vertical="top" mc:Ignorable="vyd"/>
    </s:xf>
    <s:xf numFmtId="9" fontId="3" fillId="9" borderId="0" xfId="0" applyNumberFormat="1" applyFont="1" applyFill="1" applyAlignment="1">
      <s:alignment horizontal="center" vertical="center" mc:Ignorable="vyd"/>
    </s:xf>
    <s:xf numFmtId="3" fontId="7" fillId="9" borderId="0" xfId="0" applyNumberFormat="1" applyFont="1" applyFill="1" applyAlignment="1">
      <s:alignment horizontal="center" mc:Ignorable="vyd"/>
    </s:xf>
    <s:xf numFmtId="10" fontId="7" fillId="9" borderId="0" xfId="0" applyNumberFormat="1" applyFont="1" applyFill="1" applyAlignment="1">
      <s:alignment horizontal="center" vertical="top" mc:Ignorable="vyd"/>
    </s:xf>
    <s:xf numFmtId="3" fontId="24" fillId="9" borderId="0" xfId="0" applyNumberFormat="1" applyFont="1" applyFill="1" applyAlignment="1">
      <s:alignment horizontal="center" mc:Ignorable="vyd"/>
    </s:xf>
    <s:xf numFmtId="9" fontId="3" fillId="10" borderId="0" xfId="0" applyNumberFormat="1" applyFont="1" applyFill="1" applyAlignment="1">
      <s:alignment horizontal="center" vertical="center" mc:Ignorable="vyd"/>
    </s:xf>
    <s:xf numFmtId="3" fontId="7" fillId="10" borderId="0" xfId="0" applyNumberFormat="1" applyFont="1" applyFill="1" applyAlignment="1">
      <s:alignment horizontal="center" mc:Ignorable="vyd"/>
    </s:xf>
    <s:xf numFmtId="0" fontId="34" fillId="10" borderId="26" xfId="0" applyFont="1" applyFill="1" applyBorder="1" applyAlignment="1">
      <s:alignment horizontal="center" vertical="center" mc:Ignorable="vyd"/>
    </s:xf>
    <s:xf numFmtId="3" fontId="7" fillId="10" borderId="39" xfId="0" applyNumberFormat="1" applyFont="1" applyFill="1" applyBorder="1" applyAlignment="1">
      <s:alignment horizontal="center" vertical="top" mc:Ignorable="vyd"/>
    </s:xf>
    <s:xf numFmtId="3" fontId="7" fillId="10" borderId="30" xfId="0" applyNumberFormat="1" applyFont="1" applyFill="1" applyBorder="1" applyAlignment="1">
      <s:alignment horizontal="center" vertical="top" mc:Ignorable="vyd"/>
    </s:xf>
    <s:xf numFmtId="3" fontId="7" fillId="10" borderId="29" xfId="0" applyNumberFormat="1" applyFont="1" applyFill="1" applyBorder="1" applyAlignment="1">
      <s:alignment horizontal="center" vertical="top" mc:Ignorable="vyd"/>
    </s:xf>
    <s:xf numFmtId="166" fontId="7" fillId="9" borderId="26" xfId="0" applyNumberFormat="1" applyFont="1" applyFill="1" applyBorder="1" applyAlignment="1">
      <s:alignment horizontal="center" vertical="top" mc:Ignorable="vyd"/>
    </s:xf>
    <s:xf numFmtId="9" fontId="3" fillId="9" borderId="26" xfId="1" applyFont="1" applyFill="1" applyBorder="1" applyAlignment="1" applyProtection="1">
      <s:alignment horizontal="center" vertical="center" mc:Ignorable="vyd"/>
    </s:xf>
    <s:xf numFmtId="166" fontId="3" fillId="9" borderId="0" xfId="1" applyNumberFormat="1" applyFont="1" applyFill="1" applyProtection="1"/>
    <s:xf numFmtId="164" fontId="3" fillId="9" borderId="0" xfId="0" applyNumberFormat="1" applyFont="1" applyFill="1"/>
    <s:xf numFmtId="0" fontId="7" fillId="10" borderId="38" xfId="0" applyFont="1" applyFill="1" applyBorder="1" applyAlignment="1">
      <s:alignment horizontal="center" vertical="top" mc:Ignorable="vyd"/>
    </s:xf>
    <s:xf numFmtId="4" fontId="7" fillId="10" borderId="0" xfId="0" applyNumberFormat="1" applyFont="1" applyFill="1" applyAlignment="1">
      <s:alignment horizontal="center" vertical="top" mc:Ignorable="vyd"/>
    </s:xf>
    <s:xf numFmtId="3" fontId="0" fillId="0" borderId="0" xfId="0" applyNumberFormat="1"/>
    <s:xf numFmtId="4" fontId="0" fillId="0" borderId="0" xfId="0" applyNumberFormat="1"/>
    <s:xf numFmtId="4" fontId="49" fillId="9" borderId="25" xfId="0" applyNumberFormat="1" applyFont="1" applyFill="1" applyBorder="1" applyAlignment="1">
      <s:alignment horizontal="center" vertical="top" mc:Ignorable="vyd"/>
    </s:xf>
    <s:xf numFmtId="4" fontId="50" fillId="0" borderId="22" xfId="0" applyNumberFormat="1" applyFont="1" applyBorder="1" applyAlignment="1">
      <s:alignment horizontal="center" vertical="top" mc:Ignorable="vyd"/>
    </s:xf>
    <s:xf numFmtId="4" fontId="49" fillId="0" borderId="22" xfId="0" applyNumberFormat="1" applyFont="1" applyBorder="1" applyAlignment="1">
      <s:alignment horizontal="center" vertical="top" mc:Ignorable="vyd"/>
    </s:xf>
    <s:xf numFmtId="4" fontId="50" fillId="9" borderId="22" xfId="0" applyNumberFormat="1" applyFont="1" applyFill="1" applyBorder="1" applyAlignment="1">
      <s:alignment horizontal="center" vertical="top" mc:Ignorable="vyd"/>
    </s:xf>
    <s:xf numFmtId="4" fontId="49" fillId="9" borderId="22" xfId="0" applyNumberFormat="1" applyFont="1" applyFill="1" applyBorder="1" applyAlignment="1">
      <s:alignment horizontal="center" vertical="top" mc:Ignorable="vyd"/>
    </s:xf>
    <s:xf numFmtId="4" fontId="49" fillId="0" borderId="26" xfId="0" applyNumberFormat="1" applyFont="1" applyBorder="1" applyAlignment="1">
      <s:alignment horizontal="center" vertical="top" mc:Ignorable="vyd"/>
    </s:xf>
    <s:xf numFmtId="4" fontId="49" fillId="9" borderId="26" xfId="0" applyNumberFormat="1" applyFont="1" applyFill="1" applyBorder="1" applyAlignment="1">
      <s:alignment horizontal="center" vertical="top" mc:Ignorable="vyd"/>
    </s:xf>
    <s:xf numFmtId="4" fontId="51" fillId="0" borderId="26" xfId="0" applyNumberFormat="1" applyFont="1" applyBorder="1" applyAlignment="1">
      <s:alignment horizontal="center" vertical="top" mc:Ignorable="vyd"/>
    </s:xf>
    <s:xf numFmtId="4" fontId="48" fillId="33" borderId="26" xfId="0" applyNumberFormat="1" applyFont="1" applyFill="1" applyBorder="1" applyAlignment="1">
      <s:alignment horizontal="center" vertical="top" mc:Ignorable="vyd"/>
    </s:xf>
    <s:xf numFmtId="9" fontId="12" fillId="0" borderId="164" xfId="0" applyNumberFormat="1" applyFont="1" applyBorder="1" applyAlignment="1">
      <s:alignment horizontal="center" vertical="center" mc:Ignorable="vyd"/>
    </s:xf>
    <s:xf numFmtId="0" fontId="35" fillId="21" borderId="166" xfId="0" applyFont="1" applyFill="1" applyBorder="1" applyAlignment="1">
      <s:alignment horizontal="center" vertical="center" wrapText="1" mc:Ignorable="vyd"/>
    </s:xf>
    <s:xf numFmtId="0" fontId="35" fillId="21" borderId="167" xfId="0" applyFont="1" applyFill="1" applyBorder="1" applyAlignment="1">
      <s:alignment horizontal="center" vertical="center" wrapText="1" mc:Ignorable="vyd"/>
    </s:xf>
    <s:xf numFmtId="0" fontId="7" fillId="0" borderId="165" xfId="0" applyFont="1" applyBorder="1" applyAlignment="1">
      <s:alignment horizontal="center" vertical="center" mc:Ignorable="vyd"/>
    </s:xf>
    <s:xf numFmtId="0" fontId="35" fillId="21" borderId="169" xfId="0" applyFont="1" applyFill="1" applyBorder="1" applyAlignment="1">
      <s:alignment horizontal="center" vertical="center" wrapText="1" mc:Ignorable="vyd"/>
    </s:xf>
    <s:xf numFmtId="0" fontId="7" fillId="0" borderId="168" xfId="0" applyFont="1" applyBorder="1" applyAlignment="1">
      <s:alignment horizontal="center" vertical="center" mc:Ignorable="vyd"/>
    </s:xf>
    <s:xf numFmtId="0" fontId="36" fillId="19" borderId="170" xfId="0" applyFont="1" applyFill="1" applyBorder="1" applyAlignment="1">
      <s:alignment horizontal="center" vertical="center" mc:Ignorable="vyd"/>
    </s:xf>
    <s:xf numFmtId="14" fontId="36" fillId="19" borderId="170" xfId="0" applyNumberFormat="1" applyFont="1" applyFill="1" applyBorder="1" applyAlignment="1">
      <s:alignment horizontal="center" vertical="top" mc:Ignorable="vyd"/>
    </s:xf>
    <s:xf numFmtId="0" fontId="36" fillId="19" borderId="170" xfId="0" applyFont="1" applyFill="1" applyBorder="1" applyAlignment="1">
      <s:alignment horizontal="center" vertical="center" wrapText="1" mc:Ignorable="vyd"/>
    </s:xf>
    <s:xf numFmtId="1" fontId="36" fillId="19" borderId="170" xfId="0" applyNumberFormat="1" applyFont="1" applyFill="1" applyBorder="1" applyAlignment="1">
      <s:alignment horizontal="center" vertical="top" mc:Ignorable="vyd"/>
    </s:xf>
    <s:xf numFmtId="0" fontId="36" fillId="19" borderId="170" xfId="0" applyFont="1" applyFill="1" applyBorder="1" applyAlignment="1">
      <s:alignment horizontal="left" vertical="top" mc:Ignorable="vyd"/>
    </s:xf>
    <s:xf numFmtId="170" fontId="36" fillId="19" borderId="170" xfId="0" applyNumberFormat="1" applyFont="1" applyFill="1" applyBorder="1" applyAlignment="1">
      <s:alignment horizontal="center" vertical="top" mc:Ignorable="vyd"/>
    </s:xf>
    <s:xf numFmtId="2" fontId="36" fillId="19" borderId="170" xfId="0" applyNumberFormat="1" applyFont="1" applyFill="1" applyBorder="1" applyAlignment="1">
      <s:alignment horizontal="center" vertical="top" mc:Ignorable="vyd"/>
    </s:xf>
    <s:xf numFmtId="4" fontId="37" fillId="19" borderId="170" xfId="0" applyNumberFormat="1" applyFont="1" applyFill="1" applyBorder="1" applyAlignment="1">
      <s:alignment horizontal="right" vertical="top" indent="1" mc:Ignorable="vyd"/>
    </s:xf>
    <s:xf numFmtId="170" fontId="36" fillId="19" borderId="170" xfId="0" applyNumberFormat="1" applyFont="1" applyFill="1" applyBorder="1" applyAlignment="1">
      <s:alignment horizontal="center" vertical="center" wrapText="1" mc:Ignorable="vyd"/>
    </s:xf>
    <s:xf numFmtId="10" fontId="36" fillId="19" borderId="170" xfId="0" applyNumberFormat="1" applyFont="1" applyFill="1" applyBorder="1" applyAlignment="1">
      <s:alignment horizontal="center" vertical="top" mc:Ignorable="vyd"/>
    </s:xf>
    <s:xf numFmtId="4" fontId="36" fillId="19" borderId="170" xfId="0" applyNumberFormat="1" applyFont="1" applyFill="1" applyBorder="1" applyAlignment="1">
      <s:alignment horizontal="right" vertical="top" mc:Ignorable="vyd"/>
    </s:xf>
    <s:xf numFmtId="2" fontId="37" fillId="19" borderId="170" xfId="0" applyNumberFormat="1" applyFont="1" applyFill="1" applyBorder="1" applyAlignment="1">
      <s:alignment horizontal="right" vertical="top" indent="1" mc:Ignorable="vyd"/>
    </s:xf>
    <s:xf numFmtId="4" fontId="36" fillId="19" borderId="170" xfId="0" applyNumberFormat="1" applyFont="1" applyFill="1" applyBorder="1" applyAlignment="1">
      <s:alignment horizontal="right" vertical="center" wrapText="1" mc:Ignorable="vyd"/>
    </s:xf>
    <s:xf numFmtId="0" fontId="35" fillId="21" borderId="165" xfId="0" applyFont="1" applyFill="1" applyBorder="1" applyAlignment="1">
      <s:alignment horizontal="center" vertical="center" wrapText="1" mc:Ignorable="vyd"/>
    </s:xf>
    <s:xf numFmtId="169" fontId="17" fillId="22" borderId="171" xfId="0" applyNumberFormat="1" applyFont="1" applyFill="1" applyBorder="1" applyAlignment="1">
      <s:alignment horizontal="right" vertical="top" wrapText="1" indent="1" mc:Ignorable="vyd"/>
    </s:xf>
    <s:xf numFmtId="0" fontId="37" fillId="19" borderId="165" xfId="0" applyFont="1" applyFill="1" applyBorder="1" applyAlignment="1">
      <s:alignment horizontal="left" vertical="top" wrapText="1" mc:Ignorable="vyd"/>
    </s:xf>
    <s:xf numFmtId="0" fontId="36" fillId="19" borderId="27" xfId="0" applyFont="1" applyFill="1" applyBorder="1" applyAlignment="1">
      <s:alignment horizontal="center" vertical="center" wrapText="1" mc:Ignorable="vyd"/>
    </s:xf>
    <s:xf numFmtId="0" fontId="36" fillId="19" borderId="25" xfId="0" applyFont="1" applyFill="1" applyBorder="1" applyAlignment="1">
      <s:alignment horizontal="center" vertical="center" wrapText="1" mc:Ignorable="vyd"/>
    </s:xf>
    <s:xf numFmtId="0" fontId="36" fillId="19" borderId="27" xfId="0" applyFont="1" applyFill="1" applyBorder="1" applyAlignment="1">
      <s:alignment horizontal="left" vertical="top" mc:Ignorable="vyd"/>
    </s:xf>
    <s:xf numFmtId="0" fontId="36" fillId="19" borderId="25" xfId="0" applyFont="1" applyFill="1" applyBorder="1" applyAlignment="1">
      <s:alignment horizontal="left" vertical="top" mc:Ignorable="vyd"/>
    </s:xf>
    <s:xf numFmtId="0" fontId="36" fillId="19" borderId="27" xfId="0" applyFont="1" applyFill="1" applyBorder="1" applyAlignment="1">
      <s:alignment horizontal="left" vertical="center" mc:Ignorable="vyd"/>
    </s:xf>
    <s:xf numFmtId="0" fontId="36" fillId="19" borderId="25" xfId="0" applyFont="1" applyFill="1" applyBorder="1" applyAlignment="1">
      <s:alignment horizontal="left" vertical="center" mc:Ignorable="vyd"/>
    </s:xf>
    <s:xf numFmtId="0" fontId="30" fillId="0" borderId="36" xfId="0" applyFont="1" applyBorder="1" applyAlignment="1">
      <s:alignment horizontal="left" vertical="center" mc:Ignorable="vyd"/>
    </s:xf>
    <s:xf numFmtId="0" fontId="30" fillId="0" borderId="34" xfId="0" applyFont="1" applyBorder="1" applyAlignment="1">
      <s:alignment horizontal="left" vertical="center" mc:Ignorable="vyd"/>
    </s:xf>
    <s:xf numFmtId="0" fontId="36" fillId="19" borderId="26" xfId="0" applyFont="1" applyFill="1" applyBorder="1" applyAlignment="1">
      <s:alignment horizontal="left" vertical="top" wrapText="1" mc:Ignorable="vyd"/>
    </s:xf>
    <s:xf numFmtId="4" fontId="36" fillId="19" borderId="26" xfId="0" applyNumberFormat="1" applyFont="1" applyFill="1" applyBorder="1" applyAlignment="1">
      <s:alignment horizontal="center" vertical="top" mc:Ignorable="vyd"/>
    </s:xf>
    <s:xf numFmtId="0" fontId="36" fillId="10" borderId="0" xfId="0" applyFont="1" applyFill="1" applyAlignment="1">
      <s:alignment horizontal="left" vertical="top" wrapText="1" mc:Ignorable="vyd"/>
    </s:xf>
    <s:xf numFmtId="0" fontId="25" fillId="10" borderId="0" xfId="0" applyFont="1" applyFill="1" applyAlignment="1">
      <s:alignment horizontal="left" vertical="top" wrapText="1" mc:Ignorable="vyd"/>
    </s:xf>
    <s:xf numFmtId="0" fontId="36" fillId="19" borderId="26" xfId="0" applyFont="1" applyFill="1" applyBorder="1" applyAlignment="1">
      <s:alignment horizontal="center" vertical="center" mc:Ignorable="vyd"/>
    </s:xf>
    <s:xf numFmtId="17" fontId="17" fillId="18" borderId="78" xfId="0" applyNumberFormat="1" applyFont="1" applyFill="1" applyBorder="1" applyAlignment="1">
      <s:alignment horizontal="left" vertical="center" wrapText="1" mc:Ignorable="vyd"/>
    </s:xf>
    <s:xf numFmtId="17" fontId="17" fillId="18" borderId="58" xfId="0" applyNumberFormat="1" applyFont="1" applyFill="1" applyBorder="1" applyAlignment="1">
      <s:alignment horizontal="left" vertical="center" wrapText="1" mc:Ignorable="vyd"/>
    </s:xf>
    <s:xf numFmtId="17" fontId="17" fillId="18" borderId="18" xfId="0" applyNumberFormat="1" applyFont="1" applyFill="1" applyBorder="1" applyAlignment="1">
      <s:alignment horizontal="left" vertical="center" wrapText="1" mc:Ignorable="vyd"/>
    </s:xf>
    <s:xf numFmtId="0" fontId="17" fillId="19" borderId="80" xfId="0" applyFont="1" applyFill="1" applyBorder="1" applyAlignment="1">
      <s:alignment horizontal="left" vertical="center" wrapText="1" mc:Ignorable="vyd"/>
    </s:xf>
    <s:xf numFmtId="0" fontId="17" fillId="19" borderId="38" xfId="0" applyFont="1" applyFill="1" applyBorder="1" applyAlignment="1">
      <s:alignment horizontal="left" vertical="center" wrapText="1" mc:Ignorable="vyd"/>
    </s:xf>
    <s:xf numFmtId="0" fontId="17" fillId="19" borderId="25" xfId="0" applyFont="1" applyFill="1" applyBorder="1" applyAlignment="1">
      <s:alignment horizontal="left" vertical="center" wrapText="1" mc:Ignorable="vyd"/>
    </s:xf>
    <s:xf numFmtId="0" fontId="35" fillId="21" borderId="80" xfId="0" applyFont="1" applyFill="1" applyBorder="1" applyAlignment="1">
      <s:alignment horizontal="center" vertical="center" wrapText="1" mc:Ignorable="vyd"/>
    </s:xf>
    <s:xf numFmtId="0" fontId="35" fillId="21" borderId="38" xfId="0" applyFont="1" applyFill="1" applyBorder="1" applyAlignment="1">
      <s:alignment horizontal="center" vertical="center" wrapText="1" mc:Ignorable="vyd"/>
    </s:xf>
    <s:xf numFmtId="0" fontId="35" fillId="21" borderId="87" xfId="0" applyFont="1" applyFill="1" applyBorder="1" applyAlignment="1">
      <s:alignment horizontal="center" vertical="center" wrapText="1" mc:Ignorable="vyd"/>
    </s:xf>
    <s:xf numFmtId="0" fontId="17" fillId="22" borderId="101" xfId="0" applyFont="1" applyFill="1" applyBorder="1" applyAlignment="1">
      <s:alignment horizontal="left" vertical="top" wrapText="1" mc:Ignorable="vyd"/>
    </s:xf>
    <s:xf numFmtId="0" fontId="17" fillId="22" borderId="102" xfId="0" applyFont="1" applyFill="1" applyBorder="1" applyAlignment="1">
      <s:alignment horizontal="left" vertical="top" wrapText="1" mc:Ignorable="vyd"/>
    </s:xf>
    <s:xf numFmtId="0" fontId="17" fillId="22" borderId="103" xfId="0" applyFont="1" applyFill="1" applyBorder="1" applyAlignment="1">
      <s:alignment horizontal="left" vertical="top" wrapText="1" mc:Ignorable="vyd"/>
    </s:xf>
    <s:xf numFmtId="0" fontId="36" fillId="19" borderId="170" xfId="0" applyFont="1" applyFill="1" applyBorder="1" applyAlignment="1">
      <s:alignment horizontal="center" vertical="center" wrapText="1" mc:Ignorable="vyd"/>
    </s:xf>
    <s:xf numFmtId="0" fontId="36" fillId="19" borderId="170" xfId="0" applyFont="1" applyFill="1" applyBorder="1" applyAlignment="1">
      <s:alignment horizontal="left" vertical="top" mc:Ignorable="vyd"/>
    </s:xf>
    <s:xf numFmtId="0" fontId="36" fillId="19" borderId="170" xfId="0" applyFont="1" applyFill="1" applyBorder="1" applyAlignment="1">
      <s:alignment horizontal="left" vertical="center" mc:Ignorable="vyd"/>
    </s:xf>
    <s:xf numFmtId="4" fontId="36" fillId="19" borderId="170" xfId="0" applyNumberFormat="1" applyFont="1" applyFill="1" applyBorder="1" applyAlignment="1">
      <s:alignment horizontal="center" vertical="top" mc:Ignorable="vyd"/>
    </s:xf>
    <s:xf numFmtId="0" fontId="36" fillId="19" borderId="170" xfId="0" applyFont="1" applyFill="1" applyBorder="1" applyAlignment="1">
      <s:alignment horizontal="left" vertical="top" wrapText="1" mc:Ignorable="vyd"/>
    </s:xf>
    <s:xf numFmtId="0" fontId="36" fillId="10" borderId="64" xfId="0" applyFont="1" applyFill="1" applyBorder="1" applyAlignment="1">
      <s:alignment horizontal="left" vertical="top" wrapText="1" mc:Ignorable="vyd"/>
    </s:xf>
    <s:xf numFmtId="0" fontId="36" fillId="19" borderId="170" xfId="0" applyFont="1" applyFill="1" applyBorder="1" applyAlignment="1">
      <s:alignment horizontal="center" vertical="center" mc:Ignorable="vyd"/>
    </s:xf>
    <s:xf numFmtId="0" fontId="35" fillId="21" borderId="170" xfId="0" applyFont="1" applyFill="1" applyBorder="1" applyAlignment="1">
      <s:alignment horizontal="center" vertical="center" wrapText="1" mc:Ignorable="vyd"/>
    </s:xf>
    <s:xf numFmtId="0" fontId="17" fillId="22" borderId="170" xfId="0" applyFont="1" applyFill="1" applyBorder="1" applyAlignment="1">
      <s:alignment horizontal="left" vertical="top" wrapText="1" mc:Ignorable="vyd"/>
    </s:xf>
    <s:xf numFmtId="0" fontId="36" fillId="19" borderId="26" xfId="0" applyFont="1" applyFill="1" applyBorder="1" applyAlignment="1">
      <s:alignment horizontal="center" vertical="center" wrapText="1" mc:Ignorable="vyd"/>
    </s:xf>
    <s:xf numFmtId="0" fontId="36" fillId="19" borderId="26" xfId="0" applyFont="1" applyFill="1" applyBorder="1" applyAlignment="1">
      <s:alignment horizontal="left" vertical="top" mc:Ignorable="vyd"/>
    </s:xf>
    <s:xf numFmtId="0" fontId="36" fillId="19" borderId="26" xfId="0" applyFont="1" applyFill="1" applyBorder="1" applyAlignment="1">
      <s:alignment horizontal="left" vertical="center" mc:Ignorable="vyd"/>
    </s:xf>
    <s:xf numFmtId="0" fontId="17" fillId="19" borderId="110" xfId="0" applyFont="1" applyFill="1" applyBorder="1" applyAlignment="1">
      <s:alignment horizontal="left" vertical="center" wrapText="1" mc:Ignorable="vyd"/>
    </s:xf>
    <s:xf numFmtId="0" fontId="17" fillId="19" borderId="64" xfId="0" applyFont="1" applyFill="1" applyBorder="1" applyAlignment="1">
      <s:alignment horizontal="left" vertical="center" wrapText="1" mc:Ignorable="vyd"/>
    </s:xf>
    <s:xf numFmtId="0" fontId="17" fillId="19" borderId="30" xfId="0" applyFont="1" applyFill="1" applyBorder="1" applyAlignment="1">
      <s:alignment horizontal="left" vertical="center" wrapText="1" mc:Ignorable="vyd"/>
    </s:xf>
    <s:xf numFmtId="0" fontId="35" fillId="21" borderId="26" xfId="0" applyFont="1" applyFill="1" applyBorder="1" applyAlignment="1">
      <s:alignment horizontal="center" vertical="center" wrapText="1" mc:Ignorable="vyd"/>
    </s:xf>
    <s:xf numFmtId="0" fontId="17" fillId="22" borderId="26" xfId="0" applyFont="1" applyFill="1" applyBorder="1" applyAlignment="1">
      <s:alignment horizontal="left" vertical="top" wrapText="1" mc:Ignorable="vyd"/>
    </s:xf>
    <s:xf numFmtId="0" fontId="42" fillId="24" borderId="129" xfId="0" applyFont="1" applyFill="1" applyBorder="1" applyAlignment="1" applyProtection="1">
      <s:alignment horizontal="center" mc:Ignorable="vyd"/>
      <s:protection locked="0"/>
    </s:xf>
    <s:xf numFmtId="0" fontId="42" fillId="24" borderId="130" xfId="0" applyFont="1" applyFill="1" applyBorder="1" applyAlignment="1" applyProtection="1">
      <s:alignment horizontal="center" mc:Ignorable="vyd"/>
      <s:protection locked="0"/>
    </s:xf>
    <s:xf numFmtId="3" fontId="43" fillId="26" borderId="129" xfId="0" applyNumberFormat="1" applyFont="1" applyFill="1" applyBorder="1" applyAlignment="1" applyProtection="1">
      <s:alignment horizontal="center" mc:Ignorable="vyd"/>
      <s:protection locked="0"/>
    </s:xf>
    <s:xf numFmtId="3" fontId="43" fillId="26" borderId="131" xfId="0" applyNumberFormat="1" applyFont="1" applyFill="1" applyBorder="1" applyAlignment="1" applyProtection="1">
      <s:alignment horizontal="center" mc:Ignorable="vyd"/>
      <s:protection locked="0"/>
    </s:xf>
    <s:xf numFmtId="3" fontId="43" fillId="26" borderId="130" xfId="0" applyNumberFormat="1" applyFont="1" applyFill="1" applyBorder="1" applyAlignment="1" applyProtection="1">
      <s:alignment horizontal="center" mc:Ignorable="vyd"/>
      <s:protection locked="0"/>
    </s:xf>
    <s:xf numFmtId="0" fontId="35" fillId="24" borderId="129" xfId="0" applyFont="1" applyFill="1" applyBorder="1" applyAlignment="1" applyProtection="1">
      <s:alignment horizontal="left" wrapText="1" mc:Ignorable="vyd"/>
      <s:protection locked="0"/>
    </s:xf>
    <s:xf numFmtId="0" fontId="35" fillId="24" borderId="131" xfId="0" applyFont="1" applyFill="1" applyBorder="1" applyAlignment="1" applyProtection="1">
      <s:alignment horizontal="left" wrapText="1" mc:Ignorable="vyd"/>
      <s:protection locked="0"/>
    </s:xf>
    <s:xf numFmtId="0" fontId="35" fillId="24" borderId="130" xfId="0" applyFont="1" applyFill="1" applyBorder="1" applyAlignment="1" applyProtection="1">
      <s:alignment horizontal="left" wrapText="1" mc:Ignorable="vyd"/>
      <s:protection locked="0"/>
    </s:xf>
    <s:xf numFmtId="0" fontId="35" fillId="24" borderId="126" xfId="0" applyFont="1" applyFill="1" applyBorder="1" applyAlignment="1" applyProtection="1">
      <s:alignment horizontal="left" wrapText="1" mc:Ignorable="vyd"/>
      <s:protection locked="0"/>
    </s:xf>
    <s:xf numFmtId="0" fontId="17" fillId="30" borderId="141" xfId="0" applyFont="1" applyFill="1" applyBorder="1" applyAlignment="1" applyProtection="1">
      <s:alignment horizontal="center" vertical="center" wrapText="1" mc:Ignorable="vyd"/>
      <s:protection hidden="1"/>
    </s:xf>
    <s:xf numFmtId="0" fontId="17" fillId="30" borderId="143" xfId="0" applyFont="1" applyFill="1" applyBorder="1" applyAlignment="1" applyProtection="1">
      <s:alignment horizontal="center" vertical="center" wrapText="1" mc:Ignorable="vyd"/>
      <s:protection hidden="1"/>
    </s:xf>
    <s:xf numFmtId="0" fontId="17" fillId="30" borderId="149" xfId="0" applyFont="1" applyFill="1" applyBorder="1" applyAlignment="1" applyProtection="1">
      <s:alignment horizontal="center" vertical="center" wrapText="1" mc:Ignorable="vyd"/>
      <s:protection hidden="1"/>
    </s:xf>
    <s:xf numFmtId="0" fontId="17" fillId="30" borderId="150" xfId="0" applyFont="1" applyFill="1" applyBorder="1" applyAlignment="1" applyProtection="1">
      <s:alignment horizontal="center" vertical="center" wrapText="1" mc:Ignorable="vyd"/>
      <s:protection hidden="1"/>
    </s:xf>
    <s:xf numFmtId="0" fontId="44" fillId="27" borderId="141" xfId="0" applyFont="1" applyFill="1" applyBorder="1" applyAlignment="1" applyProtection="1">
      <s:alignment horizontal="center" vertical="center" wrapText="1" mc:Ignorable="vyd"/>
      <s:protection hidden="1"/>
    </s:xf>
    <s:xf numFmtId="0" fontId="44" fillId="27" borderId="143" xfId="0" applyFont="1" applyFill="1" applyBorder="1" applyAlignment="1" applyProtection="1">
      <s:alignment horizontal="center" vertical="center" wrapText="1" mc:Ignorable="vyd"/>
      <s:protection hidden="1"/>
    </s:xf>
    <s:xf numFmtId="0" fontId="44" fillId="27" borderId="150" xfId="0" applyFont="1" applyFill="1" applyBorder="1" applyAlignment="1" applyProtection="1">
      <s:alignment horizontal="center" vertical="center" wrapText="1" mc:Ignorable="vyd"/>
      <s:protection hidden="1"/>
    </s:xf>
    <s:xf numFmtId="0" fontId="36" fillId="19" borderId="95" xfId="0" applyFont="1" applyFill="1" applyBorder="1" applyAlignment="1">
      <s:alignment horizontal="center" vertical="center" wrapText="1" mc:Ignorable="vyd"/>
    </s:xf>
    <s:xf numFmtId="0" fontId="36" fillId="19" borderId="96" xfId="0" applyFont="1" applyFill="1" applyBorder="1" applyAlignment="1">
      <s:alignment horizontal="center" vertical="center" wrapText="1" mc:Ignorable="vyd"/>
    </s:xf>
    <s:xf numFmtId="0" fontId="36" fillId="19" borderId="95" xfId="0" applyFont="1" applyFill="1" applyBorder="1" applyAlignment="1">
      <s:alignment horizontal="left" vertical="top" mc:Ignorable="vyd"/>
    </s:xf>
    <s:xf numFmtId="0" fontId="36" fillId="19" borderId="96" xfId="0" applyFont="1" applyFill="1" applyBorder="1" applyAlignment="1">
      <s:alignment horizontal="left" vertical="top" mc:Ignorable="vyd"/>
    </s:xf>
    <s:xf numFmtId="0" fontId="36" fillId="19" borderId="95" xfId="0" applyFont="1" applyFill="1" applyBorder="1" applyAlignment="1">
      <s:alignment horizontal="left" vertical="center" mc:Ignorable="vyd"/>
    </s:xf>
    <s:xf numFmtId="0" fontId="36" fillId="19" borderId="96" xfId="0" applyFont="1" applyFill="1" applyBorder="1" applyAlignment="1">
      <s:alignment horizontal="left" vertical="center" mc:Ignorable="vyd"/>
    </s:xf>
    <s:xf numFmtId="0" fontId="35" fillId="21" borderId="112" xfId="0" applyFont="1" applyFill="1" applyBorder="1" applyAlignment="1">
      <s:alignment horizontal="center" vertical="center" wrapText="1" mc:Ignorable="vyd"/>
    </s:xf>
    <s:xf numFmtId="0" fontId="35" fillId="21" borderId="113" xfId="0" applyFont="1" applyFill="1" applyBorder="1" applyAlignment="1">
      <s:alignment horizontal="center" vertical="center" wrapText="1" mc:Ignorable="vyd"/>
    </s:xf>
    <s:xf numFmtId="0" fontId="35" fillId="21" borderId="114" xfId="0" applyFont="1" applyFill="1" applyBorder="1" applyAlignment="1">
      <s:alignment horizontal="center" vertical="center" wrapText="1" mc:Ignorable="vyd"/>
    </s:xf>
    <s:xf numFmtId="0" fontId="17" fillId="22" borderId="119" xfId="0" applyFont="1" applyFill="1" applyBorder="1" applyAlignment="1">
      <s:alignment horizontal="left" vertical="top" wrapText="1" mc:Ignorable="vyd"/>
    </s:xf>
    <s:xf numFmtId="0" fontId="17" fillId="22" borderId="120" xfId="0" applyFont="1" applyFill="1" applyBorder="1" applyAlignment="1">
      <s:alignment horizontal="left" vertical="top" wrapText="1" mc:Ignorable="vyd"/>
    </s:xf>
    <s:xf numFmtId="0" fontId="17" fillId="22" borderId="121" xfId="0" applyFont="1" applyFill="1" applyBorder="1" applyAlignment="1">
      <s:alignment horizontal="left" vertical="top" wrapText="1" mc:Ignorable="vyd"/>
    </s:xf>
    <s:xf numFmtId="0" fontId="37" fillId="19" borderId="69" xfId="0" applyFont="1" applyFill="1" applyBorder="1" applyAlignment="1">
      <s:alignment horizontal="left" vertical="top" wrapText="1" mc:Ignorable="vyd"/>
    </s:xf>
    <s:xf numFmtId="0" fontId="30" fillId="0" borderId="27" xfId="0" applyFont="1" applyBorder="1" applyAlignment="1">
      <s:alignment horizontal="left" vertical="center" mc:Ignorable="vyd"/>
    </s:xf>
    <s:xf numFmtId="0" fontId="30" fillId="0" borderId="25" xfId="0" applyFont="1" applyBorder="1" applyAlignment="1">
      <s:alignment horizontal="left" vertical="center" mc:Ignorable="vyd"/>
    </s:xf>
    <s:xf numFmtId="0" fontId="30" fillId="0" borderId="53" xfId="0" applyFont="1" applyBorder="1" applyAlignment="1">
      <s:alignment horizontal="left" vertical="center" mc:Ignorable="vyd"/>
    </s:xf>
    <s:xf numFmtId="0" fontId="30" fillId="0" borderId="52" xfId="0" applyFont="1" applyBorder="1" applyAlignment="1">
      <s:alignment horizontal="left" vertical="center" mc:Ignorable="vyd"/>
    </s:xf>
    <s:xf numFmtId="0" fontId="35" fillId="22" borderId="26" xfId="0" applyFont="1" applyFill="1" applyBorder="1" applyAlignment="1">
      <s:alignment horizontal="left" vertical="center" wrapText="1" mc:Ignorable="vyd"/>
    </s:xf>
    <s:xf numFmtId="0" fontId="32" fillId="9" borderId="1" xfId="0" applyFont="1" applyFill="1" applyBorder="1" applyAlignment="1">
      <s:alignment horizontal="center" vertical="center" mc:Ignorable="vyd"/>
    </s:xf>
    <s:xf numFmtId="0" fontId="32" fillId="9" borderId="2" xfId="0" applyFont="1" applyFill="1" applyBorder="1" applyAlignment="1">
      <s:alignment horizontal="center" vertical="center" mc:Ignorable="vyd"/>
    </s:xf>
    <s:xf numFmtId="0" fontId="32" fillId="9" borderId="3" xfId="0" applyFont="1" applyFill="1" applyBorder="1" applyAlignment="1">
      <s:alignment horizontal="center" vertical="center" mc:Ignorable="vyd"/>
    </s:xf>
    <s:xf numFmtId="0" fontId="32" fillId="9" borderId="7" xfId="0" applyFont="1" applyFill="1" applyBorder="1" applyAlignment="1">
      <s:alignment horizontal="center" vertical="center" mc:Ignorable="vyd"/>
    </s:xf>
    <s:xf numFmtId="0" fontId="32" fillId="9" borderId="8" xfId="0" applyFont="1" applyFill="1" applyBorder="1" applyAlignment="1">
      <s:alignment horizontal="center" vertical="center" mc:Ignorable="vyd"/>
    </s:xf>
    <s:xf numFmtId="0" fontId="32" fillId="9" borderId="9" xfId="0" applyFont="1" applyFill="1" applyBorder="1" applyAlignment="1">
      <s:alignment horizontal="center" vertical="center" mc:Ignorable="vyd"/>
    </s:xf>
  </s:cellXfs>
  <s:cellStyles count="4">
    <s:cellStyle name="Обычный" xfId="0" builtinId="0"/>
    <s:cellStyle name="Процентный" xfId="1" builtinId="5"/>
    <s:cellStyle name="Финансовый" xfId="2" builtinId="3"/>
    <s:cellStyle xr:uid="{00000000-0005-0000-0000-000003000000}" name="TableStyleLight1" xfId="3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20" Type="http://schemas.openxmlformats.org/officeDocument/2006/relationships/sharedStrings" Target="sharedStrings.xml"/><Relationship Id="rId18" Type="http://schemas.openxmlformats.org/officeDocument/2006/relationships/styles" Target="styles.xml"/><Relationship Target="theme/theme1.xml" Type="http://schemas.openxmlformats.org/officeDocument/2006/relationships/theme" Id="rId19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000-000000000000}">
  <s:dimension ref="A1:JA64"/>
  <s:sheetViews>
    <s:sheetView tabSelected="0" topLeftCell="A23" zoomScale="113" workbookViewId="0">
      <s:selection activeCell="E40" sqref="E40"/>
    </s:sheetView>
  </s:sheetViews>
  <s:sheetFormatPr baseColWidth="10" defaultColWidth="10" defaultRowHeight="15"/>
  <s:cols>
    <s:col min="1" max="1" width="18" customWidth="1"/>
  </s:cols>
  <s:sheetData>
    <s:row r="1" ht="36">
      <s:c r="B1" s="3">
        <s:f ca="1">TODAY()-1</s:f>
        <s:v>46171</s:v>
      </s:c>
      <s:c r="C1" s="3"/>
      <s:c r="D1" s="4"/>
      <s:c r="E1" s="4"/>
      <s:c r="F1" s="5"/>
      <s:c r="G1" s="5"/>
      <s:c r="H1" s="5"/>
      <s:c r="I1" s="5"/>
      <s:c r="J1" s="6"/>
      <s:c r="K1" s="6"/>
      <s:c r="L1" s="6"/>
      <s:c r="M1" s="6"/>
      <s:c r="N1" s="6"/>
      <s:c r="O1" s="6"/>
      <s:c r="P1" s="6"/>
      <s:c r="Q1" s="6"/>
      <s:c r="R1" s="6"/>
      <s:c r="S1" s="6"/>
      <s:c r="T1" s="6"/>
      <s:c r="U1" s="6"/>
      <s:c r="V1" s="7"/>
      <s:c r="W1" s="7"/>
      <s:c r="X1" s="7"/>
      <s:c r="Y1" s="7"/>
      <s:c r="Z1" s="5"/>
      <s:c r="AA1" s="5"/>
      <s:c r="AB1" s="5"/>
    </s:row>
    <s:row r="2" ht="36">
      <s:c r="B2" s="8" t="s">
        <s:v>0</s:v>
      </s:c>
      <s:c r="C2" s="8"/>
      <s:c r="D2" s="4"/>
      <s:c r="E2" s="4"/>
      <s:c r="F2" s="5"/>
      <s:c r="G2" s="5"/>
      <s:c r="H2" s="5"/>
      <s:c r="I2" s="5"/>
      <s:c r="J2" s="9" t="s">
        <s:v>1</s:v>
      </s:c>
      <s:c r="K2" s="9"/>
      <s:c r="L2" s="9"/>
      <s:c r="M2" s="9"/>
      <s:c r="N2" s="9"/>
      <s:c r="O2" s="9"/>
      <s:c r="P2" s="9"/>
      <s:c r="Q2" s="9"/>
      <s:c r="R2" s="9"/>
      <s:c r="S2" s="9"/>
      <s:c r="T2" s="9"/>
      <s:c r="U2" s="9"/>
      <s:c r="V2" s="7"/>
      <s:c r="W2" s="7"/>
      <s:c r="X2" s="7"/>
      <s:c r="Y2" s="7"/>
      <s:c r="Z2" s="5"/>
      <s:c r="AA2" s="5"/>
      <s:c r="AB2" s="5"/>
    </s:row>
    <s:row r="3" ht="36">
      <s:c r="B3" s="10"/>
      <s:c r="C3" s="10" t="s">
        <s:v>2</s:v>
      </s:c>
      <s:c r="D3" s="4"/>
      <s:c r="E3" s="4"/>
      <s:c r="F3" s="5"/>
      <s:c r="G3" s="5"/>
      <s:c r="H3" s="5"/>
      <s:c r="I3" s="11" t="s">
        <s:v>3</s:v>
      </s:c>
      <s:c r="J3" s="12"/>
      <s:c r="K3" s="12"/>
      <s:c r="L3" s="12"/>
      <s:c r="M3" s="12"/>
      <s:c r="N3" s="12"/>
      <s:c r="O3" s="13"/>
      <s:c r="P3" s="6"/>
      <s:c r="Q3" s="6"/>
      <s:c r="R3" s="9"/>
      <s:c r="S3" s="6"/>
      <s:c r="T3" s="6"/>
      <s:c r="U3" s="14"/>
      <s:c r="V3" s="7"/>
      <s:c r="W3" s="7"/>
      <s:c r="X3" s="7"/>
      <s:c r="Y3" s="7"/>
      <s:c r="Z3" s="5"/>
      <s:c r="AA3" s="5"/>
      <s:c r="AB3" s="5"/>
    </s:row>
    <s:row r="4" ht="36">
      <s:c r="B4" s="4"/>
      <s:c r="C4" s="15">
        <s:f>I8-D56</s:f>
        <s:v>1025637.0000000002</s:v>
      </s:c>
      <s:c r="D4" s="16"/>
      <s:c r="E4" s="17">
        <s:f>IF(I8&lt;&gt;0,C4/I8,0)</s:f>
        <s:v>0.54841736820491771</s:v>
      </s:c>
      <s:c r="F4" s="5"/>
      <s:c r="G4" s="5"/>
      <s:c r="H4" s="5"/>
      <s:c r="I4" s="18"/>
      <s:c r="J4" s="19"/>
      <s:c r="K4" s="19"/>
      <s:c r="L4" s="19"/>
      <s:c r="M4" s="19"/>
      <s:c r="N4" s="19"/>
      <s:c r="O4" s="20"/>
      <s:c r="P4" s="6"/>
      <s:c r="Q4" s="6"/>
      <s:c r="R4" s="9"/>
      <s:c r="S4" s="6"/>
      <s:c r="T4" s="5"/>
      <s:c r="U4" s="5"/>
      <s:c r="V4" s="7"/>
      <s:c r="W4" s="7"/>
      <s:c r="X4" s="7"/>
      <s:c r="Y4" s="7"/>
      <s:c r="Z4" s="5"/>
      <s:c r="AA4" s="5"/>
      <s:c r="AB4" s="5"/>
    </s:row>
    <s:row r="5">
      <s:c r="B5" s="5"/>
      <s:c r="C5" s="5"/>
      <s:c r="D5" s="5"/>
      <s:c r="E5" s="5"/>
      <s:c r="F5" s="5"/>
      <s:c r="G5" s="5"/>
      <s:c r="H5" s="5"/>
      <s:c r="I5" s="5"/>
      <s:c r="J5" s="21"/>
      <s:c r="K5" s="21"/>
      <s:c r="L5" s="21"/>
      <s:c r="M5" s="21"/>
      <s:c r="N5" s="21"/>
      <s:c r="O5" s="21"/>
      <s:c r="P5" s="21"/>
      <s:c r="Q5" s="21"/>
      <s:c r="R5" s="22"/>
      <s:c r="S5" s="21"/>
      <s:c r="T5" s="5"/>
      <s:c r="U5" s="5"/>
      <s:c r="V5" s="5"/>
      <s:c r="W5" s="5"/>
      <s:c r="X5" s="5"/>
      <s:c r="Y5" s="5"/>
      <s:c r="Z5" s="5"/>
      <s:c r="AA5" s="5"/>
      <s:c r="AB5" s="5"/>
    </s:row>
    <s:row r="6" ht="16">
      <s:c r="B6" s="23"/>
      <s:c r="C6" s="24"/>
      <s:c r="D6" s="24"/>
      <s:c r="E6" s="5"/>
      <s:c r="F6" s="25" t="s">
        <s:v>4</s:v>
      </s:c>
      <s:c r="G6" s="26"/>
      <s:c r="H6" s="26"/>
      <s:c r="I6" s="26"/>
      <s:c r="J6" s="26"/>
      <s:c r="K6" s="26"/>
      <s:c r="L6" s="26"/>
      <s:c r="M6" s="26"/>
      <s:c r="N6" s="26"/>
      <s:c r="O6" s="26"/>
      <s:c r="P6" s="26"/>
      <s:c r="Q6" s="27"/>
      <s:c r="R6" s="22"/>
      <s:c r="S6" s="21"/>
      <s:c r="T6" s="5"/>
      <s:c r="U6" s="5"/>
      <s:c r="V6" s="5"/>
      <s:c r="W6" s="28"/>
      <s:c r="X6" s="28"/>
      <s:c r="Y6" s="5"/>
      <s:c r="Z6" s="5"/>
      <s:c r="AA6" s="5"/>
      <s:c r="AB6" s="5"/>
    </s:row>
    <s:row r="7" ht="60">
      <s:c r="B7" s="23"/>
      <s:c r="C7" s="23"/>
      <s:c r="D7" s="23"/>
      <s:c r="E7" s="29"/>
      <s:c r="F7" s="30" t="s">
        <s:v>5</s:v>
      </s:c>
      <s:c r="G7" s="30"/>
      <s:c r="H7" s="30"/>
      <s:c r="I7" s="31" t="s">
        <s:v>6</s:v>
      </s:c>
      <s:c r="J7" s="32" t="s">
        <s:v>7</s:v>
      </s:c>
      <s:c r="K7" s="33" t="s">
        <s:v>8</s:v>
      </s:c>
      <s:c r="L7" s="34" t="s">
        <s:v>9</s:v>
      </s:c>
      <s:c r="M7" s="34" t="s">
        <s:v>10</s:v>
      </s:c>
      <s:c r="N7" s="35" t="s">
        <s:v>11</s:v>
      </s:c>
      <s:c r="O7" s="36" t="s">
        <s:v>12</s:v>
      </s:c>
      <s:c r="P7" s="37" t="s">
        <s:v>13</s:v>
      </s:c>
      <s:c r="Q7" s="38"/>
      <s:c r="R7" s="22"/>
      <s:c r="S7" s="21"/>
      <s:c r="T7" s="5"/>
      <s:c r="U7" s="5"/>
      <s:c r="V7" s="5"/>
      <s:c r="W7" s="28"/>
      <s:c r="X7" s="28"/>
      <s:c r="Y7" s="5"/>
      <s:c r="Z7" s="5"/>
      <s:c r="AA7" s="5"/>
      <s:c r="AB7" s="5"/>
    </s:row>
    <s:row r="8">
      <s:c r="B8" s="23"/>
      <s:c r="C8" s="23"/>
      <s:c r="D8" s="23"/>
      <s:c r="E8" s="5"/>
      <s:c r="F8" s="39" t="s">
        <s:v>14</s:v>
      </s:c>
      <s:c r="G8" s="39"/>
      <s:c r="H8" s="39"/>
      <s:c r="I8" s="40">
        <s:f>I13*I10</s:f>
        <s:v>1870176.0000000002</s:v>
      </s:c>
      <s:c r="J8" s="41">
        <s:f>D56</s:f>
        <s:v>844539</s:v>
      </s:c>
      <s:c r="K8" s="42">
        <s:f>IF(AND(I8&lt;&gt;"",I8&lt;&gt;0,J8&lt;&gt;""),J8/I8,"")</s:f>
        <s:v>0.45158263179508235</s:v>
      </s:c>
      <s:c r="L8" s="43">
        <s:f>IF(SUMIF($D$25:$D$55,"&gt;=0",$V$25:$V$55)&lt;&gt;0,I8*D56/SUMIF($D$25:$D$55,"&gt;=0",$V$25:$V$55),0)</s:f>
        <s:v>844539.00000000012</s:v>
      </s:c>
      <s:c r="M8" s="44">
        <s:f>L8/I8</s:f>
        <s:v>0.4515826317950824</s:v>
      </s:c>
      <s:c r="N8" s="45">
        <s:f>IF(AND(J8&lt;&gt;0,J8&lt;&gt;"",I8&lt;&gt;0,I8&lt;&gt;""),L8-I8,"")</s:f>
        <s:v>-1025637.0000000001</s:v>
      </s:c>
      <s:c r="O8" s="46"/>
      <s:c r="P8" s="47" t="str">
        <s:f>IF(AND(O8&lt;&gt;"",O8&lt;&gt;0,L8&lt;&gt;"",L8&lt;&gt;0),-O8+L8,"")</s:f>
        <s:v/>
      </s:c>
      <s:c r="Q8" s="48" t="str">
        <s:f>IF(AND(O8&lt;&gt;"",O8&lt;&gt;0,N8&lt;&gt;0,N8&lt;&gt;""),O8/N8,"")</s:f>
        <s:v/>
      </s:c>
      <s:c r="R8" s="22"/>
      <s:c r="S8" s="21"/>
      <s:c r="T8" s="5"/>
      <s:c r="U8" s="5"/>
      <s:c r="V8" s="28"/>
      <s:c r="W8" s="28"/>
      <s:c r="X8" s="5"/>
      <s:c r="Y8" s="5"/>
      <s:c r="Z8" s="5"/>
      <s:c r="AA8" s="5"/>
    </s:row>
    <s:row r="9">
      <s:c r="B9" s="23"/>
      <s:c r="C9" s="23"/>
      <s:c r="D9" s="23"/>
      <s:c r="E9" s="5"/>
      <s:c r="F9" s="49" t="s">
        <s:v>15</s:v>
      </s:c>
      <s:c r="G9" s="49"/>
      <s:c r="H9" s="49"/>
      <s:c r="I9" s="50">
        <s:f>I8/I11</s:f>
        <s:v>257.60000000000002</s:v>
      </s:c>
      <s:c r="J9" s="51">
        <s:f>E56</s:f>
        <s:v>106</s:v>
      </s:c>
      <s:c r="K9" s="52">
        <s:f>IF(AND(I9&lt;&gt;"",I9&lt;&gt;0,J9&lt;&gt;""),J9/I9,"")</s:f>
        <s:v>0.41149068322981364</s:v>
      </s:c>
      <s:c r="L9" s="53">
        <s:f>IF(SUMIF($E$25:$E$55,"&gt;=0",$W$25:$W$55)&lt;&gt;0,I9*E56/SUMIF($E$25:$E$55,"&gt;=0",$W$25:$W$55),0)</s:f>
        <s:v>106.00000000000003</s:v>
      </s:c>
      <s:c r="M9" s="54">
        <s:f>IF(AND(I9&lt;&gt;"",I9&lt;&gt;0,L9&lt;&gt;"",L9&lt;&gt;0),L9/I9,"")</s:f>
        <s:v>0.41149068322981375</s:v>
      </s:c>
      <s:c r="N9" s="55">
        <s:f>IF(AND(J9&lt;&gt;0,J9&lt;&gt;"",I9&lt;&gt;0,I9&lt;&gt;""),L9-I9,"")</s:f>
        <s:v>-151.6</s:v>
      </s:c>
      <s:c r="O9" s="56"/>
      <s:c r="P9" s="57" t="str">
        <s:f>IF(AND(O9&lt;&gt;"",O9&lt;&gt;0,L9&lt;&gt;"",L9&lt;&gt;0),-O9+L9,"")</s:f>
        <s:v/>
      </s:c>
      <s:c r="Q9" s="58" t="str">
        <s:f>IF(AND(O9&lt;&gt;"",O9&lt;&gt;0,N9&lt;&gt;0,N9&lt;&gt;""),O9/N9,"")</s:f>
        <s:v/>
      </s:c>
      <s:c r="R9" s="22"/>
      <s:c r="S9" s="21"/>
      <s:c r="T9" s="5"/>
      <s:c r="U9" s="5"/>
      <s:c r="V9" s="28"/>
      <s:c r="W9" s="28"/>
      <s:c r="X9" s="5"/>
      <s:c r="Y9" s="5"/>
      <s:c r="Z9" s="5"/>
      <s:c r="AA9" s="5"/>
    </s:row>
    <s:row r="10">
      <s:c r="B10" s="23"/>
      <s:c r="C10" s="23"/>
      <s:c r="D10" s="23"/>
      <s:c r="E10" s="5"/>
      <s:c r="F10" s="59" t="s">
        <s:v>16</s:v>
      </s:c>
      <s:c r="G10" s="59"/>
      <s:c r="H10" s="59"/>
      <s:c r="I10" s="60">
        <s:f>I11*I12</s:f>
        <s:v>13358.400000000001</s:v>
      </s:c>
      <s:c r="J10" s="61">
        <s:f>H56</s:f>
        <s:v>12239.695652173914</s:v>
      </s:c>
      <s:c r="K10" s="62">
        <s:f>IF(AND(I10&lt;&gt;"",I10&lt;&gt;0,J10&lt;&gt;""),J10/I10,"")</s:f>
        <s:v>0.91625461523639906</s:v>
      </s:c>
      <s:c r="L10" s="53">
        <s:f>J10</s:f>
        <s:v>12239.695652173914</s:v>
      </s:c>
      <s:c r="M10" s="63">
        <s:f>IF(AND(I10&lt;&gt;"",I10&lt;&gt;0,L10&lt;&gt;"",L10&lt;&gt;0),L10/I10,"")</s:f>
        <s:v>0.91625461523639906</s:v>
      </s:c>
      <s:c r="N10" s="64">
        <s:f>IF(AND(J10&lt;&gt;0,J10&lt;&gt;"",I10&lt;&gt;0,I10&lt;&gt;""),L10-I10,"")</s:f>
        <s:v>-1118.7043478260875</s:v>
      </s:c>
      <s:c r="O10" s="65"/>
      <s:c r="P10" s="66" t="str">
        <s:f>IF(AND(O10&lt;&gt;"",O10&lt;&gt;0,L10&lt;&gt;"",L10&lt;&gt;0),-O10+L10,"")</s:f>
        <s:v/>
      </s:c>
      <s:c r="Q10" s="67" t="str">
        <s:f>IF(AND(O10&lt;&gt;"",O10&lt;&gt;0,N10&lt;&gt;0,N10&lt;&gt;""),O10/N10,"")</s:f>
        <s:v/>
      </s:c>
      <s:c r="R10" s="22"/>
      <s:c r="S10" s="21"/>
      <s:c r="T10" s="5"/>
      <s:c r="U10" s="5"/>
      <s:c r="V10" s="28"/>
      <s:c r="W10" s="28"/>
      <s:c r="X10" s="5"/>
      <s:c r="Y10" s="5"/>
      <s:c r="Z10" s="5"/>
      <s:c r="AA10" s="5"/>
    </s:row>
    <s:row r="11">
      <s:c r="B11" s="23"/>
      <s:c r="C11" s="5"/>
      <s:c r="D11" s="5"/>
      <s:c r="E11" s="5"/>
      <s:c r="F11" s="49" t="s">
        <s:v>17</s:v>
      </s:c>
      <s:c r="G11" s="49"/>
      <s:c r="H11" s="49"/>
      <s:c r="I11" s="68">
        <s:v>7260</s:v>
      </s:c>
      <s:c r="J11" s="51">
        <s:f>F56</s:f>
        <s:v>7967.3490566037735</s:v>
      </s:c>
      <s:c r="K11" s="52">
        <s:f>IF(AND(I11&lt;&gt;"",I11&lt;&gt;0,J11&lt;&gt;""),J11/I11,"")</s:f>
        <s:v>1.0974309995322002</s:v>
      </s:c>
      <s:c r="L11" s="53">
        <s:f>IF(L9&gt;0,L8/L9,"")</s:f>
        <s:v>7967.3490566037726</s:v>
      </s:c>
      <s:c r="M11" s="54">
        <s:f>IF(AND(I11&lt;&gt;"",I11&lt;&gt;0,L11&lt;&gt;"",L11&lt;&gt;0),L11/I11,"")</s:f>
        <s:v>1.0974309995322</s:v>
      </s:c>
      <s:c r="N11" s="55">
        <s:f>IF(AND(J11&lt;&gt;0,J11&lt;&gt;"",I11&lt;&gt;0,I11&lt;&gt;""),L11-I11,"")</s:f>
        <s:v>707.34905660377262</s:v>
      </s:c>
      <s:c r="O11" s="69"/>
      <s:c r="P11" s="57" t="str">
        <s:f>IF(AND(O11&lt;&gt;"",O11&lt;&gt;0,L11&lt;&gt;"",L11&lt;&gt;0),-O11+L11,"")</s:f>
        <s:v/>
      </s:c>
      <s:c r="Q11" s="58" t="str">
        <s:f>IF(AND(O11&lt;&gt;"",O11&lt;&gt;0,N11&lt;&gt;0,N11&lt;&gt;""),O11/N11,"")</s:f>
        <s:v/>
      </s:c>
      <s:c r="R11" s="22"/>
      <s:c r="S11" s="21"/>
      <s:c r="T11" s="5"/>
      <s:c r="U11" s="5"/>
      <s:c r="V11" s="28"/>
      <s:c r="W11" s="5"/>
      <s:c r="X11" s="5"/>
      <s:c r="Y11" s="5"/>
      <s:c r="Z11" s="5"/>
      <s:c r="AA11" s="5"/>
    </s:row>
    <s:row r="12">
      <s:c r="B12" s="23"/>
      <s:c r="C12" s="5"/>
      <s:c r="D12" s="5"/>
      <s:c r="E12" s="5"/>
      <s:c r="F12" s="49" t="s">
        <s:v>18</s:v>
      </s:c>
      <s:c r="G12" s="49"/>
      <s:c r="H12" s="49"/>
      <s:c r="I12" s="70">
        <s:v>1.84</s:v>
      </s:c>
      <s:c r="J12" s="71">
        <s:f>J56</s:f>
        <s:v>1.536231884057971</s:v>
      </s:c>
      <s:c r="K12" s="52">
        <s:f>IF(AND(I12&lt;&gt;"",I12&lt;&gt;0,J12&lt;&gt;""),J12/I12,"")</s:f>
        <s:v>0.83490863264020154</s:v>
      </s:c>
      <s:c r="L12" s="72">
        <s:f>J12</s:f>
        <s:v>1.536231884057971</s:v>
      </s:c>
      <s:c r="M12" s="54">
        <s:f>IF(AND(I12&lt;&gt;"",I12&lt;&gt;0,L12&lt;&gt;"",L12&lt;&gt;0),L12/I12,"")</s:f>
        <s:v>0.83490863264020154</s:v>
      </s:c>
      <s:c r="N12" s="73">
        <s:f>IF(AND(J12&lt;&gt;0,J12&lt;&gt;"",I12&lt;&gt;0,I12&lt;&gt;""),L12-I12,"")</s:f>
        <s:v>-0.30376811594202913</s:v>
      </s:c>
      <s:c r="O12" s="74"/>
      <s:c r="P12" s="57" t="str">
        <s:f>IF(AND(O12&lt;&gt;"",O12&lt;&gt;0,L12&lt;&gt;"",L12&lt;&gt;0),-O12+L12,"")</s:f>
        <s:v/>
      </s:c>
      <s:c r="Q12" s="58" t="str">
        <s:f>IF(AND(O12&lt;&gt;"",O12&lt;&gt;0,N12&lt;&gt;0,N12&lt;&gt;""),O12/N12,"")</s:f>
        <s:v/>
      </s:c>
      <s:c r="R12" s="22"/>
      <s:c r="S12" s="21"/>
      <s:c r="T12" s="5"/>
      <s:c r="U12" s="5"/>
      <s:c r="V12" s="28"/>
      <s:c r="W12" s="5"/>
      <s:c r="X12" s="5"/>
      <s:c r="Y12" s="5"/>
      <s:c r="Z12" s="5"/>
      <s:c r="AA12" s="5"/>
    </s:row>
    <s:row r="13">
      <s:c r="B13" s="23"/>
      <s:c r="C13" s="5"/>
      <s:c r="D13" s="5"/>
      <s:c r="E13" s="5"/>
      <s:c r="F13" s="49" t="s">
        <s:v>19</s:v>
      </s:c>
      <s:c r="G13" s="49"/>
      <s:c r="H13" s="49"/>
      <s:c r="I13" s="50">
        <s:f>I17*I20</s:f>
        <s:v>140</s:v>
      </s:c>
      <s:c r="J13" s="51">
        <s:f>G56</s:f>
        <s:v>69</s:v>
      </s:c>
      <s:c r="K13" s="52">
        <s:f>IF(AND(I13&lt;&gt;"",I13&lt;&gt;0,J13&lt;&gt;""),J13/I13,"")</s:f>
        <s:v>0.49285714285714288</s:v>
      </s:c>
      <s:c r="L13" s="53">
        <s:f>IF(SUMIF($G$25:$G$55,"&gt;=0",$X$25:$X$55)&lt;&gt;0,I13*G56/SUMIF($G$25:$G$55,"&gt;=0",$X$25:$X$55),"")</s:f>
        <s:v>68.999999999999986</s:v>
      </s:c>
      <s:c r="M13" s="54">
        <s:f>IF(AND(I13&lt;&gt;"",I13&lt;&gt;0,L13&lt;&gt;"",L13&lt;&gt;0),L13/I13,"")</s:f>
        <s:v>0.49285714285714277</s:v>
      </s:c>
      <s:c r="N13" s="73">
        <s:f>IF(AND(J13&lt;&gt;0,J13&lt;&gt;"",I13&lt;&gt;0,I13&lt;&gt;""),L13-I13,"")</s:f>
        <s:v>-71.000000000000014</s:v>
      </s:c>
      <s:c r="O13" s="75"/>
      <s:c r="P13" s="57" t="str">
        <s:f>IF(AND(O13&lt;&gt;"",O13&lt;&gt;0,L13&lt;&gt;"",L13&lt;&gt;0),-O13+L13,"")</s:f>
        <s:v/>
      </s:c>
      <s:c r="Q13" s="58" t="str">
        <s:f>IF(AND(O13&lt;&gt;"",O13&lt;&gt;0,N13&lt;&gt;0,N13&lt;&gt;""),O13/N13,"")</s:f>
        <s:v/>
      </s:c>
      <s:c r="R13" s="22"/>
      <s:c r="S13" s="21"/>
      <s:c r="T13" s="5"/>
      <s:c r="U13" s="5"/>
      <s:c r="V13" s="28"/>
      <s:c r="W13" s="5"/>
      <s:c r="X13" s="5"/>
      <s:c r="Y13" s="5"/>
      <s:c r="Z13" s="5"/>
      <s:c r="AA13" s="5"/>
    </s:row>
    <s:row r="14">
      <s:c r="B14" s="23"/>
      <s:c r="C14" s="5"/>
      <s:c r="D14" s="5"/>
      <s:c r="E14" s="5"/>
      <s:c r="F14" s="49" t="s">
        <s:v>20</s:v>
      </s:c>
      <s:c r="G14" s="49"/>
      <s:c r="H14" s="49"/>
      <s:c r="I14" s="68">
        <s:v>28</s:v>
      </s:c>
      <s:c r="J14" s="76">
        <s:v>28</s:v>
      </s:c>
      <s:c r="K14" s="52">
        <s:f>IF(AND(I14&lt;&gt;"",I14&lt;&gt;0,J14&lt;&gt;""),J14/I14,"")</s:f>
        <s:v>1</s:v>
      </s:c>
      <s:c r="L14" s="53">
        <s:f>IF(SUMIF($D$25:$D$55,"&gt;=0",$V$25:$V$55),I56*I8/SUMIF($D$25:$D$55,"&gt;=0",$V$25:$V$55),"")</s:f>
        <s:v>1338.0000000000002</s:v>
      </s:c>
      <s:c r="M14" s="54"/>
      <s:c r="N14" s="55">
        <s:f>IF(AND(J14&lt;&gt;0,J14&lt;&gt;"",I14&lt;&gt;0,I14&lt;&gt;""),L14-I14,"")</s:f>
        <s:v>1310.0000000000002</s:v>
      </s:c>
      <s:c r="O14" s="75"/>
      <s:c r="P14" s="57" t="str">
        <s:f>IF(AND(O14&lt;&gt;"",O14&lt;&gt;0,L14&lt;&gt;"",L14&lt;&gt;0),-O14+L14,"")</s:f>
        <s:v/>
      </s:c>
      <s:c r="Q14" s="58" t="str">
        <s:f>IF(AND(O14&lt;&gt;"",O14&lt;&gt;0,N14&lt;&gt;0,N14&lt;&gt;""),O14/N14,"")</s:f>
        <s:v/>
      </s:c>
      <s:c r="R14" s="22"/>
      <s:c r="S14" s="21"/>
      <s:c r="T14" s="5"/>
      <s:c r="U14" s="5"/>
      <s:c r="V14" s="28"/>
      <s:c r="W14" s="77"/>
      <s:c r="X14" s="5"/>
      <s:c r="Y14" s="5"/>
      <s:c r="Z14" s="5"/>
      <s:c r="AA14" s="5"/>
    </s:row>
    <s:row r="15">
      <s:c r="B15" s="23"/>
      <s:c r="C15" s="5"/>
      <s:c r="D15" s="5"/>
      <s:c r="E15" s="5"/>
      <s:c r="F15" s="49" t="s">
        <s:v>21</s:v>
      </s:c>
      <s:c r="G15" s="49"/>
      <s:c r="H15" s="49"/>
      <s:c r="I15" s="68">
        <s:f>I8/I14</s:f>
        <s:v>66792.000000000015</s:v>
      </s:c>
      <s:c r="J15" s="51">
        <s:f>J8/J14</s:f>
        <s:v>30162.107142857141</s:v>
      </s:c>
      <s:c r="K15" s="52">
        <s:f>IF(AND(I15&lt;&gt;"",I15&lt;&gt;0,J15&lt;&gt;""),J15/I15,"")</s:f>
        <s:v>0.45158263179508229</s:v>
      </s:c>
      <s:c r="L15" s="53">
        <s:f>J15</s:f>
        <s:v>30162.107142857141</s:v>
      </s:c>
      <s:c r="M15" s="78">
        <s:f>IF(AND(I15&lt;&gt;"",I15&lt;&gt;0,L15&lt;&gt;"",L15&lt;&gt;0),L15/I15,"")</s:f>
        <s:v>0.45158263179508229</s:v>
      </s:c>
      <s:c r="N15" s="55">
        <s:f>IF(AND(J15&lt;&gt;0,J15&lt;&gt;"",I15&lt;&gt;0,I15&lt;&gt;""),L15-I15,"")</s:f>
        <s:v>-36629.89285714287</s:v>
      </s:c>
      <s:c r="O15" s="75"/>
      <s:c r="P15" s="57" t="str">
        <s:f>IF(AND(O15&lt;&gt;"",O15&lt;&gt;0,L15&lt;&gt;"",L15&lt;&gt;0),-O15+L15,"")</s:f>
        <s:v/>
      </s:c>
      <s:c r="Q15" s="58" t="str">
        <s:f>IF(AND(O15&lt;&gt;"",O15&lt;&gt;0,N15&lt;&gt;0,N15&lt;&gt;""),O15/N15,"")</s:f>
        <s:v/>
      </s:c>
      <s:c r="R15" s="22"/>
      <s:c r="S15" s="21"/>
      <s:c r="T15" s="5"/>
      <s:c r="U15" s="5"/>
      <s:c r="V15" s="28"/>
      <s:c r="W15" s="28"/>
      <s:c r="X15" s="5"/>
      <s:c r="Y15" s="5"/>
      <s:c r="Z15" s="5"/>
      <s:c r="AA15" s="5"/>
    </s:row>
    <s:row r="16" ht="24">
      <s:c r="B16" s="23"/>
      <s:c r="C16" s="5"/>
      <s:c r="D16" s="5"/>
      <s:c r="E16" s="5"/>
      <s:c r="F16" s="49" t="s">
        <s:v>22</s:v>
      </s:c>
      <s:c r="G16" s="49"/>
      <s:c r="H16" s="49"/>
      <s:c r="I16" s="68"/>
      <s:c r="J16" s="51">
        <s:f>J8-I15*J14</s:f>
        <s:v>-1025637.0000000005</s:v>
      </s:c>
      <s:c r="K16" s="52" t="str">
        <s:f>IF(AND(I16&lt;&gt;"",I16&lt;&gt;0,J16&lt;&gt;""),J16/I16,"")</s:f>
        <s:v/>
      </s:c>
      <s:c r="L16" s="79">
        <s:f>J16</s:f>
        <s:v>-1025637.0000000005</s:v>
      </s:c>
      <s:c r="M16" s="80" t="str">
        <s:f>IF(AND(I16&lt;&gt;"",I16&lt;&gt;0,L16&lt;&gt;"",L16&lt;&gt;0),L16/I16,"")</s:f>
        <s:v/>
      </s:c>
      <s:c r="N16" s="55" t="str">
        <s:f>IF(AND(J16&lt;&gt;0,J16&lt;&gt;"",I16&lt;&gt;0,I16&lt;&gt;""),L16-I16,"")</s:f>
        <s:v/>
      </s:c>
      <s:c r="O16" s="75"/>
      <s:c r="P16" s="57" t="str">
        <s:f>IF(AND(O16&lt;&gt;"",O16&lt;&gt;0,L16&lt;&gt;"",L16&lt;&gt;0),-O16+L16,"")</s:f>
        <s:v/>
      </s:c>
      <s:c r="Q16" s="58" t="str">
        <s:f>IF(AND(O16&lt;&gt;"",O16&lt;&gt;0,N16&lt;&gt;0,N16&lt;&gt;""),O16/N16,"")</s:f>
        <s:v/>
      </s:c>
      <s:c r="R16" s="22"/>
      <s:c r="S16" s="21"/>
      <s:c r="T16" s="5"/>
      <s:c r="U16" s="5"/>
      <s:c r="V16" s="28"/>
      <s:c r="W16" s="81" t="s">
        <s:v>23</s:v>
      </s:c>
      <s:c r="X16" s="5"/>
      <s:c r="Y16" s="5"/>
      <s:c r="Z16" s="5"/>
      <s:c r="AA16" s="5"/>
    </s:row>
    <s:row r="17">
      <s:c r="B17" s="23"/>
      <s:c r="C17" s="5"/>
      <s:c r="D17" s="5"/>
      <s:c r="E17" s="5"/>
      <s:c r="F17" s="49" t="s">
        <s:v>24</s:v>
      </s:c>
      <s:c r="G17" s="49"/>
      <s:c r="H17" s="49"/>
      <s:c r="I17" s="68">
        <s:v>1400</s:v>
      </s:c>
      <s:c r="J17" s="51">
        <s:f>I56</s:f>
        <s:v>1338</s:v>
      </s:c>
      <s:c r="K17" s="52">
        <s:f>IF(AND(I17&lt;&gt;"",I17&lt;&gt;0,J17&lt;&gt;""),J17/I17,"")</s:f>
        <s:v>0.95571428571428574</s:v>
      </s:c>
      <s:c r="L17" s="79">
        <s:f>J17/J14*I14</s:f>
        <s:v>1338</s:v>
      </s:c>
      <s:c r="M17" s="80">
        <s:f>IF(AND(I17&lt;&gt;"",I17&lt;&gt;0,L17&lt;&gt;"",L17&lt;&gt;0),L17/I17,"")</s:f>
        <s:v>0.95571428571428574</s:v>
      </s:c>
      <s:c r="N17" s="55">
        <s:f>IF(AND(J17&lt;&gt;0,J17&lt;&gt;"",I17&lt;&gt;0,I17&lt;&gt;""),L17-I17,"")</s:f>
        <s:v>-62</s:v>
      </s:c>
      <s:c r="O17" s="75"/>
      <s:c r="P17" s="57" t="str">
        <s:f>IF(AND(O17&lt;&gt;"",O17&lt;&gt;0,L17&lt;&gt;"",L17&lt;&gt;0),-O17+L17,"")</s:f>
        <s:v/>
      </s:c>
      <s:c r="Q17" s="58" t="str">
        <s:f>IF(AND(O17&lt;&gt;"",O17&lt;&gt;0,N17&lt;&gt;0,N17&lt;&gt;""),O17/N17,"")</s:f>
        <s:v/>
      </s:c>
      <s:c r="R17" s="22"/>
      <s:c r="S17" s="21"/>
      <s:c r="T17" s="5"/>
      <s:c r="U17" s="5"/>
      <s:c r="V17" s="28"/>
      <s:c r="W17" s="82"/>
      <s:c r="X17" s="5"/>
      <s:c r="Y17" s="5"/>
      <s:c r="Z17" s="5"/>
      <s:c r="AA17" s="5"/>
    </s:row>
    <s:row r="18">
      <s:c r="B18" s="23"/>
      <s:c r="C18" s="5"/>
      <s:c r="D18" s="5"/>
      <s:c r="E18" s="5"/>
      <s:c r="F18" s="49"/>
      <s:c r="G18" s="49"/>
      <s:c r="H18" s="49"/>
      <s:c r="I18" s="50"/>
      <s:c r="J18" s="51"/>
      <s:c r="K18" s="52" t="str">
        <s:f>IF(AND(I18&lt;&gt;"",I18&lt;&gt;0,J18&lt;&gt;""),J18/I18,"")</s:f>
        <s:v/>
      </s:c>
      <s:c r="L18" s="79">
        <s:f>J18</s:f>
        <s:v>0</s:v>
      </s:c>
      <s:c r="M18" s="80" t="str">
        <s:f>IF(AND(I18&lt;&gt;"",I18&lt;&gt;0,L18&lt;&gt;"",L18&lt;&gt;0),L18/I18,"")</s:f>
        <s:v/>
      </s:c>
      <s:c r="N18" s="55" t="str">
        <s:f>IF(AND(J18&lt;&gt;0,J18&lt;&gt;"",I18&lt;&gt;0,I18&lt;&gt;""),L18-I18,"")</s:f>
        <s:v/>
      </s:c>
      <s:c r="O18" s="56"/>
      <s:c r="P18" s="57" t="str">
        <s:f>IF(AND(O18&lt;&gt;"",O18&lt;&gt;0,L18&lt;&gt;"",L18&lt;&gt;0),-O18+L18,"")</s:f>
        <s:v/>
      </s:c>
      <s:c r="Q18" s="58" t="str">
        <s:f>IF(AND(O18&lt;&gt;"",O18&lt;&gt;0,N18&lt;&gt;0,N18&lt;&gt;""),O18/N18,"")</s:f>
        <s:v/>
      </s:c>
      <s:c r="R18" s="22"/>
      <s:c r="S18" s="21"/>
      <s:c r="T18" s="5"/>
      <s:c r="U18" s="5"/>
      <s:c r="V18" s="28"/>
      <s:c r="W18" s="83"/>
      <s:c r="X18" s="5"/>
      <s:c r="Y18" s="5"/>
      <s:c r="Z18" s="5"/>
      <s:c r="AA18" s="5"/>
    </s:row>
    <s:row r="19">
      <s:c r="B19" s="23"/>
      <s:c r="C19" s="5"/>
      <s:c r="D19" s="5"/>
      <s:c r="E19" s="5"/>
      <s:c r="F19" s="49"/>
      <s:c r="G19" s="49"/>
      <s:c r="H19" s="49"/>
      <s:c r="I19" s="84"/>
      <s:c r="J19" s="85"/>
      <s:c r="K19" s="52" t="str">
        <s:f>IF(AND(I19&lt;&gt;"",I19&lt;&gt;0,J19&lt;&gt;""),J19/I19,"")</s:f>
        <s:v/>
      </s:c>
      <s:c r="L19" s="86">
        <s:f>J19</s:f>
        <s:v>0</s:v>
      </s:c>
      <s:c r="M19" s="87" t="str">
        <s:f>IF(AND(I19&lt;&gt;"",I19&lt;&gt;0,L19&lt;&gt;"",L19&lt;&gt;0),L19/I19,"")</s:f>
        <s:v/>
      </s:c>
      <s:c r="N19" s="55" t="str">
        <s:f>IF(AND(J19&lt;&gt;0,J19&lt;&gt;"",I19&lt;&gt;0,I19&lt;&gt;""),L19-I19,"")</s:f>
        <s:v/>
      </s:c>
      <s:c r="O19" s="88">
        <s:v>0</s:v>
      </s:c>
      <s:c r="P19" s="57" t="str">
        <s:f>IF(AND(O19&lt;&gt;"",O19&lt;&gt;0,L19&lt;&gt;"",L19&lt;&gt;0),-O19+L19,"")</s:f>
        <s:v/>
      </s:c>
      <s:c r="Q19" s="58" t="str">
        <s:f>IF(AND(O19&lt;&gt;"",O19&lt;&gt;0,N19&lt;&gt;0,N19&lt;&gt;""),O19/N19,"")</s:f>
        <s:v/>
      </s:c>
      <s:c r="R19" s="22"/>
      <s:c r="S19" s="21"/>
      <s:c r="T19" s="5"/>
      <s:c r="U19" s="5"/>
      <s:c r="V19" s="28"/>
      <s:c r="W19" s="52" t="e">
        <s:f>W18/I16</s:f>
        <s:v>#DIV/0!</s:v>
      </s:c>
      <s:c r="X19" s="5"/>
      <s:c r="Y19" s="5"/>
      <s:c r="Z19" s="5"/>
      <s:c r="AA19" s="5"/>
    </s:row>
    <s:row r="20">
      <s:c r="B20" s="23"/>
      <s:c r="C20" s="5"/>
      <s:c r="D20" s="5"/>
      <s:c r="E20" s="5"/>
      <s:c r="F20" s="89" t="s">
        <s:v>25</s:v>
      </s:c>
      <s:c r="G20" s="89"/>
      <s:c r="H20" s="89"/>
      <s:c r="I20" s="90">
        <s:v>0.1</s:v>
      </s:c>
      <s:c r="J20" s="91">
        <s:f>T56</s:f>
        <s:v>5.1569506726457402E-2</s:v>
      </s:c>
      <s:c r="K20" s="91">
        <s:f>J20/I20</s:f>
        <s:v>0.51569506726457404</s:v>
      </s:c>
      <s:c r="L20" s="92">
        <s:f>J20/I20</s:f>
        <s:v>0.51569506726457404</s:v>
      </s:c>
      <s:c r="M20" s="93">
        <s:f>J20/I20</s:f>
        <s:v>0.51569506726457404</s:v>
      </s:c>
      <s:c r="N20" s="94">
        <s:f>IF(AND(J20&lt;&gt;0,J20&lt;&gt;"",I20&lt;&gt;0,I20&lt;&gt;""),L20-I20,"")</s:f>
        <s:v>0.41569506726457406</s:v>
      </s:c>
      <s:c r="O20" s="95"/>
      <s:c r="P20" s="96" t="str">
        <s:f>IF(AND(O20&lt;&gt;"",O20&lt;&gt;0,L20&lt;&gt;"",L20&lt;&gt;0),-O20+L20,"")</s:f>
        <s:v/>
      </s:c>
      <s:c r="Q20" s="97" t="str">
        <s:f>IF(AND(O20&lt;&gt;"",O20&lt;&gt;0,N20&lt;&gt;0,N20&lt;&gt;""),O20/N20,"")</s:f>
        <s:v/>
      </s:c>
      <s:c r="R20" s="22"/>
      <s:c r="S20" s="21"/>
      <s:c r="T20" s="5"/>
      <s:c r="U20" s="5"/>
      <s:c r="V20" s="28"/>
      <s:c r="W20" s="28"/>
      <s:c r="X20" s="5"/>
      <s:c r="Y20" s="5"/>
      <s:c r="Z20" s="5"/>
      <s:c r="AA20" s="5"/>
    </s:row>
    <s:row r="21">
      <s:c r="B21" s="23"/>
      <s:c r="C21" s="5"/>
      <s:c r="D21" s="5"/>
      <s:c r="E21" s="5"/>
      <s:c r="F21" s="5"/>
      <s:c r="G21" s="5"/>
      <s:c r="H21" s="5"/>
      <s:c r="I21" s="5"/>
      <s:c r="J21" s="5"/>
      <s:c r="K21" s="5"/>
      <s:c r="L21" s="5"/>
      <s:c r="M21" s="5"/>
      <s:c r="N21" s="5"/>
      <s:c r="O21" s="5"/>
      <s:c r="P21" s="5"/>
      <s:c r="Q21" s="5"/>
      <s:c r="R21" s="5"/>
      <s:c r="S21" s="5"/>
      <s:c r="T21" s="5"/>
      <s:c r="U21" s="5"/>
      <s:c r="V21" s="5"/>
      <s:c r="W21" s="28"/>
      <s:c r="X21" s="28"/>
      <s:c r="Y21" s="5"/>
      <s:c r="Z21" s="5"/>
      <s:c r="AA21" s="5"/>
      <s:c r="AB21" s="5"/>
    </s:row>
    <s:row r="22" ht="16">
      <s:c r="A22" s="98" t="s">
        <s:v>26</s:v>
      </s:c>
      <s:c r="B22" s="99"/>
      <s:c r="C22" s="99"/>
      <s:c r="D22" s="99"/>
      <s:c r="E22" s="99"/>
      <s:c r="F22" s="99"/>
      <s:c r="G22" s="99"/>
      <s:c r="H22" s="99"/>
      <s:c r="I22" s="99"/>
      <s:c r="J22" s="99"/>
      <s:c r="K22" s="99"/>
      <s:c r="L22" s="99"/>
      <s:c r="M22" s="99"/>
      <s:c r="N22" s="99"/>
      <s:c r="O22" s="99"/>
      <s:c r="P22" s="100"/>
      <s:c r="Q22" s="101"/>
      <s:c r="R22" s="101"/>
      <s:c r="S22" s="101"/>
      <s:c r="T22" s="102"/>
      <s:c r="U22" s="98" t="s">
        <s:v>27</s:v>
      </s:c>
      <s:c r="V22" s="99"/>
      <s:c r="W22" s="99"/>
      <s:c r="X22" s="99"/>
      <s:c r="Y22" s="99"/>
      <s:c r="Z22" s="99"/>
      <s:c r="AA22" s="99"/>
      <s:c r="AB22" s="100"/>
      <s:c r="AC22" s="2"/>
      <s:c r="AD22" s="2"/>
      <s:c r="AE22" s="2"/>
      <s:c r="AF22" s="2"/>
      <s:c r="AG22" s="2"/>
      <s:c r="AH22" s="2"/>
      <s:c r="AI22" s="2"/>
      <s:c r="AJ22" s="2"/>
      <s:c r="AK22" s="2"/>
      <s:c r="AL22" s="2"/>
      <s:c r="AM22" s="2"/>
      <s:c r="AN22" s="2"/>
      <s:c r="AO22" s="2"/>
    </s:row>
    <s:row r="23" ht="36">
      <s:c r="A23" s="103" t="s">
        <s:v>28</s:v>
      </s:c>
      <s:c r="B23" s="104" t="s">
        <s:v>29</s:v>
      </s:c>
      <s:c r="C23" s="104" t="s">
        <s:v>30</s:v>
      </s:c>
      <s:c r="D23" s="104" t="s">
        <s:v>31</s:v>
      </s:c>
      <s:c r="E23" s="104" t="s">
        <s:v>32</s:v>
      </s:c>
      <s:c r="F23" s="104" t="s">
        <s:v>33</s:v>
      </s:c>
      <s:c r="G23" s="104" t="s">
        <s:v>34</s:v>
      </s:c>
      <s:c r="H23" s="104" t="s">
        <s:v>35</s:v>
      </s:c>
      <s:c r="I23" s="104" t="s">
        <s:v>24</s:v>
      </s:c>
      <s:c r="J23" s="104" t="s">
        <s:v>36</s:v>
      </s:c>
      <s:c r="K23" s="105" t="s">
        <s:v>37</s:v>
      </s:c>
      <s:c r="L23" s="105" t="s">
        <s:v>38</s:v>
      </s:c>
      <s:c r="M23" s="105" t="s">
        <s:v>39</s:v>
      </s:c>
      <s:c r="N23" s="105" t="s">
        <s:v>40</s:v>
      </s:c>
      <s:c r="O23" s="105" t="s">
        <s:v>41</s:v>
      </s:c>
      <s:c r="P23" s="106" t="s">
        <s:v>42</s:v>
      </s:c>
      <s:c r="Q23" s="107" t="s">
        <s:v>43</s:v>
      </s:c>
      <s:c r="R23" s="105" t="s">
        <s:v>44</s:v>
      </s:c>
      <s:c r="S23" s="108" t="s">
        <s:v>45</s:v>
      </s:c>
      <s:c r="T23" s="109" t="s">
        <s:v>46</s:v>
      </s:c>
      <s:c r="U23" s="102" t="s">
        <s:v>47</s:v>
      </s:c>
      <s:c r="V23" s="104" t="s">
        <s:v>48</s:v>
      </s:c>
      <s:c r="W23" s="104" t="s">
        <s:v>49</s:v>
      </s:c>
      <s:c r="X23" s="104" t="s">
        <s:v>50</s:v>
      </s:c>
      <s:c r="Y23" s="104" t="s">
        <s:v>51</s:v>
      </s:c>
      <s:c r="Z23" s="104" t="s">
        <s:v>52</s:v>
      </s:c>
      <s:c r="AA23" s="104" t="s">
        <s:v>53</s:v>
      </s:c>
      <s:c r="AB23" s="110" t="s">
        <s:v>54</s:v>
      </s:c>
      <s:c r="AC23" s="110" t="s">
        <s:v>55</s:v>
      </s:c>
      <s:c r="AE23" s="111"/>
      <s:c r="AF23" s="2"/>
      <s:c r="AG23" s="2"/>
      <s:c r="AH23" s="2"/>
      <s:c r="AI23" s="2"/>
      <s:c r="AJ23" s="2"/>
      <s:c r="AK23" s="2"/>
      <s:c r="AL23" s="2"/>
      <s:c r="AM23" s="2"/>
      <s:c r="AN23" s="2"/>
      <s:c r="AO23" s="2"/>
    </s:row>
    <s:row r="24">
      <s:c r="A24" s="112"/>
      <s:c r="B24" s="113">
        <s:v>1</s:v>
      </s:c>
      <s:c r="C24" s="113">
        <s:v>2</s:v>
      </s:c>
      <s:c r="D24" s="113">
        <s:v>3</s:v>
      </s:c>
      <s:c r="E24" s="113">
        <s:v>4</s:v>
      </s:c>
      <s:c r="F24" s="113">
        <s:v>5</s:v>
      </s:c>
      <s:c r="G24" s="113">
        <s:v>6</s:v>
      </s:c>
      <s:c r="H24" s="113">
        <s:v>7</s:v>
      </s:c>
      <s:c r="I24" s="113">
        <s:v>8</s:v>
      </s:c>
      <s:c r="J24" s="113">
        <s:v>9</s:v>
      </s:c>
      <s:c r="K24" s="113">
        <s:v>10</s:v>
      </s:c>
      <s:c r="L24" s="113">
        <s:v>11</s:v>
      </s:c>
      <s:c r="M24" s="113">
        <s:v>12</s:v>
      </s:c>
      <s:c r="N24" s="113">
        <s:v>13</s:v>
      </s:c>
      <s:c r="O24" s="113">
        <s:v>14</s:v>
      </s:c>
      <s:c r="P24" s="114">
        <s:v>15</s:v>
      </s:c>
      <s:c r="Q24" s="115">
        <s:v>16</s:v>
      </s:c>
      <s:c r="R24" s="114">
        <s:v>17</s:v>
      </s:c>
      <s:c r="S24" s="115"/>
      <s:c r="T24" s="116">
        <s:v>13</s:v>
      </s:c>
      <s:c r="U24" s="117"/>
      <s:c r="V24" s="118">
        <s:v>1</s:v>
      </s:c>
      <s:c r="W24" s="118">
        <s:v>2</s:v>
      </s:c>
      <s:c r="X24" s="118">
        <s:v>3</s:v>
      </s:c>
      <s:c r="Y24" s="118">
        <s:v>4</s:v>
      </s:c>
      <s:c r="Z24" s="118">
        <s:v>5</s:v>
      </s:c>
      <s:c r="AA24" s="118">
        <s:v>6</s:v>
      </s:c>
      <s:c r="AB24" s="118">
        <s:v>10</s:v>
      </s:c>
      <s:c r="AC24" s="118">
        <s:v>11</s:v>
      </s:c>
      <s:c r="AD24" s="2"/>
      <s:c r="AE24" s="2"/>
      <s:c r="AF24" s="2"/>
      <s:c r="AG24" s="2"/>
      <s:c r="AH24" s="2"/>
      <s:c r="AI24" s="2"/>
      <s:c r="AJ24" s="2"/>
      <s:c r="AK24" s="2"/>
      <s:c r="AL24" s="2"/>
      <s:c r="AM24" s="2"/>
      <s:c r="AN24" s="2"/>
      <s:c r="AO24" s="2"/>
    </s:row>
    <s:row r="25">
      <s:c r="A25" s="119" t="s">
        <s:v>56</s:v>
      </s:c>
      <s:c r="B25" s="120">
        <s:v>46054</s:v>
      </s:c>
      <s:c r="C25" s="121" t="s">
        <s:v>57</s:v>
      </s:c>
      <s:c r="D25" s="850">
        <s:f>42903-10892+7503</s:f>
        <s:v>39514</s:v>
      </s:c>
      <s:c r="E25" s="122">
        <s:v>8</s:v>
      </s:c>
      <s:c r="F25" s="123">
        <s:f>IF(AND(E25&lt;&gt;"",E25&lt;&gt;0),D25/E25,"")</s:f>
        <s:v>4939.25</s:v>
      </s:c>
      <s:c r="G25" s="122">
        <s:v>6</s:v>
      </s:c>
      <s:c r="H25" s="123">
        <s:f>IF(AND(G25&lt;&gt;"",G25&lt;&gt;0),D25/G25,"")</s:f>
        <s:v>6585.666666666667</s:v>
      </s:c>
      <s:c r="I25" s="122">
        <s:v>57</s:v>
      </s:c>
      <s:c r="J25" s="124">
        <s:f>IF(AND(G25&lt;&gt;"",G25&lt;&gt;0),E25/G25,"")</s:f>
        <s:v>1.3333333333333333</s:v>
      </s:c>
      <s:c r="K25" s="122"/>
      <s:c r="L25" s="122">
        <s:v>7503</s:v>
      </s:c>
      <s:c r="M25" s="122">
        <s:v>8592</s:v>
      </s:c>
      <s:c r="N25" s="122"/>
      <s:c r="O25" s="122"/>
      <s:c r="P25" s="122"/>
      <s:c r="Q25" s="125"/>
      <s:c r="R25" s="125"/>
      <s:c r="S25" s="125"/>
      <s:c r="T25" s="126">
        <s:f>IF(AND(I25&lt;&gt;"",I25&lt;&gt;0),G25/I25,"")</s:f>
        <s:v>0.10526315789473684</s:v>
      </s:c>
      <s:c r="U25" s="127">
        <s:f>D25/V25</s:f>
        <s:v>0.52837185022918154</s:v>
      </s:c>
      <s:c r="V25" s="128">
        <s:f>$I$8*AB25*AC25/SUMPRODUCT($AC$25:$AC$55,$AB$25:$AB$55)</s:f>
        <s:v>74784.453378545397</s:v>
      </s:c>
      <s:c r="W25" s="129">
        <s:f>$I$9*AB25*AC25/SUMPRODUCT($AC$25:$AC$55,$AB$25:$AB$55)</s:f>
        <s:v>10.300888895116445</s:v>
      </s:c>
      <s:c r="X25" s="129">
        <s:f>IF($I$12="","",W25/$I$12)</s:f>
        <s:v>5.5983091821285029</s:v>
      </s:c>
      <s:c r="Y25" s="128">
        <s:f>IF(D25&lt;&gt;"",D25,V25)</s:f>
        <s:v>39514</s:v>
      </s:c>
      <s:c r="Z25" s="129">
        <s:f>IF(E25&lt;&gt;"",E25,W25)</s:f>
        <s:v>8</s:v>
      </s:c>
      <s:c r="AA25" s="129">
        <s:f>IF(G25&lt;&gt;"",G25,X25)</s:f>
        <s:v>6</s:v>
      </s:c>
      <s:c r="AB25" s="130">
        <s:v>0.94145540197111499</s:v>
      </s:c>
      <s:c r="AC25" s="130">
        <s:v>0.94145540197111499</s:v>
      </s:c>
      <s:c r="AD25" s="131"/>
      <s:c r="AE25" s="132"/>
      <s:c r="AF25" s="131"/>
      <s:c r="AG25" s="131"/>
      <s:c r="AH25" s="131"/>
      <s:c r="AI25" s="131"/>
      <s:c r="AJ25" s="131"/>
      <s:c r="AK25" s="131"/>
      <s:c r="AL25" s="131"/>
      <s:c r="AM25" s="131"/>
      <s:c r="AN25" s="131"/>
      <s:c r="AO25" s="131"/>
      <s:c r="AP25" s="131"/>
      <s:c r="AQ25" s="131"/>
      <s:c r="AR25" s="131"/>
      <s:c r="AS25" s="131"/>
      <s:c r="AT25" s="131"/>
      <s:c r="AU25" s="131"/>
      <s:c r="AV25" s="131"/>
      <s:c r="AW25" s="131"/>
      <s:c r="AX25" s="131"/>
      <s:c r="AY25" s="131"/>
      <s:c r="AZ25" s="131"/>
      <s:c r="BA25" s="131"/>
      <s:c r="BB25" s="131"/>
      <s:c r="BC25" s="131"/>
      <s:c r="BD25" s="131"/>
      <s:c r="BE25" s="131"/>
      <s:c r="BF25" s="131"/>
      <s:c r="BG25" s="131"/>
      <s:c r="BH25" s="131"/>
      <s:c r="BI25" s="131"/>
      <s:c r="BJ25" s="131"/>
      <s:c r="BK25" s="131"/>
      <s:c r="BL25" s="131"/>
      <s:c r="BM25" s="131"/>
      <s:c r="BN25" s="131"/>
      <s:c r="BO25" s="131"/>
      <s:c r="BP25" s="131"/>
      <s:c r="BQ25" s="131"/>
      <s:c r="BR25" s="131"/>
      <s:c r="BS25" s="131"/>
      <s:c r="BT25" s="131"/>
      <s:c r="BU25" s="131"/>
      <s:c r="BV25" s="131"/>
      <s:c r="BW25" s="131"/>
      <s:c r="BX25" s="131"/>
      <s:c r="BY25" s="131"/>
      <s:c r="BZ25" s="131"/>
      <s:c r="CA25" s="131"/>
      <s:c r="CB25" s="131"/>
      <s:c r="CC25" s="131"/>
      <s:c r="CD25" s="131"/>
      <s:c r="CE25" s="131"/>
      <s:c r="CF25" s="131"/>
      <s:c r="CG25" s="131"/>
      <s:c r="CH25" s="131"/>
      <s:c r="CI25" s="131"/>
      <s:c r="CJ25" s="131"/>
      <s:c r="CK25" s="131"/>
      <s:c r="CL25" s="131"/>
      <s:c r="CM25" s="131"/>
      <s:c r="CN25" s="131"/>
      <s:c r="CO25" s="131"/>
      <s:c r="CP25" s="131"/>
      <s:c r="CQ25" s="131"/>
      <s:c r="CR25" s="131"/>
      <s:c r="CS25" s="131"/>
      <s:c r="CT25" s="131"/>
      <s:c r="CU25" s="131"/>
      <s:c r="CV25" s="131"/>
      <s:c r="CW25" s="131"/>
      <s:c r="CX25" s="131"/>
      <s:c r="CY25" s="131"/>
      <s:c r="CZ25" s="131"/>
      <s:c r="DA25" s="131"/>
      <s:c r="DB25" s="131"/>
      <s:c r="DC25" s="131"/>
      <s:c r="DD25" s="131"/>
      <s:c r="DE25" s="131"/>
      <s:c r="DF25" s="131"/>
      <s:c r="DG25" s="131"/>
      <s:c r="DH25" s="131"/>
      <s:c r="DI25" s="131"/>
      <s:c r="DJ25" s="131"/>
      <s:c r="DK25" s="131"/>
      <s:c r="DL25" s="131"/>
      <s:c r="DM25" s="131"/>
      <s:c r="DN25" s="131"/>
      <s:c r="DO25" s="131"/>
      <s:c r="DP25" s="131"/>
      <s:c r="DQ25" s="131"/>
      <s:c r="DR25" s="131"/>
      <s:c r="DS25" s="131"/>
      <s:c r="DT25" s="131"/>
      <s:c r="DU25" s="131"/>
      <s:c r="DV25" s="131"/>
      <s:c r="DW25" s="131"/>
      <s:c r="DX25" s="131"/>
      <s:c r="DY25" s="131"/>
      <s:c r="DZ25" s="131"/>
      <s:c r="EA25" s="131"/>
      <s:c r="EB25" s="131"/>
      <s:c r="EC25" s="131"/>
      <s:c r="ED25" s="131"/>
      <s:c r="EE25" s="131"/>
      <s:c r="EF25" s="131"/>
      <s:c r="EG25" s="131"/>
      <s:c r="EH25" s="131"/>
      <s:c r="EI25" s="131"/>
      <s:c r="EJ25" s="131"/>
      <s:c r="EK25" s="131"/>
      <s:c r="EL25" s="131"/>
      <s:c r="EM25" s="131"/>
      <s:c r="EN25" s="131"/>
      <s:c r="EO25" s="131"/>
      <s:c r="EP25" s="131"/>
      <s:c r="EQ25" s="131"/>
      <s:c r="ER25" s="131"/>
      <s:c r="ES25" s="131"/>
      <s:c r="ET25" s="131"/>
      <s:c r="EU25" s="131"/>
      <s:c r="EV25" s="131"/>
      <s:c r="EW25" s="131"/>
      <s:c r="EX25" s="131"/>
      <s:c r="EY25" s="131"/>
      <s:c r="EZ25" s="131"/>
      <s:c r="FA25" s="131"/>
      <s:c r="FB25" s="131"/>
      <s:c r="FC25" s="131"/>
      <s:c r="FD25" s="131"/>
      <s:c r="FE25" s="131"/>
      <s:c r="FF25" s="131"/>
      <s:c r="FG25" s="131"/>
      <s:c r="FH25" s="131"/>
      <s:c r="FI25" s="131"/>
      <s:c r="FJ25" s="131"/>
      <s:c r="FK25" s="131"/>
      <s:c r="FL25" s="131"/>
      <s:c r="FM25" s="131"/>
      <s:c r="FN25" s="131"/>
      <s:c r="FO25" s="131"/>
      <s:c r="FP25" s="131"/>
      <s:c r="FQ25" s="131"/>
      <s:c r="FR25" s="131"/>
      <s:c r="FS25" s="131"/>
      <s:c r="FT25" s="131"/>
      <s:c r="FU25" s="131"/>
      <s:c r="FV25" s="131"/>
      <s:c r="FW25" s="131"/>
      <s:c r="FX25" s="131"/>
      <s:c r="FY25" s="131"/>
      <s:c r="FZ25" s="131"/>
      <s:c r="GA25" s="131"/>
      <s:c r="GB25" s="131"/>
      <s:c r="GC25" s="131"/>
      <s:c r="GD25" s="131"/>
      <s:c r="GE25" s="131"/>
      <s:c r="GF25" s="131"/>
      <s:c r="GG25" s="131"/>
      <s:c r="GH25" s="131"/>
      <s:c r="GI25" s="131"/>
      <s:c r="GJ25" s="131"/>
      <s:c r="GK25" s="131"/>
      <s:c r="GL25" s="131"/>
      <s:c r="GM25" s="131"/>
      <s:c r="GN25" s="131"/>
      <s:c r="GO25" s="131"/>
      <s:c r="GP25" s="131"/>
      <s:c r="GQ25" s="131"/>
      <s:c r="GR25" s="131"/>
      <s:c r="GS25" s="131"/>
      <s:c r="GT25" s="131"/>
      <s:c r="GU25" s="131"/>
      <s:c r="GV25" s="131"/>
      <s:c r="GW25" s="131"/>
      <s:c r="GX25" s="131"/>
      <s:c r="GY25" s="131"/>
      <s:c r="GZ25" s="131"/>
      <s:c r="HA25" s="131"/>
      <s:c r="HB25" s="131"/>
      <s:c r="HC25" s="131"/>
      <s:c r="HD25" s="131"/>
      <s:c r="HE25" s="131"/>
      <s:c r="HF25" s="131"/>
      <s:c r="HG25" s="131"/>
      <s:c r="HH25" s="131"/>
      <s:c r="HI25" s="131"/>
      <s:c r="HJ25" s="131"/>
      <s:c r="HK25" s="131"/>
      <s:c r="HL25" s="131"/>
      <s:c r="HM25" s="131"/>
      <s:c r="HN25" s="131"/>
      <s:c r="HO25" s="131"/>
      <s:c r="HP25" s="131"/>
      <s:c r="HQ25" s="131"/>
      <s:c r="HR25" s="131"/>
      <s:c r="HS25" s="131"/>
      <s:c r="HT25" s="131"/>
      <s:c r="HU25" s="131"/>
      <s:c r="HV25" s="131"/>
      <s:c r="HW25" s="131"/>
      <s:c r="HX25" s="131"/>
      <s:c r="HY25" s="131"/>
      <s:c r="HZ25" s="131"/>
      <s:c r="IA25" s="131"/>
      <s:c r="IB25" s="131"/>
      <s:c r="IC25" s="131"/>
      <s:c r="ID25" s="131"/>
      <s:c r="IE25" s="131"/>
      <s:c r="IF25" s="131"/>
      <s:c r="IG25" s="131"/>
      <s:c r="IH25" s="131"/>
      <s:c r="II25" s="131"/>
      <s:c r="IJ25" s="131"/>
      <s:c r="IK25" s="131"/>
      <s:c r="IL25" s="131"/>
      <s:c r="IM25" s="131"/>
      <s:c r="IN25" s="131"/>
      <s:c r="IO25" s="131"/>
      <s:c r="IP25" s="131"/>
      <s:c r="IQ25" s="131"/>
      <s:c r="IR25" s="131"/>
      <s:c r="IS25" s="131"/>
      <s:c r="IT25" s="131"/>
      <s:c r="IU25" s="131"/>
      <s:c r="IV25" s="131"/>
      <s:c r="IW25" s="131"/>
      <s:c r="IX25" s="131"/>
      <s:c r="IY25" s="131"/>
      <s:c r="IZ25" s="131"/>
      <s:c r="JA25" s="131"/>
    </s:row>
    <s:row r="26">
      <s:c r="A26" s="133" t="s">
        <s:v>56</s:v>
      </s:c>
      <s:c r="B26" s="134">
        <s:v>46055</s:v>
      </s:c>
      <s:c r="C26" s="135" t="s">
        <s:v>58</s:v>
      </s:c>
      <s:c r="D26" s="851">
        <s:v>6492</s:v>
      </s:c>
      <s:c r="E26" s="136">
        <s:v>1</s:v>
      </s:c>
      <s:c r="F26" s="137">
        <s:f>IF(AND(E26&lt;&gt;"",E26&lt;&gt;0),D26/E26,"")</s:f>
        <s:v>6492</s:v>
      </s:c>
      <s:c r="G26" s="136">
        <s:v>1</s:v>
      </s:c>
      <s:c r="H26" s="137">
        <s:f>IF(AND(G26&lt;&gt;"",G26&lt;&gt;0),D26/G26,"")</s:f>
        <s:v>6492</s:v>
      </s:c>
      <s:c r="I26" s="136">
        <s:v>34</s:v>
      </s:c>
      <s:c r="J26" s="138">
        <s:f>IF(AND(G26&lt;&gt;"",G26&lt;&gt;0),E26/G26,"")</s:f>
        <s:v>1</s:v>
      </s:c>
      <s:c r="K26" s="136"/>
      <s:c r="L26" s="136"/>
      <s:c r="M26" s="136"/>
      <s:c r="N26" s="136"/>
      <s:c r="O26" s="136"/>
      <s:c r="P26" s="139"/>
      <s:c r="Q26" s="139"/>
      <s:c r="R26" s="136"/>
      <s:c r="S26" s="136"/>
      <s:c r="T26" s="140">
        <s:f>IF(AND(I26&lt;&gt;"",I26&lt;&gt;0),G26/I26,"")</s:f>
        <s:v>2.9411764705882353E-2</s:v>
      </s:c>
      <s:c r="U26" s="141">
        <s:f>D26/V26</s:f>
        <s:v>0.10572177056102337</s:v>
      </s:c>
      <s:c r="V26" s="142">
        <s:f>$I$8*AB26*AC26/SUMPRODUCT($AC$25:$AC$55,$AB$25:$AB$55)</s:f>
        <s:v>61406.463073305895</s:v>
      </s:c>
      <s:c r="W26" s="143">
        <s:f>$I$9*AB26*AC26/SUMPRODUCT($AC$25:$AC$55,$AB$25:$AB$55)</s:f>
        <s:v>8.4581905059649998</s:v>
      </s:c>
      <s:c r="X26" s="143">
        <s:f>IF($I$12="","",W26/$I$12)</s:f>
        <s:v>4.5968426662853261</s:v>
      </s:c>
      <s:c r="Y26" s="142">
        <s:f>IF(AC26&lt;&gt;"",IF(D26&lt;&gt;"",D26,($I$8-SUM($Y$25:Y25))*AB26*AC26/SUMPRODUCT($AC26:$AC$55,$AB26:$AB$55)),"")</s:f>
        <s:v>6492</s:v>
      </s:c>
      <s:c r="Z26" s="143">
        <s:f>IF(AC26&lt;&gt;"",IF(E26&lt;&gt;"",E26,($I$9-SUM($Z$25:Z25))*AB26*AC26/SUMPRODUCT($AC26:$AC$55,$AB26:$AB$55)),"")</s:f>
        <s:v>1</s:v>
      </s:c>
      <s:c r="AA26" s="143">
        <s:f>IF(AC26&lt;&gt;"",IF($I$12&lt;&gt;"",IF(G26&lt;&gt;"",G26,($I$9/$I$12-SUM($AA$25:AA25))*AB26*AC26/SUMPRODUCT($AC26:$AC$55,$AB26:$AB$55)),""),"")</s:f>
        <s:v>1</s:v>
      </s:c>
      <s:c r="AB26" s="144">
        <s:v>0.85310233682514103</s:v>
      </s:c>
      <s:c r="AC26" s="144">
        <s:v>0.85310233682514103</s:v>
      </s:c>
      <s:c r="AD26" s="145"/>
      <s:c r="AE26" s="145"/>
      <s:c r="AF26" s="2"/>
      <s:c r="AG26" s="2"/>
      <s:c r="AH26" s="2"/>
      <s:c r="AI26" s="2"/>
      <s:c r="AJ26" s="2"/>
      <s:c r="AK26" s="2"/>
      <s:c r="AL26" s="2"/>
      <s:c r="AM26" s="2"/>
      <s:c r="AN26" s="2"/>
      <s:c r="AO26" s="2"/>
    </s:row>
    <s:row r="27">
      <s:c r="A27" s="146" t="s">
        <s:v>59</s:v>
      </s:c>
      <s:c r="B27" s="134">
        <s:v>46056</s:v>
      </s:c>
      <s:c r="C27" s="135" t="s">
        <s:v>60</s:v>
      </s:c>
      <s:c r="D27" s="852">
        <s:v>30122</s:v>
      </s:c>
      <s:c r="E27" s="136">
        <s:v>5</s:v>
      </s:c>
      <s:c r="F27" s="137">
        <s:f>IF(AND(E27&lt;&gt;"",E27&lt;&gt;0),D27/E27,"")</s:f>
        <s:v>6024.4</s:v>
      </s:c>
      <s:c r="G27" s="136">
        <s:v>2</s:v>
      </s:c>
      <s:c r="H27" s="137">
        <s:f>IF(AND(G27&lt;&gt;"",G27&lt;&gt;0),D27/G27,"")</s:f>
        <s:v>15061</s:v>
      </s:c>
      <s:c r="I27" s="136">
        <s:v>37</s:v>
      </s:c>
      <s:c r="J27" s="138">
        <s:f>IF(AND(G27&lt;&gt;"",G27&lt;&gt;0),E27/G27,"")</s:f>
        <s:v>2.5</s:v>
      </s:c>
      <s:c r="K27" s="136"/>
      <s:c r="L27" s="136"/>
      <s:c r="M27" s="136">
        <s:v>23903</s:v>
      </s:c>
      <s:c r="N27" s="148"/>
      <s:c r="O27" s="148"/>
      <s:c r="P27" s="139"/>
      <s:c r="Q27" s="139"/>
      <s:c r="R27" s="136"/>
      <s:c r="S27" s="136">
        <s:v>6219</s:v>
      </s:c>
      <s:c r="T27" s="140">
        <s:f>IF(AND(I27&lt;&gt;"",I27&lt;&gt;0),G27/I27,"")</s:f>
        <s:v>5.4054054054054057E-2</s:v>
      </s:c>
      <s:c r="U27" s="141">
        <s:f>D27/V27</s:f>
        <s:v>0.49053468466407057</s:v>
      </s:c>
      <s:c r="V27" s="142">
        <s:f>$I$8*AB27*AC27/SUMPRODUCT($AC$25:$AC$55,$AB$25:$AB$55)</s:f>
        <s:v>61406.463073305895</s:v>
      </s:c>
      <s:c r="W27" s="143">
        <s:f>$I$9*AB27*AC27/SUMPRODUCT($AC$25:$AC$55,$AB$25:$AB$55)</s:f>
        <s:v>8.4581905059649998</s:v>
      </s:c>
      <s:c r="X27" s="143">
        <s:f>IF($I$12="","",W27/$I$12)</s:f>
        <s:v>4.5968426662853261</s:v>
      </s:c>
      <s:c r="Y27" s="142">
        <s:f>IF(AC27&lt;&gt;"",IF(D27&lt;&gt;"",D27,($I$8-SUM($Y$25:Y26))*AB27*AC27/SUMPRODUCT($AC27:$AC$55,$AB27:$AB$55)),"")</s:f>
        <s:v>30122</s:v>
      </s:c>
      <s:c r="Z27" s="143">
        <s:f>IF(AC27&lt;&gt;"",IF(E27&lt;&gt;"",E27,($I$9-SUM($Z$25:Z26))*AB27*AC27/SUMPRODUCT($AC27:$AC$55,$AB27:$AB$55)),"")</s:f>
        <s:v>5</s:v>
      </s:c>
      <s:c r="AA27" s="143">
        <s:f>IF(AC27&lt;&gt;"",IF($I$12&lt;&gt;"",IF(G27&lt;&gt;"",G27,($I$9/$I$12-SUM($AA$25:AA26))*AB27*AC27/SUMPRODUCT($AC27:$AC$55,$AB27:$AB$55)),""),"")</s:f>
        <s:v>2</s:v>
      </s:c>
      <s:c r="AB27" s="144">
        <s:v>0.85310233682514103</s:v>
      </s:c>
      <s:c r="AC27" s="144">
        <s:v>0.85310233682514103</s:v>
      </s:c>
      <s:c r="AD27" s="145"/>
      <s:c r="AE27" s="145"/>
      <s:c r="AF27" s="2"/>
      <s:c r="AG27" s="2"/>
      <s:c r="AH27" s="2"/>
      <s:c r="AI27" s="2"/>
      <s:c r="AJ27" s="2"/>
      <s:c r="AK27" s="2"/>
      <s:c r="AL27" s="2"/>
      <s:c r="AM27" s="2"/>
      <s:c r="AN27" s="2"/>
      <s:c r="AO27" s="2"/>
    </s:row>
    <s:row r="28">
      <s:c r="A28" s="146" t="s">
        <s:v>61</s:v>
      </s:c>
      <s:c r="B28" s="134">
        <s:v>46057</s:v>
      </s:c>
      <s:c r="C28" s="135" t="s">
        <s:v>62</s:v>
      </s:c>
      <s:c r="D28" s="852">
        <s:v>61757</s:v>
      </s:c>
      <s:c r="E28" s="136">
        <s:v>6</s:v>
      </s:c>
      <s:c r="F28" s="137">
        <s:f>IF(AND(E28&lt;&gt;"",E28&lt;&gt;0),D28/E28,"")</s:f>
        <s:v>10292.833333333334</s:v>
      </s:c>
      <s:c r="G28" s="136">
        <s:v>4</s:v>
      </s:c>
      <s:c r="H28" s="137">
        <s:f>IF(AND(G28&lt;&gt;"",G28&lt;&gt;0),D28/G28,"")</s:f>
        <s:v>15439.25</s:v>
      </s:c>
      <s:c r="I28" s="136">
        <s:v>37</s:v>
      </s:c>
      <s:c r="J28" s="138">
        <s:f>IF(AND(G28&lt;&gt;"",G28&lt;&gt;0),E28/G28,"")</s:f>
        <s:v>1.5</s:v>
      </s:c>
      <s:c r="K28" s="136"/>
      <s:c r="L28" s="136"/>
      <s:c r="M28" s="136"/>
      <s:c r="N28" s="136"/>
      <s:c r="O28" s="136"/>
      <s:c r="P28" s="139"/>
      <s:c r="Q28" s="139"/>
      <s:c r="R28" s="136">
        <s:f>14445+35593</s:f>
        <s:v>50038</s:v>
      </s:c>
      <s:c r="S28" s="136"/>
      <s:c r="T28" s="140">
        <s:f>IF(AND(I28&lt;&gt;"",I28&lt;&gt;0),G28/I28,"")</s:f>
        <s:v>0.10810810810810811</s:v>
      </s:c>
      <s:c r="U28" s="141">
        <s:f>D28/V28</s:f>
        <s:v>1.00570846958366</s:v>
      </s:c>
      <s:c r="V28" s="142">
        <s:f>$I$8*AB28*AC28/SUMPRODUCT($AC$25:$AC$55,$AB$25:$AB$55)</s:f>
        <s:v>61406.463073305895</s:v>
      </s:c>
      <s:c r="W28" s="143">
        <s:f>$I$9*AB28*AC28/SUMPRODUCT($AC$25:$AC$55,$AB$25:$AB$55)</s:f>
        <s:v>8.4581905059649998</s:v>
      </s:c>
      <s:c r="X28" s="143">
        <s:f>IF($I$12="","",W28/$I$12)</s:f>
        <s:v>4.5968426662853261</s:v>
      </s:c>
      <s:c r="Y28" s="142">
        <s:f>IF(AC28&lt;&gt;"",IF(D28&lt;&gt;"",D28,($I$8-SUM($Y$25:Y27))*AB28*AC28/SUMPRODUCT($AC28:$AC$55,$AB28:$AB$55)),"")</s:f>
        <s:v>61757</s:v>
      </s:c>
      <s:c r="Z28" s="143">
        <s:f>IF(AC28&lt;&gt;"",IF(E28&lt;&gt;"",E28,($I$9-SUM($Z$25:Z27))*AB28*AC28/SUMPRODUCT($AC28:$AC$55,$AB28:$AB$55)),"")</s:f>
        <s:v>6</s:v>
      </s:c>
      <s:c r="AA28" s="143">
        <s:f>IF(AC28&lt;&gt;"",IF($I$12&lt;&gt;"",IF(G28&lt;&gt;"",G28,($I$9/$I$12-SUM($AA$25:AA27))*AB28*AC28/SUMPRODUCT($AC28:$AC$55,$AB28:$AB$55)),""),"")</s:f>
        <s:v>4</s:v>
      </s:c>
      <s:c r="AB28" s="144">
        <s:v>0.85310233682514103</s:v>
      </s:c>
      <s:c r="AC28" s="144">
        <s:v>0.85310233682514103</s:v>
      </s:c>
      <s:c r="AD28" s="145"/>
      <s:c r="AE28" s="149"/>
      <s:c r="AF28" s="2"/>
      <s:c r="AG28" s="2"/>
      <s:c r="AH28" s="2"/>
      <s:c r="AI28" s="2"/>
      <s:c r="AJ28" s="2"/>
      <s:c r="AK28" s="2"/>
      <s:c r="AL28" s="2"/>
      <s:c r="AM28" s="2"/>
      <s:c r="AN28" s="2"/>
      <s:c r="AO28" s="2"/>
    </s:row>
    <s:row r="29">
      <s:c r="A29" s="150" t="s">
        <s:v>61</s:v>
      </s:c>
      <s:c r="B29" s="134">
        <s:v>46058</s:v>
      </s:c>
      <s:c r="C29" s="135" t="s">
        <s:v>63</s:v>
      </s:c>
      <s:c r="D29" s="851">
        <s:v>8335</s:v>
      </s:c>
      <s:c r="E29" s="136">
        <s:v>2</s:v>
      </s:c>
      <s:c r="F29" s="137">
        <s:f>IF(AND(E29&lt;&gt;"",E29&lt;&gt;0),D29/E29,"")</s:f>
        <s:v>4167.5</s:v>
      </s:c>
      <s:c r="G29" s="136">
        <s:v>2</s:v>
      </s:c>
      <s:c r="H29" s="137">
        <s:f>IF(AND(G29&lt;&gt;"",G29&lt;&gt;0),D29/G29,"")</s:f>
        <s:v>4167.5</s:v>
      </s:c>
      <s:c r="I29" s="136">
        <s:v>34</s:v>
      </s:c>
      <s:c r="J29" s="138">
        <s:f>IF(AND(G29&lt;&gt;"",G29&lt;&gt;0),E29/G29,"")</s:f>
        <s:v>1</s:v>
      </s:c>
      <s:c r="K29" s="136"/>
      <s:c r="L29" s="136"/>
      <s:c r="M29" s="136"/>
      <s:c r="N29" s="136"/>
      <s:c r="O29" s="136"/>
      <s:c r="P29" s="139"/>
      <s:c r="Q29" s="139"/>
      <s:c r="R29" s="136"/>
      <s:c r="S29" s="136"/>
      <s:c r="T29" s="140">
        <s:f>IF(AND(I29&lt;&gt;"",I29&lt;&gt;0),G29/I29,"")</s:f>
        <s:v>5.8823529411764705E-2</s:v>
      </s:c>
      <s:c r="U29" s="141">
        <s:f>D29/V29</s:f>
        <s:v>0.13672751874973482</s:v>
      </s:c>
      <s:c r="V29" s="142">
        <s:f>$I$8*AB29*AC29/SUMPRODUCT($AC$25:$AC$55,$AB$25:$AB$55)</s:f>
        <s:v>60960.661586028858</s:v>
      </s:c>
      <s:c r="W29" s="143">
        <s:f>$I$9*AB29*AC29/SUMPRODUCT($AC$25:$AC$55,$AB$25:$AB$55)</s:f>
        <s:v>8.3967853424282168</s:v>
      </s:c>
      <s:c r="X29" s="143">
        <s:f>IF($I$12="","",W29/$I$12)</s:f>
        <s:v>4.563470294797944</s:v>
      </s:c>
      <s:c r="Y29" s="142">
        <s:f>IF(AC29&lt;&gt;"",IF(D29&lt;&gt;"",D29,($I$8-SUM($Y$25:Y28))*AB29*AC29/SUMPRODUCT($AC29:$AC$55,$AB29:$AB$55)),"")</s:f>
        <s:v>8335</s:v>
      </s:c>
      <s:c r="Z29" s="143">
        <s:f>IF(AC29&lt;&gt;"",IF(E29&lt;&gt;"",E29,($I$9-SUM($Z$25:Z28))*AB29*AC29/SUMPRODUCT($AC29:$AC$55,$AB29:$AB$55)),"")</s:f>
        <s:v>2</s:v>
      </s:c>
      <s:c r="AA29" s="143">
        <s:f>IF(AC29&lt;&gt;"",IF($I$12&lt;&gt;"",IF(G29&lt;&gt;"",G29,($I$9/$I$12-SUM($AA$25:AA28))*AB29*AC29/SUMPRODUCT($AC29:$AC$55,$AB29:$AB$55)),""),"")</s:f>
        <s:v>2</s:v>
      </s:c>
      <s:c r="AB29" s="144">
        <s:v>0.85</s:v>
      </s:c>
      <s:c r="AC29" s="144">
        <s:v>0.85</s:v>
      </s:c>
      <s:c r="AD29" s="145"/>
      <s:c r="AE29" s="145"/>
      <s:c r="AF29" s="2"/>
      <s:c r="AG29" s="2"/>
      <s:c r="AH29" s="2"/>
      <s:c r="AI29" s="2"/>
      <s:c r="AJ29" s="2"/>
      <s:c r="AK29" s="2"/>
      <s:c r="AL29" s="2"/>
      <s:c r="AM29" s="2"/>
      <s:c r="AN29" s="2"/>
      <s:c r="AO29" s="2"/>
      <s:c r="AP29" s="2"/>
      <s:c r="AQ29" s="2"/>
      <s:c r="AR29" s="2"/>
      <s:c r="AS29" s="2"/>
      <s:c r="AT29" s="2"/>
      <s:c r="AU29" s="2"/>
      <s:c r="AV29" s="2"/>
      <s:c r="AW29" s="2"/>
      <s:c r="AX29" s="2"/>
      <s:c r="AY29" s="2"/>
      <s:c r="AZ29" s="2"/>
      <s:c r="BA29" s="2"/>
      <s:c r="BB29" s="2"/>
      <s:c r="BC29" s="2"/>
      <s:c r="BD29" s="2"/>
      <s:c r="BE29" s="2"/>
      <s:c r="BF29" s="2"/>
      <s:c r="BG29" s="2"/>
      <s:c r="BH29" s="2"/>
      <s:c r="BI29" s="2"/>
      <s:c r="BJ29" s="2"/>
      <s:c r="BK29" s="2"/>
      <s:c r="BL29" s="2"/>
      <s:c r="BM29" s="2"/>
      <s:c r="BN29" s="2"/>
      <s:c r="BO29" s="2"/>
      <s:c r="BP29" s="2"/>
      <s:c r="BQ29" s="2"/>
      <s:c r="BR29" s="2"/>
      <s:c r="BS29" s="2"/>
      <s:c r="BT29" s="2"/>
      <s:c r="BU29" s="2"/>
      <s:c r="BV29" s="2"/>
      <s:c r="BW29" s="2"/>
      <s:c r="BX29" s="2"/>
      <s:c r="BY29" s="2"/>
      <s:c r="BZ29" s="2"/>
      <s:c r="CA29" s="2"/>
      <s:c r="CB29" s="2"/>
      <s:c r="CC29" s="2"/>
      <s:c r="CD29" s="2"/>
      <s:c r="CE29" s="2"/>
      <s:c r="CF29" s="2"/>
      <s:c r="CG29" s="2"/>
      <s:c r="CH29" s="2"/>
      <s:c r="CI29" s="2"/>
      <s:c r="CJ29" s="2"/>
      <s:c r="CK29" s="2"/>
      <s:c r="CL29" s="2"/>
      <s:c r="CM29" s="2"/>
      <s:c r="CN29" s="2"/>
      <s:c r="CO29" s="2"/>
      <s:c r="CP29" s="2"/>
      <s:c r="CQ29" s="2"/>
      <s:c r="CR29" s="2"/>
      <s:c r="CS29" s="2"/>
      <s:c r="CT29" s="2"/>
      <s:c r="CU29" s="2"/>
      <s:c r="CV29" s="2"/>
      <s:c r="CW29" s="2"/>
      <s:c r="CX29" s="2"/>
      <s:c r="CY29" s="2"/>
      <s:c r="CZ29" s="2"/>
      <s:c r="DA29" s="2"/>
      <s:c r="DB29" s="2"/>
      <s:c r="DC29" s="2"/>
      <s:c r="DD29" s="2"/>
      <s:c r="DE29" s="2"/>
      <s:c r="DF29" s="2"/>
      <s:c r="DG29" s="2"/>
      <s:c r="DH29" s="2"/>
      <s:c r="DI29" s="2"/>
      <s:c r="DJ29" s="2"/>
      <s:c r="DK29" s="2"/>
      <s:c r="DL29" s="2"/>
      <s:c r="DM29" s="2"/>
      <s:c r="DN29" s="2"/>
      <s:c r="DO29" s="2"/>
      <s:c r="DP29" s="2"/>
      <s:c r="DQ29" s="2"/>
      <s:c r="DR29" s="2"/>
      <s:c r="DS29" s="2"/>
      <s:c r="DT29" s="2"/>
      <s:c r="DU29" s="2"/>
      <s:c r="DV29" s="2"/>
      <s:c r="DW29" s="2"/>
      <s:c r="DX29" s="2"/>
      <s:c r="DY29" s="2"/>
      <s:c r="DZ29" s="2"/>
      <s:c r="EA29" s="2"/>
      <s:c r="EB29" s="2"/>
      <s:c r="EC29" s="2"/>
      <s:c r="ED29" s="2"/>
      <s:c r="EE29" s="2"/>
      <s:c r="EF29" s="2"/>
      <s:c r="EG29" s="2"/>
      <s:c r="EH29" s="2"/>
      <s:c r="EI29" s="2"/>
      <s:c r="EJ29" s="2"/>
      <s:c r="EK29" s="2"/>
      <s:c r="EL29" s="2"/>
      <s:c r="EM29" s="2"/>
      <s:c r="EN29" s="2"/>
      <s:c r="EO29" s="2"/>
      <s:c r="EP29" s="2"/>
      <s:c r="EQ29" s="2"/>
      <s:c r="ER29" s="2"/>
      <s:c r="ES29" s="2"/>
      <s:c r="ET29" s="2"/>
      <s:c r="EU29" s="2"/>
      <s:c r="EV29" s="2"/>
      <s:c r="EW29" s="2"/>
      <s:c r="EX29" s="2"/>
      <s:c r="EY29" s="2"/>
      <s:c r="EZ29" s="2"/>
      <s:c r="FA29" s="2"/>
      <s:c r="FB29" s="2"/>
      <s:c r="FC29" s="2"/>
      <s:c r="FD29" s="2"/>
      <s:c r="FE29" s="2"/>
      <s:c r="FF29" s="2"/>
      <s:c r="FG29" s="2"/>
      <s:c r="FH29" s="2"/>
      <s:c r="FI29" s="2"/>
      <s:c r="FJ29" s="2"/>
      <s:c r="FK29" s="2"/>
      <s:c r="FL29" s="2"/>
      <s:c r="FM29" s="2"/>
      <s:c r="FN29" s="2"/>
      <s:c r="FO29" s="2"/>
      <s:c r="FP29" s="2"/>
      <s:c r="FQ29" s="2"/>
      <s:c r="FR29" s="2"/>
      <s:c r="FS29" s="2"/>
      <s:c r="FT29" s="2"/>
      <s:c r="FU29" s="2"/>
      <s:c r="FV29" s="2"/>
      <s:c r="FW29" s="2"/>
      <s:c r="FX29" s="2"/>
      <s:c r="FY29" s="2"/>
      <s:c r="FZ29" s="2"/>
      <s:c r="GA29" s="2"/>
      <s:c r="GB29" s="2"/>
      <s:c r="GC29" s="2"/>
      <s:c r="GD29" s="2"/>
      <s:c r="GE29" s="2"/>
      <s:c r="GF29" s="2"/>
      <s:c r="GG29" s="2"/>
      <s:c r="GH29" s="2"/>
      <s:c r="GI29" s="2"/>
      <s:c r="GJ29" s="2"/>
      <s:c r="GK29" s="2"/>
      <s:c r="GL29" s="2"/>
      <s:c r="GM29" s="2"/>
      <s:c r="GN29" s="2"/>
      <s:c r="GO29" s="2"/>
      <s:c r="GP29" s="2"/>
      <s:c r="GQ29" s="2"/>
      <s:c r="GR29" s="2"/>
      <s:c r="GS29" s="2"/>
      <s:c r="GT29" s="2"/>
      <s:c r="GU29" s="2"/>
      <s:c r="GV29" s="2"/>
      <s:c r="GW29" s="2"/>
      <s:c r="GX29" s="2"/>
      <s:c r="GY29" s="2"/>
      <s:c r="GZ29" s="2"/>
      <s:c r="HA29" s="2"/>
      <s:c r="HB29" s="2"/>
      <s:c r="HC29" s="2"/>
      <s:c r="HD29" s="2"/>
      <s:c r="HE29" s="2"/>
      <s:c r="HF29" s="2"/>
      <s:c r="HG29" s="2"/>
      <s:c r="HH29" s="2"/>
      <s:c r="HI29" s="2"/>
      <s:c r="HJ29" s="2"/>
      <s:c r="HK29" s="2"/>
      <s:c r="HL29" s="2"/>
      <s:c r="HM29" s="2"/>
      <s:c r="HN29" s="2"/>
      <s:c r="HO29" s="2"/>
      <s:c r="HP29" s="2"/>
      <s:c r="HQ29" s="2"/>
      <s:c r="HR29" s="2"/>
      <s:c r="HS29" s="2"/>
      <s:c r="HT29" s="2"/>
      <s:c r="HU29" s="2"/>
      <s:c r="HV29" s="2"/>
      <s:c r="HW29" s="2"/>
      <s:c r="HX29" s="2"/>
      <s:c r="HY29" s="2"/>
      <s:c r="HZ29" s="2"/>
      <s:c r="IA29" s="2"/>
      <s:c r="IB29" s="2"/>
      <s:c r="IC29" s="2"/>
      <s:c r="ID29" s="2"/>
      <s:c r="IE29" s="2"/>
      <s:c r="IF29" s="2"/>
      <s:c r="IG29" s="2"/>
      <s:c r="IH29" s="2"/>
      <s:c r="II29" s="2"/>
      <s:c r="IJ29" s="2"/>
      <s:c r="IK29" s="2"/>
      <s:c r="IL29" s="2"/>
      <s:c r="IM29" s="2"/>
      <s:c r="IN29" s="2"/>
      <s:c r="IO29" s="2"/>
      <s:c r="IP29" s="2"/>
      <s:c r="IQ29" s="2"/>
      <s:c r="IR29" s="2"/>
      <s:c r="IS29" s="2"/>
      <s:c r="IT29" s="2"/>
      <s:c r="IU29" s="2"/>
      <s:c r="IV29" s="2"/>
      <s:c r="IW29" s="2"/>
      <s:c r="IX29" s="2"/>
      <s:c r="IY29" s="2"/>
      <s:c r="IZ29" s="2"/>
      <s:c r="JA29" s="2"/>
    </s:row>
    <s:row r="30">
      <s:c r="A30" s="151" t="s">
        <s:v>59</s:v>
      </s:c>
      <s:c r="B30" s="120">
        <s:v>46059</s:v>
      </s:c>
      <s:c r="C30" s="121" t="s">
        <s:v>64</s:v>
      </s:c>
      <s:c r="D30" s="853">
        <s:v>4529</s:v>
      </s:c>
      <s:c r="E30" s="125">
        <s:v>1</s:v>
      </s:c>
      <s:c r="F30" s="123">
        <s:f>IF(AND(E30&lt;&gt;"",E30&lt;&gt;0),D30/E30,"")</s:f>
        <s:v>4529</s:v>
      </s:c>
      <s:c r="G30" s="125">
        <s:v>1</s:v>
      </s:c>
      <s:c r="H30" s="123">
        <s:f>IF(AND(G30&lt;&gt;"",G30&lt;&gt;0),D30/G30,"")</s:f>
        <s:v>4529</s:v>
      </s:c>
      <s:c r="I30" s="125">
        <s:v>51</s:v>
      </s:c>
      <s:c r="J30" s="124">
        <s:f>IF(AND(G30&lt;&gt;"",G30&lt;&gt;0),E30/G30,"")</s:f>
        <s:v>1</s:v>
      </s:c>
      <s:c r="K30" s="125"/>
      <s:c r="L30" s="125"/>
      <s:c r="M30" s="125"/>
      <s:c r="N30" s="125"/>
      <s:c r="O30" s="125"/>
      <s:c r="P30" s="122"/>
      <s:c r="Q30" s="125"/>
      <s:c r="R30" s="125"/>
      <s:c r="S30" s="125"/>
      <s:c r="T30" s="126">
        <s:f>IF(AND(I30&lt;&gt;"",I30&lt;&gt;0),G30/I30,"")</s:f>
        <s:v>1.9607843137254902E-2</s:v>
      </s:c>
      <s:c r="U30" s="127">
        <s:f>D30/V30</s:f>
        <s:v>5.367727998460458E-2</s:v>
      </s:c>
      <s:c r="V30" s="128">
        <s:f>$I$8*AB30*AC30/SUMPRODUCT($AC$25:$AC$55,$AB$25:$AB$55)</s:f>
        <s:v>84374.618112150667</s:v>
      </s:c>
      <s:c r="W30" s="129">
        <s:f>$I$9*AB30*AC30/SUMPRODUCT($AC$25:$AC$55,$AB$25:$AB$55)</s:f>
        <s:v>11.621848224814142</s:v>
      </s:c>
      <s:c r="X30" s="129">
        <s:f>IF($I$12="","",W30/$I$12)</s:f>
        <s:v>6.3162218613120338</s:v>
      </s:c>
      <s:c r="Y30" s="128">
        <s:f>IF(AC30&lt;&gt;"",IF(D30&lt;&gt;"",D30,($I$8-SUM($Y$25:Y29))*AB30*AC30/SUMPRODUCT($AC30:$AC$55,$AB30:$AB$55)),"")</s:f>
        <s:v>4529</s:v>
      </s:c>
      <s:c r="Z30" s="129">
        <s:f>IF(AC30&lt;&gt;"",IF(E30&lt;&gt;"",E30,($I$9-SUM($Z$25:Z29))*AB30*AC30/SUMPRODUCT($AC30:$AC$55,$AB30:$AB$55)),"")</s:f>
        <s:v>1</s:v>
      </s:c>
      <s:c r="AA30" s="129">
        <s:f>IF(AC30&lt;&gt;"",IF($I$12&lt;&gt;"",IF(G30&lt;&gt;"",G30,($I$9/$I$12-SUM($AA$25:AA29))*AB30*AC30/SUMPRODUCT($AC30:$AC$55,$AB30:$AB$55)),""),"")</s:f>
        <s:v>1</s:v>
      </s:c>
      <s:c r="AB30" s="130">
        <s:v>1</s:v>
      </s:c>
      <s:c r="AC30" s="130">
        <s:v>1</s:v>
      </s:c>
      <s:c r="AD30" s="132"/>
      <s:c r="AE30" s="132"/>
      <s:c r="AF30" s="131"/>
      <s:c r="AG30" s="131"/>
      <s:c r="AH30" s="131"/>
      <s:c r="AI30" s="131"/>
      <s:c r="AJ30" s="131"/>
      <s:c r="AK30" s="131"/>
      <s:c r="AL30" s="131"/>
      <s:c r="AM30" s="131"/>
      <s:c r="AN30" s="131"/>
      <s:c r="AO30" s="131"/>
      <s:c r="AP30" s="131"/>
    </s:row>
    <s:row r="31">
      <s:c r="A31" s="151" t="s">
        <s:v>65</s:v>
      </s:c>
      <s:c r="B31" s="120">
        <s:v>46060</s:v>
      </s:c>
      <s:c r="C31" s="121" t="s">
        <s:v>66</s:v>
      </s:c>
      <s:c r="D31" s="854">
        <s:v>42752</s:v>
      </s:c>
      <s:c r="E31" s="125">
        <s:v>6</s:v>
      </s:c>
      <s:c r="F31" s="123">
        <s:f>IF(AND(E31&lt;&gt;"",E31&lt;&gt;0),D31/E31,"")</s:f>
        <s:v>7125.333333333333</s:v>
      </s:c>
      <s:c r="G31" s="125">
        <s:v>3</s:v>
      </s:c>
      <s:c r="H31" s="123">
        <s:f>IF(AND(G31&lt;&gt;"",G31&lt;&gt;0),D31/G31,"")</s:f>
        <s:v>14250.666666666666</s:v>
      </s:c>
      <s:c r="I31" s="125">
        <s:v>56</s:v>
      </s:c>
      <s:c r="J31" s="124">
        <s:f>IF(AND(G31&lt;&gt;"",G31&lt;&gt;0),E31/G31,"")</s:f>
        <s:v>2</s:v>
      </s:c>
      <s:c r="K31" s="125"/>
      <s:c r="L31" s="125"/>
      <s:c r="M31" s="125">
        <s:v>15984</s:v>
      </s:c>
      <s:c r="N31" s="125"/>
      <s:c r="O31" s="125"/>
      <s:c r="P31" s="122"/>
      <s:c r="Q31" s="122"/>
      <s:c r="R31" s="125"/>
      <s:c r="S31" s="125"/>
      <s:c r="T31" s="126">
        <s:f>IF(AND(I31&lt;&gt;"",I31&lt;&gt;0),G31/I31,"")</s:f>
        <s:v>5.3571428571428568E-2</s:v>
      </s:c>
      <s:c r="U31" s="127">
        <s:f>D31/V31</s:f>
        <s:v>0.41875426752148498</s:v>
      </s:c>
      <s:c r="V31" s="128">
        <s:f>$I$8*AB31*AC31/SUMPRODUCT($AC$25:$AC$55,$AB$25:$AB$55)</s:f>
        <s:v>102093.28791570233</s:v>
      </s:c>
      <s:c r="W31" s="129">
        <s:f>$I$9*AB31*AC31/SUMPRODUCT($AC$25:$AC$55,$AB$25:$AB$55)</s:f>
        <s:v>14.062436352025115</s:v>
      </s:c>
      <s:c r="X31" s="129">
        <s:f>IF($I$12="","",W31/$I$12)</s:f>
        <s:v>7.6426284521875623</s:v>
      </s:c>
      <s:c r="Y31" s="128">
        <s:f>IF(AC31&lt;&gt;"",IF(D31&lt;&gt;"",D31,($I$8-SUM($Y$25:Y30))*AB31*AC31/SUMPRODUCT($AC31:$AC$55,$AB31:$AB$55)),"")</s:f>
        <s:v>42752</s:v>
      </s:c>
      <s:c r="Z31" s="129">
        <s:f>IF(AC31&lt;&gt;"",IF(E31&lt;&gt;"",E31,($I$9-SUM($Z$25:Z30))*AB31*AC31/SUMPRODUCT($AC31:$AC$55,$AB31:$AB$55)),"")</s:f>
        <s:v>6</s:v>
      </s:c>
      <s:c r="AA31" s="129">
        <s:f>IF(AC31&lt;&gt;"",IF($I$12&lt;&gt;"",IF(G31&lt;&gt;"",G31,($I$9/$I$12-SUM($AA$25:AA30))*AB31*AC31/SUMPRODUCT($AC31:$AC$55,$AB31:$AB$55)),""),"")</s:f>
        <s:v>3</s:v>
      </s:c>
      <s:c r="AB31" s="152">
        <s:v>1.1000000000000001</s:v>
      </s:c>
      <s:c r="AC31" s="152">
        <s:v>1.1000000000000001</s:v>
      </s:c>
      <s:c r="AD31" s="132"/>
      <s:c r="AE31" s="132"/>
      <s:c r="AF31" s="131"/>
      <s:c r="AG31" s="131"/>
      <s:c r="AH31" s="131"/>
      <s:c r="AI31" s="131"/>
      <s:c r="AJ31" s="131"/>
      <s:c r="AK31" s="131"/>
      <s:c r="AL31" s="131"/>
      <s:c r="AM31" s="131"/>
      <s:c r="AN31" s="131"/>
      <s:c r="AO31" s="131"/>
      <s:c r="AP31" s="131"/>
      <s:c r="AQ31" s="131"/>
      <s:c r="AR31" s="131"/>
      <s:c r="AS31" s="131"/>
      <s:c r="AT31" s="131"/>
      <s:c r="AU31" s="131"/>
      <s:c r="AV31" s="131"/>
      <s:c r="AW31" s="131"/>
      <s:c r="AX31" s="131"/>
      <s:c r="AY31" s="131"/>
      <s:c r="AZ31" s="131"/>
      <s:c r="BA31" s="131"/>
      <s:c r="BB31" s="131"/>
      <s:c r="BC31" s="131"/>
      <s:c r="BD31" s="131"/>
      <s:c r="BE31" s="131"/>
      <s:c r="BF31" s="131"/>
      <s:c r="BG31" s="131"/>
      <s:c r="BH31" s="131"/>
      <s:c r="BI31" s="131"/>
      <s:c r="BJ31" s="131"/>
      <s:c r="BK31" s="131"/>
      <s:c r="BL31" s="131"/>
      <s:c r="BM31" s="131"/>
      <s:c r="BN31" s="131"/>
      <s:c r="BO31" s="131"/>
      <s:c r="BP31" s="131"/>
      <s:c r="BQ31" s="131"/>
      <s:c r="BR31" s="131"/>
      <s:c r="BS31" s="131"/>
      <s:c r="BT31" s="131"/>
      <s:c r="BU31" s="131"/>
      <s:c r="BV31" s="131"/>
      <s:c r="BW31" s="131"/>
      <s:c r="BX31" s="131"/>
      <s:c r="BY31" s="131"/>
      <s:c r="BZ31" s="131"/>
      <s:c r="CA31" s="131"/>
      <s:c r="CB31" s="131"/>
      <s:c r="CC31" s="131"/>
      <s:c r="CD31" s="131"/>
      <s:c r="CE31" s="131"/>
      <s:c r="CF31" s="131"/>
      <s:c r="CG31" s="131"/>
      <s:c r="CH31" s="131"/>
      <s:c r="CI31" s="131"/>
      <s:c r="CJ31" s="131"/>
      <s:c r="CK31" s="131"/>
      <s:c r="CL31" s="131"/>
      <s:c r="CM31" s="131"/>
      <s:c r="CN31" s="131"/>
      <s:c r="CO31" s="131"/>
      <s:c r="CP31" s="131"/>
      <s:c r="CQ31" s="131"/>
      <s:c r="CR31" s="131"/>
      <s:c r="CS31" s="131"/>
      <s:c r="CT31" s="131"/>
      <s:c r="CU31" s="131"/>
      <s:c r="CV31" s="131"/>
      <s:c r="CW31" s="131"/>
      <s:c r="CX31" s="131"/>
      <s:c r="CY31" s="131"/>
      <s:c r="CZ31" s="131"/>
      <s:c r="DA31" s="131"/>
      <s:c r="DB31" s="131"/>
      <s:c r="DC31" s="131"/>
      <s:c r="DD31" s="131"/>
      <s:c r="DE31" s="131"/>
      <s:c r="DF31" s="131"/>
      <s:c r="DG31" s="131"/>
      <s:c r="DH31" s="131"/>
      <s:c r="DI31" s="131"/>
      <s:c r="DJ31" s="131"/>
      <s:c r="DK31" s="131"/>
      <s:c r="DL31" s="131"/>
      <s:c r="DM31" s="131"/>
      <s:c r="DN31" s="131"/>
      <s:c r="DO31" s="131"/>
      <s:c r="DP31" s="131"/>
      <s:c r="DQ31" s="131"/>
      <s:c r="DR31" s="131"/>
      <s:c r="DS31" s="131"/>
      <s:c r="DT31" s="131"/>
      <s:c r="DU31" s="131"/>
      <s:c r="DV31" s="131"/>
      <s:c r="DW31" s="131"/>
      <s:c r="DX31" s="131"/>
      <s:c r="DY31" s="131"/>
      <s:c r="DZ31" s="131"/>
      <s:c r="EA31" s="131"/>
      <s:c r="EB31" s="131"/>
      <s:c r="EC31" s="131"/>
      <s:c r="ED31" s="131"/>
      <s:c r="EE31" s="131"/>
      <s:c r="EF31" s="131"/>
      <s:c r="EG31" s="131"/>
      <s:c r="EH31" s="131"/>
      <s:c r="EI31" s="131"/>
      <s:c r="EJ31" s="131"/>
      <s:c r="EK31" s="131"/>
      <s:c r="EL31" s="131"/>
      <s:c r="EM31" s="131"/>
      <s:c r="EN31" s="131"/>
      <s:c r="EO31" s="131"/>
      <s:c r="EP31" s="131"/>
      <s:c r="EQ31" s="131"/>
      <s:c r="ER31" s="131"/>
      <s:c r="ES31" s="131"/>
      <s:c r="ET31" s="131"/>
      <s:c r="EU31" s="131"/>
      <s:c r="EV31" s="131"/>
      <s:c r="EW31" s="131"/>
      <s:c r="EX31" s="131"/>
      <s:c r="EY31" s="131"/>
      <s:c r="EZ31" s="131"/>
      <s:c r="FA31" s="131"/>
      <s:c r="FB31" s="131"/>
      <s:c r="FC31" s="131"/>
      <s:c r="FD31" s="131"/>
      <s:c r="FE31" s="131"/>
      <s:c r="FF31" s="131"/>
      <s:c r="FG31" s="131"/>
      <s:c r="FH31" s="131"/>
      <s:c r="FI31" s="131"/>
      <s:c r="FJ31" s="131"/>
      <s:c r="FK31" s="131"/>
      <s:c r="FL31" s="131"/>
      <s:c r="FM31" s="131"/>
      <s:c r="FN31" s="131"/>
      <s:c r="FO31" s="131"/>
      <s:c r="FP31" s="131"/>
      <s:c r="FQ31" s="131"/>
      <s:c r="FR31" s="131"/>
      <s:c r="FS31" s="131"/>
      <s:c r="FT31" s="131"/>
      <s:c r="FU31" s="131"/>
      <s:c r="FV31" s="131"/>
      <s:c r="FW31" s="131"/>
      <s:c r="FX31" s="131"/>
      <s:c r="FY31" s="131"/>
      <s:c r="FZ31" s="131"/>
      <s:c r="GA31" s="131"/>
      <s:c r="GB31" s="131"/>
      <s:c r="GC31" s="131"/>
      <s:c r="GD31" s="131"/>
      <s:c r="GE31" s="131"/>
      <s:c r="GF31" s="131"/>
      <s:c r="GG31" s="131"/>
      <s:c r="GH31" s="131"/>
      <s:c r="GI31" s="131"/>
      <s:c r="GJ31" s="131"/>
      <s:c r="GK31" s="131"/>
      <s:c r="GL31" s="131"/>
      <s:c r="GM31" s="131"/>
      <s:c r="GN31" s="131"/>
      <s:c r="GO31" s="131"/>
      <s:c r="GP31" s="131"/>
      <s:c r="GQ31" s="131"/>
      <s:c r="GR31" s="131"/>
      <s:c r="GS31" s="131"/>
      <s:c r="GT31" s="131"/>
      <s:c r="GU31" s="131"/>
      <s:c r="GV31" s="131"/>
      <s:c r="GW31" s="131"/>
      <s:c r="GX31" s="131"/>
      <s:c r="GY31" s="131"/>
      <s:c r="GZ31" s="131"/>
      <s:c r="HA31" s="131"/>
      <s:c r="HB31" s="131"/>
      <s:c r="HC31" s="131"/>
      <s:c r="HD31" s="131"/>
      <s:c r="HE31" s="131"/>
      <s:c r="HF31" s="131"/>
      <s:c r="HG31" s="131"/>
      <s:c r="HH31" s="131"/>
      <s:c r="HI31" s="131"/>
      <s:c r="HJ31" s="131"/>
      <s:c r="HK31" s="131"/>
      <s:c r="HL31" s="131"/>
      <s:c r="HM31" s="131"/>
      <s:c r="HN31" s="131"/>
      <s:c r="HO31" s="131"/>
      <s:c r="HP31" s="131"/>
      <s:c r="HQ31" s="131"/>
      <s:c r="HR31" s="131"/>
      <s:c r="HS31" s="131"/>
      <s:c r="HT31" s="131"/>
      <s:c r="HU31" s="131"/>
      <s:c r="HV31" s="131"/>
      <s:c r="HW31" s="131"/>
      <s:c r="HX31" s="131"/>
      <s:c r="HY31" s="131"/>
      <s:c r="HZ31" s="131"/>
      <s:c r="IA31" s="131"/>
      <s:c r="IB31" s="131"/>
      <s:c r="IC31" s="131"/>
      <s:c r="ID31" s="131"/>
      <s:c r="IE31" s="131"/>
      <s:c r="IF31" s="131"/>
      <s:c r="IG31" s="131"/>
      <s:c r="IH31" s="131"/>
      <s:c r="II31" s="131"/>
      <s:c r="IJ31" s="131"/>
      <s:c r="IK31" s="131"/>
      <s:c r="IL31" s="131"/>
      <s:c r="IM31" s="131"/>
      <s:c r="IN31" s="131"/>
      <s:c r="IO31" s="131"/>
      <s:c r="IP31" s="131"/>
      <s:c r="IQ31" s="131"/>
      <s:c r="IR31" s="131"/>
      <s:c r="IS31" s="131"/>
      <s:c r="IT31" s="131"/>
      <s:c r="IU31" s="131"/>
      <s:c r="IV31" s="131"/>
      <s:c r="IW31" s="131"/>
      <s:c r="IX31" s="131"/>
      <s:c r="IY31" s="131"/>
      <s:c r="IZ31" s="131"/>
      <s:c r="JA31" s="131"/>
    </s:row>
    <s:row r="32">
      <s:c r="A32" s="151" t="s">
        <s:v>65</s:v>
      </s:c>
      <s:c r="B32" s="120">
        <s:v>46061</s:v>
      </s:c>
      <s:c r="C32" s="121" t="s">
        <s:v>57</s:v>
      </s:c>
      <s:c r="D32" s="854">
        <s:v>31503</s:v>
      </s:c>
      <s:c r="E32" s="125">
        <s:v>5</s:v>
      </s:c>
      <s:c r="F32" s="123">
        <s:f>IF(AND(E32&lt;&gt;"",E32&lt;&gt;0),D32/E32,"")</s:f>
        <s:v>6300.6</s:v>
      </s:c>
      <s:c r="G32" s="125">
        <s:v>3</s:v>
      </s:c>
      <s:c r="H32" s="123">
        <s:f>IF(AND(G32&lt;&gt;"",G32&lt;&gt;0),D32/G32,"")</s:f>
        <s:v>10501</s:v>
      </s:c>
      <s:c r="I32" s="125">
        <s:v>60</s:v>
      </s:c>
      <s:c r="J32" s="124">
        <s:f>IF(AND(G32&lt;&gt;"",G32&lt;&gt;0),E32/G32,"")</s:f>
        <s:v>1.6666666666666667</s:v>
      </s:c>
      <s:c r="K32" s="125"/>
      <s:c r="L32" s="125"/>
      <s:c r="M32" s="125"/>
      <s:c r="N32" s="125"/>
      <s:c r="O32" s="125"/>
      <s:c r="P32" s="122"/>
      <s:c r="Q32" s="122"/>
      <s:c r="R32" s="153"/>
      <s:c r="S32" s="153"/>
      <s:c r="T32" s="126">
        <s:f>IF(AND(I32&lt;&gt;"",I32&lt;&gt;0),G32/I32,"")</s:f>
        <s:v>0.05</s:v>
      </s:c>
      <s:c r="U32" s="127">
        <s:f>D32/V32</s:f>
        <s:v>0.42125065540744816</s:v>
      </s:c>
      <s:c r="V32" s="128">
        <s:f>$I$8*AB32*AC32/SUMPRODUCT($AC$25:$AC$55,$AB$25:$AB$55)</s:f>
        <s:v>74784.453378545397</s:v>
      </s:c>
      <s:c r="W32" s="129">
        <s:f>$I$9*AB32*AC32/SUMPRODUCT($AC$25:$AC$55,$AB$25:$AB$55)</s:f>
        <s:v>10.300888895116445</s:v>
      </s:c>
      <s:c r="X32" s="129">
        <s:f>IF($I$12="","",W32/$I$12)</s:f>
        <s:v>5.5983091821285029</s:v>
      </s:c>
      <s:c r="Y32" s="128">
        <s:f>IF(AC32&lt;&gt;"",IF(D32&lt;&gt;"",D32,($I$8-SUM($Y$25:Y31))*AB32*AC32/SUMPRODUCT($AC32:$AC$55,$AB32:$AB$55)),"")</s:f>
        <s:v>31503</s:v>
      </s:c>
      <s:c r="Z32" s="129">
        <s:f>IF(AC32&lt;&gt;"",IF(E32&lt;&gt;"",E32,($I$9-SUM($Z$25:Z31))*AB32*AC32/SUMPRODUCT($AC32:$AC$55,$AB32:$AB$55)),"")</s:f>
        <s:v>5</s:v>
      </s:c>
      <s:c r="AA32" s="129">
        <s:f>IF(AC32&lt;&gt;"",IF($I$12&lt;&gt;"",IF(G32&lt;&gt;"",G32,($I$9/$I$12-SUM($AA$25:AA31))*AB32*AC32/SUMPRODUCT($AC32:$AC$55,$AB32:$AB$55)),""),"")</s:f>
        <s:v>3</s:v>
      </s:c>
      <s:c r="AB32" s="130">
        <s:v>0.94145540197111499</s:v>
      </s:c>
      <s:c r="AC32" s="130">
        <s:v>0.94145540197111499</s:v>
      </s:c>
      <s:c r="AD32" s="132"/>
      <s:c r="AE32" s="132"/>
      <s:c r="AF32" s="131"/>
      <s:c r="AG32" s="131"/>
      <s:c r="AH32" s="131"/>
      <s:c r="AI32" s="131"/>
      <s:c r="AJ32" s="131"/>
      <s:c r="AK32" s="131"/>
      <s:c r="AL32" s="131"/>
      <s:c r="AM32" s="131"/>
      <s:c r="AN32" s="131"/>
      <s:c r="AO32" s="131"/>
      <s:c r="AP32" s="131"/>
      <s:c r="AQ32" s="131"/>
      <s:c r="AR32" s="131"/>
      <s:c r="AS32" s="131"/>
      <s:c r="AT32" s="131"/>
      <s:c r="AU32" s="131"/>
      <s:c r="AV32" s="131"/>
      <s:c r="AW32" s="131"/>
      <s:c r="AX32" s="131"/>
      <s:c r="AY32" s="131"/>
      <s:c r="AZ32" s="131"/>
      <s:c r="BA32" s="131"/>
      <s:c r="BB32" s="131"/>
      <s:c r="BC32" s="131"/>
      <s:c r="BD32" s="131"/>
      <s:c r="BE32" s="131"/>
      <s:c r="BF32" s="131"/>
      <s:c r="BG32" s="131"/>
      <s:c r="BH32" s="131"/>
      <s:c r="BI32" s="131"/>
      <s:c r="BJ32" s="131"/>
      <s:c r="BK32" s="131"/>
      <s:c r="BL32" s="131"/>
      <s:c r="BM32" s="131"/>
      <s:c r="BN32" s="131"/>
      <s:c r="BO32" s="131"/>
      <s:c r="BP32" s="131"/>
      <s:c r="BQ32" s="131"/>
      <s:c r="BR32" s="131"/>
      <s:c r="BS32" s="131"/>
      <s:c r="BT32" s="131"/>
      <s:c r="BU32" s="131"/>
      <s:c r="BV32" s="131"/>
      <s:c r="BW32" s="131"/>
      <s:c r="BX32" s="131"/>
      <s:c r="BY32" s="131"/>
      <s:c r="BZ32" s="131"/>
      <s:c r="CA32" s="131"/>
      <s:c r="CB32" s="131"/>
      <s:c r="CC32" s="131"/>
      <s:c r="CD32" s="131"/>
      <s:c r="CE32" s="131"/>
      <s:c r="CF32" s="131"/>
      <s:c r="CG32" s="131"/>
      <s:c r="CH32" s="131"/>
      <s:c r="CI32" s="131"/>
      <s:c r="CJ32" s="131"/>
      <s:c r="CK32" s="131"/>
      <s:c r="CL32" s="131"/>
      <s:c r="CM32" s="131"/>
      <s:c r="CN32" s="131"/>
      <s:c r="CO32" s="131"/>
      <s:c r="CP32" s="131"/>
      <s:c r="CQ32" s="131"/>
      <s:c r="CR32" s="131"/>
      <s:c r="CS32" s="131"/>
      <s:c r="CT32" s="131"/>
      <s:c r="CU32" s="131"/>
      <s:c r="CV32" s="131"/>
      <s:c r="CW32" s="131"/>
      <s:c r="CX32" s="131"/>
      <s:c r="CY32" s="131"/>
      <s:c r="CZ32" s="131"/>
      <s:c r="DA32" s="131"/>
      <s:c r="DB32" s="131"/>
      <s:c r="DC32" s="131"/>
      <s:c r="DD32" s="131"/>
      <s:c r="DE32" s="131"/>
      <s:c r="DF32" s="131"/>
      <s:c r="DG32" s="131"/>
      <s:c r="DH32" s="131"/>
      <s:c r="DI32" s="131"/>
      <s:c r="DJ32" s="131"/>
      <s:c r="DK32" s="131"/>
      <s:c r="DL32" s="131"/>
      <s:c r="DM32" s="131"/>
      <s:c r="DN32" s="131"/>
      <s:c r="DO32" s="131"/>
      <s:c r="DP32" s="131"/>
      <s:c r="DQ32" s="131"/>
      <s:c r="DR32" s="131"/>
      <s:c r="DS32" s="131"/>
      <s:c r="DT32" s="131"/>
      <s:c r="DU32" s="131"/>
      <s:c r="DV32" s="131"/>
      <s:c r="DW32" s="131"/>
      <s:c r="DX32" s="131"/>
      <s:c r="DY32" s="131"/>
      <s:c r="DZ32" s="131"/>
      <s:c r="EA32" s="131"/>
      <s:c r="EB32" s="131"/>
      <s:c r="EC32" s="131"/>
      <s:c r="ED32" s="131"/>
      <s:c r="EE32" s="131"/>
      <s:c r="EF32" s="131"/>
      <s:c r="EG32" s="131"/>
      <s:c r="EH32" s="131"/>
      <s:c r="EI32" s="131"/>
      <s:c r="EJ32" s="131"/>
      <s:c r="EK32" s="131"/>
      <s:c r="EL32" s="131"/>
      <s:c r="EM32" s="131"/>
      <s:c r="EN32" s="131"/>
      <s:c r="EO32" s="131"/>
      <s:c r="EP32" s="131"/>
      <s:c r="EQ32" s="131"/>
      <s:c r="ER32" s="131"/>
      <s:c r="ES32" s="131"/>
      <s:c r="ET32" s="131"/>
      <s:c r="EU32" s="131"/>
      <s:c r="EV32" s="131"/>
      <s:c r="EW32" s="131"/>
      <s:c r="EX32" s="131"/>
      <s:c r="EY32" s="131"/>
      <s:c r="EZ32" s="131"/>
      <s:c r="FA32" s="131"/>
      <s:c r="FB32" s="131"/>
      <s:c r="FC32" s="131"/>
      <s:c r="FD32" s="131"/>
      <s:c r="FE32" s="131"/>
      <s:c r="FF32" s="131"/>
      <s:c r="FG32" s="131"/>
      <s:c r="FH32" s="131"/>
      <s:c r="FI32" s="131"/>
      <s:c r="FJ32" s="131"/>
      <s:c r="FK32" s="131"/>
      <s:c r="FL32" s="131"/>
      <s:c r="FM32" s="131"/>
      <s:c r="FN32" s="131"/>
      <s:c r="FO32" s="131"/>
      <s:c r="FP32" s="131"/>
      <s:c r="FQ32" s="131"/>
      <s:c r="FR32" s="131"/>
      <s:c r="FS32" s="131"/>
      <s:c r="FT32" s="131"/>
      <s:c r="FU32" s="131"/>
      <s:c r="FV32" s="131"/>
      <s:c r="FW32" s="131"/>
      <s:c r="FX32" s="131"/>
      <s:c r="FY32" s="131"/>
      <s:c r="FZ32" s="131"/>
      <s:c r="GA32" s="131"/>
      <s:c r="GB32" s="131"/>
      <s:c r="GC32" s="131"/>
      <s:c r="GD32" s="131"/>
      <s:c r="GE32" s="131"/>
      <s:c r="GF32" s="131"/>
      <s:c r="GG32" s="131"/>
      <s:c r="GH32" s="131"/>
      <s:c r="GI32" s="131"/>
      <s:c r="GJ32" s="131"/>
      <s:c r="GK32" s="131"/>
      <s:c r="GL32" s="131"/>
      <s:c r="GM32" s="131"/>
      <s:c r="GN32" s="131"/>
      <s:c r="GO32" s="131"/>
      <s:c r="GP32" s="131"/>
      <s:c r="GQ32" s="131"/>
      <s:c r="GR32" s="131"/>
      <s:c r="GS32" s="131"/>
      <s:c r="GT32" s="131"/>
      <s:c r="GU32" s="131"/>
      <s:c r="GV32" s="131"/>
      <s:c r="GW32" s="131"/>
      <s:c r="GX32" s="131"/>
      <s:c r="GY32" s="131"/>
      <s:c r="GZ32" s="131"/>
      <s:c r="HA32" s="131"/>
      <s:c r="HB32" s="131"/>
      <s:c r="HC32" s="131"/>
      <s:c r="HD32" s="131"/>
      <s:c r="HE32" s="131"/>
      <s:c r="HF32" s="131"/>
      <s:c r="HG32" s="131"/>
      <s:c r="HH32" s="131"/>
      <s:c r="HI32" s="131"/>
      <s:c r="HJ32" s="131"/>
      <s:c r="HK32" s="131"/>
      <s:c r="HL32" s="131"/>
      <s:c r="HM32" s="131"/>
      <s:c r="HN32" s="131"/>
      <s:c r="HO32" s="131"/>
      <s:c r="HP32" s="131"/>
      <s:c r="HQ32" s="131"/>
      <s:c r="HR32" s="131"/>
      <s:c r="HS32" s="131"/>
      <s:c r="HT32" s="131"/>
      <s:c r="HU32" s="131"/>
      <s:c r="HV32" s="131"/>
      <s:c r="HW32" s="131"/>
      <s:c r="HX32" s="131"/>
      <s:c r="HY32" s="131"/>
      <s:c r="HZ32" s="131"/>
      <s:c r="IA32" s="131"/>
      <s:c r="IB32" s="131"/>
      <s:c r="IC32" s="131"/>
      <s:c r="ID32" s="131"/>
      <s:c r="IE32" s="131"/>
      <s:c r="IF32" s="131"/>
      <s:c r="IG32" s="131"/>
      <s:c r="IH32" s="131"/>
      <s:c r="II32" s="131"/>
      <s:c r="IJ32" s="131"/>
      <s:c r="IK32" s="131"/>
      <s:c r="IL32" s="131"/>
      <s:c r="IM32" s="131"/>
      <s:c r="IN32" s="131"/>
      <s:c r="IO32" s="131"/>
      <s:c r="IP32" s="131"/>
      <s:c r="IQ32" s="131"/>
      <s:c r="IR32" s="131"/>
      <s:c r="IS32" s="131"/>
      <s:c r="IT32" s="131"/>
      <s:c r="IU32" s="131"/>
      <s:c r="IV32" s="131"/>
      <s:c r="IW32" s="131"/>
      <s:c r="IX32" s="131"/>
      <s:c r="IY32" s="131"/>
      <s:c r="IZ32" s="131"/>
      <s:c r="JA32" s="131"/>
    </s:row>
    <s:row r="33">
      <s:c r="A33" s="146" t="s">
        <s:v>67</s:v>
      </s:c>
      <s:c r="B33" s="134">
        <s:v>46062</s:v>
      </s:c>
      <s:c r="C33" s="135" t="s">
        <s:v>58</s:v>
      </s:c>
      <s:c r="D33" s="852">
        <s:v>0</s:v>
      </s:c>
      <s:c r="E33" s="148">
        <s:v>0</s:v>
      </s:c>
      <s:c r="F33" s="137" t="str">
        <s:f>IF(AND(E33&lt;&gt;"",E33&lt;&gt;0),D33/E33,"")</s:f>
        <s:v/>
      </s:c>
      <s:c r="G33" s="148">
        <s:v>0</s:v>
      </s:c>
      <s:c r="H33" s="137" t="str">
        <s:f>IF(AND(G33&lt;&gt;"",G33&lt;&gt;0),D33/G33,"")</s:f>
        <s:v/>
      </s:c>
      <s:c r="I33" s="148">
        <s:v>39</s:v>
      </s:c>
      <s:c r="J33" s="138" t="str">
        <s:f>IF(AND(G33&lt;&gt;"",G33&lt;&gt;0),E33/G33,"")</s:f>
        <s:v/>
      </s:c>
      <s:c r="K33" s="136"/>
      <s:c r="L33" s="136"/>
      <s:c r="M33" s="136"/>
      <s:c r="N33" s="136"/>
      <s:c r="O33" s="136"/>
      <s:c r="P33" s="139"/>
      <s:c r="Q33" s="139"/>
      <s:c r="R33" s="137"/>
      <s:c r="S33" s="137"/>
      <s:c r="T33" s="140">
        <s:f>IF(AND(I33&lt;&gt;"",I33&lt;&gt;0),G33/I33,"")</s:f>
        <s:v>0</s:v>
      </s:c>
      <s:c r="U33" s="141">
        <s:f>D33/V33</s:f>
        <s:v>0</s:v>
      </s:c>
      <s:c r="V33" s="142">
        <s:f>$I$8*AB33*AC33/SUMPRODUCT($AC$25:$AC$55,$AB$25:$AB$55)</s:f>
        <s:v>47460.722688084759</s:v>
      </s:c>
      <s:c r="W33" s="143">
        <s:f>$I$9*AB33*AC33/SUMPRODUCT($AC$25:$AC$55,$AB$25:$AB$55)</s:f>
        <s:v>6.5372896264579543</s:v>
      </s:c>
      <s:c r="X33" s="143">
        <s:f>IF($I$12="","",W33/$I$12)</s:f>
        <s:v>3.5528747969880183</s:v>
      </s:c>
      <s:c r="Y33" s="142">
        <s:f>IF(AC33&lt;&gt;"",IF(D33&lt;&gt;"",D33,($I$8-SUM($Y$25:Y32))*AB33*AC33/SUMPRODUCT($AC33:$AC$55,$AB33:$AB$55)),"")</s:f>
        <s:v>0</s:v>
      </s:c>
      <s:c r="Z33" s="143">
        <s:f>IF(AC33&lt;&gt;"",IF(E33&lt;&gt;"",E33,($I$9-SUM($Z$25:Z32))*AB33*AC33/SUMPRODUCT($AC33:$AC$55,$AB33:$AB$55)),"")</s:f>
        <s:v>0</s:v>
      </s:c>
      <s:c r="AA33" s="143">
        <s:f>IF(AC33&lt;&gt;"",IF($I$12&lt;&gt;"",IF(G33&lt;&gt;"",G33,($I$9/$I$12-SUM($AA$25:AA32))*AB33*AC33/SUMPRODUCT($AC33:$AC$55,$AB33:$AB$55)),""),"")</s:f>
        <s:v>0</s:v>
      </s:c>
      <s:c r="AB33" s="154">
        <s:v>0.75</s:v>
      </s:c>
      <s:c r="AC33" s="154">
        <s:v>0.75</s:v>
      </s:c>
      <s:c r="AD33" s="145"/>
      <s:c r="AE33" s="145"/>
      <s:c r="AF33" s="2"/>
      <s:c r="AG33" s="2"/>
      <s:c r="AH33" s="2"/>
      <s:c r="AI33" s="2"/>
      <s:c r="AJ33" s="2"/>
      <s:c r="AK33" s="2"/>
      <s:c r="AL33" s="2"/>
      <s:c r="AM33" s="2"/>
      <s:c r="AN33" s="2"/>
      <s:c r="AO33" s="2"/>
    </s:row>
    <s:row r="34">
      <s:c r="A34" s="146" t="s">
        <s:v>68</s:v>
      </s:c>
      <s:c r="B34" s="134">
        <s:v>46063</s:v>
      </s:c>
      <s:c r="C34" s="135" t="s">
        <s:v>60</s:v>
      </s:c>
      <s:c r="D34" s="852">
        <s:v>44550</s:v>
      </s:c>
      <s:c r="E34" s="136">
        <s:v>6</s:v>
      </s:c>
      <s:c r="F34" s="137">
        <s:f>IF(AND(E34&lt;&gt;"",E34&lt;&gt;0),D34/E34,"")</s:f>
        <s:v>7425</s:v>
      </s:c>
      <s:c r="G34" s="136">
        <s:v>4</s:v>
      </s:c>
      <s:c r="H34" s="137">
        <s:f>IF(AND(G34&lt;&gt;"",G34&lt;&gt;0),D34/G34,"")</s:f>
        <s:v>11137.5</s:v>
      </s:c>
      <s:c r="I34" s="136">
        <s:v>51</s:v>
      </s:c>
      <s:c r="J34" s="138">
        <s:f>IF(AND(G34&lt;&gt;"",G34&lt;&gt;0),E34/G34,"")</s:f>
        <s:v>1.5</s:v>
      </s:c>
      <s:c r="K34" s="136"/>
      <s:c r="L34" s="136"/>
      <s:c r="M34" s="136"/>
      <s:c r="N34" s="136"/>
      <s:c r="O34" s="136"/>
      <s:c r="P34" s="139"/>
      <s:c r="Q34" s="139">
        <s:v>9776.7800000000007</s:v>
      </s:c>
      <s:c r="R34" s="137"/>
      <s:c r="S34" s="137"/>
      <s:c r="T34" s="140">
        <s:f>IF(AND(I34&lt;&gt;"",I34&lt;&gt;0),G34/I34,"")</s:f>
        <s:v>7.8431372549019607E-2</s:v>
      </s:c>
      <s:c r="U34" s="141">
        <s:f>D34/V34</s:f>
        <s:v>0.93867091516464607</s:v>
      </s:c>
      <s:c r="V34" s="142">
        <s:f>$I$8*AB34*AC34/SUMPRODUCT($AC$25:$AC$55,$AB$25:$AB$55)</s:f>
        <s:v>47460.722688084759</s:v>
      </s:c>
      <s:c r="W34" s="143">
        <s:f>$I$9*AB34*AC34/SUMPRODUCT($AC$25:$AC$55,$AB$25:$AB$55)</s:f>
        <s:v>6.5372896264579543</s:v>
      </s:c>
      <s:c r="X34" s="143">
        <s:f>IF($I$12="","",W34/$I$12)</s:f>
        <s:v>3.5528747969880183</s:v>
      </s:c>
      <s:c r="Y34" s="142">
        <s:f>IF(AC34&lt;&gt;"",IF(D34&lt;&gt;"",D34,($I$8-SUM($Y$25:Y33))*AB34*AC34/SUMPRODUCT($AC34:$AC$55,$AB34:$AB$55)),"")</s:f>
        <s:v>44550</s:v>
      </s:c>
      <s:c r="Z34" s="143">
        <s:f>IF(AC34&lt;&gt;"",IF(E34&lt;&gt;"",E34,($I$9-SUM($Z$25:Z33))*AB34*AC34/SUMPRODUCT($AC34:$AC$55,$AB34:$AB$55)),"")</s:f>
        <s:v>6</s:v>
      </s:c>
      <s:c r="AA34" s="143">
        <s:f>IF(AC34&lt;&gt;"",IF($I$12&lt;&gt;"",IF(G34&lt;&gt;"",G34,($I$9/$I$12-SUM($AA$25:AA33))*AB34*AC34/SUMPRODUCT($AC34:$AC$55,$AB34:$AB$55)),""),"")</s:f>
        <s:v>4</s:v>
      </s:c>
      <s:c r="AB34" s="154">
        <s:v>0.75</s:v>
      </s:c>
      <s:c r="AC34" s="154">
        <s:v>0.75</s:v>
      </s:c>
      <s:c r="AD34" s="145"/>
      <s:c r="AE34" s="145"/>
      <s:c r="AF34" s="2"/>
      <s:c r="AG34" s="2"/>
      <s:c r="AH34" s="2"/>
      <s:c r="AI34" s="2"/>
      <s:c r="AJ34" s="2"/>
      <s:c r="AK34" s="2"/>
      <s:c r="AL34" s="2"/>
      <s:c r="AM34" s="2"/>
      <s:c r="AN34" s="2"/>
      <s:c r="AO34" s="2"/>
    </s:row>
    <s:row r="35">
      <s:c r="A35" s="146" t="s">
        <s:v>68</s:v>
      </s:c>
      <s:c r="B35" s="134">
        <s:v>46064</s:v>
      </s:c>
      <s:c r="C35" s="135" t="s">
        <s:v>62</s:v>
      </s:c>
      <s:c r="D35" s="852">
        <s:f>5692+4741</s:f>
        <s:v>10433</s:v>
      </s:c>
      <s:c r="E35" s="136">
        <s:v>2</s:v>
      </s:c>
      <s:c r="F35" s="137">
        <s:f>IF(AND(E35&lt;&gt;"",E35&lt;&gt;0),D35/E35,"")</s:f>
        <s:v>5216.5</s:v>
      </s:c>
      <s:c r="G35" s="136">
        <s:v>2</s:v>
      </s:c>
      <s:c r="H35" s="137">
        <s:f>IF(AND(G35&lt;&gt;"",G35&lt;&gt;0),D35/G35,"")</s:f>
        <s:v>5216.5</s:v>
      </s:c>
      <s:c r="I35" s="136">
        <s:v>54</s:v>
      </s:c>
      <s:c r="J35" s="138">
        <s:f>IF(AND(G35&lt;&gt;"",G35&lt;&gt;0),E35/G35,"")</s:f>
        <s:v>1</s:v>
      </s:c>
      <s:c r="K35" s="136"/>
      <s:c r="L35" s="136"/>
      <s:c r="M35" s="136"/>
      <s:c r="N35" s="136"/>
      <s:c r="O35" s="136"/>
      <s:c r="P35" s="139"/>
      <s:c r="Q35" s="139"/>
      <s:c r="R35" s="137"/>
      <s:c r="S35" s="137"/>
      <s:c r="T35" s="140">
        <s:f>IF(AND(I35&lt;&gt;"",I35&lt;&gt;0),G35/I35,"")</s:f>
        <s:v>3.7037037037037035E-2</s:v>
      </s:c>
      <s:c r="U35" s="141">
        <s:f>D35/V35</s:f>
        <s:v>0.19320457816273578</s:v>
      </s:c>
      <s:c r="V35" s="142">
        <s:f>$I$8*AB35*AC35/SUMPRODUCT($AC$25:$AC$55,$AB$25:$AB$55)</s:f>
        <s:v>53999.75559177644</s:v>
      </s:c>
      <s:c r="W35" s="143">
        <s:f>$I$9*AB35*AC35/SUMPRODUCT($AC$25:$AC$55,$AB$25:$AB$55)</s:f>
        <s:v>7.4379828638810519</s:v>
      </s:c>
      <s:c r="X35" s="143">
        <s:f>IF($I$12="","",W35/$I$12)</s:f>
        <s:v>4.0423819912397017</s:v>
      </s:c>
      <s:c r="Y35" s="142">
        <s:f>IF(AC35&lt;&gt;"",IF(D35&lt;&gt;"",D35,($I$8-SUM($Y$25:Y34))*AB35*AC35/SUMPRODUCT($AC35:$AC$55,$AB35:$AB$55)),"")</s:f>
        <s:v>10433</s:v>
      </s:c>
      <s:c r="Z35" s="143">
        <s:f>IF(AC35&lt;&gt;"",IF(E35&lt;&gt;"",E35,($I$9-SUM($Z$25:Z34))*AB35*AC35/SUMPRODUCT($AC35:$AC$55,$AB35:$AB$55)),"")</s:f>
        <s:v>2</s:v>
      </s:c>
      <s:c r="AA35" s="143">
        <s:f>IF(AC35&lt;&gt;"",IF($I$12&lt;&gt;"",IF(G35&lt;&gt;"",G35,($I$9/$I$12-SUM($AA$25:AA34))*AB35*AC35/SUMPRODUCT($AC35:$AC$55,$AB35:$AB$55)),""),"")</s:f>
        <s:v>2</s:v>
      </s:c>
      <s:c r="AB35" s="154">
        <s:v>0.8</s:v>
      </s:c>
      <s:c r="AC35" s="154">
        <s:v>0.8</s:v>
      </s:c>
      <s:c r="AD35" s="145"/>
      <s:c r="AE35" s="145"/>
      <s:c r="AF35" s="2"/>
      <s:c r="AG35" s="2"/>
      <s:c r="AH35" s="2"/>
      <s:c r="AI35" s="2"/>
      <s:c r="AJ35" s="2"/>
      <s:c r="AK35" s="2"/>
      <s:c r="AL35" s="2"/>
      <s:c r="AM35" s="2"/>
      <s:c r="AN35" s="2"/>
      <s:c r="AO35" s="2"/>
    </s:row>
    <s:row r="36">
      <s:c r="A36" s="146" t="s">
        <s:v>69</s:v>
      </s:c>
      <s:c r="B36" s="134">
        <s:v>46065</s:v>
      </s:c>
      <s:c r="C36" s="135" t="s">
        <s:v>63</s:v>
      </s:c>
      <s:c r="D36" s="852">
        <s:f>181056+27344</s:f>
        <s:v>208400</s:v>
      </s:c>
      <s:c r="E36" s="155">
        <s:v>14</s:v>
      </s:c>
      <s:c r="F36" s="137">
        <s:f>IF(AND(E36&lt;&gt;"",E36&lt;&gt;0),D36/E36,"")</s:f>
        <s:v>14885.714285714286</s:v>
      </s:c>
      <s:c r="G36" s="136">
        <s:v>4</s:v>
      </s:c>
      <s:c r="H36" s="137">
        <s:f>IF(AND(G36&lt;&gt;"",G36&lt;&gt;0),D36/G36,"")</s:f>
        <s:v>52100</s:v>
      </s:c>
      <s:c r="I36" s="136">
        <s:v>41</s:v>
      </s:c>
      <s:c r="J36" s="138">
        <s:f>IF(AND(G36&lt;&gt;"",G36&lt;&gt;0),E36/G36,"")</s:f>
        <s:v>3.5</s:v>
      </s:c>
      <s:c r="K36" s="136">
        <s:v>62658</s:v>
      </s:c>
      <s:c r="L36" s="136">
        <s:v>15902</s:v>
      </s:c>
      <s:c r="M36" s="136">
        <s:v>23181</s:v>
      </s:c>
      <s:c r="N36" s="136"/>
      <s:c r="O36" s="136"/>
      <s:c r="P36" s="139"/>
      <s:c r="Q36" s="139"/>
      <s:c r="R36" s="137">
        <s:v>79315</s:v>
      </s:c>
      <s:c r="S36" s="137">
        <s:v>1647</s:v>
      </s:c>
      <s:c r="T36" s="140">
        <s:f>IF(AND(I36&lt;&gt;"",I36&lt;&gt;0),G36/I36,"")</s:f>
        <s:v>9.7560975609756101E-2</s:v>
      </s:c>
      <s:c r="U36" s="141">
        <s:f>D36/V36</s:f>
        <s:v>3.8592767266475736</s:v>
      </s:c>
      <s:c r="V36" s="142">
        <s:f>$I$8*AB36*AC36/SUMPRODUCT($AC$25:$AC$55,$AB$25:$AB$55)</s:f>
        <s:v>53999.75559177644</s:v>
      </s:c>
      <s:c r="W36" s="143">
        <s:f>$I$9*AB36*AC36/SUMPRODUCT($AC$25:$AC$55,$AB$25:$AB$55)</s:f>
        <s:v>7.4379828638810519</s:v>
      </s:c>
      <s:c r="X36" s="143">
        <s:f>IF($I$12="","",W36/$I$12)</s:f>
        <s:v>4.0423819912397017</s:v>
      </s:c>
      <s:c r="Y36" s="142">
        <s:f>IF(AC36&lt;&gt;"",IF(D36&lt;&gt;"",D36,($I$8-SUM($Y$25:Y35))*AB36*AC36/SUMPRODUCT($AC36:$AC$55,$AB36:$AB$55)),"")</s:f>
        <s:v>208400</s:v>
      </s:c>
      <s:c r="Z36" s="143">
        <s:f>IF(AC36&lt;&gt;"",IF(E35&lt;&gt;"",E35,($I$9-SUM($Z$25:Z35))*AB36*AC36/SUMPRODUCT($AC36:$AC$55,$AB36:$AB$55)),"")</s:f>
        <s:v>2</s:v>
      </s:c>
      <s:c r="AA36" s="143">
        <s:f>IF(AC36&lt;&gt;"",IF($I$12&lt;&gt;"",IF(G36&lt;&gt;"",G36,($I$9/$I$12-SUM($AA$25:AA35))*AB36*AC36/SUMPRODUCT($AC36:$AC$55,$AB36:$AB$55)),""),"")</s:f>
        <s:v>4</s:v>
      </s:c>
      <s:c r="AB36" s="154">
        <s:v>0.8</s:v>
      </s:c>
      <s:c r="AC36" s="154">
        <s:v>0.8</s:v>
      </s:c>
      <s:c r="AD36" s="145"/>
      <s:c r="AE36" s="145"/>
      <s:c r="AF36" s="2"/>
      <s:c r="AG36" s="2"/>
      <s:c r="AH36" s="2"/>
      <s:c r="AI36" s="2"/>
      <s:c r="AJ36" s="2"/>
      <s:c r="AK36" s="2"/>
      <s:c r="AL36" s="2"/>
      <s:c r="AM36" s="2"/>
      <s:c r="AN36" s="2"/>
      <s:c r="AO36" s="2"/>
    </s:row>
    <s:row r="37">
      <s:c r="A37" s="146" t="s">
        <s:v>69</s:v>
      </s:c>
      <s:c r="B37" s="120">
        <s:v>46066</s:v>
      </s:c>
      <s:c r="C37" s="121" t="s">
        <s:v>64</s:v>
      </s:c>
      <s:c r="D37" s="854">
        <s:f>48975+10982</s:f>
        <s:v>59957</s:v>
      </s:c>
      <s:c r="E37" s="125">
        <s:v>9</s:v>
      </s:c>
      <s:c r="F37" s="123">
        <s:f>IF(AND(E37&lt;&gt;"",E37&lt;&gt;0),D37/E37,"")</s:f>
        <s:v>6661.8888888888887</s:v>
      </s:c>
      <s:c r="G37" s="125">
        <s:v>6</s:v>
      </s:c>
      <s:c r="H37" s="123">
        <s:f>IF(AND(G37&lt;&gt;"",G37&lt;&gt;0),D37/G37,"")</s:f>
        <s:v>9992.8333333333339</s:v>
      </s:c>
      <s:c r="I37" s="125">
        <s:v>71</s:v>
      </s:c>
      <s:c r="J37" s="124">
        <s:f>IF(AND(G37&lt;&gt;"",G37&lt;&gt;0),E37/G37,"")</s:f>
        <s:v>1.5</s:v>
      </s:c>
      <s:c r="K37" s="123"/>
      <s:c r="L37" s="125"/>
      <s:c r="M37" s="125">
        <s:v>10982</s:v>
      </s:c>
      <s:c r="N37" s="125"/>
      <s:c r="O37" s="125"/>
      <s:c r="P37" s="122"/>
      <s:c r="Q37" s="122"/>
      <s:c r="R37" s="123"/>
      <s:c r="S37" s="123"/>
      <s:c r="T37" s="126">
        <s:f>IF(AND(I37&lt;&gt;"",I37&lt;&gt;0),G37/I37,"")</s:f>
        <s:v>8.4507042253521125E-2</s:v>
      </s:c>
      <s:c r="U37" s="127">
        <s:f>D37/V37</s:f>
        <s:v>0.71060469773392287</s:v>
      </s:c>
      <s:c r="V37" s="128">
        <s:f>$I$8*AB37*AC37/SUMPRODUCT($AC$25:$AC$55,$AB$25:$AB$55)</s:f>
        <s:v>84374.618112150667</s:v>
      </s:c>
      <s:c r="W37" s="129">
        <s:f>$I$9*AB37*AC37/SUMPRODUCT($AC$25:$AC$55,$AB$25:$AB$55)</s:f>
        <s:v>11.621848224814142</s:v>
      </s:c>
      <s:c r="X37" s="129">
        <s:f>IF($I$12="","",W37/$I$12)</s:f>
        <s:v>6.3162218613120338</s:v>
      </s:c>
      <s:c r="Y37" s="128">
        <s:f>IF(AC37&lt;&gt;"",IF(D37&lt;&gt;"",D37,($I$8-SUM($Y$25:Y36))*AB37*AC37/SUMPRODUCT($AC37:$AC$55,$AB37:$AB$55)),"")</s:f>
        <s:v>59957</s:v>
      </s:c>
      <s:c r="Z37" s="129">
        <s:f>IF(AC37&lt;&gt;"",IF(E37&lt;&gt;"",E37,($I$9-SUM($Z$25:Z36))*AB37*AC37/SUMPRODUCT($AC37:$AC$55,$AB37:$AB$55)),"")</s:f>
        <s:v>9</s:v>
      </s:c>
      <s:c r="AA37" s="129">
        <s:f>IF(AC37&lt;&gt;"",IF($I$12&lt;&gt;"",IF(G37&lt;&gt;"",G37,($I$9/$I$12-SUM($AA$25:AA36))*AB37*AC37/SUMPRODUCT($AC37:$AC$55,$AB37:$AB$55)),""),"")</s:f>
        <s:v>6</s:v>
      </s:c>
      <s:c r="AB37" s="130">
        <s:v>1</s:v>
      </s:c>
      <s:c r="AC37" s="130">
        <s:v>1</s:v>
      </s:c>
      <s:c r="AD37" s="132"/>
      <s:c r="AE37" s="132"/>
      <s:c r="AF37" s="131"/>
      <s:c r="AG37" s="131"/>
      <s:c r="AH37" s="131"/>
      <s:c r="AI37" s="131"/>
      <s:c r="AJ37" s="131"/>
      <s:c r="AK37" s="131"/>
      <s:c r="AL37" s="131"/>
      <s:c r="AM37" s="131"/>
      <s:c r="AN37" s="131"/>
      <s:c r="AO37" s="131"/>
      <s:c r="AP37" s="131"/>
      <s:c r="AQ37" s="131"/>
      <s:c r="AR37" s="131"/>
      <s:c r="AS37" s="131"/>
      <s:c r="AT37" s="131"/>
      <s:c r="AU37" s="131"/>
      <s:c r="AV37" s="131"/>
      <s:c r="AW37" s="131"/>
      <s:c r="AX37" s="131"/>
      <s:c r="AY37" s="131"/>
      <s:c r="AZ37" s="131"/>
      <s:c r="BA37" s="131"/>
      <s:c r="BB37" s="131"/>
      <s:c r="BC37" s="131"/>
      <s:c r="BD37" s="131"/>
      <s:c r="BE37" s="131"/>
      <s:c r="BF37" s="131"/>
      <s:c r="BG37" s="131"/>
      <s:c r="BH37" s="131"/>
      <s:c r="BI37" s="131"/>
      <s:c r="BJ37" s="131"/>
      <s:c r="BK37" s="131"/>
      <s:c r="BL37" s="131"/>
      <s:c r="BM37" s="131"/>
      <s:c r="BN37" s="131"/>
      <s:c r="BO37" s="131"/>
      <s:c r="BP37" s="131"/>
      <s:c r="BQ37" s="131"/>
      <s:c r="BR37" s="131"/>
      <s:c r="BS37" s="131"/>
      <s:c r="BT37" s="131"/>
      <s:c r="BU37" s="131"/>
      <s:c r="BV37" s="131"/>
      <s:c r="BW37" s="131"/>
      <s:c r="BX37" s="131"/>
      <s:c r="BY37" s="131"/>
      <s:c r="BZ37" s="131"/>
      <s:c r="CA37" s="131"/>
      <s:c r="CB37" s="131"/>
      <s:c r="CC37" s="131"/>
      <s:c r="CD37" s="131"/>
      <s:c r="CE37" s="131"/>
      <s:c r="CF37" s="131"/>
      <s:c r="CG37" s="131"/>
      <s:c r="CH37" s="131"/>
      <s:c r="CI37" s="131"/>
      <s:c r="CJ37" s="131"/>
      <s:c r="CK37" s="131"/>
      <s:c r="CL37" s="131"/>
      <s:c r="CM37" s="131"/>
      <s:c r="CN37" s="131"/>
      <s:c r="CO37" s="131"/>
      <s:c r="CP37" s="131"/>
      <s:c r="CQ37" s="131"/>
      <s:c r="CR37" s="131"/>
      <s:c r="CS37" s="131"/>
      <s:c r="CT37" s="131"/>
      <s:c r="CU37" s="131"/>
      <s:c r="CV37" s="131"/>
      <s:c r="CW37" s="131"/>
      <s:c r="CX37" s="131"/>
      <s:c r="CY37" s="131"/>
      <s:c r="CZ37" s="131"/>
      <s:c r="DA37" s="131"/>
      <s:c r="DB37" s="131"/>
      <s:c r="DC37" s="131"/>
      <s:c r="DD37" s="131"/>
      <s:c r="DE37" s="131"/>
      <s:c r="DF37" s="131"/>
      <s:c r="DG37" s="131"/>
      <s:c r="DH37" s="131"/>
      <s:c r="DI37" s="131"/>
      <s:c r="DJ37" s="131"/>
      <s:c r="DK37" s="131"/>
      <s:c r="DL37" s="131"/>
      <s:c r="DM37" s="131"/>
      <s:c r="DN37" s="131"/>
      <s:c r="DO37" s="131"/>
      <s:c r="DP37" s="131"/>
      <s:c r="DQ37" s="131"/>
      <s:c r="DR37" s="131"/>
      <s:c r="DS37" s="131"/>
      <s:c r="DT37" s="131"/>
      <s:c r="DU37" s="131"/>
      <s:c r="DV37" s="131"/>
      <s:c r="DW37" s="131"/>
      <s:c r="DX37" s="131"/>
      <s:c r="DY37" s="131"/>
      <s:c r="DZ37" s="131"/>
      <s:c r="EA37" s="131"/>
      <s:c r="EB37" s="131"/>
      <s:c r="EC37" s="131"/>
      <s:c r="ED37" s="131"/>
      <s:c r="EE37" s="131"/>
      <s:c r="EF37" s="131"/>
      <s:c r="EG37" s="131"/>
      <s:c r="EH37" s="131"/>
      <s:c r="EI37" s="131"/>
      <s:c r="EJ37" s="131"/>
      <s:c r="EK37" s="131"/>
      <s:c r="EL37" s="131"/>
      <s:c r="EM37" s="131"/>
      <s:c r="EN37" s="131"/>
      <s:c r="EO37" s="131"/>
      <s:c r="EP37" s="131"/>
      <s:c r="EQ37" s="131"/>
      <s:c r="ER37" s="131"/>
      <s:c r="ES37" s="131"/>
      <s:c r="ET37" s="131"/>
      <s:c r="EU37" s="131"/>
      <s:c r="EV37" s="131"/>
      <s:c r="EW37" s="131"/>
      <s:c r="EX37" s="131"/>
      <s:c r="EY37" s="131"/>
      <s:c r="EZ37" s="131"/>
      <s:c r="FA37" s="131"/>
      <s:c r="FB37" s="131"/>
      <s:c r="FC37" s="131"/>
      <s:c r="FD37" s="131"/>
      <s:c r="FE37" s="131"/>
      <s:c r="FF37" s="131"/>
      <s:c r="FG37" s="131"/>
      <s:c r="FH37" s="131"/>
      <s:c r="FI37" s="131"/>
      <s:c r="FJ37" s="131"/>
      <s:c r="FK37" s="131"/>
      <s:c r="FL37" s="131"/>
      <s:c r="FM37" s="131"/>
      <s:c r="FN37" s="131"/>
      <s:c r="FO37" s="131"/>
      <s:c r="FP37" s="131"/>
      <s:c r="FQ37" s="131"/>
      <s:c r="FR37" s="131"/>
      <s:c r="FS37" s="131"/>
      <s:c r="FT37" s="131"/>
      <s:c r="FU37" s="131"/>
      <s:c r="FV37" s="131"/>
      <s:c r="FW37" s="131"/>
      <s:c r="FX37" s="131"/>
      <s:c r="FY37" s="131"/>
      <s:c r="FZ37" s="131"/>
      <s:c r="GA37" s="131"/>
      <s:c r="GB37" s="131"/>
      <s:c r="GC37" s="131"/>
      <s:c r="GD37" s="131"/>
      <s:c r="GE37" s="131"/>
      <s:c r="GF37" s="131"/>
      <s:c r="GG37" s="131"/>
      <s:c r="GH37" s="131"/>
      <s:c r="GI37" s="131"/>
      <s:c r="GJ37" s="131"/>
      <s:c r="GK37" s="131"/>
      <s:c r="GL37" s="131"/>
      <s:c r="GM37" s="131"/>
      <s:c r="GN37" s="131"/>
      <s:c r="GO37" s="131"/>
      <s:c r="GP37" s="131"/>
      <s:c r="GQ37" s="131"/>
      <s:c r="GR37" s="131"/>
      <s:c r="GS37" s="131"/>
      <s:c r="GT37" s="131"/>
      <s:c r="GU37" s="131"/>
      <s:c r="GV37" s="131"/>
      <s:c r="GW37" s="131"/>
      <s:c r="GX37" s="131"/>
      <s:c r="GY37" s="131"/>
      <s:c r="GZ37" s="131"/>
      <s:c r="HA37" s="131"/>
      <s:c r="HB37" s="131"/>
      <s:c r="HC37" s="131"/>
      <s:c r="HD37" s="131"/>
      <s:c r="HE37" s="131"/>
      <s:c r="HF37" s="131"/>
      <s:c r="HG37" s="131"/>
      <s:c r="HH37" s="131"/>
      <s:c r="HI37" s="131"/>
      <s:c r="HJ37" s="131"/>
      <s:c r="HK37" s="131"/>
      <s:c r="HL37" s="131"/>
      <s:c r="HM37" s="131"/>
      <s:c r="HN37" s="131"/>
      <s:c r="HO37" s="131"/>
      <s:c r="HP37" s="131"/>
      <s:c r="HQ37" s="131"/>
      <s:c r="HR37" s="131"/>
      <s:c r="HS37" s="131"/>
      <s:c r="HT37" s="131"/>
      <s:c r="HU37" s="131"/>
      <s:c r="HV37" s="131"/>
      <s:c r="HW37" s="131"/>
      <s:c r="HX37" s="131"/>
      <s:c r="HY37" s="131"/>
      <s:c r="HZ37" s="131"/>
      <s:c r="IA37" s="131"/>
      <s:c r="IB37" s="131"/>
      <s:c r="IC37" s="131"/>
      <s:c r="ID37" s="131"/>
      <s:c r="IE37" s="131"/>
      <s:c r="IF37" s="131"/>
      <s:c r="IG37" s="131"/>
      <s:c r="IH37" s="131"/>
      <s:c r="II37" s="131"/>
      <s:c r="IJ37" s="131"/>
      <s:c r="IK37" s="131"/>
      <s:c r="IL37" s="131"/>
      <s:c r="IM37" s="131"/>
      <s:c r="IN37" s="131"/>
      <s:c r="IO37" s="131"/>
      <s:c r="IP37" s="131"/>
      <s:c r="IQ37" s="131"/>
      <s:c r="IR37" s="131"/>
      <s:c r="IS37" s="131"/>
      <s:c r="IT37" s="131"/>
      <s:c r="IU37" s="131"/>
      <s:c r="IV37" s="131"/>
      <s:c r="IW37" s="131"/>
      <s:c r="IX37" s="131"/>
      <s:c r="IY37" s="131"/>
      <s:c r="IZ37" s="131"/>
      <s:c r="JA37" s="131"/>
    </s:row>
    <s:row r="38">
      <s:c r="A38" s="156" t="s">
        <s:v>59</s:v>
      </s:c>
      <s:c r="B38" s="120">
        <s:v>46067</s:v>
      </s:c>
      <s:c r="C38" s="121" t="s">
        <s:v>66</s:v>
      </s:c>
      <s:c r="D38" s="854">
        <s:v>38589</s:v>
      </s:c>
      <s:c r="E38" s="125">
        <s:v>4</s:v>
      </s:c>
      <s:c r="F38" s="123">
        <s:f>IF(AND(E38&lt;&gt;"",E38&lt;&gt;0),D38/E38,"")</s:f>
        <s:v>9647.25</s:v>
      </s:c>
      <s:c r="G38" s="125">
        <s:v>3</s:v>
      </s:c>
      <s:c r="H38" s="123">
        <s:f>IF(AND(G38&lt;&gt;"",G38&lt;&gt;0),D38/G38,"")</s:f>
        <s:v>12863</s:v>
      </s:c>
      <s:c r="I38" s="125">
        <s:v>51</s:v>
      </s:c>
      <s:c r="J38" s="124">
        <s:f>IF(AND(G38&lt;&gt;"",G38&lt;&gt;0),E38/G38,"")</s:f>
        <s:v>1.3333333333333333</s:v>
      </s:c>
      <s:c r="K38" s="125"/>
      <s:c r="L38" s="125"/>
      <s:c r="M38" s="125"/>
      <s:c r="N38" s="125"/>
      <s:c r="O38" s="125"/>
      <s:c r="P38" s="122"/>
      <s:c r="Q38" s="122"/>
      <s:c r="R38" s="123"/>
      <s:c r="S38" s="123"/>
      <s:c r="T38" s="126">
        <s:f>IF(AND(I38&lt;&gt;"",I38&lt;&gt;0),G38/I38,"")</s:f>
        <s:v>5.8823529411764705E-2</s:v>
      </s:c>
      <s:c r="U38" s="127">
        <s:f>D38/V38</s:f>
        <s:v>0.37797783564246312</s:v>
      </s:c>
      <s:c r="V38" s="128">
        <s:f>$I$8*AB38*AC38/SUMPRODUCT($AC$25:$AC$55,$AB$25:$AB$55)</s:f>
        <s:v>102093.28791570233</s:v>
      </s:c>
      <s:c r="W38" s="129">
        <s:f>$I$9*AB38*AC38/SUMPRODUCT($AC$25:$AC$55,$AB$25:$AB$55)</s:f>
        <s:v>14.062436352025115</s:v>
      </s:c>
      <s:c r="X38" s="129">
        <s:f>IF($I$12="","",W38/$I$12)</s:f>
        <s:v>7.6426284521875623</s:v>
      </s:c>
      <s:c r="Y38" s="128">
        <s:f>IF(AC38&lt;&gt;"",IF(D38&lt;&gt;"",D38,($I$8-SUM($Y$25:Y37))*AB38*AC38/SUMPRODUCT($AC38:$AC$55,$AB38:$AB$55)),"")</s:f>
        <s:v>38589</s:v>
      </s:c>
      <s:c r="Z38" s="129">
        <s:f>IF(AC38&lt;&gt;"",IF(E38&lt;&gt;"",E38,($I$9-SUM($Z$25:Z37))*AB38*AC38/SUMPRODUCT($AC38:$AC$55,$AB38:$AB$55)),"")</s:f>
        <s:v>4</s:v>
      </s:c>
      <s:c r="AA38" s="129">
        <s:f>IF(AC38&lt;&gt;"",IF($I$12&lt;&gt;"",IF(G38&lt;&gt;"",G38,($I$9/$I$12-SUM($AA$25:AA37))*AB38*AC38/SUMPRODUCT($AC38:$AC$55,$AB38:$AB$55)),""),"")</s:f>
        <s:v>3</s:v>
      </s:c>
      <s:c r="AB38" s="152">
        <s:v>1.1000000000000001</s:v>
      </s:c>
      <s:c r="AC38" s="152">
        <s:v>1.1000000000000001</s:v>
      </s:c>
      <s:c r="AD38" s="132"/>
      <s:c r="AE38" s="132"/>
      <s:c r="AF38" s="131"/>
      <s:c r="AG38" s="131"/>
      <s:c r="AH38" s="131"/>
      <s:c r="AI38" s="131"/>
      <s:c r="AJ38" s="131"/>
      <s:c r="AK38" s="131"/>
      <s:c r="AL38" s="131"/>
      <s:c r="AM38" s="131"/>
      <s:c r="AN38" s="131"/>
      <s:c r="AO38" s="131"/>
      <s:c r="AP38" s="131"/>
      <s:c r="AQ38" s="131"/>
      <s:c r="AR38" s="131"/>
      <s:c r="AS38" s="131"/>
      <s:c r="AT38" s="131"/>
      <s:c r="AU38" s="131"/>
      <s:c r="AV38" s="131"/>
      <s:c r="AW38" s="131"/>
      <s:c r="AX38" s="131"/>
      <s:c r="AY38" s="131"/>
      <s:c r="AZ38" s="131"/>
      <s:c r="BA38" s="131"/>
      <s:c r="BB38" s="131"/>
      <s:c r="BC38" s="131"/>
      <s:c r="BD38" s="131"/>
      <s:c r="BE38" s="131"/>
      <s:c r="BF38" s="131"/>
      <s:c r="BG38" s="131"/>
      <s:c r="BH38" s="131"/>
      <s:c r="BI38" s="131"/>
      <s:c r="BJ38" s="131"/>
      <s:c r="BK38" s="131"/>
      <s:c r="BL38" s="131"/>
      <s:c r="BM38" s="131"/>
      <s:c r="BN38" s="131"/>
      <s:c r="BO38" s="131"/>
      <s:c r="BP38" s="131"/>
      <s:c r="BQ38" s="131"/>
      <s:c r="BR38" s="131"/>
      <s:c r="BS38" s="131"/>
      <s:c r="BT38" s="131"/>
      <s:c r="BU38" s="131"/>
      <s:c r="BV38" s="131"/>
      <s:c r="BW38" s="131"/>
      <s:c r="BX38" s="131"/>
      <s:c r="BY38" s="131"/>
      <s:c r="BZ38" s="131"/>
      <s:c r="CA38" s="131"/>
      <s:c r="CB38" s="131"/>
      <s:c r="CC38" s="131"/>
      <s:c r="CD38" s="131"/>
      <s:c r="CE38" s="131"/>
      <s:c r="CF38" s="131"/>
      <s:c r="CG38" s="131"/>
      <s:c r="CH38" s="131"/>
      <s:c r="CI38" s="131"/>
      <s:c r="CJ38" s="131"/>
      <s:c r="CK38" s="131"/>
      <s:c r="CL38" s="131"/>
      <s:c r="CM38" s="131"/>
      <s:c r="CN38" s="131"/>
      <s:c r="CO38" s="131"/>
      <s:c r="CP38" s="131"/>
      <s:c r="CQ38" s="131"/>
      <s:c r="CR38" s="131"/>
      <s:c r="CS38" s="131"/>
      <s:c r="CT38" s="131"/>
      <s:c r="CU38" s="131"/>
      <s:c r="CV38" s="131"/>
      <s:c r="CW38" s="131"/>
      <s:c r="CX38" s="131"/>
      <s:c r="CY38" s="131"/>
      <s:c r="CZ38" s="131"/>
      <s:c r="DA38" s="131"/>
      <s:c r="DB38" s="131"/>
      <s:c r="DC38" s="131"/>
      <s:c r="DD38" s="131"/>
      <s:c r="DE38" s="131"/>
      <s:c r="DF38" s="131"/>
      <s:c r="DG38" s="131"/>
      <s:c r="DH38" s="131"/>
      <s:c r="DI38" s="131"/>
      <s:c r="DJ38" s="131"/>
      <s:c r="DK38" s="131"/>
      <s:c r="DL38" s="131"/>
      <s:c r="DM38" s="131"/>
      <s:c r="DN38" s="131"/>
      <s:c r="DO38" s="131"/>
      <s:c r="DP38" s="131"/>
      <s:c r="DQ38" s="131"/>
      <s:c r="DR38" s="131"/>
      <s:c r="DS38" s="131"/>
      <s:c r="DT38" s="131"/>
      <s:c r="DU38" s="131"/>
      <s:c r="DV38" s="131"/>
      <s:c r="DW38" s="131"/>
      <s:c r="DX38" s="131"/>
      <s:c r="DY38" s="131"/>
      <s:c r="DZ38" s="131"/>
      <s:c r="EA38" s="131"/>
      <s:c r="EB38" s="131"/>
      <s:c r="EC38" s="131"/>
      <s:c r="ED38" s="131"/>
      <s:c r="EE38" s="131"/>
      <s:c r="EF38" s="131"/>
      <s:c r="EG38" s="131"/>
      <s:c r="EH38" s="131"/>
      <s:c r="EI38" s="131"/>
      <s:c r="EJ38" s="131"/>
      <s:c r="EK38" s="131"/>
      <s:c r="EL38" s="131"/>
      <s:c r="EM38" s="131"/>
      <s:c r="EN38" s="131"/>
      <s:c r="EO38" s="131"/>
      <s:c r="EP38" s="131"/>
      <s:c r="EQ38" s="131"/>
      <s:c r="ER38" s="131"/>
      <s:c r="ES38" s="131"/>
      <s:c r="ET38" s="131"/>
      <s:c r="EU38" s="131"/>
      <s:c r="EV38" s="131"/>
      <s:c r="EW38" s="131"/>
      <s:c r="EX38" s="131"/>
      <s:c r="EY38" s="131"/>
      <s:c r="EZ38" s="131"/>
      <s:c r="FA38" s="131"/>
      <s:c r="FB38" s="131"/>
      <s:c r="FC38" s="131"/>
      <s:c r="FD38" s="131"/>
      <s:c r="FE38" s="131"/>
      <s:c r="FF38" s="131"/>
      <s:c r="FG38" s="131"/>
      <s:c r="FH38" s="131"/>
      <s:c r="FI38" s="131"/>
      <s:c r="FJ38" s="131"/>
      <s:c r="FK38" s="131"/>
      <s:c r="FL38" s="131"/>
      <s:c r="FM38" s="131"/>
      <s:c r="FN38" s="131"/>
      <s:c r="FO38" s="131"/>
      <s:c r="FP38" s="131"/>
      <s:c r="FQ38" s="131"/>
      <s:c r="FR38" s="131"/>
      <s:c r="FS38" s="131"/>
      <s:c r="FT38" s="131"/>
      <s:c r="FU38" s="131"/>
      <s:c r="FV38" s="131"/>
      <s:c r="FW38" s="131"/>
      <s:c r="FX38" s="131"/>
      <s:c r="FY38" s="131"/>
      <s:c r="FZ38" s="131"/>
      <s:c r="GA38" s="131"/>
      <s:c r="GB38" s="131"/>
      <s:c r="GC38" s="131"/>
      <s:c r="GD38" s="131"/>
      <s:c r="GE38" s="131"/>
      <s:c r="GF38" s="131"/>
      <s:c r="GG38" s="131"/>
      <s:c r="GH38" s="131"/>
      <s:c r="GI38" s="131"/>
      <s:c r="GJ38" s="131"/>
      <s:c r="GK38" s="131"/>
      <s:c r="GL38" s="131"/>
      <s:c r="GM38" s="131"/>
      <s:c r="GN38" s="131"/>
      <s:c r="GO38" s="131"/>
      <s:c r="GP38" s="131"/>
      <s:c r="GQ38" s="131"/>
      <s:c r="GR38" s="131"/>
      <s:c r="GS38" s="131"/>
      <s:c r="GT38" s="131"/>
      <s:c r="GU38" s="131"/>
      <s:c r="GV38" s="131"/>
      <s:c r="GW38" s="131"/>
      <s:c r="GX38" s="131"/>
      <s:c r="GY38" s="131"/>
      <s:c r="GZ38" s="131"/>
      <s:c r="HA38" s="131"/>
      <s:c r="HB38" s="131"/>
      <s:c r="HC38" s="131"/>
      <s:c r="HD38" s="131"/>
      <s:c r="HE38" s="131"/>
      <s:c r="HF38" s="131"/>
      <s:c r="HG38" s="131"/>
      <s:c r="HH38" s="131"/>
      <s:c r="HI38" s="131"/>
      <s:c r="HJ38" s="131"/>
      <s:c r="HK38" s="131"/>
      <s:c r="HL38" s="131"/>
      <s:c r="HM38" s="131"/>
      <s:c r="HN38" s="131"/>
      <s:c r="HO38" s="131"/>
      <s:c r="HP38" s="131"/>
      <s:c r="HQ38" s="131"/>
      <s:c r="HR38" s="131"/>
      <s:c r="HS38" s="131"/>
      <s:c r="HT38" s="131"/>
      <s:c r="HU38" s="131"/>
      <s:c r="HV38" s="131"/>
      <s:c r="HW38" s="131"/>
      <s:c r="HX38" s="131"/>
      <s:c r="HY38" s="131"/>
      <s:c r="HZ38" s="131"/>
      <s:c r="IA38" s="131"/>
      <s:c r="IB38" s="131"/>
      <s:c r="IC38" s="131"/>
      <s:c r="ID38" s="131"/>
      <s:c r="IE38" s="131"/>
      <s:c r="IF38" s="131"/>
      <s:c r="IG38" s="131"/>
      <s:c r="IH38" s="131"/>
      <s:c r="II38" s="131"/>
      <s:c r="IJ38" s="131"/>
      <s:c r="IK38" s="131"/>
      <s:c r="IL38" s="131"/>
      <s:c r="IM38" s="131"/>
      <s:c r="IN38" s="131"/>
      <s:c r="IO38" s="131"/>
      <s:c r="IP38" s="131"/>
      <s:c r="IQ38" s="131"/>
      <s:c r="IR38" s="131"/>
      <s:c r="IS38" s="131"/>
      <s:c r="IT38" s="131"/>
      <s:c r="IU38" s="131"/>
      <s:c r="IV38" s="131"/>
      <s:c r="IW38" s="131"/>
      <s:c r="IX38" s="131"/>
      <s:c r="IY38" s="131"/>
      <s:c r="IZ38" s="131"/>
      <s:c r="JA38" s="131"/>
    </s:row>
    <s:row r="39">
      <s:c r="A39" s="156" t="s">
        <s:v>59</s:v>
      </s:c>
      <s:c r="B39" s="120">
        <s:v>46068</s:v>
      </s:c>
      <s:c r="C39" s="121" t="s">
        <s:v>57</s:v>
      </s:c>
      <s:c r="D39" s="853">
        <s:v>3193</s:v>
      </s:c>
      <s:c r="E39" s="125">
        <s:v>1</s:v>
      </s:c>
      <s:c r="F39" s="123">
        <s:f>IF(AND(E39&lt;&gt;"",E39&lt;&gt;0),D39/E39,"")</s:f>
        <s:v>3193</s:v>
      </s:c>
      <s:c r="G39" s="125">
        <s:v>1</s:v>
      </s:c>
      <s:c r="H39" s="123">
        <s:f>IF(AND(G39&lt;&gt;"",G39&lt;&gt;0),D39/G39,"")</s:f>
        <s:v>3193</s:v>
      </s:c>
      <s:c r="I39" s="125">
        <s:v>67</s:v>
      </s:c>
      <s:c r="J39" s="124">
        <s:f>IF(AND(G39&lt;&gt;"",G39&lt;&gt;0),E39/G39,"")</s:f>
        <s:v>1</s:v>
      </s:c>
      <s:c r="K39" s="125"/>
      <s:c r="L39" s="125"/>
      <s:c r="M39" s="125"/>
      <s:c r="N39" s="125"/>
      <s:c r="O39" s="125"/>
      <s:c r="P39" s="122"/>
      <s:c r="Q39" s="122"/>
      <s:c r="R39" s="157"/>
      <s:c r="S39" s="157"/>
      <s:c r="T39" s="126">
        <s:f>IF(AND(I39&lt;&gt;"",I39&lt;&gt;0),G39/I39,"")</s:f>
        <s:v>1.4925373134328358E-2</s:v>
      </s:c>
      <s:c r="U39" s="127">
        <s:f>D39/V39</s:f>
        <s:v>4.2696039828460208E-2</s:v>
      </s:c>
      <s:c r="V39" s="128">
        <s:f>$I$8*AB39*AC39/SUMPRODUCT($AC$25:$AC$55,$AB$25:$AB$55)</s:f>
        <s:v>74784.453378545397</s:v>
      </s:c>
      <s:c r="W39" s="129">
        <s:f>$I$9*AB39*AC39/SUMPRODUCT($AC$25:$AC$55,$AB$25:$AB$55)</s:f>
        <s:v>10.300888895116445</s:v>
      </s:c>
      <s:c r="X39" s="129">
        <s:f>IF($I$12="","",W39/$I$12)</s:f>
        <s:v>5.5983091821285029</s:v>
      </s:c>
      <s:c r="Y39" s="128">
        <s:f>IF(AC39&lt;&gt;"",IF(D39&lt;&gt;"",D39,($I$8-SUM($Y$25:Y38))*AB39*AC39/SUMPRODUCT($AC39:$AC$55,$AB39:$AB$55)),"")</s:f>
        <s:v>3193</s:v>
      </s:c>
      <s:c r="Z39" s="129">
        <s:f>IF(AC39&lt;&gt;"",IF(E39&lt;&gt;"",E39,($I$9-SUM($Z$25:Z38))*AB39*AC39/SUMPRODUCT($AC39:$AC$55,$AB39:$AB$55)),"")</s:f>
        <s:v>1</s:v>
      </s:c>
      <s:c r="AA39" s="129">
        <s:f>IF(AC39&lt;&gt;"",IF($I$12&lt;&gt;"",IF(G39&lt;&gt;"",G39,($I$9/$I$12-SUM($AA$25:AA38))*AB39*AC39/SUMPRODUCT($AC39:$AC$55,$AB39:$AB$55)),""),"")</s:f>
        <s:v>1</s:v>
      </s:c>
      <s:c r="AB39" s="130">
        <s:v>0.94145540197111499</s:v>
      </s:c>
      <s:c r="AC39" s="130">
        <s:v>0.94145540197111499</s:v>
      </s:c>
      <s:c r="AD39" s="132"/>
      <s:c r="AE39" s="132"/>
      <s:c r="AF39" s="131"/>
      <s:c r="AG39" s="131"/>
      <s:c r="AH39" s="131"/>
      <s:c r="AI39" s="131"/>
      <s:c r="AJ39" s="131"/>
      <s:c r="AK39" s="131"/>
      <s:c r="AL39" s="131"/>
      <s:c r="AM39" s="131"/>
      <s:c r="AN39" s="131"/>
      <s:c r="AO39" s="131"/>
      <s:c r="AP39" s="131"/>
      <s:c r="AQ39" s="131"/>
      <s:c r="AR39" s="131"/>
      <s:c r="AS39" s="131"/>
      <s:c r="AT39" s="131"/>
      <s:c r="AU39" s="131"/>
      <s:c r="AV39" s="131"/>
      <s:c r="AW39" s="131"/>
      <s:c r="AX39" s="131"/>
      <s:c r="AY39" s="131"/>
      <s:c r="AZ39" s="131"/>
      <s:c r="BA39" s="131"/>
      <s:c r="BB39" s="131"/>
      <s:c r="BC39" s="131"/>
      <s:c r="BD39" s="131"/>
      <s:c r="BE39" s="131"/>
      <s:c r="BF39" s="131"/>
      <s:c r="BG39" s="131"/>
      <s:c r="BH39" s="131"/>
      <s:c r="BI39" s="131"/>
      <s:c r="BJ39" s="131"/>
      <s:c r="BK39" s="131"/>
      <s:c r="BL39" s="131"/>
      <s:c r="BM39" s="131"/>
      <s:c r="BN39" s="131"/>
      <s:c r="BO39" s="131"/>
      <s:c r="BP39" s="131"/>
      <s:c r="BQ39" s="131"/>
      <s:c r="BR39" s="131"/>
      <s:c r="BS39" s="131"/>
      <s:c r="BT39" s="131"/>
      <s:c r="BU39" s="131"/>
      <s:c r="BV39" s="131"/>
      <s:c r="BW39" s="131"/>
      <s:c r="BX39" s="131"/>
      <s:c r="BY39" s="131"/>
      <s:c r="BZ39" s="131"/>
      <s:c r="CA39" s="131"/>
      <s:c r="CB39" s="131"/>
      <s:c r="CC39" s="131"/>
      <s:c r="CD39" s="131"/>
      <s:c r="CE39" s="131"/>
      <s:c r="CF39" s="131"/>
      <s:c r="CG39" s="131"/>
      <s:c r="CH39" s="131"/>
      <s:c r="CI39" s="131"/>
      <s:c r="CJ39" s="131"/>
      <s:c r="CK39" s="131"/>
      <s:c r="CL39" s="131"/>
      <s:c r="CM39" s="131"/>
      <s:c r="CN39" s="131"/>
      <s:c r="CO39" s="131"/>
      <s:c r="CP39" s="131"/>
      <s:c r="CQ39" s="131"/>
      <s:c r="CR39" s="131"/>
      <s:c r="CS39" s="131"/>
      <s:c r="CT39" s="131"/>
      <s:c r="CU39" s="131"/>
      <s:c r="CV39" s="131"/>
      <s:c r="CW39" s="131"/>
      <s:c r="CX39" s="131"/>
      <s:c r="CY39" s="131"/>
      <s:c r="CZ39" s="131"/>
      <s:c r="DA39" s="131"/>
      <s:c r="DB39" s="131"/>
      <s:c r="DC39" s="131"/>
      <s:c r="DD39" s="131"/>
      <s:c r="DE39" s="131"/>
      <s:c r="DF39" s="131"/>
      <s:c r="DG39" s="131"/>
      <s:c r="DH39" s="131"/>
      <s:c r="DI39" s="131"/>
      <s:c r="DJ39" s="131"/>
      <s:c r="DK39" s="131"/>
      <s:c r="DL39" s="131"/>
      <s:c r="DM39" s="131"/>
      <s:c r="DN39" s="131"/>
      <s:c r="DO39" s="131"/>
      <s:c r="DP39" s="131"/>
      <s:c r="DQ39" s="131"/>
      <s:c r="DR39" s="131"/>
      <s:c r="DS39" s="131"/>
      <s:c r="DT39" s="131"/>
      <s:c r="DU39" s="131"/>
      <s:c r="DV39" s="131"/>
      <s:c r="DW39" s="131"/>
      <s:c r="DX39" s="131"/>
      <s:c r="DY39" s="131"/>
      <s:c r="DZ39" s="131"/>
      <s:c r="EA39" s="131"/>
      <s:c r="EB39" s="131"/>
      <s:c r="EC39" s="131"/>
      <s:c r="ED39" s="131"/>
      <s:c r="EE39" s="131"/>
      <s:c r="EF39" s="131"/>
      <s:c r="EG39" s="131"/>
      <s:c r="EH39" s="131"/>
      <s:c r="EI39" s="131"/>
      <s:c r="EJ39" s="131"/>
      <s:c r="EK39" s="131"/>
      <s:c r="EL39" s="131"/>
      <s:c r="EM39" s="131"/>
      <s:c r="EN39" s="131"/>
      <s:c r="EO39" s="131"/>
      <s:c r="EP39" s="131"/>
      <s:c r="EQ39" s="131"/>
      <s:c r="ER39" s="131"/>
      <s:c r="ES39" s="131"/>
      <s:c r="ET39" s="131"/>
      <s:c r="EU39" s="131"/>
      <s:c r="EV39" s="131"/>
      <s:c r="EW39" s="131"/>
      <s:c r="EX39" s="131"/>
      <s:c r="EY39" s="131"/>
      <s:c r="EZ39" s="131"/>
      <s:c r="FA39" s="131"/>
      <s:c r="FB39" s="131"/>
      <s:c r="FC39" s="131"/>
      <s:c r="FD39" s="131"/>
      <s:c r="FE39" s="131"/>
      <s:c r="FF39" s="131"/>
      <s:c r="FG39" s="131"/>
      <s:c r="FH39" s="131"/>
      <s:c r="FI39" s="131"/>
      <s:c r="FJ39" s="131"/>
      <s:c r="FK39" s="131"/>
      <s:c r="FL39" s="131"/>
      <s:c r="FM39" s="131"/>
      <s:c r="FN39" s="131"/>
      <s:c r="FO39" s="131"/>
      <s:c r="FP39" s="131"/>
      <s:c r="FQ39" s="131"/>
      <s:c r="FR39" s="131"/>
      <s:c r="FS39" s="131"/>
      <s:c r="FT39" s="131"/>
      <s:c r="FU39" s="131"/>
      <s:c r="FV39" s="131"/>
      <s:c r="FW39" s="131"/>
      <s:c r="FX39" s="131"/>
      <s:c r="FY39" s="131"/>
      <s:c r="FZ39" s="131"/>
      <s:c r="GA39" s="131"/>
      <s:c r="GB39" s="131"/>
      <s:c r="GC39" s="131"/>
      <s:c r="GD39" s="131"/>
      <s:c r="GE39" s="131"/>
      <s:c r="GF39" s="131"/>
      <s:c r="GG39" s="131"/>
      <s:c r="GH39" s="131"/>
      <s:c r="GI39" s="131"/>
      <s:c r="GJ39" s="131"/>
      <s:c r="GK39" s="131"/>
      <s:c r="GL39" s="131"/>
      <s:c r="GM39" s="131"/>
      <s:c r="GN39" s="131"/>
      <s:c r="GO39" s="131"/>
      <s:c r="GP39" s="131"/>
      <s:c r="GQ39" s="131"/>
      <s:c r="GR39" s="131"/>
      <s:c r="GS39" s="131"/>
      <s:c r="GT39" s="131"/>
      <s:c r="GU39" s="131"/>
      <s:c r="GV39" s="131"/>
      <s:c r="GW39" s="131"/>
      <s:c r="GX39" s="131"/>
      <s:c r="GY39" s="131"/>
      <s:c r="GZ39" s="131"/>
      <s:c r="HA39" s="131"/>
      <s:c r="HB39" s="131"/>
      <s:c r="HC39" s="131"/>
      <s:c r="HD39" s="131"/>
      <s:c r="HE39" s="131"/>
      <s:c r="HF39" s="131"/>
      <s:c r="HG39" s="131"/>
      <s:c r="HH39" s="131"/>
      <s:c r="HI39" s="131"/>
      <s:c r="HJ39" s="131"/>
      <s:c r="HK39" s="131"/>
      <s:c r="HL39" s="131"/>
      <s:c r="HM39" s="131"/>
      <s:c r="HN39" s="131"/>
      <s:c r="HO39" s="131"/>
      <s:c r="HP39" s="131"/>
      <s:c r="HQ39" s="131"/>
      <s:c r="HR39" s="131"/>
      <s:c r="HS39" s="131"/>
      <s:c r="HT39" s="131"/>
      <s:c r="HU39" s="131"/>
      <s:c r="HV39" s="131"/>
      <s:c r="HW39" s="131"/>
      <s:c r="HX39" s="131"/>
      <s:c r="HY39" s="131"/>
      <s:c r="HZ39" s="131"/>
      <s:c r="IA39" s="131"/>
      <s:c r="IB39" s="131"/>
      <s:c r="IC39" s="131"/>
      <s:c r="ID39" s="131"/>
      <s:c r="IE39" s="131"/>
      <s:c r="IF39" s="131"/>
      <s:c r="IG39" s="131"/>
      <s:c r="IH39" s="131"/>
      <s:c r="II39" s="131"/>
      <s:c r="IJ39" s="131"/>
      <s:c r="IK39" s="131"/>
      <s:c r="IL39" s="131"/>
      <s:c r="IM39" s="131"/>
      <s:c r="IN39" s="131"/>
      <s:c r="IO39" s="131"/>
      <s:c r="IP39" s="131"/>
      <s:c r="IQ39" s="131"/>
      <s:c r="IR39" s="131"/>
      <s:c r="IS39" s="131"/>
      <s:c r="IT39" s="131"/>
      <s:c r="IU39" s="131"/>
      <s:c r="IV39" s="131"/>
      <s:c r="IW39" s="131"/>
      <s:c r="IX39" s="131"/>
      <s:c r="IY39" s="131"/>
      <s:c r="IZ39" s="131"/>
      <s:c r="JA39" s="131"/>
    </s:row>
    <s:row r="40">
      <s:c r="A40" s="158" t="s">
        <s:v>68</s:v>
      </s:c>
      <s:c r="B40" s="134">
        <s:v>46069</s:v>
      </s:c>
      <s:c r="C40" s="135" t="s">
        <s:v>58</s:v>
      </s:c>
      <s:c r="D40" s="852">
        <s:v>32673</s:v>
      </s:c>
      <s:c r="E40" s="136">
        <s:v>3</s:v>
      </s:c>
      <s:c r="F40" s="137">
        <s:f>IF(AND(E40&lt;&gt;"",E40&lt;&gt;0),D40/E40,"")</s:f>
        <s:v>10891</s:v>
      </s:c>
      <s:c r="G40" s="136">
        <s:v>2</s:v>
      </s:c>
      <s:c r="H40" s="137">
        <s:f>IF(AND(G40&lt;&gt;"",G40&lt;&gt;0),D40/G40,"")</s:f>
        <s:v>16336.5</s:v>
      </s:c>
      <s:c r="I40" s="136">
        <s:v>42</s:v>
      </s:c>
      <s:c r="J40" s="138">
        <s:f>IF(AND(G40&lt;&gt;"",G40&lt;&gt;0),E40/G40,"")</s:f>
        <s:v>1.5</s:v>
      </s:c>
      <s:c r="K40" s="136"/>
      <s:c r="L40" s="136"/>
      <s:c r="M40" s="136">
        <s:v>27672</s:v>
      </s:c>
      <s:c r="N40" s="136"/>
      <s:c r="O40" s="136"/>
      <s:c r="P40" s="139"/>
      <s:c r="Q40" s="139"/>
      <s:c r="R40" s="137"/>
      <s:c r="S40" s="137"/>
      <s:c r="T40" s="140">
        <s:f>IF(AND(I40&lt;&gt;"",I40&lt;&gt;0),G40/I40,"")</s:f>
        <s:v>4.7619047619047616E-2</s:v>
      </s:c>
      <s:c r="U40" s="141">
        <s:f>D40/V40</s:f>
        <s:v>0.68842188128337778</s:v>
      </s:c>
      <s:c r="V40" s="142">
        <s:f>$I$8*AB40*AC40/SUMPRODUCT($AC$25:$AC$55,$AB$25:$AB$55)</s:f>
        <s:v>47460.722688084759</s:v>
      </s:c>
      <s:c r="W40" s="143">
        <s:f>$I$9*AB40*AC40/SUMPRODUCT($AC$25:$AC$55,$AB$25:$AB$55)</s:f>
        <s:v>6.5372896264579543</s:v>
      </s:c>
      <s:c r="X40" s="143">
        <s:f>IF($I$12="","",W40/$I$12)</s:f>
        <s:v>3.5528747969880183</s:v>
      </s:c>
      <s:c r="Y40" s="142">
        <s:f>IF(AC40&lt;&gt;"",IF(D40&lt;&gt;"",D40,($I$8-SUM($Y$25:Y39))*AB40*AC40/SUMPRODUCT($AC40:$AC$55,$AB40:$AB$55)),"")</s:f>
        <s:v>32673</s:v>
      </s:c>
      <s:c r="Z40" s="143">
        <s:f>IF(AC40&lt;&gt;"",IF(E40&lt;&gt;"",E40,($I$9-SUM($Z$25:Z39))*AB40*AC40/SUMPRODUCT($AC40:$AC$55,$AB40:$AB$55)),"")</s:f>
        <s:v>3</s:v>
      </s:c>
      <s:c r="AA40" s="143">
        <s:f>IF(AC40&lt;&gt;"",IF($I$12&lt;&gt;"",IF(G40&lt;&gt;"",G40,($I$9/$I$12-SUM($AA$25:AA39))*AB40*AC40/SUMPRODUCT($AC40:$AC$55,$AB40:$AB$55)),""),"")</s:f>
        <s:v>2</s:v>
      </s:c>
      <s:c r="AB40" s="154">
        <s:v>0.75</s:v>
      </s:c>
      <s:c r="AC40" s="154">
        <s:v>0.75</s:v>
      </s:c>
      <s:c r="AD40" s="145"/>
      <s:c r="AE40" s="145"/>
      <s:c r="AF40" s="2"/>
      <s:c r="AG40" s="2"/>
      <s:c r="AH40" s="2"/>
      <s:c r="AI40" s="2"/>
      <s:c r="AJ40" s="2"/>
      <s:c r="AK40" s="2"/>
      <s:c r="AL40" s="2"/>
      <s:c r="AM40" s="2"/>
      <s:c r="AN40" s="2"/>
      <s:c r="AO40" s="2"/>
    </s:row>
    <s:row r="41">
      <s:c r="A41" s="158" t="s">
        <s:v>68</s:v>
      </s:c>
      <s:c r="B41" s="134">
        <s:v>46070</s:v>
      </s:c>
      <s:c r="C41" s="135" t="s">
        <s:v>60</s:v>
      </s:c>
      <s:c r="D41" s="852">
        <s:v>21121</s:v>
      </s:c>
      <s:c r="E41" s="136">
        <s:v>3</s:v>
      </s:c>
      <s:c r="F41" s="137">
        <s:f>IF(AND(E41&lt;&gt;"",E41&lt;&gt;0),D41/E41,"")</s:f>
        <s:v>7040.333333333333</s:v>
      </s:c>
      <s:c r="G41" s="136">
        <s:v>2</s:v>
      </s:c>
      <s:c r="H41" s="137">
        <s:f>IF(AND(G41&lt;&gt;"",G41&lt;&gt;0),D41/G41,"")</s:f>
        <s:v>10560.5</s:v>
      </s:c>
      <s:c r="I41" s="136">
        <s:v>35</s:v>
      </s:c>
      <s:c r="J41" s="138">
        <s:f>IF(AND(G41&lt;&gt;"",G41&lt;&gt;0),E41/G41,"")</s:f>
        <s:v>1.5</s:v>
      </s:c>
      <s:c r="K41" s="136"/>
      <s:c r="L41" s="136"/>
      <s:c r="M41" s="136"/>
      <s:c r="N41" s="136"/>
      <s:c r="O41" s="136"/>
      <s:c r="P41" s="139"/>
      <s:c r="Q41" s="139">
        <s:v>7605</s:v>
      </s:c>
      <s:c r="R41" s="159"/>
      <s:c r="S41" s="159"/>
      <s:c r="T41" s="140">
        <s:f>IF(AND(I41&lt;&gt;"",I41&lt;&gt;0),G41/I41,"")</s:f>
        <s:v>5.7142857142857141E-2</s:v>
      </s:c>
      <s:c r="U41" s="141">
        <s:f>D41/V41</s:f>
        <s:v>0.39113139992093765</s:v>
      </s:c>
      <s:c r="V41" s="142">
        <s:f>$I$8*AB41*AC41/SUMPRODUCT($AC$25:$AC$55,$AB$25:$AB$55)</s:f>
        <s:v>53999.75559177644</s:v>
      </s:c>
      <s:c r="W41" s="143">
        <s:f>$I$9*AB41*AC41/SUMPRODUCT($AC$25:$AC$55,$AB$25:$AB$55)</s:f>
        <s:v>7.4379828638810519</s:v>
      </s:c>
      <s:c r="X41" s="143">
        <s:f>IF($I$12="","",W41/$I$12)</s:f>
        <s:v>4.0423819912397017</s:v>
      </s:c>
      <s:c r="Y41" s="142">
        <s:f>IF(AC41&lt;&gt;"",IF(D41&lt;&gt;"",D41,($I$8-SUM($Y$25:Y40))*AB41*AC41/SUMPRODUCT($AC41:$AC$55,$AB41:$AB$55)),"")</s:f>
        <s:v>21121</s:v>
      </s:c>
      <s:c r="Z41" s="143">
        <s:f>IF(AC41&lt;&gt;"",IF(E41&lt;&gt;"",E41,($I$9-SUM($Z$25:Z40))*AB41*AC41/SUMPRODUCT($AC41:$AC$55,$AB41:$AB$55)),"")</s:f>
        <s:v>3</s:v>
      </s:c>
      <s:c r="AA41" s="143">
        <s:f>IF(AC41&lt;&gt;"",IF($I$12&lt;&gt;"",IF(G41&lt;&gt;"",G41,($I$9/$I$12-SUM($AA$25:AA40))*AB41*AC41/SUMPRODUCT($AC41:$AC$55,$AB41:$AB$55)),""),"")</s:f>
        <s:v>2</s:v>
      </s:c>
      <s:c r="AB41" s="154">
        <s:v>0.8</s:v>
      </s:c>
      <s:c r="AC41" s="154">
        <s:v>0.8</s:v>
      </s:c>
      <s:c r="AD41" s="145"/>
      <s:c r="AE41" s="145"/>
      <s:c r="AF41" s="2"/>
      <s:c r="AG41" s="2"/>
      <s:c r="AH41" s="2"/>
      <s:c r="AI41" s="2"/>
      <s:c r="AJ41" s="2"/>
      <s:c r="AK41" s="2"/>
      <s:c r="AL41" s="2"/>
      <s:c r="AM41" s="2"/>
      <s:c r="AN41" s="2"/>
      <s:c r="AO41" s="2"/>
    </s:row>
    <s:row r="42">
      <s:c r="A42" s="158" t="s">
        <s:v>70</s:v>
      </s:c>
      <s:c r="B42" s="134">
        <s:v>46071</s:v>
      </s:c>
      <s:c r="C42" s="135" t="s">
        <s:v>62</s:v>
      </s:c>
      <s:c r="D42" s="852">
        <s:v>0</s:v>
      </s:c>
      <s:c r="E42" s="148">
        <s:v>0</s:v>
      </s:c>
      <s:c r="F42" s="137" t="str">
        <s:f>IF(AND(E42&lt;&gt;"",E42&lt;&gt;0),D42/E42,"")</s:f>
        <s:v/>
      </s:c>
      <s:c r="G42" s="148">
        <s:v>0</s:v>
      </s:c>
      <s:c r="H42" s="137" t="str">
        <s:f>IF(AND(G42&lt;&gt;"",G42&lt;&gt;0),D42/G42,"")</s:f>
        <s:v/>
      </s:c>
      <s:c r="I42" s="148">
        <s:v>49</s:v>
      </s:c>
      <s:c r="J42" s="138" t="str">
        <s:f>IF(AND(G42&lt;&gt;"",G42&lt;&gt;0),E42/G42,"")</s:f>
        <s:v/>
      </s:c>
      <s:c r="K42" s="136"/>
      <s:c r="L42" s="136"/>
      <s:c r="M42" s="136"/>
      <s:c r="N42" s="136"/>
      <s:c r="O42" s="136"/>
      <s:c r="P42" s="139"/>
      <s:c r="Q42" s="139"/>
      <s:c r="R42" s="137"/>
      <s:c r="S42" s="137"/>
      <s:c r="T42" s="140">
        <s:f>IF(AND(I42&lt;&gt;"",I42&lt;&gt;0),G42/I42,"")</s:f>
        <s:v>0</s:v>
      </s:c>
      <s:c r="U42" s="141">
        <s:f>D42/V42</s:f>
        <s:v>0</s:v>
      </s:c>
      <s:c r="V42" s="142">
        <s:f>$I$8*AB42*AC42/SUMPRODUCT($AC$25:$AC$55,$AB$25:$AB$55)</s:f>
        <s:v>61406.463073305895</s:v>
      </s:c>
      <s:c r="W42" s="143">
        <s:f>$I$9*AB42*AC42/SUMPRODUCT($AC$25:$AC$55,$AB$25:$AB$55)</s:f>
        <s:v>8.4581905059649998</s:v>
      </s:c>
      <s:c r="X42" s="143">
        <s:f>IF($I$12="","",W42/$I$12)</s:f>
        <s:v>4.5968426662853261</s:v>
      </s:c>
      <s:c r="Y42" s="142">
        <s:f>IF(AC42&lt;&gt;"",IF(D42&lt;&gt;"",D42,($I$8-SUM($Y$25:Y41))*AB42*AC42/SUMPRODUCT($AC42:$AC$55,$AB42:$AB$55)),"")</s:f>
        <s:v>0</s:v>
      </s:c>
      <s:c r="Z42" s="143">
        <s:f>IF(AC42&lt;&gt;"",IF(E42&lt;&gt;"",E42,($I$9-SUM($Z$25:Z41))*AB42*AC42/SUMPRODUCT($AC42:$AC$55,$AB42:$AB$55)),"")</s:f>
        <s:v>0</s:v>
      </s:c>
      <s:c r="AA42" s="143">
        <s:f>IF(AC42&lt;&gt;"",IF($I$12&lt;&gt;"",IF(G42&lt;&gt;"",G42,($I$9/$I$12-SUM($AA$25:AA41))*AB42*AC42/SUMPRODUCT($AC42:$AC$55,$AB42:$AB$55)),""),"")</s:f>
        <s:v>0</s:v>
      </s:c>
      <s:c r="AB42" s="154">
        <s:v>0.85310233682514103</s:v>
      </s:c>
      <s:c r="AC42" s="154">
        <s:v>0.85310233682514103</s:v>
      </s:c>
      <s:c r="AD42" s="145"/>
      <s:c r="AE42" s="145"/>
      <s:c r="AF42" s="2"/>
      <s:c r="AG42" s="2"/>
      <s:c r="AH42" s="2"/>
      <s:c r="AI42" s="2"/>
      <s:c r="AJ42" s="2"/>
      <s:c r="AK42" s="2"/>
      <s:c r="AL42" s="2"/>
      <s:c r="AM42" s="2"/>
      <s:c r="AN42" s="2"/>
      <s:c r="AO42" s="2"/>
    </s:row>
    <s:row r="43">
      <s:c r="A43" s="158" t="s">
        <s:v>70</s:v>
      </s:c>
      <s:c r="B43" s="134">
        <s:v>46072</s:v>
      </s:c>
      <s:c r="C43" s="135" t="s">
        <s:v>63</s:v>
      </s:c>
      <s:c r="D43" s="855">
        <s:f>8883+7139</s:f>
        <s:v>16022</s:v>
      </s:c>
      <s:c r="E43" s="136">
        <s:v>3</s:v>
      </s:c>
      <s:c r="F43" s="137">
        <s:f>IF(AND(E43&lt;&gt;"",E43&lt;&gt;0),D43/E43,"")</s:f>
        <s:v>5340.666666666667</s:v>
      </s:c>
      <s:c r="G43" s="136">
        <s:v>2</s:v>
      </s:c>
      <s:c r="H43" s="137">
        <s:f>IF(AND(G43&lt;&gt;"",G43&lt;&gt;0),D43/G43,"")</s:f>
        <s:v>8011</s:v>
      </s:c>
      <s:c r="I43" s="136">
        <s:v>32</s:v>
      </s:c>
      <s:c r="J43" s="138">
        <s:f>IF(AND(G43&lt;&gt;"",G43&lt;&gt;0),E43/G43,"")</s:f>
        <s:v>1.5</s:v>
      </s:c>
      <s:c r="K43" s="136"/>
      <s:c r="L43" s="136"/>
      <s:c r="M43" s="137"/>
      <s:c r="N43" s="136"/>
      <s:c r="O43" s="136"/>
      <s:c r="P43" s="139"/>
      <s:c r="Q43" s="139"/>
      <s:c r="R43" s="137"/>
      <s:c r="S43" s="137"/>
      <s:c r="T43" s="140">
        <s:f>IF(AND(I43&lt;&gt;"",I43&lt;&gt;0),G43/I43,"")</s:f>
        <s:v>6.25E-2</s:v>
      </s:c>
      <s:c r="U43" s="141">
        <s:f>D43/V43</s:f>
        <s:v>0.26282523160266963</s:v>
      </s:c>
      <s:c r="V43" s="142">
        <s:f>$I$8*AB43*AC43/SUMPRODUCT($AC$25:$AC$55,$AB$25:$AB$55)</s:f>
        <s:v>60960.661586028858</s:v>
      </s:c>
      <s:c r="W43" s="143">
        <s:f>$I$9*AB43*AC43/SUMPRODUCT($AC$25:$AC$55,$AB$25:$AB$55)</s:f>
        <s:v>8.3967853424282168</s:v>
      </s:c>
      <s:c r="X43" s="143">
        <s:f>IF($I$12="","",W43/$I$12)</s:f>
        <s:v>4.563470294797944</s:v>
      </s:c>
      <s:c r="Y43" s="142">
        <s:f>IF(AC43&lt;&gt;"",IF(D43&lt;&gt;"",D43,($I$8-SUM($Y$25:Y42))*AB43*AC43/SUMPRODUCT($AC43:$AC$55,$AB43:$AB$55)),"")</s:f>
        <s:v>16022</s:v>
      </s:c>
      <s:c r="Z43" s="143">
        <s:f>IF(AC43&lt;&gt;"",IF(E43&lt;&gt;"",E43,($I$9-SUM($Z$25:Z42))*AB43*AC43/SUMPRODUCT($AC43:$AC$55,$AB43:$AB$55)),"")</s:f>
        <s:v>3</s:v>
      </s:c>
      <s:c r="AA43" s="143">
        <s:f>IF(AC43&lt;&gt;"",IF($I$12&lt;&gt;"",IF(G43&lt;&gt;"",G43,($I$9/$I$12-SUM($AA$25:AA42))*AB43*AC43/SUMPRODUCT($AC43:$AC$55,$AB43:$AB$55)),""),"")</s:f>
        <s:v>2</s:v>
      </s:c>
      <s:c r="AB43" s="154">
        <s:v>0.85</s:v>
      </s:c>
      <s:c r="AC43" s="154">
        <s:v>0.85</s:v>
      </s:c>
      <s:c r="AD43" s="145"/>
      <s:c r="AE43" s="145"/>
      <s:c r="AF43" s="160"/>
      <s:c r="AG43" s="2"/>
      <s:c r="AH43" s="2"/>
      <s:c r="AI43" s="2"/>
      <s:c r="AJ43" s="2"/>
      <s:c r="AK43" s="2"/>
      <s:c r="AL43" s="2"/>
      <s:c r="AM43" s="2"/>
      <s:c r="AN43" s="2"/>
      <s:c r="AO43" s="2"/>
    </s:row>
    <s:row r="44">
      <s:c r="A44" s="156" t="s">
        <s:v>59</s:v>
      </s:c>
      <s:c r="B44" s="120">
        <s:v>46073</s:v>
      </s:c>
      <s:c r="C44" s="121" t="s">
        <s:v>64</s:v>
      </s:c>
      <s:c r="D44" s="858">
        <s:v>26461</s:v>
      </s:c>
      <s:c r="E44" s="125">
        <s:v>5</s:v>
      </s:c>
      <s:c r="F44" s="123">
        <s:f>IF(AND(E44&lt;&gt;"",E44&lt;&gt;0),D44/E44,"")</s:f>
        <s:v>5292.2</s:v>
      </s:c>
      <s:c r="G44" s="125">
        <s:v>2</s:v>
      </s:c>
      <s:c r="H44" s="123">
        <s:f>IF(AND(G44&lt;&gt;"",G44&lt;&gt;0),D44/G44,"")</s:f>
        <s:v>13230.5</s:v>
      </s:c>
      <s:c r="I44" s="125">
        <s:v>63</s:v>
      </s:c>
      <s:c r="J44" s="124">
        <s:f>IF(AND(G44&lt;&gt;"",G44&lt;&gt;0),E44/G44,"")</s:f>
        <s:v>2.5</s:v>
      </s:c>
      <s:c r="K44" s="125"/>
      <s:c r="L44" s="125"/>
      <s:c r="M44" s="125"/>
      <s:c r="N44" s="125"/>
      <s:c r="O44" s="125"/>
      <s:c r="P44" s="122"/>
      <s:c r="Q44" s="122"/>
      <s:c r="R44" s="157"/>
      <s:c r="S44" s="157"/>
      <s:c r="T44" s="126">
        <s:f>IF(AND(I44&lt;&gt;"",I44&lt;&gt;0),G44/I44,"")</s:f>
        <s:v>3.1746031746031744E-2</s:v>
      </s:c>
      <s:c r="U44" s="127">
        <s:f>D44/V44</s:f>
        <s:v>0.38717687813586016</s:v>
      </s:c>
      <s:c r="V44" s="128">
        <s:f>$I$8*AB44*AC44/SUMPRODUCT($AC$25:$AC$55,$AB$25:$AB$55)</s:f>
        <s:v>68343.440670842043</s:v>
      </s:c>
      <s:c r="W44" s="129">
        <s:f>$I$9*AB44*AC44/SUMPRODUCT($AC$25:$AC$55,$AB$25:$AB$55)</s:f>
        <s:v>9.4136970620994553</s:v>
      </s:c>
      <s:c r="X44" s="129">
        <s:f>IF($I$12="","",W44/$I$12)</s:f>
        <s:v>5.1161397076627475</s:v>
      </s:c>
      <s:c r="Y44" s="128">
        <s:f>IF(AC44&lt;&gt;"",IF(D44&lt;&gt;"",D44,($I$8-SUM($Y$25:Y43))*AB44*AC44/SUMPRODUCT($AC44:$AC$55,$AB44:$AB$55)),"")</s:f>
        <s:v>26461</s:v>
      </s:c>
      <s:c r="Z44" s="129">
        <s:f>IF(AC44&lt;&gt;"",IF(E44&lt;&gt;"",E44,($I$9-SUM($Z$25:Z43))*AB44*AC44/SUMPRODUCT($AC44:$AC$55,$AB44:$AB$55)),"")</s:f>
        <s:v>5</s:v>
      </s:c>
      <s:c r="AA44" s="129">
        <s:f>IF(AC44&lt;&gt;"",IF($I$12&lt;&gt;"",IF(G44&lt;&gt;"",G44,($I$9/$I$12-SUM($AA$25:AA43))*AB44*AC44/SUMPRODUCT($AC44:$AC$55,$AB44:$AB$55)),""),"")</s:f>
        <s:v>2</s:v>
      </s:c>
      <s:c r="AB44" s="130">
        <s:v>0.9</s:v>
      </s:c>
      <s:c r="AC44" s="130">
        <s:v>0.9</s:v>
      </s:c>
      <s:c r="AD44" s="132"/>
      <s:c r="AE44" s="132"/>
      <s:c r="AF44" s="161"/>
      <s:c r="AG44" s="131"/>
      <s:c r="AH44" s="131"/>
      <s:c r="AI44" s="131"/>
      <s:c r="AJ44" s="131"/>
      <s:c r="AK44" s="131"/>
      <s:c r="AL44" s="131"/>
      <s:c r="AM44" s="131"/>
      <s:c r="AN44" s="131"/>
      <s:c r="AO44" s="131"/>
      <s:c r="AP44" s="131"/>
      <s:c r="AQ44" s="131"/>
      <s:c r="AR44" s="131"/>
      <s:c r="AS44" s="131"/>
      <s:c r="AT44" s="131"/>
      <s:c r="AU44" s="131"/>
      <s:c r="AV44" s="131"/>
      <s:c r="AW44" s="131"/>
      <s:c r="AX44" s="131"/>
      <s:c r="AY44" s="131"/>
      <s:c r="AZ44" s="131"/>
      <s:c r="BA44" s="131"/>
      <s:c r="BB44" s="131"/>
      <s:c r="BC44" s="131"/>
      <s:c r="BD44" s="131"/>
      <s:c r="BE44" s="131"/>
      <s:c r="BF44" s="131"/>
      <s:c r="BG44" s="131"/>
      <s:c r="BH44" s="131"/>
      <s:c r="BI44" s="131"/>
      <s:c r="BJ44" s="131"/>
      <s:c r="BK44" s="131"/>
      <s:c r="BL44" s="131"/>
      <s:c r="BM44" s="131"/>
      <s:c r="BN44" s="131"/>
      <s:c r="BO44" s="131"/>
      <s:c r="BP44" s="131"/>
      <s:c r="BQ44" s="131"/>
      <s:c r="BR44" s="131"/>
      <s:c r="BS44" s="131"/>
      <s:c r="BT44" s="131"/>
      <s:c r="BU44" s="131"/>
      <s:c r="BV44" s="131"/>
      <s:c r="BW44" s="131"/>
      <s:c r="BX44" s="131"/>
      <s:c r="BY44" s="131"/>
      <s:c r="BZ44" s="131"/>
      <s:c r="CA44" s="131"/>
      <s:c r="CB44" s="131"/>
      <s:c r="CC44" s="131"/>
      <s:c r="CD44" s="131"/>
      <s:c r="CE44" s="131"/>
      <s:c r="CF44" s="131"/>
      <s:c r="CG44" s="131"/>
      <s:c r="CH44" s="131"/>
      <s:c r="CI44" s="131"/>
      <s:c r="CJ44" s="131"/>
      <s:c r="CK44" s="131"/>
      <s:c r="CL44" s="131"/>
      <s:c r="CM44" s="131"/>
      <s:c r="CN44" s="131"/>
      <s:c r="CO44" s="131"/>
      <s:c r="CP44" s="131"/>
      <s:c r="CQ44" s="131"/>
      <s:c r="CR44" s="131"/>
      <s:c r="CS44" s="131"/>
      <s:c r="CT44" s="131"/>
      <s:c r="CU44" s="131"/>
      <s:c r="CV44" s="131"/>
      <s:c r="CW44" s="131"/>
      <s:c r="CX44" s="131"/>
      <s:c r="CY44" s="131"/>
      <s:c r="CZ44" s="131"/>
      <s:c r="DA44" s="131"/>
      <s:c r="DB44" s="131"/>
      <s:c r="DC44" s="131"/>
      <s:c r="DD44" s="131"/>
      <s:c r="DE44" s="131"/>
      <s:c r="DF44" s="131"/>
      <s:c r="DG44" s="131"/>
      <s:c r="DH44" s="131"/>
      <s:c r="DI44" s="131"/>
      <s:c r="DJ44" s="131"/>
      <s:c r="DK44" s="131"/>
      <s:c r="DL44" s="131"/>
      <s:c r="DM44" s="131"/>
      <s:c r="DN44" s="131"/>
      <s:c r="DO44" s="131"/>
      <s:c r="DP44" s="131"/>
      <s:c r="DQ44" s="131"/>
      <s:c r="DR44" s="131"/>
      <s:c r="DS44" s="131"/>
      <s:c r="DT44" s="131"/>
      <s:c r="DU44" s="131"/>
      <s:c r="DV44" s="131"/>
      <s:c r="DW44" s="131"/>
      <s:c r="DX44" s="131"/>
      <s:c r="DY44" s="131"/>
      <s:c r="DZ44" s="131"/>
      <s:c r="EA44" s="131"/>
      <s:c r="EB44" s="131"/>
      <s:c r="EC44" s="131"/>
      <s:c r="ED44" s="131"/>
      <s:c r="EE44" s="131"/>
      <s:c r="EF44" s="131"/>
      <s:c r="EG44" s="131"/>
      <s:c r="EH44" s="131"/>
      <s:c r="EI44" s="131"/>
      <s:c r="EJ44" s="131"/>
      <s:c r="EK44" s="131"/>
      <s:c r="EL44" s="131"/>
      <s:c r="EM44" s="131"/>
      <s:c r="EN44" s="131"/>
      <s:c r="EO44" s="131"/>
      <s:c r="EP44" s="131"/>
      <s:c r="EQ44" s="131"/>
      <s:c r="ER44" s="131"/>
      <s:c r="ES44" s="131"/>
      <s:c r="ET44" s="131"/>
      <s:c r="EU44" s="131"/>
      <s:c r="EV44" s="131"/>
      <s:c r="EW44" s="131"/>
      <s:c r="EX44" s="131"/>
      <s:c r="EY44" s="131"/>
      <s:c r="EZ44" s="131"/>
      <s:c r="FA44" s="131"/>
      <s:c r="FB44" s="131"/>
      <s:c r="FC44" s="131"/>
      <s:c r="FD44" s="131"/>
      <s:c r="FE44" s="131"/>
      <s:c r="FF44" s="131"/>
      <s:c r="FG44" s="131"/>
      <s:c r="FH44" s="131"/>
      <s:c r="FI44" s="131"/>
      <s:c r="FJ44" s="131"/>
      <s:c r="FK44" s="131"/>
      <s:c r="FL44" s="131"/>
      <s:c r="FM44" s="131"/>
      <s:c r="FN44" s="131"/>
      <s:c r="FO44" s="131"/>
      <s:c r="FP44" s="131"/>
      <s:c r="FQ44" s="131"/>
      <s:c r="FR44" s="131"/>
      <s:c r="FS44" s="131"/>
      <s:c r="FT44" s="131"/>
      <s:c r="FU44" s="131"/>
      <s:c r="FV44" s="131"/>
      <s:c r="FW44" s="131"/>
      <s:c r="FX44" s="131"/>
      <s:c r="FY44" s="131"/>
      <s:c r="FZ44" s="131"/>
      <s:c r="GA44" s="131"/>
      <s:c r="GB44" s="131"/>
      <s:c r="GC44" s="131"/>
      <s:c r="GD44" s="131"/>
      <s:c r="GE44" s="131"/>
      <s:c r="GF44" s="131"/>
      <s:c r="GG44" s="131"/>
      <s:c r="GH44" s="131"/>
      <s:c r="GI44" s="131"/>
      <s:c r="GJ44" s="131"/>
      <s:c r="GK44" s="131"/>
      <s:c r="GL44" s="131"/>
      <s:c r="GM44" s="131"/>
      <s:c r="GN44" s="131"/>
      <s:c r="GO44" s="131"/>
      <s:c r="GP44" s="131"/>
      <s:c r="GQ44" s="131"/>
      <s:c r="GR44" s="131"/>
      <s:c r="GS44" s="131"/>
      <s:c r="GT44" s="131"/>
      <s:c r="GU44" s="131"/>
      <s:c r="GV44" s="131"/>
      <s:c r="GW44" s="131"/>
      <s:c r="GX44" s="131"/>
      <s:c r="GY44" s="131"/>
      <s:c r="GZ44" s="131"/>
      <s:c r="HA44" s="131"/>
      <s:c r="HB44" s="131"/>
      <s:c r="HC44" s="131"/>
      <s:c r="HD44" s="131"/>
      <s:c r="HE44" s="131"/>
      <s:c r="HF44" s="131"/>
      <s:c r="HG44" s="131"/>
      <s:c r="HH44" s="131"/>
      <s:c r="HI44" s="131"/>
      <s:c r="HJ44" s="131"/>
      <s:c r="HK44" s="131"/>
      <s:c r="HL44" s="131"/>
      <s:c r="HM44" s="131"/>
      <s:c r="HN44" s="131"/>
      <s:c r="HO44" s="131"/>
      <s:c r="HP44" s="131"/>
      <s:c r="HQ44" s="131"/>
      <s:c r="HR44" s="131"/>
      <s:c r="HS44" s="131"/>
      <s:c r="HT44" s="131"/>
      <s:c r="HU44" s="131"/>
      <s:c r="HV44" s="131"/>
      <s:c r="HW44" s="131"/>
      <s:c r="HX44" s="131"/>
      <s:c r="HY44" s="131"/>
      <s:c r="HZ44" s="131"/>
      <s:c r="IA44" s="131"/>
      <s:c r="IB44" s="131"/>
      <s:c r="IC44" s="131"/>
      <s:c r="ID44" s="131"/>
      <s:c r="IE44" s="131"/>
      <s:c r="IF44" s="131"/>
      <s:c r="IG44" s="131"/>
      <s:c r="IH44" s="131"/>
      <s:c r="II44" s="131"/>
      <s:c r="IJ44" s="131"/>
      <s:c r="IK44" s="131"/>
      <s:c r="IL44" s="131"/>
      <s:c r="IM44" s="131"/>
      <s:c r="IN44" s="131"/>
      <s:c r="IO44" s="131"/>
      <s:c r="IP44" s="131"/>
      <s:c r="IQ44" s="131"/>
      <s:c r="IR44" s="131"/>
      <s:c r="IS44" s="131"/>
      <s:c r="IT44" s="131"/>
      <s:c r="IU44" s="131"/>
      <s:c r="IV44" s="131"/>
      <s:c r="IW44" s="131"/>
      <s:c r="IX44" s="131"/>
      <s:c r="IY44" s="131"/>
      <s:c r="IZ44" s="131"/>
      <s:c r="JA44" s="131"/>
    </s:row>
    <s:row r="45">
      <s:c r="A45" s="156" t="s">
        <s:v>59</s:v>
      </s:c>
      <s:c r="B45" s="120">
        <s:v>46074</s:v>
      </s:c>
      <s:c r="C45" s="121" t="s">
        <s:v>66</s:v>
      </s:c>
      <s:c r="D45" s="856">
        <s:v>27942</s:v>
      </s:c>
      <s:c r="E45" s="125">
        <s:v>3</s:v>
      </s:c>
      <s:c r="F45" s="123">
        <s:f>IF(AND(E45&lt;&gt;"",E45&lt;&gt;0),D45/E45,"")</s:f>
        <s:v>9314</s:v>
      </s:c>
      <s:c r="G45" s="125">
        <s:v>3</s:v>
      </s:c>
      <s:c r="H45" s="123">
        <s:f>IF(AND(G45&lt;&gt;"",G45&lt;&gt;0),D45/G45,"")</s:f>
        <s:v>9314</s:v>
      </s:c>
      <s:c r="I45" s="125">
        <s:v>51</s:v>
      </s:c>
      <s:c r="J45" s="124">
        <s:f>IF(AND(G45&lt;&gt;"",G45&lt;&gt;0),E45/G45,"")</s:f>
        <s:v>1</s:v>
      </s:c>
      <s:c r="K45" s="125"/>
      <s:c r="L45" s="125"/>
      <s:c r="M45" s="125"/>
      <s:c r="N45" s="125"/>
      <s:c r="O45" s="125"/>
      <s:c r="P45" s="122"/>
      <s:c r="Q45" s="122"/>
      <s:c r="R45" s="123"/>
      <s:c r="S45" s="123"/>
      <s:c r="T45" s="126">
        <s:f>IF(AND(I45&lt;&gt;"",I45&lt;&gt;0),G45/I45,"")</s:f>
        <s:v>5.8823529411764705E-2</s:v>
      </s:c>
      <s:c r="U45" s="127">
        <s:f>D45/V45</s:f>
        <s:v>0.27369086225405437</s:v>
      </s:c>
      <s:c r="V45" s="128">
        <s:f>$I$8*AB45*AC45/SUMPRODUCT($AC$25:$AC$55,$AB$25:$AB$55)</s:f>
        <s:v>102093.28791570233</s:v>
      </s:c>
      <s:c r="W45" s="129">
        <s:f>$I$9*AB45*AC45/SUMPRODUCT($AC$25:$AC$55,$AB$25:$AB$55)</s:f>
        <s:v>14.062436352025115</s:v>
      </s:c>
      <s:c r="X45" s="129">
        <s:f>IF($I$12="","",W45/$I$12)</s:f>
        <s:v>7.6426284521875623</s:v>
      </s:c>
      <s:c r="Y45" s="128">
        <s:f>IF(AC45&lt;&gt;"",IF(D45&lt;&gt;"",D45,($I$8-SUM($Y$25:Y44))*AB45*AC45/SUMPRODUCT($AC45:$AC$55,$AB45:$AB$55)),"")</s:f>
        <s:v>27942</s:v>
      </s:c>
      <s:c r="Z45" s="129">
        <s:f>IF(AC45&lt;&gt;"",IF(E45&lt;&gt;"",E45,($I$9-SUM($Z$25:Z44))*AB45*AC45/SUMPRODUCT($AC45:$AC$55,$AB45:$AB$55)),"")</s:f>
        <s:v>3</s:v>
      </s:c>
      <s:c r="AA45" s="129">
        <s:f>IF(AC45&lt;&gt;"",IF($I$12&lt;&gt;"",IF(G45&lt;&gt;"",G45,($I$9/$I$12-SUM($AA$25:AA44))*AB45*AC45/SUMPRODUCT($AC45:$AC$55,$AB45:$AB$55)),""),"")</s:f>
        <s:v>3</s:v>
      </s:c>
      <s:c r="AB45" s="152">
        <s:v>1.1000000000000001</s:v>
      </s:c>
      <s:c r="AC45" s="152">
        <s:v>1.1000000000000001</s:v>
      </s:c>
      <s:c r="AD45" s="132"/>
      <s:c r="AE45" s="132"/>
      <s:c r="AF45" s="161"/>
      <s:c r="AG45" s="131"/>
      <s:c r="AH45" s="131"/>
      <s:c r="AI45" s="131"/>
      <s:c r="AJ45" s="131"/>
      <s:c r="AK45" s="131"/>
      <s:c r="AL45" s="131"/>
      <s:c r="AM45" s="131"/>
      <s:c r="AN45" s="131"/>
      <s:c r="AO45" s="131"/>
      <s:c r="AP45" s="131"/>
      <s:c r="AQ45" s="131"/>
      <s:c r="AR45" s="131"/>
      <s:c r="AS45" s="131"/>
      <s:c r="AT45" s="131"/>
      <s:c r="AU45" s="131"/>
      <s:c r="AV45" s="131"/>
      <s:c r="AW45" s="131"/>
      <s:c r="AX45" s="131"/>
      <s:c r="AY45" s="131"/>
      <s:c r="AZ45" s="131"/>
      <s:c r="BA45" s="131"/>
      <s:c r="BB45" s="131"/>
      <s:c r="BC45" s="131"/>
      <s:c r="BD45" s="131"/>
      <s:c r="BE45" s="131"/>
      <s:c r="BF45" s="131"/>
      <s:c r="BG45" s="131"/>
      <s:c r="BH45" s="131"/>
      <s:c r="BI45" s="131"/>
      <s:c r="BJ45" s="131"/>
      <s:c r="BK45" s="131"/>
      <s:c r="BL45" s="131"/>
      <s:c r="BM45" s="131"/>
      <s:c r="BN45" s="131"/>
      <s:c r="BO45" s="131"/>
      <s:c r="BP45" s="131"/>
      <s:c r="BQ45" s="131"/>
      <s:c r="BR45" s="131"/>
      <s:c r="BS45" s="131"/>
      <s:c r="BT45" s="131"/>
      <s:c r="BU45" s="131"/>
      <s:c r="BV45" s="131"/>
      <s:c r="BW45" s="131"/>
      <s:c r="BX45" s="131"/>
      <s:c r="BY45" s="131"/>
      <s:c r="BZ45" s="131"/>
      <s:c r="CA45" s="131"/>
      <s:c r="CB45" s="131"/>
      <s:c r="CC45" s="131"/>
      <s:c r="CD45" s="131"/>
      <s:c r="CE45" s="131"/>
      <s:c r="CF45" s="131"/>
      <s:c r="CG45" s="131"/>
      <s:c r="CH45" s="131"/>
      <s:c r="CI45" s="131"/>
      <s:c r="CJ45" s="131"/>
      <s:c r="CK45" s="131"/>
      <s:c r="CL45" s="131"/>
      <s:c r="CM45" s="131"/>
      <s:c r="CN45" s="131"/>
      <s:c r="CO45" s="131"/>
      <s:c r="CP45" s="131"/>
      <s:c r="CQ45" s="131"/>
      <s:c r="CR45" s="131"/>
      <s:c r="CS45" s="131"/>
      <s:c r="CT45" s="131"/>
      <s:c r="CU45" s="131"/>
      <s:c r="CV45" s="131"/>
      <s:c r="CW45" s="131"/>
      <s:c r="CX45" s="131"/>
      <s:c r="CY45" s="131"/>
      <s:c r="CZ45" s="131"/>
      <s:c r="DA45" s="131"/>
      <s:c r="DB45" s="131"/>
      <s:c r="DC45" s="131"/>
      <s:c r="DD45" s="131"/>
      <s:c r="DE45" s="131"/>
      <s:c r="DF45" s="131"/>
      <s:c r="DG45" s="131"/>
      <s:c r="DH45" s="131"/>
      <s:c r="DI45" s="131"/>
      <s:c r="DJ45" s="131"/>
      <s:c r="DK45" s="131"/>
      <s:c r="DL45" s="131"/>
      <s:c r="DM45" s="131"/>
      <s:c r="DN45" s="131"/>
      <s:c r="DO45" s="131"/>
      <s:c r="DP45" s="131"/>
      <s:c r="DQ45" s="131"/>
      <s:c r="DR45" s="131"/>
      <s:c r="DS45" s="131"/>
      <s:c r="DT45" s="131"/>
      <s:c r="DU45" s="131"/>
      <s:c r="DV45" s="131"/>
      <s:c r="DW45" s="131"/>
      <s:c r="DX45" s="131"/>
      <s:c r="DY45" s="131"/>
      <s:c r="DZ45" s="131"/>
      <s:c r="EA45" s="131"/>
      <s:c r="EB45" s="131"/>
      <s:c r="EC45" s="131"/>
      <s:c r="ED45" s="131"/>
      <s:c r="EE45" s="131"/>
      <s:c r="EF45" s="131"/>
      <s:c r="EG45" s="131"/>
      <s:c r="EH45" s="131"/>
      <s:c r="EI45" s="131"/>
      <s:c r="EJ45" s="131"/>
      <s:c r="EK45" s="131"/>
      <s:c r="EL45" s="131"/>
      <s:c r="EM45" s="131"/>
      <s:c r="EN45" s="131"/>
      <s:c r="EO45" s="131"/>
      <s:c r="EP45" s="131"/>
      <s:c r="EQ45" s="131"/>
      <s:c r="ER45" s="131"/>
      <s:c r="ES45" s="131"/>
      <s:c r="ET45" s="131"/>
      <s:c r="EU45" s="131"/>
      <s:c r="EV45" s="131"/>
      <s:c r="EW45" s="131"/>
      <s:c r="EX45" s="131"/>
      <s:c r="EY45" s="131"/>
      <s:c r="EZ45" s="131"/>
      <s:c r="FA45" s="131"/>
      <s:c r="FB45" s="131"/>
      <s:c r="FC45" s="131"/>
      <s:c r="FD45" s="131"/>
      <s:c r="FE45" s="131"/>
      <s:c r="FF45" s="131"/>
      <s:c r="FG45" s="131"/>
      <s:c r="FH45" s="131"/>
      <s:c r="FI45" s="131"/>
      <s:c r="FJ45" s="131"/>
      <s:c r="FK45" s="131"/>
      <s:c r="FL45" s="131"/>
      <s:c r="FM45" s="131"/>
      <s:c r="FN45" s="131"/>
      <s:c r="FO45" s="131"/>
      <s:c r="FP45" s="131"/>
      <s:c r="FQ45" s="131"/>
      <s:c r="FR45" s="131"/>
      <s:c r="FS45" s="131"/>
      <s:c r="FT45" s="131"/>
      <s:c r="FU45" s="131"/>
      <s:c r="FV45" s="131"/>
      <s:c r="FW45" s="131"/>
      <s:c r="FX45" s="131"/>
      <s:c r="FY45" s="131"/>
      <s:c r="FZ45" s="131"/>
      <s:c r="GA45" s="131"/>
      <s:c r="GB45" s="131"/>
      <s:c r="GC45" s="131"/>
      <s:c r="GD45" s="131"/>
      <s:c r="GE45" s="131"/>
      <s:c r="GF45" s="131"/>
      <s:c r="GG45" s="131"/>
      <s:c r="GH45" s="131"/>
      <s:c r="GI45" s="131"/>
      <s:c r="GJ45" s="131"/>
      <s:c r="GK45" s="131"/>
      <s:c r="GL45" s="131"/>
      <s:c r="GM45" s="131"/>
      <s:c r="GN45" s="131"/>
      <s:c r="GO45" s="131"/>
      <s:c r="GP45" s="131"/>
      <s:c r="GQ45" s="131"/>
      <s:c r="GR45" s="131"/>
      <s:c r="GS45" s="131"/>
      <s:c r="GT45" s="131"/>
      <s:c r="GU45" s="131"/>
      <s:c r="GV45" s="131"/>
      <s:c r="GW45" s="131"/>
      <s:c r="GX45" s="131"/>
      <s:c r="GY45" s="131"/>
      <s:c r="GZ45" s="131"/>
      <s:c r="HA45" s="131"/>
      <s:c r="HB45" s="131"/>
      <s:c r="HC45" s="131"/>
      <s:c r="HD45" s="131"/>
      <s:c r="HE45" s="131"/>
      <s:c r="HF45" s="131"/>
      <s:c r="HG45" s="131"/>
      <s:c r="HH45" s="131"/>
      <s:c r="HI45" s="131"/>
      <s:c r="HJ45" s="131"/>
      <s:c r="HK45" s="131"/>
      <s:c r="HL45" s="131"/>
      <s:c r="HM45" s="131"/>
      <s:c r="HN45" s="131"/>
      <s:c r="HO45" s="131"/>
      <s:c r="HP45" s="131"/>
      <s:c r="HQ45" s="131"/>
      <s:c r="HR45" s="131"/>
      <s:c r="HS45" s="131"/>
      <s:c r="HT45" s="131"/>
      <s:c r="HU45" s="131"/>
      <s:c r="HV45" s="131"/>
      <s:c r="HW45" s="131"/>
      <s:c r="HX45" s="131"/>
      <s:c r="HY45" s="131"/>
      <s:c r="HZ45" s="131"/>
      <s:c r="IA45" s="131"/>
      <s:c r="IB45" s="131"/>
      <s:c r="IC45" s="131"/>
      <s:c r="ID45" s="131"/>
      <s:c r="IE45" s="131"/>
      <s:c r="IF45" s="131"/>
      <s:c r="IG45" s="131"/>
      <s:c r="IH45" s="131"/>
      <s:c r="II45" s="131"/>
      <s:c r="IJ45" s="131"/>
      <s:c r="IK45" s="131"/>
      <s:c r="IL45" s="131"/>
      <s:c r="IM45" s="131"/>
      <s:c r="IN45" s="131"/>
      <s:c r="IO45" s="131"/>
      <s:c r="IP45" s="131"/>
      <s:c r="IQ45" s="131"/>
      <s:c r="IR45" s="131"/>
      <s:c r="IS45" s="131"/>
      <s:c r="IT45" s="131"/>
      <s:c r="IU45" s="131"/>
      <s:c r="IV45" s="131"/>
      <s:c r="IW45" s="131"/>
      <s:c r="IX45" s="131"/>
      <s:c r="IY45" s="131"/>
      <s:c r="IZ45" s="131"/>
      <s:c r="JA45" s="131"/>
    </s:row>
    <s:row r="46">
      <s:c r="A46" s="156" t="s">
        <s:v>68</s:v>
      </s:c>
      <s:c r="B46" s="120">
        <s:v>46075</s:v>
      </s:c>
      <s:c r="C46" s="121" t="s">
        <s:v>57</s:v>
      </s:c>
      <s:c r="D46" s="856">
        <s:v>27856</s:v>
      </s:c>
      <s:c r="E46" s="125">
        <s:v>5</s:v>
      </s:c>
      <s:c r="F46" s="123">
        <s:f>IF(AND(E46&lt;&gt;"",E46&lt;&gt;0),D46/E46,"")</s:f>
        <s:v>5571.2</s:v>
      </s:c>
      <s:c r="G46" s="125">
        <s:v>3</s:v>
      </s:c>
      <s:c r="H46" s="123">
        <s:f>IF(AND(G46&lt;&gt;"",G46&lt;&gt;0),D46/G46,"")</s:f>
        <s:v>9285.3333333333339</s:v>
      </s:c>
      <s:c r="I46" s="125">
        <s:v>53</s:v>
      </s:c>
      <s:c r="J46" s="124">
        <s:f>IF(AND(G46&lt;&gt;"",G46&lt;&gt;0),E46/G46,"")</s:f>
        <s:v>1.6666666666666667</s:v>
      </s:c>
      <s:c r="K46" s="125"/>
      <s:c r="L46" s="125"/>
      <s:c r="M46" s="125"/>
      <s:c r="N46" s="125"/>
      <s:c r="O46" s="125"/>
      <s:c r="P46" s="122"/>
      <s:c r="Q46" s="122"/>
      <s:c r="R46" s="123"/>
      <s:c r="S46" s="123">
        <s:v>2147</s:v>
      </s:c>
      <s:c r="T46" s="126">
        <s:f>IF(AND(I46&lt;&gt;"",I46&lt;&gt;0),G46/I46,"")</s:f>
        <s:v>5.6603773584905662E-2</s:v>
      </s:c>
      <s:c r="U46" s="127">
        <s:f>D46/V46</s:f>
        <s:v>0.33014667945487858</s:v>
      </s:c>
      <s:c r="V46" s="128">
        <s:f>$I$8*AB46*AC46/SUMPRODUCT($AC$25:$AC$55,$AB$25:$AB$55)</s:f>
        <s:v>84374.618112150667</s:v>
      </s:c>
      <s:c r="W46" s="129">
        <s:f>$I$9*AB46*AC46/SUMPRODUCT($AC$25:$AC$55,$AB$25:$AB$55)</s:f>
        <s:v>11.621848224814142</s:v>
      </s:c>
      <s:c r="X46" s="129">
        <s:f>IF($I$12="","",W46/$I$12)</s:f>
        <s:v>6.3162218613120338</s:v>
      </s:c>
      <s:c r="Y46" s="128">
        <s:f>IF(AC46&lt;&gt;"",IF(D46&lt;&gt;"",D46,($I$8-SUM($Y$25:Y45))*AB46*AC46/SUMPRODUCT($AC46:$AC$55,$AB46:$AB$55)),"")</s:f>
        <s:v>27856</s:v>
      </s:c>
      <s:c r="Z46" s="129">
        <s:f>IF(AC45&lt;&gt;"",IF(E45&lt;&gt;"",E45,($I$9-SUM($Z$25:Z44))*AB45*AC45/SUMPRODUCT($AC45:$AC$55,$AB45:$AB$55)),"")</s:f>
        <s:v>3</s:v>
      </s:c>
      <s:c r="AA46" s="129">
        <s:f>IF(AC45&lt;&gt;"",IF($I$12&lt;&gt;"",IF(G45&lt;&gt;"",G45,($I$9/$I$12-SUM($AA$25:AA44))*AB45*AC45/SUMPRODUCT($AC45:$AC$55,$AB45:$AB$55)),""),"")</s:f>
        <s:v>3</s:v>
      </s:c>
      <s:c r="AB46" s="130">
        <s:v>1</s:v>
      </s:c>
      <s:c r="AC46" s="130">
        <s:v>1</s:v>
      </s:c>
      <s:c r="AD46" s="132"/>
      <s:c r="AE46" s="132"/>
      <s:c r="AF46" s="161"/>
      <s:c r="AG46" s="131"/>
      <s:c r="AH46" s="131"/>
      <s:c r="AI46" s="131"/>
      <s:c r="AJ46" s="131"/>
      <s:c r="AK46" s="131"/>
      <s:c r="AL46" s="131"/>
      <s:c r="AM46" s="131"/>
      <s:c r="AN46" s="131"/>
      <s:c r="AO46" s="131"/>
      <s:c r="AP46" s="131"/>
      <s:c r="AQ46" s="131"/>
      <s:c r="AR46" s="131"/>
      <s:c r="AS46" s="131"/>
      <s:c r="AT46" s="131"/>
      <s:c r="AU46" s="131"/>
      <s:c r="AV46" s="131"/>
      <s:c r="AW46" s="131"/>
      <s:c r="AX46" s="131"/>
      <s:c r="AY46" s="131"/>
      <s:c r="AZ46" s="131"/>
      <s:c r="BA46" s="131"/>
      <s:c r="BB46" s="131"/>
      <s:c r="BC46" s="131"/>
      <s:c r="BD46" s="131"/>
      <s:c r="BE46" s="131"/>
      <s:c r="BF46" s="131"/>
      <s:c r="BG46" s="131"/>
      <s:c r="BH46" s="131"/>
      <s:c r="BI46" s="131"/>
      <s:c r="BJ46" s="131"/>
      <s:c r="BK46" s="131"/>
      <s:c r="BL46" s="131"/>
      <s:c r="BM46" s="131"/>
      <s:c r="BN46" s="131"/>
      <s:c r="BO46" s="131"/>
      <s:c r="BP46" s="131"/>
      <s:c r="BQ46" s="131"/>
      <s:c r="BR46" s="131"/>
      <s:c r="BS46" s="131"/>
      <s:c r="BT46" s="131"/>
      <s:c r="BU46" s="131"/>
      <s:c r="BV46" s="131"/>
      <s:c r="BW46" s="131"/>
      <s:c r="BX46" s="131"/>
      <s:c r="BY46" s="131"/>
      <s:c r="BZ46" s="131"/>
      <s:c r="CA46" s="131"/>
      <s:c r="CB46" s="131"/>
      <s:c r="CC46" s="131"/>
      <s:c r="CD46" s="131"/>
      <s:c r="CE46" s="131"/>
      <s:c r="CF46" s="131"/>
      <s:c r="CG46" s="131"/>
      <s:c r="CH46" s="131"/>
      <s:c r="CI46" s="131"/>
      <s:c r="CJ46" s="131"/>
      <s:c r="CK46" s="131"/>
      <s:c r="CL46" s="131"/>
      <s:c r="CM46" s="131"/>
      <s:c r="CN46" s="131"/>
      <s:c r="CO46" s="131"/>
      <s:c r="CP46" s="131"/>
      <s:c r="CQ46" s="131"/>
      <s:c r="CR46" s="131"/>
      <s:c r="CS46" s="131"/>
      <s:c r="CT46" s="131"/>
      <s:c r="CU46" s="131"/>
      <s:c r="CV46" s="131"/>
      <s:c r="CW46" s="131"/>
      <s:c r="CX46" s="131"/>
      <s:c r="CY46" s="131"/>
      <s:c r="CZ46" s="131"/>
      <s:c r="DA46" s="131"/>
      <s:c r="DB46" s="131"/>
      <s:c r="DC46" s="131"/>
      <s:c r="DD46" s="131"/>
      <s:c r="DE46" s="131"/>
      <s:c r="DF46" s="131"/>
      <s:c r="DG46" s="131"/>
      <s:c r="DH46" s="131"/>
      <s:c r="DI46" s="131"/>
      <s:c r="DJ46" s="131"/>
      <s:c r="DK46" s="131"/>
      <s:c r="DL46" s="131"/>
      <s:c r="DM46" s="131"/>
      <s:c r="DN46" s="131"/>
      <s:c r="DO46" s="131"/>
      <s:c r="DP46" s="131"/>
      <s:c r="DQ46" s="131"/>
      <s:c r="DR46" s="131"/>
      <s:c r="DS46" s="131"/>
      <s:c r="DT46" s="131"/>
      <s:c r="DU46" s="131"/>
      <s:c r="DV46" s="131"/>
      <s:c r="DW46" s="131"/>
      <s:c r="DX46" s="131"/>
      <s:c r="DY46" s="131"/>
      <s:c r="DZ46" s="131"/>
      <s:c r="EA46" s="131"/>
      <s:c r="EB46" s="131"/>
      <s:c r="EC46" s="131"/>
      <s:c r="ED46" s="131"/>
      <s:c r="EE46" s="131"/>
      <s:c r="EF46" s="131"/>
      <s:c r="EG46" s="131"/>
      <s:c r="EH46" s="131"/>
      <s:c r="EI46" s="131"/>
      <s:c r="EJ46" s="131"/>
      <s:c r="EK46" s="131"/>
      <s:c r="EL46" s="131"/>
      <s:c r="EM46" s="131"/>
      <s:c r="EN46" s="131"/>
      <s:c r="EO46" s="131"/>
      <s:c r="EP46" s="131"/>
      <s:c r="EQ46" s="131"/>
      <s:c r="ER46" s="131"/>
      <s:c r="ES46" s="131"/>
      <s:c r="ET46" s="131"/>
      <s:c r="EU46" s="131"/>
      <s:c r="EV46" s="131"/>
      <s:c r="EW46" s="131"/>
      <s:c r="EX46" s="131"/>
      <s:c r="EY46" s="131"/>
      <s:c r="EZ46" s="131"/>
      <s:c r="FA46" s="131"/>
      <s:c r="FB46" s="131"/>
      <s:c r="FC46" s="131"/>
      <s:c r="FD46" s="131"/>
      <s:c r="FE46" s="131"/>
      <s:c r="FF46" s="131"/>
      <s:c r="FG46" s="131"/>
      <s:c r="FH46" s="131"/>
      <s:c r="FI46" s="131"/>
      <s:c r="FJ46" s="131"/>
      <s:c r="FK46" s="131"/>
      <s:c r="FL46" s="131"/>
      <s:c r="FM46" s="131"/>
      <s:c r="FN46" s="131"/>
      <s:c r="FO46" s="131"/>
      <s:c r="FP46" s="131"/>
      <s:c r="FQ46" s="131"/>
      <s:c r="FR46" s="131"/>
      <s:c r="FS46" s="131"/>
      <s:c r="FT46" s="131"/>
      <s:c r="FU46" s="131"/>
      <s:c r="FV46" s="131"/>
      <s:c r="FW46" s="131"/>
      <s:c r="FX46" s="131"/>
      <s:c r="FY46" s="131"/>
      <s:c r="FZ46" s="131"/>
      <s:c r="GA46" s="131"/>
      <s:c r="GB46" s="131"/>
      <s:c r="GC46" s="131"/>
      <s:c r="GD46" s="131"/>
      <s:c r="GE46" s="131"/>
      <s:c r="GF46" s="131"/>
      <s:c r="GG46" s="131"/>
      <s:c r="GH46" s="131"/>
      <s:c r="GI46" s="131"/>
      <s:c r="GJ46" s="131"/>
      <s:c r="GK46" s="131"/>
      <s:c r="GL46" s="131"/>
      <s:c r="GM46" s="131"/>
      <s:c r="GN46" s="131"/>
      <s:c r="GO46" s="131"/>
      <s:c r="GP46" s="131"/>
      <s:c r="GQ46" s="131"/>
      <s:c r="GR46" s="131"/>
      <s:c r="GS46" s="131"/>
      <s:c r="GT46" s="131"/>
      <s:c r="GU46" s="131"/>
      <s:c r="GV46" s="131"/>
      <s:c r="GW46" s="131"/>
      <s:c r="GX46" s="131"/>
      <s:c r="GY46" s="131"/>
      <s:c r="GZ46" s="131"/>
      <s:c r="HA46" s="131"/>
      <s:c r="HB46" s="131"/>
      <s:c r="HC46" s="131"/>
      <s:c r="HD46" s="131"/>
      <s:c r="HE46" s="131"/>
      <s:c r="HF46" s="131"/>
      <s:c r="HG46" s="131"/>
      <s:c r="HH46" s="131"/>
      <s:c r="HI46" s="131"/>
      <s:c r="HJ46" s="131"/>
      <s:c r="HK46" s="131"/>
      <s:c r="HL46" s="131"/>
      <s:c r="HM46" s="131"/>
      <s:c r="HN46" s="131"/>
      <s:c r="HO46" s="131"/>
      <s:c r="HP46" s="131"/>
      <s:c r="HQ46" s="131"/>
      <s:c r="HR46" s="131"/>
      <s:c r="HS46" s="131"/>
      <s:c r="HT46" s="131"/>
      <s:c r="HU46" s="131"/>
      <s:c r="HV46" s="131"/>
      <s:c r="HW46" s="131"/>
      <s:c r="HX46" s="131"/>
      <s:c r="HY46" s="131"/>
      <s:c r="HZ46" s="131"/>
      <s:c r="IA46" s="131"/>
      <s:c r="IB46" s="131"/>
      <s:c r="IC46" s="131"/>
      <s:c r="ID46" s="131"/>
      <s:c r="IE46" s="131"/>
      <s:c r="IF46" s="131"/>
      <s:c r="IG46" s="131"/>
      <s:c r="IH46" s="131"/>
      <s:c r="II46" s="131"/>
      <s:c r="IJ46" s="131"/>
      <s:c r="IK46" s="131"/>
      <s:c r="IL46" s="131"/>
      <s:c r="IM46" s="131"/>
      <s:c r="IN46" s="131"/>
      <s:c r="IO46" s="131"/>
      <s:c r="IP46" s="131"/>
      <s:c r="IQ46" s="131"/>
      <s:c r="IR46" s="131"/>
      <s:c r="IS46" s="131"/>
      <s:c r="IT46" s="131"/>
      <s:c r="IU46" s="131"/>
      <s:c r="IV46" s="131"/>
      <s:c r="IW46" s="131"/>
      <s:c r="IX46" s="131"/>
      <s:c r="IY46" s="131"/>
      <s:c r="IZ46" s="131"/>
      <s:c r="JA46" s="131"/>
    </s:row>
    <s:row r="47">
      <s:c r="A47" s="156" t="s">
        <s:v>68</s:v>
      </s:c>
      <s:c r="B47" s="134">
        <s:v>46076</s:v>
      </s:c>
      <s:c r="C47" s="135" t="s">
        <s:v>58</s:v>
      </s:c>
      <s:c r="D47" s="855">
        <s:v>18806</s:v>
      </s:c>
      <s:c r="E47" s="136">
        <s:v>2</s:v>
      </s:c>
      <s:c r="F47" s="137">
        <s:f>IF(AND(E47&lt;&gt;"",E47&lt;&gt;0),D47/E47,"")</s:f>
        <s:v>9403</s:v>
      </s:c>
      <s:c r="G47" s="136">
        <s:v>2</s:v>
      </s:c>
      <s:c r="H47" s="137">
        <s:f>IF(AND(G47&lt;&gt;"",G47&lt;&gt;0),D47/G47,"")</s:f>
        <s:v>9403</s:v>
      </s:c>
      <s:c r="I47" s="136">
        <s:v>29</s:v>
      </s:c>
      <s:c r="J47" s="138">
        <s:f>IF(AND(G47&lt;&gt;"",G47&lt;&gt;0),E47/G47,"")</s:f>
        <s:v>1</s:v>
      </s:c>
      <s:c r="K47" s="136"/>
      <s:c r="L47" s="136"/>
      <s:c r="M47" s="136">
        <s:v>10903</s:v>
      </s:c>
      <s:c r="N47" s="136"/>
      <s:c r="O47" s="136"/>
      <s:c r="P47" s="139"/>
      <s:c r="Q47" s="139"/>
      <s:c r="R47" s="137"/>
      <s:c r="S47" s="137"/>
      <s:c r="T47" s="140">
        <s:f>IF(AND(I47&lt;&gt;"",I47&lt;&gt;0),G47/I47,"")</s:f>
        <s:v>6.8965517241379309E-2</s:v>
      </s:c>
      <s:c r="U47" s="141">
        <s:f>D47/V47</s:f>
        <s:v>0.39624343951933405</s:v>
      </s:c>
      <s:c r="V47" s="142">
        <s:f>$I$8*AB47*AC47/SUMPRODUCT($AC$25:$AC$55,$AB$25:$AB$55)</s:f>
        <s:v>47460.722688084759</s:v>
      </s:c>
      <s:c r="W47" s="143">
        <s:f>$I$9*AB47*AC47/SUMPRODUCT($AC$25:$AC$55,$AB$25:$AB$55)</s:f>
        <s:v>6.5372896264579543</s:v>
      </s:c>
      <s:c r="X47" s="143">
        <s:f>IF($I$12="","",W47/$I$12)</s:f>
        <s:v>3.5528747969880183</s:v>
      </s:c>
      <s:c r="Y47" s="142">
        <s:f>IF(AC47&lt;&gt;"",IF(D47&lt;&gt;"",D47,($I$8-SUM($Y$25:Y46))*AB47*AC47/SUMPRODUCT($AC47:$AC$55,$AB47:$AB$55)),"")</s:f>
        <s:v>18806</s:v>
      </s:c>
      <s:c r="Z47" s="143">
        <s:f>IF(AC47&lt;&gt;"",IF(E47&lt;&gt;"",E47,($I$9-SUM($Z$25:Z46))*AB47*AC47/SUMPRODUCT($AC47:$AC$55,$AB47:$AB$55)),"")</s:f>
        <s:v>2</s:v>
      </s:c>
      <s:c r="AA47" s="143">
        <s:f>IF(AC47&lt;&gt;"",IF($I$12&lt;&gt;"",IF(G47&lt;&gt;"",G47,($I$9/$I$12-SUM($AA$25:AA46))*AB47*AC47/SUMPRODUCT($AC47:$AC$55,$AB47:$AB$55)),""),"")</s:f>
        <s:v>2</s:v>
      </s:c>
      <s:c r="AB47" s="154">
        <s:v>0.75</s:v>
      </s:c>
      <s:c r="AC47" s="154">
        <s:v>0.75</s:v>
      </s:c>
      <s:c r="AD47" s="145"/>
      <s:c r="AE47" s="145"/>
      <s:c r="AF47" s="160"/>
      <s:c r="AG47" s="2"/>
      <s:c r="AH47" s="2"/>
      <s:c r="AI47" s="2"/>
      <s:c r="AJ47" s="2"/>
      <s:c r="AK47" s="2"/>
      <s:c r="AL47" s="2"/>
      <s:c r="AM47" s="2"/>
      <s:c r="AN47" s="2"/>
      <s:c r="AO47" s="2"/>
    </s:row>
    <s:row r="48">
      <s:c r="A48" s="162" t="s">
        <s:v>71</s:v>
      </s:c>
      <s:c r="B48" s="134">
        <s:v>46077</s:v>
      </s:c>
      <s:c r="C48" s="135" t="s">
        <s:v>60</s:v>
      </s:c>
      <s:c r="D48" s="857">
        <s:v>16803</s:v>
      </s:c>
      <s:c r="E48" s="164">
        <s:v>1</s:v>
      </s:c>
      <s:c r="F48" s="165">
        <s:f>IF(AND(E48&lt;&gt;"",E48&lt;&gt;0),D48/E48,"")</s:f>
        <s:v>16803</s:v>
      </s:c>
      <s:c r="G48" s="164">
        <s:v>1</s:v>
      </s:c>
      <s:c r="H48" s="165">
        <s:f>IF(AND(G48&lt;&gt;"",G48&lt;&gt;0),D48/G48,"")</s:f>
        <s:v>16803</s:v>
      </s:c>
      <s:c r="I48" s="164">
        <s:v>33</s:v>
      </s:c>
      <s:c r="J48" s="163">
        <s:f>IF(AND(G48&lt;&gt;"",G48&lt;&gt;0),E48/G48,"")</s:f>
        <s:v>1</s:v>
      </s:c>
      <s:c r="K48" s="164"/>
      <s:c r="L48" s="164"/>
      <s:c r="M48" s="164"/>
      <s:c r="N48" s="164"/>
      <s:c r="O48" s="164"/>
      <s:c r="P48" s="166"/>
      <s:c r="Q48" s="166"/>
      <s:c r="R48" s="165"/>
      <s:c r="S48" s="165"/>
      <s:c r="T48" s="167">
        <s:f>IF(AND(I48&lt;&gt;"",I48&lt;&gt;0),G48/I48,"")</s:f>
        <s:v>3.0303030303030304E-2</s:v>
      </s:c>
      <s:c r="U48" s="168">
        <s:f>D48/V48</s:f>
        <s:v>0.31116807503771199</s:v>
      </s:c>
      <s:c r="V48" s="169">
        <s:f>$I$8*AB48*AC48/SUMPRODUCT($AC$25:$AC$55,$AB$25:$AB$55)</s:f>
        <s:v>53999.75559177644</s:v>
      </s:c>
      <s:c r="W48" s="170">
        <s:f>$I$9*AB48*AC48/SUMPRODUCT($AC$25:$AC$55,$AB$25:$AB$55)</s:f>
        <s:v>7.4379828638810519</s:v>
      </s:c>
      <s:c r="X48" s="170">
        <s:f>IF($I$12="","",W48/$I$12)</s:f>
        <s:v>4.0423819912397017</s:v>
      </s:c>
      <s:c r="Y48" s="169">
        <s:f>IF(AC48&lt;&gt;"",IF(D48&lt;&gt;"",D48,($I$8-SUM($Y$25:Y47))*AB48*AC48/SUMPRODUCT($AC48:$AC$55,$AB48:$AB$55)),"")</s:f>
        <s:v>16803</s:v>
      </s:c>
      <s:c r="Z48" s="170">
        <s:f>IF(AC48&lt;&gt;"",IF(E48&lt;&gt;"",E48,($I$9-SUM($Z$25:Z47))*AB48*AC48/SUMPRODUCT($AC48:$AC$55,$AB48:$AB$55)),"")</s:f>
        <s:v>1</s:v>
      </s:c>
      <s:c r="AA48" s="170">
        <s:f>IF(AC48&lt;&gt;"",IF($I$12&lt;&gt;"",IF(G48&lt;&gt;"",G48,($I$9/$I$12-SUM($AA$25:AA47))*AB48*AC48/SUMPRODUCT($AC48:$AC$55,$AB48:$AB$55)),""),"")</s:f>
        <s:v>1</s:v>
      </s:c>
      <s:c r="AB48" s="154">
        <s:v>0.8</s:v>
      </s:c>
      <s:c r="AC48" s="154">
        <s:v>0.8</s:v>
      </s:c>
      <s:c r="AD48" s="171"/>
      <s:c r="AE48" s="171"/>
      <s:c r="AF48" s="172"/>
      <s:c r="AG48" s="173"/>
      <s:c r="AH48" s="173"/>
      <s:c r="AI48" s="173"/>
      <s:c r="AJ48" s="173"/>
      <s:c r="AK48" s="173"/>
      <s:c r="AL48" s="173"/>
      <s:c r="AM48" s="173"/>
      <s:c r="AN48" s="173"/>
      <s:c r="AO48" s="173"/>
      <s:c r="AP48" s="173"/>
      <s:c r="AQ48" s="173"/>
      <s:c r="AR48" s="173"/>
      <s:c r="AS48" s="173"/>
      <s:c r="AT48" s="173"/>
      <s:c r="AU48" s="173"/>
      <s:c r="AV48" s="173"/>
      <s:c r="AW48" s="173"/>
      <s:c r="AX48" s="173"/>
      <s:c r="AY48" s="173"/>
      <s:c r="AZ48" s="173"/>
      <s:c r="BA48" s="173"/>
      <s:c r="BB48" s="173"/>
      <s:c r="BC48" s="173"/>
      <s:c r="BD48" s="173"/>
      <s:c r="BE48" s="173"/>
      <s:c r="BF48" s="173"/>
      <s:c r="BG48" s="173"/>
      <s:c r="BH48" s="173"/>
      <s:c r="BI48" s="173"/>
      <s:c r="BJ48" s="173"/>
      <s:c r="BK48" s="173"/>
      <s:c r="BL48" s="173"/>
      <s:c r="BM48" s="173"/>
      <s:c r="BN48" s="173"/>
      <s:c r="BO48" s="173"/>
      <s:c r="BP48" s="173"/>
      <s:c r="BQ48" s="173"/>
      <s:c r="BR48" s="173"/>
      <s:c r="BS48" s="173"/>
      <s:c r="BT48" s="173"/>
      <s:c r="BU48" s="173"/>
      <s:c r="BV48" s="173"/>
      <s:c r="BW48" s="173"/>
      <s:c r="BX48" s="173"/>
      <s:c r="BY48" s="173"/>
      <s:c r="BZ48" s="173"/>
      <s:c r="CA48" s="173"/>
      <s:c r="CB48" s="173"/>
      <s:c r="CC48" s="173"/>
      <s:c r="CD48" s="173"/>
      <s:c r="CE48" s="173"/>
      <s:c r="CF48" s="173"/>
      <s:c r="CG48" s="173"/>
      <s:c r="CH48" s="173"/>
      <s:c r="CI48" s="173"/>
      <s:c r="CJ48" s="173"/>
      <s:c r="CK48" s="173"/>
      <s:c r="CL48" s="173"/>
      <s:c r="CM48" s="173"/>
      <s:c r="CN48" s="173"/>
      <s:c r="CO48" s="173"/>
      <s:c r="CP48" s="173"/>
      <s:c r="CQ48" s="173"/>
      <s:c r="CR48" s="173"/>
      <s:c r="CS48" s="173"/>
      <s:c r="CT48" s="173"/>
      <s:c r="CU48" s="173"/>
      <s:c r="CV48" s="173"/>
      <s:c r="CW48" s="173"/>
      <s:c r="CX48" s="173"/>
      <s:c r="CY48" s="173"/>
      <s:c r="CZ48" s="173"/>
      <s:c r="DA48" s="173"/>
      <s:c r="DB48" s="173"/>
      <s:c r="DC48" s="173"/>
      <s:c r="DD48" s="173"/>
      <s:c r="DE48" s="173"/>
      <s:c r="DF48" s="173"/>
      <s:c r="DG48" s="173"/>
      <s:c r="DH48" s="173"/>
      <s:c r="DI48" s="173"/>
      <s:c r="DJ48" s="173"/>
      <s:c r="DK48" s="173"/>
      <s:c r="DL48" s="173"/>
      <s:c r="DM48" s="173"/>
      <s:c r="DN48" s="173"/>
      <s:c r="DO48" s="173"/>
      <s:c r="DP48" s="173"/>
      <s:c r="DQ48" s="173"/>
      <s:c r="DR48" s="173"/>
      <s:c r="DS48" s="173"/>
      <s:c r="DT48" s="173"/>
      <s:c r="DU48" s="173"/>
      <s:c r="DV48" s="173"/>
      <s:c r="DW48" s="173"/>
      <s:c r="DX48" s="173"/>
      <s:c r="DY48" s="173"/>
      <s:c r="DZ48" s="173"/>
      <s:c r="EA48" s="173"/>
      <s:c r="EB48" s="173"/>
      <s:c r="EC48" s="173"/>
      <s:c r="ED48" s="173"/>
      <s:c r="EE48" s="173"/>
      <s:c r="EF48" s="173"/>
      <s:c r="EG48" s="173"/>
      <s:c r="EH48" s="173"/>
      <s:c r="EI48" s="173"/>
      <s:c r="EJ48" s="173"/>
      <s:c r="EK48" s="173"/>
      <s:c r="EL48" s="173"/>
      <s:c r="EM48" s="173"/>
      <s:c r="EN48" s="173"/>
      <s:c r="EO48" s="173"/>
      <s:c r="EP48" s="173"/>
      <s:c r="EQ48" s="173"/>
      <s:c r="ER48" s="173"/>
      <s:c r="ES48" s="173"/>
      <s:c r="ET48" s="173"/>
      <s:c r="EU48" s="173"/>
      <s:c r="EV48" s="173"/>
      <s:c r="EW48" s="173"/>
      <s:c r="EX48" s="173"/>
      <s:c r="EY48" s="173"/>
      <s:c r="EZ48" s="173"/>
      <s:c r="FA48" s="173"/>
      <s:c r="FB48" s="173"/>
      <s:c r="FC48" s="173"/>
      <s:c r="FD48" s="173"/>
      <s:c r="FE48" s="173"/>
      <s:c r="FF48" s="173"/>
      <s:c r="FG48" s="173"/>
      <s:c r="FH48" s="173"/>
      <s:c r="FI48" s="173"/>
      <s:c r="FJ48" s="173"/>
      <s:c r="FK48" s="173"/>
      <s:c r="FL48" s="173"/>
      <s:c r="FM48" s="173"/>
      <s:c r="FN48" s="173"/>
      <s:c r="FO48" s="173"/>
      <s:c r="FP48" s="173"/>
      <s:c r="FQ48" s="173"/>
      <s:c r="FR48" s="173"/>
      <s:c r="FS48" s="173"/>
      <s:c r="FT48" s="173"/>
      <s:c r="FU48" s="173"/>
      <s:c r="FV48" s="173"/>
      <s:c r="FW48" s="173"/>
      <s:c r="FX48" s="173"/>
      <s:c r="FY48" s="173"/>
      <s:c r="FZ48" s="173"/>
      <s:c r="GA48" s="173"/>
      <s:c r="GB48" s="173"/>
      <s:c r="GC48" s="173"/>
      <s:c r="GD48" s="173"/>
      <s:c r="GE48" s="173"/>
      <s:c r="GF48" s="173"/>
      <s:c r="GG48" s="173"/>
      <s:c r="GH48" s="173"/>
      <s:c r="GI48" s="173"/>
      <s:c r="GJ48" s="173"/>
      <s:c r="GK48" s="173"/>
      <s:c r="GL48" s="173"/>
      <s:c r="GM48" s="173"/>
      <s:c r="GN48" s="173"/>
      <s:c r="GO48" s="173"/>
      <s:c r="GP48" s="173"/>
      <s:c r="GQ48" s="173"/>
      <s:c r="GR48" s="173"/>
      <s:c r="GS48" s="173"/>
      <s:c r="GT48" s="173"/>
      <s:c r="GU48" s="173"/>
      <s:c r="GV48" s="173"/>
      <s:c r="GW48" s="173"/>
      <s:c r="GX48" s="173"/>
      <s:c r="GY48" s="173"/>
      <s:c r="GZ48" s="173"/>
      <s:c r="HA48" s="173"/>
      <s:c r="HB48" s="173"/>
      <s:c r="HC48" s="173"/>
      <s:c r="HD48" s="173"/>
      <s:c r="HE48" s="173"/>
      <s:c r="HF48" s="173"/>
      <s:c r="HG48" s="173"/>
      <s:c r="HH48" s="173"/>
      <s:c r="HI48" s="173"/>
      <s:c r="HJ48" s="173"/>
      <s:c r="HK48" s="173"/>
      <s:c r="HL48" s="173"/>
      <s:c r="HM48" s="173"/>
      <s:c r="HN48" s="173"/>
      <s:c r="HO48" s="173"/>
      <s:c r="HP48" s="173"/>
      <s:c r="HQ48" s="173"/>
      <s:c r="HR48" s="173"/>
      <s:c r="HS48" s="173"/>
      <s:c r="HT48" s="173"/>
      <s:c r="HU48" s="173"/>
      <s:c r="HV48" s="173"/>
      <s:c r="HW48" s="173"/>
      <s:c r="HX48" s="173"/>
      <s:c r="HY48" s="173"/>
      <s:c r="HZ48" s="173"/>
      <s:c r="IA48" s="173"/>
      <s:c r="IB48" s="173"/>
      <s:c r="IC48" s="173"/>
      <s:c r="ID48" s="173"/>
      <s:c r="IE48" s="173"/>
      <s:c r="IF48" s="173"/>
      <s:c r="IG48" s="173"/>
      <s:c r="IH48" s="173"/>
      <s:c r="II48" s="173"/>
      <s:c r="IJ48" s="173"/>
      <s:c r="IK48" s="173"/>
      <s:c r="IL48" s="173"/>
      <s:c r="IM48" s="173"/>
      <s:c r="IN48" s="173"/>
      <s:c r="IO48" s="173"/>
      <s:c r="IP48" s="173"/>
      <s:c r="IQ48" s="173"/>
      <s:c r="IR48" s="173"/>
      <s:c r="IS48" s="173"/>
      <s:c r="IT48" s="173"/>
      <s:c r="IU48" s="173"/>
      <s:c r="IV48" s="173"/>
      <s:c r="IW48" s="173"/>
      <s:c r="IX48" s="173"/>
      <s:c r="IY48" s="173"/>
      <s:c r="IZ48" s="173"/>
      <s:c r="JA48" s="173"/>
    </s:row>
    <s:row r="49">
      <s:c r="A49" s="158" t="s">
        <s:v>69</s:v>
      </s:c>
      <s:c r="B49" s="134">
        <s:v>46078</s:v>
      </s:c>
      <s:c r="C49" s="135" t="s">
        <s:v>62</s:v>
      </s:c>
      <s:c r="D49" s="855">
        <s:v>0</s:v>
      </s:c>
      <s:c r="E49" s="136">
        <s:v>0</s:v>
      </s:c>
      <s:c r="F49" s="137" t="str">
        <s:f>IF(AND(E49&lt;&gt;"",E49&lt;&gt;0),D49/E49,"")</s:f>
        <s:v/>
      </s:c>
      <s:c r="G49" s="136">
        <s:v>0</s:v>
      </s:c>
      <s:c r="H49" s="137" t="str">
        <s:f>IF(AND(G49&lt;&gt;"",G49&lt;&gt;0),D49/G49,"")</s:f>
        <s:v/>
      </s:c>
      <s:c r="I49" s="136">
        <s:v>43</s:v>
      </s:c>
      <s:c r="J49" s="138" t="str">
        <s:f>IF(AND(G49&lt;&gt;"",G49&lt;&gt;0),E49/G49,"")</s:f>
        <s:v/>
      </s:c>
      <s:c r="K49" s="136"/>
      <s:c r="L49" s="136"/>
      <s:c r="M49" s="136"/>
      <s:c r="N49" s="136"/>
      <s:c r="O49" s="136"/>
      <s:c r="P49" s="139"/>
      <s:c r="Q49" s="139"/>
      <s:c r="R49" s="137"/>
      <s:c r="S49" s="137"/>
      <s:c r="T49" s="140">
        <s:f>IF(AND(I49&lt;&gt;"",I49&lt;&gt;0),G49/I49,"")</s:f>
        <s:v>0</s:v>
      </s:c>
      <s:c r="U49" s="141">
        <s:f>D49/V49</s:f>
        <s:v>0</s:v>
      </s:c>
      <s:c r="V49" s="142">
        <s:f>$I$8*AB49*AC49/SUMPRODUCT($AC$25:$AC$55,$AB$25:$AB$55)</s:f>
        <s:v>53999.75559177644</s:v>
      </s:c>
      <s:c r="W49" s="143">
        <s:f>$I$9*AB49*AC49/SUMPRODUCT($AC$25:$AC$55,$AB$25:$AB$55)</s:f>
        <s:v>7.4379828638810519</s:v>
      </s:c>
      <s:c r="X49" s="143">
        <s:f>IF($I$12="","",W49/$I$12)</s:f>
        <s:v>4.0423819912397017</s:v>
      </s:c>
      <s:c r="Y49" s="142">
        <s:f>IF(AC49&lt;&gt;"",IF(D49&lt;&gt;"",D49,($I$8-SUM($Y$25:Y48))*AB49*AC49/SUMPRODUCT($AC49:$AC$55,$AB49:$AB$55)),"")</s:f>
        <s:v>0</s:v>
      </s:c>
      <s:c r="Z49" s="143">
        <s:f>IF(AC49&lt;&gt;"",IF(E49&lt;&gt;"",E49,($I$9-SUM($Z$25:Z48))*AB49*AC49/SUMPRODUCT($AC49:$AC$55,$AB49:$AB$55)),"")</s:f>
        <s:v>0</s:v>
      </s:c>
      <s:c r="AA49" s="143">
        <s:f>IF(AC49&lt;&gt;"",IF($I$12&lt;&gt;"",IF(G49&lt;&gt;"",G49,($I$9/$I$12-SUM($AA$25:AA48))*AB49*AC49/SUMPRODUCT($AC49:$AC$55,$AB49:$AB$55)),""),"")</s:f>
        <s:v>0</s:v>
      </s:c>
      <s:c r="AB49" s="154">
        <s:v>0.8</s:v>
      </s:c>
      <s:c r="AC49" s="154">
        <s:v>0.8</s:v>
      </s:c>
      <s:c r="AD49" s="145"/>
      <s:c r="AE49" s="145"/>
      <s:c r="AF49" s="160"/>
      <s:c r="AG49" s="2"/>
      <s:c r="AH49" s="2"/>
      <s:c r="AI49" s="2"/>
      <s:c r="AJ49" s="2"/>
      <s:c r="AK49" s="2"/>
      <s:c r="AL49" s="2"/>
      <s:c r="AM49" s="2"/>
      <s:c r="AN49" s="2"/>
      <s:c r="AO49" s="2"/>
    </s:row>
    <s:row r="50">
      <s:c r="A50" s="158" t="s">
        <s:v>59</s:v>
      </s:c>
      <s:c r="B50" s="134">
        <s:v>46079</s:v>
      </s:c>
      <s:c r="C50" s="135" t="s">
        <s:v>63</s:v>
      </s:c>
      <s:c r="D50" s="855">
        <s:v>17422</s:v>
      </s:c>
      <s:c r="E50" s="136">
        <s:v>3</s:v>
      </s:c>
      <s:c r="F50" s="174">
        <s:f>IF(AND(E50&lt;&gt;"",E50&lt;&gt;0),D50/E50,"")</s:f>
        <s:v>5807.333333333333</s:v>
      </s:c>
      <s:c r="G50" s="148">
        <s:v>3</s:v>
      </s:c>
      <s:c r="H50" s="137">
        <s:f>IF(AND(G50&lt;&gt;"",G50&lt;&gt;0),D50/G50,"")</s:f>
        <s:v>5807.333333333333</s:v>
      </s:c>
      <s:c r="I50" s="136">
        <s:v>57</s:v>
      </s:c>
      <s:c r="J50" s="138">
        <s:f>IF(AND(G50&lt;&gt;"",G50&lt;&gt;0),E50/G50,"")</s:f>
        <s:v>1</s:v>
      </s:c>
      <s:c r="K50" s="136"/>
      <s:c r="L50" s="136"/>
      <s:c r="M50" s="136"/>
      <s:c r="N50" s="136"/>
      <s:c r="O50" s="136"/>
      <s:c r="P50" s="139"/>
      <s:c r="Q50" s="139"/>
      <s:c r="R50" s="137"/>
      <s:c r="S50" s="137"/>
      <s:c r="T50" s="140">
        <s:f>IF(AND(I50&lt;&gt;"",I50&lt;&gt;0),G50/I50,"")</s:f>
        <s:v>5.2631578947368418E-2</s:v>
      </s:c>
      <s:c r="U50" s="141">
        <s:f>D50/V50</s:f>
        <s:v>0.32263108988317674</s:v>
      </s:c>
      <s:c r="V50" s="142">
        <s:f>$I$8*AB50*AC50/SUMPRODUCT($AC$25:$AC$55,$AB$25:$AB$55)</s:f>
        <s:v>53999.75559177644</s:v>
      </s:c>
      <s:c r="W50" s="143">
        <s:f>$I$9*AB50*AC50/SUMPRODUCT($AC$25:$AC$55,$AB$25:$AB$55)</s:f>
        <s:v>7.4379828638810519</s:v>
      </s:c>
      <s:c r="X50" s="143">
        <s:f>IF($I$12="","",W50/$I$12)</s:f>
        <s:v>4.0423819912397017</s:v>
      </s:c>
      <s:c r="Y50" s="142">
        <s:f>IF(AC50&lt;&gt;"",IF(D50&lt;&gt;"",D50,($I$8-SUM($Y$25:Y49))*AB50*AC50/SUMPRODUCT($AC50:$AC$55,$AB50:$AB$55)),"")</s:f>
        <s:v>17422</s:v>
      </s:c>
      <s:c r="Z50" s="143">
        <s:f>IF(AC50&lt;&gt;"",IF(E50&lt;&gt;"",E50,($I$9-SUM($Z$25:Z49))*AB50*AC50/SUMPRODUCT($AC50:$AC$55,$AB50:$AB$55)),"")</s:f>
        <s:v>3</s:v>
      </s:c>
      <s:c r="AA50" s="143">
        <s:f>IF(AC50&lt;&gt;"",IF($I$12&lt;&gt;"",IF(G50&lt;&gt;"",G50,($I$9/$I$12-SUM($AA$25:AA49))*AB50*AC50/SUMPRODUCT($AC50:$AC$55,$AB50:$AB$55)),""),"")</s:f>
        <s:v>3</s:v>
      </s:c>
      <s:c r="AB50" s="154">
        <s:v>0.8</s:v>
      </s:c>
      <s:c r="AC50" s="154">
        <s:v>0.8</s:v>
      </s:c>
      <s:c r="AD50" s="145"/>
      <s:c r="AE50" s="145"/>
      <s:c r="AF50" s="160"/>
      <s:c r="AG50" s="2"/>
      <s:c r="AH50" s="2"/>
      <s:c r="AI50" s="2"/>
      <s:c r="AJ50" s="2"/>
      <s:c r="AK50" s="2"/>
      <s:c r="AL50" s="2"/>
      <s:c r="AM50" s="2"/>
      <s:c r="AN50" s="2"/>
      <s:c r="AO50" s="2"/>
    </s:row>
    <s:row r="51">
      <s:c r="A51" s="156" t="s">
        <s:v>59</s:v>
      </s:c>
      <s:c r="B51" s="120">
        <s:v>46080</s:v>
      </s:c>
      <s:c r="C51" s="121" t="s">
        <s:v>64</s:v>
      </s:c>
      <s:c r="D51" s="856">
        <s:v>12444</s:v>
      </s:c>
      <s:c r="E51" s="125">
        <s:v>3</s:v>
      </s:c>
      <s:c r="F51" s="123">
        <s:f>IF(AND(E51&lt;&gt;"",E51&lt;&gt;0),D51/E51,"")</s:f>
        <s:v>4148</s:v>
      </s:c>
      <s:c r="G51" s="125">
        <s:v>3</s:v>
      </s:c>
      <s:c r="H51" s="123">
        <s:f>IF(AND(G51&lt;&gt;"",G51&lt;&gt;0),D51/G51,"")</s:f>
        <s:v>4148</s:v>
      </s:c>
      <s:c r="I51" s="125">
        <s:v>58</s:v>
      </s:c>
      <s:c r="J51" s="124">
        <s:f>IF(AND(G51&lt;&gt;"",G51&lt;&gt;0),E51/G51,"")</s:f>
        <s:v>1</s:v>
      </s:c>
      <s:c r="K51" s="125"/>
      <s:c r="L51" s="125"/>
      <s:c r="M51" s="125"/>
      <s:c r="N51" s="125"/>
      <s:c r="O51" s="125"/>
      <s:c r="P51" s="122"/>
      <s:c r="Q51" s="122"/>
      <s:c r="R51" s="123"/>
      <s:c r="S51" s="123"/>
      <s:c r="T51" s="126">
        <s:f>IF(AND(I51&lt;&gt;"",I51&lt;&gt;0),G51/I51,"")</s:f>
        <s:v>5.1724137931034482E-2</s:v>
      </s:c>
      <s:c r="U51" s="127">
        <s:f>D51/V51</s:f>
        <s:v>0.18208038515258848</s:v>
      </s:c>
      <s:c r="V51" s="128">
        <s:f>$I$8*AB51*AC51/SUMPRODUCT($AC$25:$AC$55,$AB$25:$AB$55)</s:f>
        <s:v>68343.440670842043</s:v>
      </s:c>
      <s:c r="W51" s="129">
        <s:f>$I$9*AB51*AC51/SUMPRODUCT($AC$25:$AC$55,$AB$25:$AB$55)</s:f>
        <s:v>9.4136970620994553</s:v>
      </s:c>
      <s:c r="X51" s="129">
        <s:f>IF($I$12="","",W51/$I$12)</s:f>
        <s:v>5.1161397076627475</s:v>
      </s:c>
      <s:c r="Y51" s="128">
        <s:f>IF(AC51&lt;&gt;"",IF(D51&lt;&gt;"",D51,($I$8-SUM($Y$25:Y50))*AB51*AC51/SUMPRODUCT($AC51:$AC$55,$AB51:$AB$55)),"")</s:f>
        <s:v>12444</s:v>
      </s:c>
      <s:c r="Z51" s="129">
        <s:f>IF(AC51&lt;&gt;"",IF(E51&lt;&gt;"",E51,($I$9-SUM($Z$25:Z50))*AB51*AC51/SUMPRODUCT($AC51:$AC$55,$AB51:$AB$55)),"")</s:f>
        <s:v>3</s:v>
      </s:c>
      <s:c r="AA51" s="129">
        <s:f>IF(AC51&lt;&gt;"",IF($I$12&lt;&gt;"",IF(G51&lt;&gt;"",G51,($I$9/$I$12-SUM($AA$25:AA50))*AB51*AC51/SUMPRODUCT($AC51:$AC$55,$AB51:$AB$55)),""),"")</s:f>
        <s:v>3</s:v>
      </s:c>
      <s:c r="AB51" s="130">
        <s:v>0.9</s:v>
      </s:c>
      <s:c r="AC51" s="130">
        <s:v>0.9</s:v>
      </s:c>
      <s:c r="AD51" s="132"/>
      <s:c r="AE51" s="132"/>
      <s:c r="AF51" s="161"/>
      <s:c r="AG51" s="131"/>
      <s:c r="AH51" s="131"/>
      <s:c r="AI51" s="131"/>
      <s:c r="AJ51" s="131"/>
      <s:c r="AK51" s="131"/>
      <s:c r="AL51" s="131"/>
      <s:c r="AM51" s="131"/>
      <s:c r="AN51" s="131"/>
      <s:c r="AO51" s="131"/>
      <s:c r="AP51" s="131"/>
      <s:c r="AQ51" s="131"/>
      <s:c r="AR51" s="131"/>
      <s:c r="AS51" s="131"/>
      <s:c r="AT51" s="131"/>
      <s:c r="AU51" s="131"/>
      <s:c r="AV51" s="131"/>
      <s:c r="AW51" s="131"/>
      <s:c r="AX51" s="131"/>
      <s:c r="AY51" s="131"/>
      <s:c r="AZ51" s="131"/>
      <s:c r="BA51" s="131"/>
      <s:c r="BB51" s="131"/>
      <s:c r="BC51" s="131"/>
      <s:c r="BD51" s="131"/>
      <s:c r="BE51" s="131"/>
      <s:c r="BF51" s="131"/>
      <s:c r="BG51" s="131"/>
      <s:c r="BH51" s="131"/>
      <s:c r="BI51" s="131"/>
      <s:c r="BJ51" s="131"/>
      <s:c r="BK51" s="131"/>
      <s:c r="BL51" s="131"/>
      <s:c r="BM51" s="131"/>
      <s:c r="BN51" s="131"/>
      <s:c r="BO51" s="131"/>
      <s:c r="BP51" s="131"/>
      <s:c r="BQ51" s="131"/>
      <s:c r="BR51" s="131"/>
      <s:c r="BS51" s="131"/>
      <s:c r="BT51" s="131"/>
      <s:c r="BU51" s="131"/>
      <s:c r="BV51" s="131"/>
      <s:c r="BW51" s="131"/>
      <s:c r="BX51" s="131"/>
      <s:c r="BY51" s="131"/>
      <s:c r="BZ51" s="131"/>
      <s:c r="CA51" s="131"/>
      <s:c r="CB51" s="131"/>
      <s:c r="CC51" s="131"/>
      <s:c r="CD51" s="131"/>
      <s:c r="CE51" s="131"/>
      <s:c r="CF51" s="131"/>
      <s:c r="CG51" s="131"/>
      <s:c r="CH51" s="131"/>
      <s:c r="CI51" s="131"/>
      <s:c r="CJ51" s="131"/>
      <s:c r="CK51" s="131"/>
      <s:c r="CL51" s="131"/>
      <s:c r="CM51" s="131"/>
      <s:c r="CN51" s="131"/>
      <s:c r="CO51" s="131"/>
      <s:c r="CP51" s="131"/>
      <s:c r="CQ51" s="131"/>
      <s:c r="CR51" s="131"/>
      <s:c r="CS51" s="131"/>
      <s:c r="CT51" s="131"/>
      <s:c r="CU51" s="131"/>
      <s:c r="CV51" s="131"/>
      <s:c r="CW51" s="131"/>
      <s:c r="CX51" s="131"/>
      <s:c r="CY51" s="131"/>
      <s:c r="CZ51" s="131"/>
      <s:c r="DA51" s="131"/>
      <s:c r="DB51" s="131"/>
      <s:c r="DC51" s="131"/>
      <s:c r="DD51" s="131"/>
      <s:c r="DE51" s="131"/>
      <s:c r="DF51" s="131"/>
      <s:c r="DG51" s="131"/>
      <s:c r="DH51" s="131"/>
      <s:c r="DI51" s="131"/>
      <s:c r="DJ51" s="131"/>
      <s:c r="DK51" s="131"/>
      <s:c r="DL51" s="131"/>
      <s:c r="DM51" s="131"/>
      <s:c r="DN51" s="131"/>
      <s:c r="DO51" s="131"/>
      <s:c r="DP51" s="131"/>
      <s:c r="DQ51" s="131"/>
      <s:c r="DR51" s="131"/>
      <s:c r="DS51" s="131"/>
      <s:c r="DT51" s="131"/>
      <s:c r="DU51" s="131"/>
      <s:c r="DV51" s="131"/>
      <s:c r="DW51" s="131"/>
      <s:c r="DX51" s="131"/>
      <s:c r="DY51" s="131"/>
      <s:c r="DZ51" s="131"/>
      <s:c r="EA51" s="131"/>
      <s:c r="EB51" s="131"/>
      <s:c r="EC51" s="131"/>
      <s:c r="ED51" s="131"/>
      <s:c r="EE51" s="131"/>
      <s:c r="EF51" s="131"/>
      <s:c r="EG51" s="131"/>
      <s:c r="EH51" s="131"/>
      <s:c r="EI51" s="131"/>
      <s:c r="EJ51" s="131"/>
      <s:c r="EK51" s="131"/>
      <s:c r="EL51" s="131"/>
      <s:c r="EM51" s="131"/>
      <s:c r="EN51" s="131"/>
      <s:c r="EO51" s="131"/>
      <s:c r="EP51" s="131"/>
      <s:c r="EQ51" s="131"/>
      <s:c r="ER51" s="131"/>
      <s:c r="ES51" s="131"/>
      <s:c r="ET51" s="131"/>
      <s:c r="EU51" s="131"/>
      <s:c r="EV51" s="131"/>
      <s:c r="EW51" s="131"/>
      <s:c r="EX51" s="131"/>
      <s:c r="EY51" s="131"/>
      <s:c r="EZ51" s="131"/>
      <s:c r="FA51" s="131"/>
      <s:c r="FB51" s="131"/>
      <s:c r="FC51" s="131"/>
      <s:c r="FD51" s="131"/>
      <s:c r="FE51" s="131"/>
      <s:c r="FF51" s="131"/>
      <s:c r="FG51" s="131"/>
      <s:c r="FH51" s="131"/>
      <s:c r="FI51" s="131"/>
      <s:c r="FJ51" s="131"/>
      <s:c r="FK51" s="131"/>
      <s:c r="FL51" s="131"/>
      <s:c r="FM51" s="131"/>
      <s:c r="FN51" s="131"/>
      <s:c r="FO51" s="131"/>
      <s:c r="FP51" s="131"/>
      <s:c r="FQ51" s="131"/>
      <s:c r="FR51" s="131"/>
      <s:c r="FS51" s="131"/>
      <s:c r="FT51" s="131"/>
      <s:c r="FU51" s="131"/>
      <s:c r="FV51" s="131"/>
      <s:c r="FW51" s="131"/>
      <s:c r="FX51" s="131"/>
      <s:c r="FY51" s="131"/>
      <s:c r="FZ51" s="131"/>
      <s:c r="GA51" s="131"/>
      <s:c r="GB51" s="131"/>
      <s:c r="GC51" s="131"/>
      <s:c r="GD51" s="131"/>
      <s:c r="GE51" s="131"/>
      <s:c r="GF51" s="131"/>
      <s:c r="GG51" s="131"/>
      <s:c r="GH51" s="131"/>
      <s:c r="GI51" s="131"/>
      <s:c r="GJ51" s="131"/>
      <s:c r="GK51" s="131"/>
      <s:c r="GL51" s="131"/>
      <s:c r="GM51" s="131"/>
      <s:c r="GN51" s="131"/>
      <s:c r="GO51" s="131"/>
      <s:c r="GP51" s="131"/>
      <s:c r="GQ51" s="131"/>
      <s:c r="GR51" s="131"/>
      <s:c r="GS51" s="131"/>
      <s:c r="GT51" s="131"/>
      <s:c r="GU51" s="131"/>
      <s:c r="GV51" s="131"/>
      <s:c r="GW51" s="131"/>
      <s:c r="GX51" s="131"/>
      <s:c r="GY51" s="131"/>
      <s:c r="GZ51" s="131"/>
      <s:c r="HA51" s="131"/>
      <s:c r="HB51" s="131"/>
      <s:c r="HC51" s="131"/>
      <s:c r="HD51" s="131"/>
      <s:c r="HE51" s="131"/>
      <s:c r="HF51" s="131"/>
      <s:c r="HG51" s="131"/>
      <s:c r="HH51" s="131"/>
      <s:c r="HI51" s="131"/>
      <s:c r="HJ51" s="131"/>
      <s:c r="HK51" s="131"/>
      <s:c r="HL51" s="131"/>
      <s:c r="HM51" s="131"/>
      <s:c r="HN51" s="131"/>
      <s:c r="HO51" s="131"/>
      <s:c r="HP51" s="131"/>
      <s:c r="HQ51" s="131"/>
      <s:c r="HR51" s="131"/>
      <s:c r="HS51" s="131"/>
      <s:c r="HT51" s="131"/>
      <s:c r="HU51" s="131"/>
      <s:c r="HV51" s="131"/>
      <s:c r="HW51" s="131"/>
      <s:c r="HX51" s="131"/>
      <s:c r="HY51" s="131"/>
      <s:c r="HZ51" s="131"/>
      <s:c r="IA51" s="131"/>
      <s:c r="IB51" s="131"/>
      <s:c r="IC51" s="131"/>
      <s:c r="ID51" s="131"/>
      <s:c r="IE51" s="131"/>
      <s:c r="IF51" s="131"/>
      <s:c r="IG51" s="131"/>
      <s:c r="IH51" s="131"/>
      <s:c r="II51" s="131"/>
      <s:c r="IJ51" s="131"/>
      <s:c r="IK51" s="131"/>
      <s:c r="IL51" s="131"/>
      <s:c r="IM51" s="131"/>
      <s:c r="IN51" s="131"/>
      <s:c r="IO51" s="131"/>
      <s:c r="IP51" s="131"/>
      <s:c r="IQ51" s="131"/>
      <s:c r="IR51" s="131"/>
      <s:c r="IS51" s="131"/>
      <s:c r="IT51" s="131"/>
      <s:c r="IU51" s="131"/>
      <s:c r="IV51" s="131"/>
      <s:c r="IW51" s="131"/>
      <s:c r="IX51" s="131"/>
      <s:c r="IY51" s="131"/>
      <s:c r="IZ51" s="131"/>
      <s:c r="JA51" s="131"/>
    </s:row>
    <s:row r="52">
      <s:c r="A52" s="156" t="s">
        <s:v>68</s:v>
      </s:c>
      <s:c r="B52" s="120">
        <s:v>46081</s:v>
      </s:c>
      <s:c r="C52" s="121" t="s">
        <s:v>66</s:v>
      </s:c>
      <s:c r="D52" s="856">
        <s:v>36863</s:v>
      </s:c>
      <s:c r="E52" s="125">
        <s:v>5</s:v>
      </s:c>
      <s:c r="F52" s="123">
        <s:f>IF(AND(E52&lt;&gt;"",E52&lt;&gt;0),D52/E52,"")</s:f>
        <s:v>7372.6</s:v>
      </s:c>
      <s:c r="G52" s="125">
        <s:v>4</s:v>
      </s:c>
      <s:c r="H52" s="123">
        <s:f>IF(AND(G52&lt;&gt;"",G52&lt;&gt;0),D52/G52,"")</s:f>
        <s:v>9215.75</s:v>
      </s:c>
      <s:c r="I52" s="125">
        <s:v>53</s:v>
      </s:c>
      <s:c r="J52" s="124">
        <s:f>IF(AND(G52&lt;&gt;"",G52&lt;&gt;0),E52/G52,"")</s:f>
        <s:v>1.25</s:v>
      </s:c>
      <s:c r="K52" s="125"/>
      <s:c r="L52" s="125"/>
      <s:c r="M52" s="125"/>
      <s:c r="N52" s="125"/>
      <s:c r="O52" s="125">
        <s:v>10993</s:v>
      </s:c>
      <s:c r="P52" s="122"/>
      <s:c r="Q52" s="122"/>
      <s:c r="R52" s="123"/>
      <s:c r="S52" s="123"/>
      <s:c r="T52" s="126">
        <s:f>IF(AND(I52&lt;&gt;"",I52&lt;&gt;0),G52/I52,"")</s:f>
        <s:v>7.5471698113207544E-2</s:v>
      </s:c>
      <s:c r="U52" s="127">
        <s:f>D52/V52</s:f>
        <s:v>0.53937875585662731</s:v>
      </s:c>
      <s:c r="V52" s="128">
        <s:f>$I$8*AB52*AC52/SUMPRODUCT($AC$25:$AC$55,$AB$25:$AB$55)</s:f>
        <s:v>68343.440670842043</s:v>
      </s:c>
      <s:c r="W52" s="129">
        <s:f>$I$9*AB52*AC52/SUMPRODUCT($AC$25:$AC$55,$AB$25:$AB$55)</s:f>
        <s:v>9.4136970620994553</s:v>
      </s:c>
      <s:c r="X52" s="129">
        <s:f>IF($I$12="","",W52/$I$12)</s:f>
        <s:v>5.1161397076627475</s:v>
      </s:c>
      <s:c r="Y52" s="128">
        <s:f>IF(AC52&lt;&gt;"",IF(D52&lt;&gt;"",D52,($I$8-SUM($Y$25:Y51))*AB52*AC52/SUMPRODUCT($AC52:$AC$55,$AB52:$AB$55)),"")</s:f>
        <s:v>36863</s:v>
      </s:c>
      <s:c r="Z52" s="129">
        <s:f>IF(AC52&lt;&gt;"",IF(E52&lt;&gt;"",E52,($I$9-SUM($Z$25:Z51))*AB52*AC52/SUMPRODUCT($AC52:$AC$55,$AB52:$AB$55)),"")</s:f>
        <s:v>5</s:v>
      </s:c>
      <s:c r="AA52" s="129">
        <s:f>IF(AC52&lt;&gt;"",IF($I$12&lt;&gt;"",IF(G52&lt;&gt;"",G52,($I$9/$I$12-SUM($AA$25:AA51))*AB52*AC52/SUMPRODUCT($AC52:$AC$55,$AB52:$AB$55)),""),"")</s:f>
        <s:v>4</s:v>
      </s:c>
      <s:c r="AB52" s="130">
        <s:v>0.9</s:v>
      </s:c>
      <s:c r="AC52" s="130">
        <s:v>0.9</s:v>
      </s:c>
      <s:c r="AD52" s="132"/>
      <s:c r="AE52" s="132"/>
      <s:c r="AF52" s="161"/>
      <s:c r="AG52" s="131"/>
      <s:c r="AH52" s="131"/>
      <s:c r="AI52" s="131"/>
      <s:c r="AJ52" s="131"/>
      <s:c r="AK52" s="131"/>
      <s:c r="AL52" s="131"/>
      <s:c r="AM52" s="131"/>
      <s:c r="AN52" s="131"/>
      <s:c r="AO52" s="131"/>
      <s:c r="AP52" s="131"/>
      <s:c r="AQ52" s="131"/>
      <s:c r="AR52" s="131"/>
      <s:c r="AS52" s="131"/>
      <s:c r="AT52" s="131"/>
      <s:c r="AU52" s="131"/>
      <s:c r="AV52" s="131"/>
      <s:c r="AW52" s="131"/>
      <s:c r="AX52" s="131"/>
      <s:c r="AY52" s="131"/>
      <s:c r="AZ52" s="131"/>
      <s:c r="BA52" s="131"/>
      <s:c r="BB52" s="131"/>
      <s:c r="BC52" s="131"/>
      <s:c r="BD52" s="131"/>
      <s:c r="BE52" s="131"/>
      <s:c r="BF52" s="131"/>
      <s:c r="BG52" s="131"/>
      <s:c r="BH52" s="131"/>
      <s:c r="BI52" s="131"/>
      <s:c r="BJ52" s="131"/>
      <s:c r="BK52" s="131"/>
      <s:c r="BL52" s="131"/>
      <s:c r="BM52" s="131"/>
      <s:c r="BN52" s="131"/>
      <s:c r="BO52" s="131"/>
      <s:c r="BP52" s="131"/>
      <s:c r="BQ52" s="131"/>
      <s:c r="BR52" s="131"/>
      <s:c r="BS52" s="131"/>
      <s:c r="BT52" s="131"/>
      <s:c r="BU52" s="131"/>
      <s:c r="BV52" s="131"/>
      <s:c r="BW52" s="131"/>
      <s:c r="BX52" s="131"/>
      <s:c r="BY52" s="131"/>
      <s:c r="BZ52" s="131"/>
      <s:c r="CA52" s="131"/>
      <s:c r="CB52" s="131"/>
      <s:c r="CC52" s="131"/>
      <s:c r="CD52" s="131"/>
      <s:c r="CE52" s="131"/>
      <s:c r="CF52" s="131"/>
      <s:c r="CG52" s="131"/>
      <s:c r="CH52" s="131"/>
      <s:c r="CI52" s="131"/>
      <s:c r="CJ52" s="131"/>
      <s:c r="CK52" s="131"/>
      <s:c r="CL52" s="131"/>
      <s:c r="CM52" s="131"/>
      <s:c r="CN52" s="131"/>
      <s:c r="CO52" s="131"/>
      <s:c r="CP52" s="131"/>
      <s:c r="CQ52" s="131"/>
      <s:c r="CR52" s="131"/>
      <s:c r="CS52" s="131"/>
      <s:c r="CT52" s="131"/>
      <s:c r="CU52" s="131"/>
      <s:c r="CV52" s="131"/>
      <s:c r="CW52" s="131"/>
      <s:c r="CX52" s="131"/>
      <s:c r="CY52" s="131"/>
      <s:c r="CZ52" s="131"/>
      <s:c r="DA52" s="131"/>
      <s:c r="DB52" s="131"/>
      <s:c r="DC52" s="131"/>
      <s:c r="DD52" s="131"/>
      <s:c r="DE52" s="131"/>
      <s:c r="DF52" s="131"/>
      <s:c r="DG52" s="131"/>
      <s:c r="DH52" s="131"/>
      <s:c r="DI52" s="131"/>
      <s:c r="DJ52" s="131"/>
      <s:c r="DK52" s="131"/>
      <s:c r="DL52" s="131"/>
      <s:c r="DM52" s="131"/>
      <s:c r="DN52" s="131"/>
      <s:c r="DO52" s="131"/>
      <s:c r="DP52" s="131"/>
      <s:c r="DQ52" s="131"/>
      <s:c r="DR52" s="131"/>
      <s:c r="DS52" s="131"/>
      <s:c r="DT52" s="131"/>
      <s:c r="DU52" s="131"/>
      <s:c r="DV52" s="131"/>
      <s:c r="DW52" s="131"/>
      <s:c r="DX52" s="131"/>
      <s:c r="DY52" s="131"/>
      <s:c r="DZ52" s="131"/>
      <s:c r="EA52" s="131"/>
      <s:c r="EB52" s="131"/>
      <s:c r="EC52" s="131"/>
      <s:c r="ED52" s="131"/>
      <s:c r="EE52" s="131"/>
      <s:c r="EF52" s="131"/>
      <s:c r="EG52" s="131"/>
      <s:c r="EH52" s="131"/>
      <s:c r="EI52" s="131"/>
      <s:c r="EJ52" s="131"/>
      <s:c r="EK52" s="131"/>
      <s:c r="EL52" s="131"/>
      <s:c r="EM52" s="131"/>
      <s:c r="EN52" s="131"/>
      <s:c r="EO52" s="131"/>
      <s:c r="EP52" s="131"/>
      <s:c r="EQ52" s="131"/>
      <s:c r="ER52" s="131"/>
      <s:c r="ES52" s="131"/>
      <s:c r="ET52" s="131"/>
      <s:c r="EU52" s="131"/>
      <s:c r="EV52" s="131"/>
      <s:c r="EW52" s="131"/>
      <s:c r="EX52" s="131"/>
      <s:c r="EY52" s="131"/>
      <s:c r="EZ52" s="131"/>
      <s:c r="FA52" s="131"/>
      <s:c r="FB52" s="131"/>
      <s:c r="FC52" s="131"/>
      <s:c r="FD52" s="131"/>
      <s:c r="FE52" s="131"/>
      <s:c r="FF52" s="131"/>
      <s:c r="FG52" s="131"/>
      <s:c r="FH52" s="131"/>
      <s:c r="FI52" s="131"/>
      <s:c r="FJ52" s="131"/>
      <s:c r="FK52" s="131"/>
      <s:c r="FL52" s="131"/>
      <s:c r="FM52" s="131"/>
      <s:c r="FN52" s="131"/>
      <s:c r="FO52" s="131"/>
      <s:c r="FP52" s="131"/>
      <s:c r="FQ52" s="131"/>
      <s:c r="FR52" s="131"/>
      <s:c r="FS52" s="131"/>
      <s:c r="FT52" s="131"/>
      <s:c r="FU52" s="131"/>
      <s:c r="FV52" s="131"/>
      <s:c r="FW52" s="131"/>
      <s:c r="FX52" s="131"/>
      <s:c r="FY52" s="131"/>
      <s:c r="FZ52" s="131"/>
      <s:c r="GA52" s="131"/>
      <s:c r="GB52" s="131"/>
      <s:c r="GC52" s="131"/>
      <s:c r="GD52" s="131"/>
      <s:c r="GE52" s="131"/>
      <s:c r="GF52" s="131"/>
      <s:c r="GG52" s="131"/>
      <s:c r="GH52" s="131"/>
      <s:c r="GI52" s="131"/>
      <s:c r="GJ52" s="131"/>
      <s:c r="GK52" s="131"/>
      <s:c r="GL52" s="131"/>
      <s:c r="GM52" s="131"/>
      <s:c r="GN52" s="131"/>
      <s:c r="GO52" s="131"/>
      <s:c r="GP52" s="131"/>
      <s:c r="GQ52" s="131"/>
      <s:c r="GR52" s="131"/>
      <s:c r="GS52" s="131"/>
      <s:c r="GT52" s="131"/>
      <s:c r="GU52" s="131"/>
      <s:c r="GV52" s="131"/>
      <s:c r="GW52" s="131"/>
      <s:c r="GX52" s="131"/>
      <s:c r="GY52" s="131"/>
      <s:c r="GZ52" s="131"/>
      <s:c r="HA52" s="131"/>
      <s:c r="HB52" s="131"/>
      <s:c r="HC52" s="131"/>
      <s:c r="HD52" s="131"/>
      <s:c r="HE52" s="131"/>
      <s:c r="HF52" s="131"/>
      <s:c r="HG52" s="131"/>
      <s:c r="HH52" s="131"/>
      <s:c r="HI52" s="131"/>
      <s:c r="HJ52" s="131"/>
      <s:c r="HK52" s="131"/>
      <s:c r="HL52" s="131"/>
      <s:c r="HM52" s="131"/>
      <s:c r="HN52" s="131"/>
      <s:c r="HO52" s="131"/>
      <s:c r="HP52" s="131"/>
      <s:c r="HQ52" s="131"/>
      <s:c r="HR52" s="131"/>
      <s:c r="HS52" s="131"/>
      <s:c r="HT52" s="131"/>
      <s:c r="HU52" s="131"/>
      <s:c r="HV52" s="131"/>
      <s:c r="HW52" s="131"/>
      <s:c r="HX52" s="131"/>
      <s:c r="HY52" s="131"/>
      <s:c r="HZ52" s="131"/>
      <s:c r="IA52" s="131"/>
      <s:c r="IB52" s="131"/>
      <s:c r="IC52" s="131"/>
      <s:c r="ID52" s="131"/>
      <s:c r="IE52" s="131"/>
      <s:c r="IF52" s="131"/>
      <s:c r="IG52" s="131"/>
      <s:c r="IH52" s="131"/>
      <s:c r="II52" s="131"/>
      <s:c r="IJ52" s="131"/>
      <s:c r="IK52" s="131"/>
      <s:c r="IL52" s="131"/>
      <s:c r="IM52" s="131"/>
      <s:c r="IN52" s="131"/>
      <s:c r="IO52" s="131"/>
      <s:c r="IP52" s="131"/>
      <s:c r="IQ52" s="131"/>
      <s:c r="IR52" s="131"/>
      <s:c r="IS52" s="131"/>
      <s:c r="IT52" s="131"/>
      <s:c r="IU52" s="131"/>
      <s:c r="IV52" s="131"/>
      <s:c r="IW52" s="131"/>
      <s:c r="IX52" s="131"/>
      <s:c r="IY52" s="131"/>
      <s:c r="IZ52" s="131"/>
      <s:c r="JA52" s="131"/>
    </s:row>
    <s:row r="53">
      <s:c r="A53" s="158"/>
      <s:c r="B53" s="134"/>
      <s:c r="C53" s="175"/>
      <s:c r="D53" s="138"/>
      <s:c r="E53" s="136"/>
      <s:c r="F53" s="137" t="str">
        <s:f>IF(AND(E53&lt;&gt;"",E53&lt;&gt;0),D53/E53,"")</s:f>
        <s:v/>
      </s:c>
      <s:c r="G53" s="136"/>
      <s:c r="H53" s="137" t="str">
        <s:f>IF(AND(G53&lt;&gt;"",G53&lt;&gt;0),D53/G53,"")</s:f>
        <s:v/>
      </s:c>
      <s:c r="I53" s="136"/>
      <s:c r="J53" s="138" t="str">
        <s:f>IF(AND(G53&lt;&gt;"",G53&lt;&gt;0),E53/G53,"")</s:f>
        <s:v/>
      </s:c>
      <s:c r="K53" s="136"/>
      <s:c r="L53" s="136"/>
      <s:c r="M53" s="136"/>
      <s:c r="N53" s="136"/>
      <s:c r="O53" s="136"/>
      <s:c r="P53" s="139"/>
      <s:c r="Q53" s="139"/>
      <s:c r="R53" s="137"/>
      <s:c r="S53" s="137"/>
      <s:c r="T53" s="140" t="str">
        <s:f>IF(AND(I53&lt;&gt;"",I53&lt;&gt;0),G53/I53,"")</s:f>
        <s:v/>
      </s:c>
      <s:c r="U53" s="141" t="e">
        <s:f>D53/V53</s:f>
        <s:v>#DIV/0!</s:v>
      </s:c>
      <s:c r="V53" s="142">
        <s:f>$I$8*AB53*AC53/SUMPRODUCT($AC$25:$AC$55,$AB$25:$AB$55)</s:f>
        <s:v>0</s:v>
      </s:c>
      <s:c r="W53" s="143">
        <s:f>$I$9*AB53*AC53/SUMPRODUCT($AC$25:$AC$55,$AB$25:$AB$55)</s:f>
        <s:v>0</s:v>
      </s:c>
      <s:c r="X53" s="143">
        <s:f>IF($I$12="","",W53/$I$12)</s:f>
        <s:v>0</s:v>
      </s:c>
      <s:c r="Y53" s="142" t="str">
        <s:f>IF(AC53&lt;&gt;"",IF(D53&lt;&gt;"",D53,($I$8-SUM($Y$25:Y52))*AB53*AC53/SUMPRODUCT($AC53:$AC$55,$AB53:$AB$55)),"")</s:f>
        <s:v/>
      </s:c>
      <s:c r="Z53" s="143" t="str">
        <s:f>IF(AC53&lt;&gt;"",IF(E53&lt;&gt;"",E53,($I$9-SUM($Z$25:Z52))*AB53*AC53/SUMPRODUCT($AC53:$AC$55,$AB53:$AB$55)),"")</s:f>
        <s:v/>
      </s:c>
      <s:c r="AA53" s="143" t="str">
        <s:f>IF(AC53&lt;&gt;"",IF($I$12&lt;&gt;"",IF(G53&lt;&gt;"",G53,($I$9/$I$12-SUM($AA$25:AA52))*AB53*AC53/SUMPRODUCT($AC53:$AC$55,$AB53:$AB$55)),""),"")</s:f>
        <s:v/>
      </s:c>
      <s:c r="AB53" s="154"/>
      <s:c r="AC53" s="154"/>
      <s:c r="AD53" s="145"/>
      <s:c r="AE53" s="145"/>
      <s:c r="AF53" s="160"/>
      <s:c r="AG53" s="2"/>
      <s:c r="AH53" s="2"/>
      <s:c r="AI53" s="2"/>
      <s:c r="AJ53" s="2"/>
      <s:c r="AK53" s="2"/>
      <s:c r="AL53" s="2"/>
      <s:c r="AM53" s="2"/>
      <s:c r="AN53" s="2"/>
      <s:c r="AO53" s="2"/>
    </s:row>
    <s:row r="54">
      <s:c r="A54" s="158"/>
      <s:c r="B54" s="134"/>
      <s:c r="C54" s="176"/>
      <s:c r="D54" s="138"/>
      <s:c r="E54" s="136"/>
      <s:c r="F54" s="137" t="str">
        <s:f>IF(AND(E54&lt;&gt;"",E54&lt;&gt;0),D54/E54,"")</s:f>
        <s:v/>
      </s:c>
      <s:c r="G54" s="136"/>
      <s:c r="H54" s="137" t="str">
        <s:f>IF(AND(G54&lt;&gt;"",G54&lt;&gt;0),D54/G54,"")</s:f>
        <s:v/>
      </s:c>
      <s:c r="I54" s="136"/>
      <s:c r="J54" s="138" t="str">
        <s:f>IF(AND(G54&lt;&gt;"",G54&lt;&gt;0),E54/G54,"")</s:f>
        <s:v/>
      </s:c>
      <s:c r="K54" s="136"/>
      <s:c r="L54" s="136"/>
      <s:c r="M54" s="136"/>
      <s:c r="N54" s="136"/>
      <s:c r="O54" s="136"/>
      <s:c r="P54" s="139"/>
      <s:c r="Q54" s="139"/>
      <s:c r="R54" s="137"/>
      <s:c r="S54" s="137"/>
      <s:c r="T54" s="140" t="str">
        <s:f>IF(AND(I54&lt;&gt;"",I54&lt;&gt;0),G54/I54,"")</s:f>
        <s:v/>
      </s:c>
      <s:c r="U54" s="141" t="e">
        <s:f>D54/V54</s:f>
        <s:v>#DIV/0!</s:v>
      </s:c>
      <s:c r="V54" s="142">
        <s:f>$I$8*AB54*AC54/SUMPRODUCT($AC$25:$AC$55,$AB$25:$AB$55)</s:f>
        <s:v>0</s:v>
      </s:c>
      <s:c r="W54" s="143">
        <s:f>$I$9*AB54*AC54/SUMPRODUCT($AC$25:$AC$55,$AB$25:$AB$55)</s:f>
        <s:v>0</s:v>
      </s:c>
      <s:c r="X54" s="143">
        <s:f>IF($I$12="","",W54/$I$12)</s:f>
        <s:v>0</s:v>
      </s:c>
      <s:c r="Y54" s="142" t="str">
        <s:f>IF(AC54&lt;&gt;"",IF(D54&lt;&gt;"",D54,($I$8-SUM($Y$25:Y53))*AB54*AC54/SUMPRODUCT($AC54:$AC$55,$AB54:$AB$55)),"")</s:f>
        <s:v/>
      </s:c>
      <s:c r="Z54" s="143" t="str">
        <s:f>IF(AC54&lt;&gt;"",IF(E54&lt;&gt;"",E54,($I$9-SUM($Z$25:Z53))*AB54*AC54/SUMPRODUCT($AC54:$AC$55,$AB54:$AB$55)),"")</s:f>
        <s:v/>
      </s:c>
      <s:c r="AA54" s="143" t="str">
        <s:f>IF(AC54&lt;&gt;"",IF($I$12&lt;&gt;"",IF(G54&lt;&gt;"",G54,($I$9/$I$12-SUM($AA$25:AA53))*AB54*AC54/SUMPRODUCT($AC54:$AC$55,$AB54:$AB$55)),""),"")</s:f>
        <s:v/>
      </s:c>
      <s:c r="AB54" s="154"/>
      <s:c r="AC54" s="154"/>
      <s:c r="AD54" s="145"/>
      <s:c r="AE54" s="145"/>
      <s:c r="AF54" s="160"/>
      <s:c r="AG54" s="2"/>
      <s:c r="AH54" s="2"/>
      <s:c r="AI54" s="2"/>
      <s:c r="AJ54" s="2"/>
      <s:c r="AK54" s="2"/>
      <s:c r="AL54" s="2"/>
      <s:c r="AM54" s="2"/>
      <s:c r="AN54" s="2"/>
      <s:c r="AO54" s="2"/>
    </s:row>
    <s:row r="55">
      <s:c r="A55" s="158"/>
      <s:c r="B55" s="134"/>
      <s:c r="C55" s="175"/>
      <s:c r="D55" s="138"/>
      <s:c r="E55" s="136"/>
      <s:c r="F55" s="137" t="str">
        <s:f>IF(AND(E55&lt;&gt;"",E55&lt;&gt;0),D55/E55,"")</s:f>
        <s:v/>
      </s:c>
      <s:c r="G55" s="136"/>
      <s:c r="H55" s="137" t="str">
        <s:f>IF(AND(G55&lt;&gt;"",G55&lt;&gt;0),D55/G55,"")</s:f>
        <s:v/>
      </s:c>
      <s:c r="I55" s="136"/>
      <s:c r="J55" s="138" t="str">
        <s:f>IF(AND(G55&lt;&gt;"",G55&lt;&gt;0),E55/G55,"")</s:f>
        <s:v/>
      </s:c>
      <s:c r="K55" s="136"/>
      <s:c r="L55" s="136"/>
      <s:c r="M55" s="136"/>
      <s:c r="N55" s="136"/>
      <s:c r="O55" s="136"/>
      <s:c r="P55" s="139"/>
      <s:c r="Q55" s="139"/>
      <s:c r="R55" s="137"/>
      <s:c r="S55" s="137"/>
      <s:c r="T55" s="140" t="str">
        <s:f>IF(AND(I55&lt;&gt;"",I55&lt;&gt;0),G55/I55,"")</s:f>
        <s:v/>
      </s:c>
      <s:c r="U55" s="141" t="e">
        <s:f>D55/V55</s:f>
        <s:v>#DIV/0!</s:v>
      </s:c>
      <s:c r="V55" s="142">
        <s:f>$I$8*AB55*AC55/SUMPRODUCT($AC$25:$AC$55,$AB$25:$AB$55)</s:f>
        <s:v>0</s:v>
      </s:c>
      <s:c r="W55" s="143">
        <s:f>$I$9*AB55*AC55/SUMPRODUCT($AC$25:$AC$55,$AB$25:$AB$55)</s:f>
        <s:v>0</s:v>
      </s:c>
      <s:c r="X55" s="143">
        <s:f>IF($I$12="","",W55/$I$12)</s:f>
        <s:v>0</s:v>
      </s:c>
      <s:c r="Y55" s="142" t="str">
        <s:f>IF(AC55&lt;&gt;"",IF(D55&lt;&gt;"",D55,($I$8-SUM($Y$25:Y54))*AB55*AC55/SUMPRODUCT($AC55:$AC$55,$AB55:$AB$55)),"")</s:f>
        <s:v/>
      </s:c>
      <s:c r="Z55" s="143" t="str">
        <s:f>IF(AC55&lt;&gt;"",IF(E55&lt;&gt;"",E55,($I$9-SUM($Z$25:Z54))*AB55*AC55/SUMPRODUCT($AC55:$AC$55,$AB55:$AB$55)),"")</s:f>
        <s:v/>
      </s:c>
      <s:c r="AA55" s="143" t="str">
        <s:f>IF(AC55&lt;&gt;"",IF($I$12&lt;&gt;"",IF(G55&lt;&gt;"",G55,($I$9/$I$12-SUM($AA$25:AA54))*AB55*AC55/SUMPRODUCT($AC55:$AC$55,$AB55:$AB$55)),""),"")</s:f>
        <s:v/>
      </s:c>
      <s:c r="AB55" s="154"/>
      <s:c r="AC55" s="154"/>
      <s:c r="AD55" s="145"/>
      <s:c r="AE55" s="145"/>
      <s:c r="AF55" s="2"/>
      <s:c r="AG55" s="2"/>
      <s:c r="AH55" s="2"/>
      <s:c r="AI55" s="2"/>
      <s:c r="AJ55" s="2"/>
      <s:c r="AK55" s="2"/>
      <s:c r="AL55" s="2"/>
      <s:c r="AM55" s="2"/>
      <s:c r="AN55" s="2"/>
      <s:c r="AO55" s="2"/>
    </s:row>
    <s:row r="56">
      <s:c r="A56" s="146"/>
      <s:c r="B56" s="177" t="s">
        <s:v>72</s:v>
      </s:c>
      <s:c r="C56" s="177"/>
      <s:c r="D56" s="124">
        <s:f>SUM(D25:D55)</s:f>
        <s:v>844539</s:v>
      </s:c>
      <s:c r="E56" s="123">
        <s:f>SUM(E25:E55)</s:f>
        <s:v>106</s:v>
      </s:c>
      <s:c r="F56" s="123">
        <s:f>IF(AND(E56&lt;&gt;"", E56&lt;&gt;0), D56/E56, "")</s:f>
        <s:v>7967.3490566037735</s:v>
      </s:c>
      <s:c r="G56" s="123">
        <s:f>SUM(G25:G55)</s:f>
        <s:v>69</s:v>
      </s:c>
      <s:c r="H56" s="123">
        <s:f>IF(AND(G56&lt;&gt;"", G56&lt;&gt;0), D56/G56, "")</s:f>
        <s:v>12239.695652173914</s:v>
      </s:c>
      <s:c r="I56" s="123">
        <s:f>SUM(I25:I55)</s:f>
        <s:v>1338</s:v>
      </s:c>
      <s:c r="J56" s="124">
        <s:f>E56/G56</s:f>
        <s:v>1.536231884057971</s:v>
      </s:c>
      <s:c r="K56" s="123">
        <s:f>SUM(K25:K55)</s:f>
        <s:v>62658</s:v>
      </s:c>
      <s:c r="L56" s="123">
        <s:f>SUM(L25:L55)</s:f>
        <s:v>23405</s:v>
      </s:c>
      <s:c r="M56" s="123">
        <s:f>SUM(M25:M55)</s:f>
        <s:v>121217</s:v>
      </s:c>
      <s:c r="N56" s="123">
        <s:f>SUM(N25:N55)</s:f>
        <s:v>0</s:v>
      </s:c>
      <s:c r="O56" s="123">
        <s:f>SUM(O25:O55)</s:f>
        <s:v>10993</s:v>
      </s:c>
      <s:c r="P56" s="123">
        <s:f>SUM(P25:P55)</s:f>
        <s:v>0</s:v>
      </s:c>
      <s:c r="Q56" s="123">
        <s:f>SUM(Q25:Q55)</s:f>
        <s:v>17381.78</s:v>
      </s:c>
      <s:c r="R56" s="123">
        <s:f>SUM(R25:R55)</s:f>
        <s:v>129353</s:v>
      </s:c>
      <s:c r="S56" s="123">
        <s:f>SUM(S25:S55)</s:f>
        <s:v>10013</s:v>
      </s:c>
      <s:c r="T56" s="178">
        <s:f>IF(AND(I56&lt;&gt;"",I56&lt;&gt;0),G56/I56,"")</s:f>
        <s:v>5.1569506726457402E-2</s:v>
      </s:c>
      <s:c r="U56" s="179">
        <s:f>D56/V56</s:f>
        <s:v>0.4515826317950824</s:v>
      </s:c>
      <s:c r="V56" s="129">
        <s:f>SUM(V25:V55)</s:f>
        <s:v>1870176</s:v>
      </s:c>
      <s:c r="W56" s="129">
        <s:f>SUM(W25:W55)</s:f>
        <s:v>257.59999999999997</s:v>
      </s:c>
      <s:c r="X56" s="129">
        <s:f>SUM(X25:X55)</s:f>
        <s:v>140.00000000000003</s:v>
      </s:c>
      <s:c r="Y56" s="129">
        <s:f>SUM(Y25:Y55)</s:f>
        <s:v>844539</s:v>
      </s:c>
      <s:c r="Z56" s="129">
        <s:f>SUM(Z25:Z55)</s:f>
        <s:v>92</s:v>
      </s:c>
      <s:c r="AA56" s="129">
        <s:f>SUM(AA25:AA55)</s:f>
        <s:v>69</s:v>
      </s:c>
      <s:c r="AB56" s="180"/>
      <s:c r="AC56" s="180"/>
      <s:c r="AD56" s="2"/>
      <s:c r="AE56" s="2"/>
      <s:c r="AF56" s="2"/>
      <s:c r="AG56" s="2"/>
      <s:c r="AH56" s="2"/>
      <s:c r="AI56" s="2"/>
      <s:c r="AJ56" s="2"/>
      <s:c r="AK56" s="2"/>
      <s:c r="AL56" s="2"/>
      <s:c r="AM56" s="2"/>
      <s:c r="AN56" s="2"/>
      <s:c r="AO56" s="2"/>
    </s:row>
    <s:row r="57">
      <s:c r="B57" s="181"/>
      <s:c r="C57" s="182"/>
      <s:c r="D57" s="183">
        <s:f>SUMIF(D25:D55,"",V25:V55)+D56</s:f>
        <s:v>844539</s:v>
      </s:c>
      <s:c r="E57" s="184"/>
      <s:c r="F57" s="182"/>
      <s:c r="G57" s="182"/>
      <s:c r="H57" s="185"/>
      <s:c r="I57" s="186"/>
      <s:c r="J57" s="185"/>
      <s:c r="L57" s="187"/>
      <s:c r="M57" s="184"/>
      <s:c r="N57" s="184"/>
      <s:c r="O57" s="184"/>
      <s:c r="P57" s="187"/>
      <s:c r="Q57" s="187"/>
      <s:c r="S57" s="187"/>
      <s:c r="T57" s="187"/>
      <s:c r="U57" s="187"/>
      <s:c r="V57" s="188"/>
    </s:row>
    <s:row r="58">
      <s:c r="D58" s="189">
        <s:f>'Доп сотрудник'!D48+'Свидовская С. А.'!J8+'Корж А. А.'!J8+'Козлова В. Э.'!J8+ПК4!J8+'Сейтджелилова А.Э.'!D49</s:f>
        <s:v>844539</s:v>
      </s:c>
      <s:c r="I58" s="190">
        <s:f>'Козлова В. Э.'!I49+'Корж А. А.'!I48+'Свидовская С. А.'!I48+ПК4!I50+'Доп сотрудник'!I48+'Сейтджелилова А.Э.'!I49</s:f>
        <s:v>798.40000000000009</s:v>
      </s:c>
      <s:c r="K58" s="190">
        <s:f>'Козлова В. Э.'!K49+'Корж А. А.'!K48+'Сейтджелилова А.Э.'!K49+'Свидовская С. А.'!K48+'Доп сотрудник'!K48+ПК4!K50</s:f>
        <s:v>62658</s:v>
      </s:c>
      <s:c r="L58" s="190">
        <s:f>'Козлова В. Э.'!L49+'Корж А. А.'!L48+'Сейтджелилова А.Э.'!L49+'Свидовская С. А.'!L48+ПК4!L50</s:f>
        <s:v>23405</s:v>
      </s:c>
      <s:c r="M58" s="190">
        <s:f>'Козлова В. Э.'!M49+'Корж А. А.'!M48+'Сейтджелилова А.Э.'!M49+'Свидовская С. А.'!M48+'Доп сотрудник'!M48+ПК4!M50</s:f>
        <s:v>121217</s:v>
      </s:c>
      <s:c r="N58" s="190">
        <s:f>'Козлова В. Э.'!N49+'Корж А. А.'!N48+'Сейтджелилова А.Э.'!N49+'Свидовская С. А.'!N48+'Доп сотрудник'!N48+ПК4!N50</s:f>
        <s:v>0</s:v>
      </s:c>
      <s:c r="O58" s="190">
        <s:f>'Козлова В. Э.'!O49+'Корж А. А.'!O48+'Сейтджелилова А.Э.'!O49+'Свидовская С. А.'!O48+'Доп сотрудник'!O48+ПК4!O50</s:f>
        <s:v>10993</s:v>
      </s:c>
      <s:c r="P58" s="190">
        <s:f>'Козлова В. Э.'!P49+'Корж А. А.'!P48+'Сейтджелилова А.Э.'!P49+'Свидовская С. А.'!P48+'Доп сотрудник'!P48+ПК4!P50</s:f>
        <s:v>0</s:v>
      </s:c>
      <s:c r="Q58" s="190">
        <s:f>'Сейтджелилова А.Э.'!Q49+'Козлова В. Э.'!Q49+'Корж А. А.'!Q48+'Свидовская С. А.'!Q48+'Доп сотрудник'!Q48+ПК4!Q50</s:f>
        <s:v>17382</s:v>
      </s:c>
      <s:c r="R58" s="190">
        <s:f>'Сейтджелилова А.Э.'!R49+'Козлова В. Э.'!R49+'Корж А. А.'!R48+'Свидовская С. А.'!R48+'Доп сотрудник'!R48</s:f>
        <s:v>129353</s:v>
      </s:c>
      <s:c r="S58" s="190">
        <s:f>'Сейтджелилова А.Э.'!S49+'Козлова В. Э.'!S49+'Корж А. А.'!S48+'Свидовская С. А.'!S48</s:f>
        <s:v>10013</s:v>
      </s:c>
    </s:row>
    <s:row r="59">
      <s:c r="C59" s="189"/>
      <s:c r="D59" s="189"/>
      <s:c r="K59" s="191">
        <s:f>K58/$J$8</s:f>
        <s:v>7.4191955611286151E-2</s:v>
      </s:c>
      <s:c r="L59" s="191">
        <s:f>L58/$J$8</s:f>
        <s:v>2.771334420316883E-2</s:v>
      </s:c>
      <s:c r="M59" s="191">
        <s:f>M58/$J$8</s:f>
        <s:v>0.14353037574345293</s:v>
      </s:c>
      <s:c r="N59" s="191">
        <s:f>N58/$J$8</s:f>
        <s:v>0</s:v>
      </s:c>
      <s:c r="O59" s="191">
        <s:f>O58/$J$8</s:f>
        <s:v>1.3016568802624863E-2</s:v>
      </s:c>
      <s:c r="P59" s="191">
        <s:f>P58/$J$8</s:f>
        <s:v>0</s:v>
      </s:c>
      <s:c r="Q59" s="191">
        <s:f>Q58/$J$8</s:f>
        <s:v>2.0581642766053433E-2</s:v>
      </s:c>
      <s:c r="R59" s="191">
        <s:f>R58/$J$8</s:f>
        <s:v>0.15316403386936542</s:v>
      </s:c>
    </s:row>
    <s:row r="60">
      <s:c r="D60" s="190"/>
      <s:c r="E60" s="192"/>
      <s:c r="L60" s="848">
        <s:f>806057+L58</s:f>
        <s:v>829462</s:v>
      </s:c>
    </s:row>
    <s:row r="61">
      <s:c r="D61" s="190"/>
      <s:c r="L61" s="849">
        <s:f>D58-L60</s:f>
        <s:v>15077</s:v>
      </s:c>
    </s:row>
    <s:row r="62">
      <s:c r="D62" s="189"/>
      <s:c r="E62" s="189"/>
    </s:row>
    <s:row r="64">
      <s:c r="H64" s="193"/>
    </s:row>
  </s:sheetData>
  <s:pageMargins left="0.7" right="0.7" top="0.75" bottom="0.75" header="0.3" footer="0.3"/>
</s:worksheet>
</file>

<file path=xl/worksheets/sheet2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200-000000000000}">
  <s:dimension ref="A1:R12"/>
  <s:sheetViews>
    <s:sheetView tabSelected="0" workbookViewId="0"/>
  </s:sheetViews>
  <s:sheetFormatPr baseColWidth="10" defaultColWidth="10" defaultRowHeight="15"/>
  <s:sheetData>
    <s:row r="1" spans="1:18">
      <s:c r="A1" s="240" t="s">
        <s:v>82</s:v>
      </s:c>
      <s:c r="B1" s="241"/>
      <s:c r="C1" s="241"/>
      <s:c r="D1" s="241"/>
      <s:c r="E1" s="241"/>
      <s:c r="F1" s="241"/>
      <s:c r="G1" s="241"/>
      <s:c r="H1" s="241"/>
      <s:c r="I1" s="241"/>
      <s:c r="J1" s="241"/>
      <s:c r="K1" s="241"/>
      <s:c r="L1" s="241"/>
      <s:c r="M1" s="241"/>
      <s:c r="N1" s="241"/>
      <s:c r="O1" s="241"/>
      <s:c r="P1" s="241"/>
      <s:c r="Q1" s="241"/>
      <s:c r="R1" s="242"/>
    </s:row>
    <s:row r="2" spans="1:18" ht="24">
      <s:c r="A2" s="243" t="s">
        <s:v>5</s:v>
      </s:c>
      <s:c r="B2" s="244"/>
      <s:c r="C2" s="245"/>
      <s:c r="D2" s="246" t="str">
        <s:f>Центрум!I3</s:f>
        <s:v>ТРК Центрум</s:v>
      </s:c>
      <s:c r="E2" s="247"/>
      <s:c r="F2" s="247"/>
      <s:c r="G2" s="248" t="str">
        <s:f>График!B27</s:f>
        <s:v>Свидовская София</s:v>
      </s:c>
      <s:c r="H2" s="249"/>
      <s:c r="I2" s="249"/>
      <s:c r="J2" s="250" t="str">
        <s:f>График!B25</s:f>
        <s:v>Корж Анастасия</s:v>
      </s:c>
      <s:c r="K2" s="249"/>
      <s:c r="L2" s="251"/>
      <s:c r="M2" s="250" t="str">
        <s:f>График!B26</s:f>
        <s:v>Козлова Валерия</s:v>
      </s:c>
      <s:c r="N2" s="249"/>
      <s:c r="O2" s="251"/>
      <s:c r="P2" s="248" t="str">
        <s:f>График!B28</s:f>
        <s:v>Сейтджелилова Алина</s:v>
      </s:c>
      <s:c r="Q2" s="249"/>
      <s:c r="R2" s="252"/>
    </s:row>
    <s:row r="3" spans="1:18">
      <s:c r="A3" s="253"/>
      <s:c r="B3" s="254"/>
      <s:c r="C3" s="255"/>
      <s:c r="D3" s="256" t="s">
        <s:v>83</s:v>
      </s:c>
      <s:c r="E3" s="257"/>
      <s:c r="F3" s="258" t="s">
        <s:v>84</s:v>
      </s:c>
      <s:c r="G3" s="259" t="s">
        <s:v>7</s:v>
      </s:c>
      <s:c r="H3" s="260"/>
      <s:c r="I3" s="261" t="s">
        <s:v>84</s:v>
      </s:c>
      <s:c r="J3" s="259" t="s">
        <s:v>7</s:v>
      </s:c>
      <s:c r="K3" s="260"/>
      <s:c r="L3" s="262" t="s">
        <s:v>84</s:v>
      </s:c>
      <s:c r="M3" s="259" t="s">
        <s:v>7</s:v>
      </s:c>
      <s:c r="N3" s="260"/>
      <s:c r="O3" s="262" t="s">
        <s:v>84</s:v>
      </s:c>
      <s:c r="P3" s="248" t="s">
        <s:v>7</s:v>
      </s:c>
      <s:c r="Q3" s="263"/>
      <s:c r="R3" s="262" t="s">
        <s:v>84</s:v>
      </s:c>
    </s:row>
    <s:row r="4" spans="1:18">
      <s:c r="A4" s="264" t="s">
        <s:v>14</s:v>
      </s:c>
      <s:c r="B4" s="264"/>
      <s:c r="C4" s="264"/>
      <s:c r="D4" s="265">
        <s:f>Центрум!K8</s:f>
        <s:v>0.45158263179508235</s:v>
      </s:c>
      <s:c r="E4" s="266">
        <s:f>Центрум!J8</s:f>
        <s:v>844539</s:v>
      </s:c>
      <s:c r="F4" s="267">
        <s:f>Центрум!M8</s:f>
        <s:v>0.4515826317950824</s:v>
      </s:c>
      <s:c r="G4" s="268">
        <s:f>'Свидовская С. А.'!K8</s:f>
        <s:v>0.54678116994154324</s:v>
      </s:c>
      <s:c r="H4" s="269">
        <s:f>'Свидовская С. А.'!J8</s:f>
        <s:v>248592</s:v>
      </s:c>
      <s:c r="I4" s="267">
        <s:f>'Свидовская С. А.'!M8</s:f>
        <s:v>0.5730415866063574</s:v>
      </s:c>
      <s:c r="J4" s="268">
        <s:f>'Корж А. А.'!K8</s:f>
        <s:v>0.51883279897113876</s:v>
      </s:c>
      <s:c r="K4" s="269">
        <s:f>'Корж А. А.'!J8</s:f>
        <s:v>309495</s:v>
      </s:c>
      <s:c r="L4" s="270">
        <s:f>'Корж А. А.'!M8</s:f>
        <s:v>0.53771899416062552</s:v>
      </s:c>
      <s:c r="M4" s="268">
        <s:f>'Козлова В. Э.'!K8</s:f>
        <s:v>0.26437681203863633</s:v>
      </s:c>
      <s:c r="N4" s="269">
        <s:f>'Козлова В. Э.'!J8</s:f>
        <s:v>65640</s:v>
      </s:c>
      <s:c r="O4" s="270">
        <s:f>'Козлова В. Э.'!M8</s:f>
        <s:v>0.3083909741275665</s:v>
      </s:c>
      <s:c r="P4" s="268">
        <s:f>ПК4!K8</s:f>
        <s:v>0</s:v>
      </s:c>
      <s:c r="Q4" s="269">
        <s:f>ПК4!J8</s:f>
        <s:v>0</s:v>
      </s:c>
      <s:c r="R4" s="270">
        <s:f>ПК4!M8</s:f>
        <s:v>0</s:v>
      </s:c>
    </s:row>
    <s:row r="5" spans="1:18">
      <s:c r="A5" s="49" t="s">
        <s:v>15</s:v>
      </s:c>
      <s:c r="B5" s="49"/>
      <s:c r="C5" s="49"/>
      <s:c r="D5" s="271">
        <s:f>Центрум!K9</s:f>
        <s:v>0.41149068322981364</s:v>
      </s:c>
      <s:c r="E5" s="272">
        <s:f>Центрум!J9</s:f>
        <s:v>106</s:v>
      </s:c>
      <s:c r="F5" s="273">
        <s:f>Центрум!M9</s:f>
        <s:v>0.41149068322981375</s:v>
      </s:c>
      <s:c r="G5" s="274">
        <s:f>'Свидовская С. А.'!K9</s:f>
        <s:v>0.52695916479450244</s:v>
      </s:c>
      <s:c r="H5" s="275">
        <s:f>'Свидовская С. А.'!J9</s:f>
        <s:v>33</s:v>
      </s:c>
      <s:c r="I5" s="276">
        <s:f>'Свидовская С. А.'!M9</s:f>
        <s:v>0.53392649916569968</s:v>
      </s:c>
      <s:c r="J5" s="274">
        <s:f>'Корж А. А.'!K9</s:f>
        <s:v>0.35294611381567892</s:v>
      </s:c>
      <s:c r="K5" s="275">
        <s:f>'Корж А. А.'!J9</s:f>
        <s:v>29</s:v>
      </s:c>
      <s:c r="L5" s="277">
        <s:f>'Корж А. А.'!M9</s:f>
        <s:v>0.35656211967039769</s:v>
      </s:c>
      <s:c r="M5" s="274">
        <s:f>'Козлова В. Э.'!K9</s:f>
        <s:v>0.23392756312010965</s:v>
      </s:c>
      <s:c r="N5" s="275">
        <s:f>'Козлова В. Э.'!J9</s:f>
        <s:v>8</s:v>
      </s:c>
      <s:c r="O5" s="277">
        <s:f>'Козлова В. Э.'!M9</s:f>
        <s:v>0.27287245242731667</s:v>
      </s:c>
      <s:c r="P5" s="274">
        <s:f>ПК4!K9</s:f>
        <s:v>0</s:v>
      </s:c>
      <s:c r="Q5" s="275">
        <s:f>ПК4!J9</s:f>
        <s:v>0</s:v>
      </s:c>
      <s:c r="R5" s="277" t="str">
        <s:f>ПК4!M9</s:f>
        <s:v/>
      </s:c>
    </s:row>
    <s:row r="6" spans="1:18">
      <s:c r="A6" s="59" t="s">
        <s:v>16</s:v>
      </s:c>
      <s:c r="B6" s="59"/>
      <s:c r="C6" s="59"/>
      <s:c r="D6" s="271">
        <s:f>Центрум!K10</s:f>
        <s:v>0.91625461523639906</s:v>
      </s:c>
      <s:c r="E6" s="278">
        <s:f>Центрум!J10</s:f>
        <s:v>12239.695652173914</s:v>
      </s:c>
      <s:c r="F6" s="273">
        <s:f>Центрум!M10</s:f>
        <s:v>0.91625461523639906</s:v>
      </s:c>
      <s:c r="G6" s="274">
        <s:f>'Свидовская С. А.'!K10</s:f>
        <s:v>0.80910496961364797</s:v>
      </s:c>
      <s:c r="H6" s="279">
        <s:f>'Свидовская С. А.'!J10</s:f>
        <s:v>10808.347826086956</s:v>
      </s:c>
      <s:c r="I6" s="276">
        <s:f>'Свидовская С. А.'!M10</s:f>
        <s:v>0.80910496961364797</s:v>
      </s:c>
      <s:c r="J6" s="274">
        <s:f>'Корж А. А.'!K10</s:f>
        <s:v>1.2871426717770591</s:v>
      </s:c>
      <s:c r="K6" s="279">
        <s:f>'Корж А. А.'!J10</s:f>
        <s:v>17194.166666666668</s:v>
      </s:c>
      <s:c r="L6" s="277">
        <s:f>'Корж А. А.'!M10</s:f>
        <s:v>1.2871426717770591</s:v>
      </s:c>
      <s:c r="M6" s="274">
        <s:f>'Козлова В. Э.'!K10</s:f>
        <s:v>0.81896035453347693</s:v>
      </s:c>
      <s:c r="N6" s="279">
        <s:f>'Козлова В. Э.'!J10</s:f>
        <s:v>10940</s:v>
      </s:c>
      <s:c r="O6" s="277">
        <s:f>'Козлова В. Э.'!M10</s:f>
        <s:v>0.81896035453347693</s:v>
      </s:c>
      <s:c r="P6" s="274" t="str">
        <s:f>ПК4!K10</s:f>
        <s:v/>
      </s:c>
      <s:c r="Q6" s="279" t="str">
        <s:f>ПК4!J10</s:f>
        <s:v/>
      </s:c>
      <s:c r="R6" s="277" t="str">
        <s:f>ПК4!M10</s:f>
        <s:v/>
      </s:c>
    </s:row>
    <s:row r="7" spans="1:18">
      <s:c r="A7" s="49" t="s">
        <s:v>17</s:v>
      </s:c>
      <s:c r="B7" s="49"/>
      <s:c r="C7" s="49"/>
      <s:c r="D7" s="271">
        <s:f>Центрум!K11</s:f>
        <s:v>1.0974309995322002</s:v>
      </s:c>
      <s:c r="E7" s="278">
        <s:f>Центрум!J11</s:f>
        <s:v>7967.3490566037735</s:v>
      </s:c>
      <s:c r="F7" s="273">
        <s:f>Центрум!M11</s:f>
        <s:v>1.0974309995322</s:v>
      </s:c>
      <s:c r="G7" s="274">
        <s:f>'Свидовская С. А.'!K11</s:f>
        <s:v>1.0376158276984724</s:v>
      </s:c>
      <s:c r="H7" s="279">
        <s:f>'Свидовская С. А.'!J11</s:f>
        <s:v>7533.090909090909</s:v>
      </s:c>
      <s:c r="I7" s="276">
        <s:f>'Свидовская С. А.'!M11</s:f>
        <s:v>1.0376158276984724</s:v>
      </s:c>
      <s:c r="J7" s="274">
        <s:f>'Корж А. А.'!K11</s:f>
        <s:v>1.4700056996295241</s:v>
      </s:c>
      <s:c r="K7" s="279">
        <s:f>'Корж А. А.'!J11</s:f>
        <s:v>10672.241379310344</s:v>
      </s:c>
      <s:c r="L7" s="277">
        <s:f>'Корж А. А.'!M11</s:f>
        <s:v>1.4700056996295241</s:v>
      </s:c>
      <s:c r="M7" s="274">
        <s:f>'Козлова В. Э.'!K11</s:f>
        <s:v>1.1301652892561984</s:v>
      </s:c>
      <s:c r="N7" s="279">
        <s:f>'Козлова В. Э.'!J11</s:f>
        <s:v>8205</s:v>
      </s:c>
      <s:c r="O7" s="277">
        <s:f>'Козлова В. Э.'!M11</s:f>
        <s:v>1.1301652892561984</s:v>
      </s:c>
      <s:c r="P7" s="274" t="str">
        <s:f>ПК4!K11</s:f>
        <s:v/>
      </s:c>
      <s:c r="Q7" s="279" t="str">
        <s:f>ПК4!J11</s:f>
        <s:v/>
      </s:c>
      <s:c r="R7" s="277" t="str">
        <s:f>ПК4!M11</s:f>
        <s:v/>
      </s:c>
    </s:row>
    <s:row r="8" spans="1:18">
      <s:c r="A8" s="49" t="s">
        <s:v>18</s:v>
      </s:c>
      <s:c r="B8" s="49"/>
      <s:c r="C8" s="49"/>
      <s:c r="D8" s="271">
        <s:f>Центрум!K12</s:f>
        <s:v>0.83490863264020154</s:v>
      </s:c>
      <s:c r="E8" s="280">
        <s:f>Центрум!J12</s:f>
        <s:v>1.536231884057971</s:v>
      </s:c>
      <s:c r="F8" s="273">
        <s:f>Центрум!M12</s:f>
        <s:v>0.83490863264020154</s:v>
      </s:c>
      <s:c r="G8" s="274">
        <s:f>'Свидовская С. А.'!K12</s:f>
        <s:v>0.77977315689981086</s:v>
      </s:c>
      <s:c r="H8" s="281">
        <s:f>'Свидовская С. А.'!J12</s:f>
        <s:v>1.4347826086956521</s:v>
      </s:c>
      <s:c r="I8" s="276">
        <s:f>'Свидовская С. А.'!M12</s:f>
        <s:v>0.77977315689981086</s:v>
      </s:c>
      <s:c r="J8" s="274">
        <s:f>'Корж А. А.'!K12</s:f>
        <s:v>0.87560386473429952</s:v>
      </s:c>
      <s:c r="K8" s="281">
        <s:f>'Корж А. А.'!J12</s:f>
        <s:v>1.6111111111111112</s:v>
      </s:c>
      <s:c r="L8" s="277">
        <s:f>'Корж А. А.'!M12</s:f>
        <s:v>0.87560386473429952</s:v>
      </s:c>
      <s:c r="M8" s="274">
        <s:f>'Козлова В. Э.'!K12</s:f>
        <s:v>0.72463768115942018</s:v>
      </s:c>
      <s:c r="N8" s="281">
        <s:f>'Козлова В. Э.'!J12</s:f>
        <s:v>1.3333333333333333</s:v>
      </s:c>
      <s:c r="O8" s="277">
        <s:f>'Козлова В. Э.'!M12</s:f>
        <s:v>0.72463768115942018</s:v>
      </s:c>
      <s:c r="P8" s="274" t="str">
        <s:f>ПК4!K12</s:f>
        <s:v/>
      </s:c>
      <s:c r="Q8" s="281" t="str">
        <s:f>ПК4!J12</s:f>
        <s:v/>
      </s:c>
      <s:c r="R8" s="277" t="str">
        <s:f>ПК4!M12</s:f>
        <s:v/>
      </s:c>
    </s:row>
    <s:row r="9" spans="1:18">
      <s:c r="A9" s="49" t="s">
        <s:v>19</s:v>
      </s:c>
      <s:c r="B9" s="49"/>
      <s:c r="C9" s="49"/>
      <s:c r="D9" s="271">
        <s:f>Центрум!K13</s:f>
        <s:v>0.49285714285714288</s:v>
      </s:c>
      <s:c r="E9" s="272">
        <s:f>Центрум!J13</s:f>
        <s:v>69</s:v>
      </s:c>
      <s:c r="F9" s="273">
        <s:f>Центрум!M13</s:f>
        <s:v>0.49285714285714277</s:v>
      </s:c>
      <s:c r="G9" s="274">
        <s:f>'Свидовская С. А.'!K13</s:f>
        <s:v>0.67578520770010131</s:v>
      </s:c>
      <s:c r="H9" s="275">
        <s:f>'Свидовская С. А.'!J13</s:f>
        <s:v>23</s:v>
      </s:c>
      <s:c r="I9" s="276">
        <s:f>'Свидовская С. А.'!M13</s:f>
        <s:v>0.68828385458009234</s:v>
      </s:c>
      <s:c r="J9" s="274">
        <s:f>'Корж А. А.'!K13</s:f>
        <s:v>0.40308880308880296</s:v>
      </s:c>
      <s:c r="K9" s="275">
        <s:f>'Корж А. А.'!J13</s:f>
        <s:v>18</s:v>
      </s:c>
      <s:c r="L9" s="277">
        <s:f>'Корж А. А.'!M13</s:f>
        <s:v>0.40882705242790007</s:v>
      </s:c>
      <s:c r="M9" s="274">
        <s:f>'Козлова В. Э.'!K13</s:f>
        <s:v>0.32282003710575136</s:v>
      </s:c>
      <s:c r="N9" s="275">
        <s:f>'Козлова В. Э.'!J13</s:f>
        <s:v>6</s:v>
      </s:c>
      <s:c r="O9" s="277">
        <s:f>'Козлова В. Э.'!M13</s:f>
        <s:v>0.37656398434969701</s:v>
      </s:c>
      <s:c r="P9" s="274">
        <s:f>ПК4!K13</s:f>
        <s:v>0</s:v>
      </s:c>
      <s:c r="Q9" s="275">
        <s:f>ПК4!J13</s:f>
        <s:v>0</s:v>
      </s:c>
      <s:c r="R9" s="277" t="str">
        <s:f>ПК4!M13</s:f>
        <s:v/>
      </s:c>
    </s:row>
    <s:row r="10" spans="1:18">
      <s:c r="A10" s="49" t="s">
        <s:v>85</s:v>
      </s:c>
      <s:c r="B10" s="49"/>
      <s:c r="C10" s="49"/>
      <s:c r="D10" s="271">
        <s:f>Центрум!K14</s:f>
        <s:v>1</s:v>
      </s:c>
      <s:c r="E10" s="272">
        <s:f>Центрум!J14</s:f>
        <s:v>28</s:v>
      </s:c>
      <s:c r="F10" s="273"/>
      <s:c r="G10" s="274">
        <s:f>'Свидовская С. А.'!K14</s:f>
        <s:v>1</s:v>
      </s:c>
      <s:c r="H10" s="275">
        <s:f>'Свидовская С. А.'!J14</s:f>
        <s:v>13</s:v>
      </s:c>
      <s:c r="I10" s="276"/>
      <s:c r="J10" s="274">
        <s:f>'Корж А. А.'!K14</s:f>
        <s:v>1</s:v>
      </s:c>
      <s:c r="K10" s="275">
        <s:f>'Корж А. А.'!J14</s:f>
        <s:v>17</s:v>
      </s:c>
      <s:c r="L10" s="277"/>
      <s:c r="M10" s="274">
        <s:f>'Козлова В. Э.'!K14</s:f>
        <s:v>1</s:v>
      </s:c>
      <s:c r="N10" s="275">
        <s:f>'Козлова В. Э.'!J14</s:f>
        <s:v>7</s:v>
      </s:c>
      <s:c r="O10" s="277"/>
      <s:c r="P10" s="274">
        <s:f>ПК4!K14</s:f>
        <s:v>0.25</s:v>
      </s:c>
      <s:c r="Q10" s="275">
        <s:f>ПК4!J14</s:f>
        <s:v>5</s:v>
      </s:c>
      <s:c r="R10" s="277"/>
    </s:row>
    <s:row r="11" spans="1:18">
      <s:c r="A11" s="282" t="s">
        <s:v>21</s:v>
      </s:c>
      <s:c r="B11" s="282"/>
      <s:c r="C11" s="282"/>
      <s:c r="D11" s="283">
        <s:f>Центрум!K15</s:f>
        <s:v>0.45158263179508229</s:v>
      </s:c>
      <s:c r="E11" s="284">
        <s:f>Центрум!J15</s:f>
        <s:v>30162.107142857141</s:v>
      </s:c>
      <s:c r="F11" s="285">
        <s:f>Центрум!M15</s:f>
        <s:v>0.45158263179508229</s:v>
      </s:c>
      <s:c r="G11" s="286">
        <s:f>'Свидовская С. А.'!K15</s:f>
        <s:v>0.57259736311119702</s:v>
      </s:c>
      <s:c r="H11" s="287">
        <s:f>'Свидовская С. А.'!J15</s:f>
        <s:v>19122.461538461539</s:v>
      </s:c>
      <s:c r="I11" s="288">
        <s:f>'Свидовская С. А.'!M15</s:f>
        <s:v>0.57259736311119702</s:v>
      </s:c>
      <s:c r="J11" s="286">
        <s:f>'Корж А. А.'!K15</s:f>
        <s:v>0.54514277863498972</s:v>
      </s:c>
      <s:c r="K11" s="287">
        <s:f>'Корж А. А.'!J15</s:f>
        <s:v>18205.588235294119</s:v>
      </s:c>
      <s:c r="L11" s="289">
        <s:f>'Корж А. А.'!M15</s:f>
        <s:v>0.54514277863498972</s:v>
      </s:c>
      <s:c r="M11" s="286">
        <s:f>'Козлова В. Э.'!K15</s:f>
        <s:v>0.28078640726862064</s:v>
      </s:c>
      <s:c r="N11" s="287">
        <s:f>'Козлова В. Э.'!J15</s:f>
        <s:v>9377.1428571428569</s:v>
      </s:c>
      <s:c r="O11" s="289">
        <s:f>'Козлова В. Э.'!M15</s:f>
        <s:v>0.28078640726862064</s:v>
      </s:c>
      <s:c r="P11" s="286">
        <s:f>ПК4!K15</s:f>
        <s:v>0</s:v>
      </s:c>
      <s:c r="Q11" s="287">
        <s:f>ПК4!J15</s:f>
        <s:v>0</s:v>
      </s:c>
      <s:c r="R11" s="289" t="str">
        <s:f>ПК4!M15</s:f>
        <s:v/>
      </s:c>
    </s:row>
    <s:row r="12" spans="1:18">
      <s:c r="A12" s="290" t="s">
        <s:v>22</s:v>
      </s:c>
      <s:c r="B12" s="290"/>
      <s:c r="C12" s="290"/>
      <s:c r="D12" s="291">
        <s:f>Центрум!J16</s:f>
        <s:v>-1025637.0000000005</s:v>
      </s:c>
      <s:c r="E12" s="292"/>
      <s:c r="F12" s="293"/>
      <s:c r="G12" s="294">
        <s:f>'Свидовская С. А.'!N8</s:f>
        <s:v>-194115.03493015264</s:v>
      </s:c>
      <s:c r="H12" s="295"/>
      <s:c r="I12" s="295"/>
      <s:c r="J12" s="296">
        <s:f>'Корж А. А.'!N8</s:f>
        <s:v>-275760.63075807202</s:v>
      </s:c>
      <s:c r="K12" s="297"/>
      <s:c r="L12" s="298"/>
      <s:c r="M12" s="296">
        <s:f>'Козлова В. Э.'!N8</s:f>
        <s:v>-171714.06262222474</s:v>
      </s:c>
      <s:c r="N12" s="297"/>
      <s:c r="O12" s="298"/>
      <s:c r="P12" s="299" t="str">
        <s:f>ПК4!N8</s:f>
        <s:v/>
      </s:c>
      <s:c r="Q12" s="300"/>
      <s:c r="R12" s="301"/>
    </s:row>
  </s:sheetData>
  <s:pageMargins left="0.7" right="0.7" top="0.75" bottom="0.75" header="0.3" footer="0.3"/>
</s:worksheet>
</file>

<file path=xl/worksheets/sheet3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300-000000000000}">
  <s:sheetPr>
    <s:tabColor rgb="FFDBDBDB"/>
    <s:pageSetUpPr fitToPage="1"/>
  </s:sheetPr>
  <s:dimension ref="A1:A3"/>
  <s:sheetViews>
    <s:sheetView showGridLines="0" showZeros="0" tabSelected="0" workbookViewId="0">
      <s:selection activeCell="A3" sqref="A3"/>
    </s:sheetView>
  </s:sheetViews>
  <s:sheetFormatPr baseColWidth="10" defaultColWidth="8.664" defaultRowHeight="15"/>
  <s:sheetData>
    <s:row r="1" spans="1:1">
      <s:c r="A1" t="s">
        <s:v>86</s:v>
      </s:c>
    </s:row>
    <s:row r="2" spans="1:1">
      <s:c r="A2" t="s">
        <s:v>87</s:v>
      </s:c>
    </s:row>
    <s:row r="3" spans="1:1">
      <s:c r="A3" t="s">
        <s:v>88</s:v>
      </s:c>
    </s:row>
  </s:sheetData>
  <s:printOptions gridLines="1"/>
  <s:pageMargins left="0.7" right="0.7" top="0.75" bottom="0.75" header="0.512" footer="0.512"/>
  <s:pageSetup paperSize="9" firstPageNumber="0" fitToHeight="0" orientation="landscape" horizontalDpi="300" verticalDpi="300"/>
</s:worksheet>
</file>

<file path=xl/worksheets/sheet4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400-000000000000}">
  <s:dimension ref="A1:D7"/>
  <s:sheetViews>
    <s:sheetView tabSelected="0" workbookViewId="0"/>
  </s:sheetViews>
  <s:sheetFormatPr baseColWidth="10" defaultColWidth="10" defaultRowHeight="15"/>
  <s:sheetData>
    <s:row r="1" spans="1:4">
      <s:c r="A1" s="59" t="s">
        <s:v>14</s:v>
      </s:c>
      <s:c r="B1" s="59"/>
      <s:c r="C1" s="59"/>
      <s:c r="D1" s="302">
        <s:f>86000</s:f>
        <s:v>86000</s:v>
      </s:c>
    </s:row>
    <s:row r="2" spans="1:4">
      <s:c r="A2" s="49" t="s">
        <s:v>15</s:v>
      </s:c>
      <s:c r="B2" s="49"/>
      <s:c r="C2" s="49"/>
      <s:c r="D2" s="50">
        <s:f>D1/D4</s:f>
        <s:v>11.845730027548209</s:v>
      </s:c>
    </s:row>
    <s:row r="3" spans="1:4">
      <s:c r="A3" s="59" t="s">
        <s:v>16</s:v>
      </s:c>
      <s:c r="B3" s="59"/>
      <s:c r="C3" s="59"/>
      <s:c r="D3" s="60">
        <s:f>D4*D5</s:f>
        <s:v>13358.400000000001</s:v>
      </s:c>
    </s:row>
    <s:row r="4" spans="1:4">
      <s:c r="A4" s="49" t="s">
        <s:v>17</s:v>
      </s:c>
      <s:c r="B4" s="49"/>
      <s:c r="C4" s="49"/>
      <s:c r="D4" s="68">
        <s:f>Центрум!I11</s:f>
        <s:v>7260</s:v>
      </s:c>
    </s:row>
    <s:row r="5" spans="1:4">
      <s:c r="A5" s="49" t="s">
        <s:v>18</s:v>
      </s:c>
      <s:c r="B5" s="49"/>
      <s:c r="C5" s="49"/>
      <s:c r="D5" s="70">
        <s:f>Центрум!I12</s:f>
        <s:v>1.84</s:v>
      </s:c>
    </s:row>
    <s:row r="6" spans="1:4">
      <s:c r="A6" s="49" t="s">
        <s:v>19</s:v>
      </s:c>
      <s:c r="B6" s="49"/>
      <s:c r="C6" s="49"/>
      <s:c r="D6" s="50">
        <s:f>IF(D5&lt;&gt;0,D2/D5,"")</s:f>
        <s:v>6.4378967541022867</s:v>
      </s:c>
    </s:row>
    <s:row r="7" spans="1:4">
      <s:c r="A7" s="49" t="s">
        <s:v>25</s:v>
      </s:c>
      <s:c r="B7" s="49"/>
      <s:c r="C7" s="49"/>
      <s:c r="D7" s="303">
        <s:f>Центрум!I20</s:f>
        <s:v>0.1</s:v>
      </s:c>
    </s:row>
  </s:sheetData>
  <s:pageMargins left="0.7" right="0.7" top="0.75" bottom="0.75" header="0.3" footer="0.3"/>
</s:worksheet>
</file>

<file path=xl/worksheets/sheet5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500-000000000000}">
  <s:dimension ref="A1:AM54"/>
  <s:sheetViews>
    <s:sheetView tabSelected="0" topLeftCell="A7" workbookViewId="0">
      <s:selection activeCell="D44" sqref="D44"/>
    </s:sheetView>
  </s:sheetViews>
  <s:sheetFormatPr baseColWidth="10" defaultColWidth="10" defaultRowHeight="15"/>
  <s:sheetData>
    <s:row r="1" ht="36">
      <s:c r="B1" s="3">
        <s:f ca="1">TODAY()-1</s:f>
        <s:v>46171</s:v>
      </s:c>
      <s:c r="C1" s="3"/>
      <s:c r="D1" s="4"/>
      <s:c r="E1" s="4"/>
      <s:c r="F1" s="5"/>
      <s:c r="G1" s="5"/>
      <s:c r="H1" s="5"/>
      <s:c r="I1" s="5"/>
      <s:c r="J1" s="6"/>
      <s:c r="K1" s="6"/>
      <s:c r="L1" s="6"/>
      <s:c r="M1" s="6"/>
      <s:c r="N1" s="6"/>
      <s:c r="O1" s="6"/>
      <s:c r="P1" s="6"/>
      <s:c r="Q1" s="6"/>
      <s:c r="R1" s="6"/>
      <s:c r="S1" s="6"/>
      <s:c r="T1" s="6"/>
      <s:c r="U1" s="6"/>
      <s:c r="V1" s="6"/>
      <s:c r="W1" s="7"/>
      <s:c r="X1" s="7"/>
      <s:c r="Y1" s="7"/>
      <s:c r="Z1" s="7"/>
      <s:c r="AA1" s="5"/>
      <s:c r="AB1" s="5"/>
      <s:c r="AC1" s="5"/>
    </s:row>
    <s:row r="2" ht="36">
      <s:c r="B2" s="8" t="s">
        <s:v>89</s:v>
      </s:c>
      <s:c r="C2" s="8"/>
      <s:c r="D2" s="4"/>
      <s:c r="E2" s="4"/>
      <s:c r="F2" s="5"/>
      <s:c r="G2" s="5"/>
      <s:c r="H2" s="5"/>
      <s:c r="I2" s="5"/>
      <s:c r="J2" s="304" t="s">
        <s:v>1</s:v>
      </s:c>
      <s:c r="K2" s="304"/>
      <s:c r="L2" s="304"/>
      <s:c r="M2" s="304"/>
      <s:c r="N2" s="304"/>
      <s:c r="O2" s="9"/>
      <s:c r="P2" s="9"/>
      <s:c r="Q2" s="9"/>
      <s:c r="R2" s="9"/>
      <s:c r="S2" s="9"/>
      <s:c r="T2" s="9"/>
      <s:c r="U2" s="9"/>
      <s:c r="V2" s="9"/>
      <s:c r="W2" s="7"/>
      <s:c r="X2" s="7"/>
      <s:c r="Y2" s="7"/>
      <s:c r="Z2" s="7"/>
      <s:c r="AA2" s="5"/>
      <s:c r="AB2" s="5"/>
      <s:c r="AC2" s="5"/>
    </s:row>
    <s:row r="3" ht="51">
      <s:c r="B3" s="10" t="s">
        <s:v>2</s:v>
      </s:c>
      <s:c r="C3" s="4"/>
      <s:c r="D3" s="4"/>
      <s:c r="E3" s="4"/>
      <s:c r="F3" s="5"/>
      <s:c r="G3" s="5"/>
      <s:c r="H3" s="5"/>
      <s:c r="I3" s="5"/>
      <s:c r="J3" s="305" t="str">
        <s:f>График!B28</s:f>
        <s:v>Сейтджелилова Алина</s:v>
      </s:c>
      <s:c r="K3" s="306"/>
      <s:c r="L3" s="306"/>
      <s:c r="M3" s="306"/>
      <s:c r="N3" s="307"/>
      <s:c r="O3" s="9"/>
      <s:c r="P3" s="9"/>
      <s:c r="Q3" s="9"/>
      <s:c r="R3" s="9"/>
      <s:c r="S3" s="9"/>
      <s:c r="T3" s="9"/>
      <s:c r="U3" s="6"/>
      <s:c r="V3" s="14"/>
      <s:c r="W3" s="7"/>
      <s:c r="X3" s="7"/>
      <s:c r="Y3" s="7"/>
      <s:c r="Z3" s="7"/>
      <s:c r="AA3" s="5"/>
      <s:c r="AB3" s="5"/>
      <s:c r="AC3" s="5"/>
    </s:row>
    <s:row r="4" ht="36">
      <s:c r="B4" s="4"/>
      <s:c r="C4" s="308">
        <s:f>I8-D49</s:f>
        <s:v>357334.12413793115</s:v>
      </s:c>
      <s:c r="D4" s="308"/>
      <s:c r="E4" s="309">
        <s:f>IF(I8&lt;&gt;0,C4/I8,0)</s:f>
        <s:v>0.62610437655657736</s:v>
      </s:c>
      <s:c r="F4" s="5"/>
      <s:c r="G4" s="5"/>
      <s:c r="H4" s="5"/>
      <s:c r="I4" s="5"/>
      <s:c r="J4" s="310"/>
      <s:c r="K4" s="311"/>
      <s:c r="L4" s="311"/>
      <s:c r="M4" s="311"/>
      <s:c r="N4" s="312"/>
      <s:c r="O4" s="9"/>
      <s:c r="P4" s="9"/>
      <s:c r="Q4" s="9"/>
      <s:c r="R4" s="9"/>
      <s:c r="S4" s="9"/>
      <s:c r="T4" s="9"/>
      <s:c r="U4" s="5"/>
      <s:c r="V4" s="5"/>
      <s:c r="W4" s="7"/>
      <s:c r="X4" s="7"/>
      <s:c r="Y4" s="7"/>
      <s:c r="Z4" s="7"/>
      <s:c r="AA4" s="5"/>
      <s:c r="AB4" s="5"/>
      <s:c r="AC4" s="5"/>
    </s:row>
    <s:row r="5">
      <s:c r="B5" s="5"/>
      <s:c r="C5" s="5"/>
      <s:c r="D5" s="5"/>
      <s:c r="E5" s="5"/>
      <s:c r="F5" s="5"/>
      <s:c r="G5" s="5"/>
      <s:c r="H5" s="5"/>
      <s:c r="I5" s="5"/>
      <s:c r="J5" s="22"/>
      <s:c r="K5" s="22"/>
      <s:c r="L5" s="22"/>
      <s:c r="M5" s="22"/>
      <s:c r="N5" s="22"/>
      <s:c r="O5" s="22"/>
      <s:c r="P5" s="22"/>
      <s:c r="Q5" s="22"/>
      <s:c r="R5" s="22"/>
      <s:c r="S5" s="22"/>
      <s:c r="T5" s="22"/>
      <s:c r="U5" s="5"/>
      <s:c r="V5" s="5"/>
      <s:c r="W5" s="5"/>
      <s:c r="X5" s="5"/>
      <s:c r="Y5" s="5"/>
      <s:c r="Z5" s="5"/>
      <s:c r="AA5" s="5"/>
      <s:c r="AB5" s="5"/>
      <s:c r="AC5" s="5"/>
    </s:row>
    <s:row r="6" ht="16">
      <s:c r="B6" s="23"/>
      <s:c r="C6" s="5"/>
      <s:c r="D6" s="5"/>
      <s:c r="E6" s="5"/>
      <s:c r="F6" s="25" t="s">
        <s:v>4</s:v>
      </s:c>
      <s:c r="G6" s="26"/>
      <s:c r="H6" s="26"/>
      <s:c r="I6" s="26"/>
      <s:c r="J6" s="26"/>
      <s:c r="K6" s="26"/>
      <s:c r="L6" s="26"/>
      <s:c r="M6" s="26"/>
      <s:c r="N6" s="26"/>
      <s:c r="O6" s="26"/>
      <s:c r="P6" s="26"/>
      <s:c r="Q6" s="27"/>
      <s:c r="R6" s="22"/>
      <s:c r="S6" s="22"/>
      <s:c r="T6" s="22"/>
      <s:c r="U6" s="5"/>
      <s:c r="V6" s="5"/>
      <s:c r="W6" s="5"/>
      <s:c r="X6" s="28"/>
      <s:c r="Y6" s="28"/>
      <s:c r="Z6" s="5"/>
      <s:c r="AA6" s="5"/>
      <s:c r="AB6" s="5"/>
      <s:c r="AC6" s="5"/>
    </s:row>
    <s:row r="7" ht="60">
      <s:c r="B7" s="23"/>
      <s:c r="C7" s="5"/>
      <s:c r="D7" s="5"/>
      <s:c r="E7" s="29"/>
      <s:c r="F7" s="313" t="s">
        <s:v>5</s:v>
      </s:c>
      <s:c r="G7" s="313"/>
      <s:c r="H7" s="313"/>
      <s:c r="I7" s="31" t="s">
        <s:v>6</s:v>
      </s:c>
      <s:c r="J7" s="32" t="s">
        <s:v>7</s:v>
      </s:c>
      <s:c r="K7" s="33" t="s">
        <s:v>8</s:v>
      </s:c>
      <s:c r="L7" s="34" t="s">
        <s:v>9</s:v>
      </s:c>
      <s:c r="M7" s="34" t="s">
        <s:v>10</s:v>
      </s:c>
      <s:c r="N7" s="35" t="s">
        <s:v>11</s:v>
      </s:c>
      <s:c r="O7" s="36" t="s">
        <s:v>12</s:v>
      </s:c>
      <s:c r="P7" s="37" t="s">
        <s:v>13</s:v>
      </s:c>
      <s:c r="Q7" s="38"/>
      <s:c r="R7" s="22"/>
      <s:c r="S7" s="22"/>
      <s:c r="T7" s="22"/>
      <s:c r="U7" s="5"/>
      <s:c r="V7" s="5"/>
      <s:c r="W7" s="5"/>
      <s:c r="X7" s="5"/>
      <s:c r="Y7" s="5"/>
      <s:c r="Z7" s="5"/>
    </s:row>
    <s:row r="8">
      <s:c r="B8" s="23"/>
      <s:c r="C8" s="5"/>
      <s:c r="D8" s="5"/>
      <s:c r="E8" s="5"/>
      <s:c r="F8" s="59" t="s">
        <s:v>14</s:v>
      </s:c>
      <s:c r="G8" s="59"/>
      <s:c r="H8" s="59"/>
      <s:c r="I8" s="314">
        <s:f>Центрум!I8/График!AJ29*График!AJ28</s:f>
        <s:v>570726.12413793115</s:v>
      </s:c>
      <s:c r="J8" s="41">
        <s:f>D49</s:f>
        <s:v>213392</s:v>
      </s:c>
      <s:c r="K8" s="315">
        <s:f>IF(AND(I8&lt;&gt;"",I8&lt;&gt;0,J8&lt;&gt;""),J8/I8,"")</s:f>
        <s:v>0.37389562344342264</s:v>
      </s:c>
      <s:c r="L8" s="43">
        <s:f>IF(SUMIF($D$25:$D$47,"&gt;=0",$V$25:$V$47)&lt;&gt;0,I8*D49/SUMIF($D$25:$D$47,"&gt;=0",$V$25:$V$47),0)</s:f>
        <s:v>213391.99999999997</s:v>
      </s:c>
      <s:c r="M8" s="316">
        <s:f>L8/I8</s:f>
        <s:v>0.37389562344342259</s:v>
      </s:c>
      <s:c r="N8" s="45">
        <s:f>IF(AND(J8&lt;&gt;0,J8&lt;&gt;"",I8&lt;&gt;0,I8&lt;&gt;""),L8-I8,"")</s:f>
        <s:v>-357334.12413793115</s:v>
      </s:c>
      <s:c r="O8" s="46"/>
      <s:c r="P8" s="47" t="str">
        <s:f>IF(AND(O8&lt;&gt;"",O8&lt;&gt;0,L8&lt;&gt;"",L8&lt;&gt;0),-O8+L8,"")</s:f>
        <s:v/>
      </s:c>
      <s:c r="Q8" s="48" t="str">
        <s:f>IF(AND(P8&lt;&gt;"",P8&lt;&gt;0,O8&lt;&gt;0,O8&lt;&gt;""),P8/O8,"")</s:f>
        <s:v/>
      </s:c>
      <s:c r="R8" s="22"/>
      <s:c r="S8" s="22"/>
      <s:c r="T8" s="22"/>
      <s:c r="U8" s="28"/>
      <s:c r="V8" s="5"/>
      <s:c r="W8" s="5"/>
      <s:c r="X8" s="5"/>
      <s:c r="Y8" s="5"/>
    </s:row>
    <s:row r="9">
      <s:c r="B9" s="23"/>
      <s:c r="C9" s="5"/>
      <s:c r="D9" s="5"/>
      <s:c r="E9" s="5"/>
      <s:c r="F9" s="49" t="s">
        <s:v>15</s:v>
      </s:c>
      <s:c r="G9" s="49"/>
      <s:c r="H9" s="49"/>
      <s:c r="I9" s="50">
        <s:f>I8/I11</s:f>
        <s:v>78.612413793103471</s:v>
      </s:c>
      <s:c r="J9" s="51">
        <s:f>E49</s:f>
        <s:v>35</s:v>
      </s:c>
      <s:c r="K9" s="317">
        <s:f>IF(AND(I9&lt;&gt;"",I9&lt;&gt;0,J9&lt;&gt;""),J9/I9,"")</s:f>
        <s:v>0.44522230410218605</s:v>
      </s:c>
      <s:c r="L9" s="79">
        <s:f>IF(SUMIF($E$25:$E$47,"&gt;=0",$W$25:$W$47)&lt;&gt;0,I9*E49/SUMIF($E$25:$E$47,"&gt;=0",$W$25:$W$47),0)</s:f>
        <s:v>35</s:v>
      </s:c>
      <s:c r="M9" s="318">
        <s:f>IF(AND(I9&lt;&gt;"",I9&lt;&gt;0,L9&lt;&gt;"",L9&lt;&gt;0),L9/I9,"")</s:f>
        <s:v>0.44522230410218605</s:v>
      </s:c>
      <s:c r="N9" s="55">
        <s:f>IF(AND(J9&lt;&gt;0,J9&lt;&gt;"",I9&lt;&gt;0,I9&lt;&gt;""),L9-I9,"")</s:f>
        <s:v>-43.612413793103471</s:v>
      </s:c>
      <s:c r="O9" s="56" t="e">
        <s:f>O8/O11</s:f>
        <s:v>#DIV/0!</s:v>
      </s:c>
      <s:c r="P9" s="57" t="e">
        <s:f>IF(AND(O9&lt;&gt;"",O9&lt;&gt;0,L9&lt;&gt;"",L9&lt;&gt;0),-O9+L9,"")</s:f>
        <s:v>#DIV/0!</s:v>
      </s:c>
      <s:c r="Q9" s="58" t="e">
        <s:f>IF(AND(P9&lt;&gt;"",P9&lt;&gt;0,O9&lt;&gt;0,O9&lt;&gt;""),P9/O9,"")</s:f>
        <s:v>#DIV/0!</s:v>
      </s:c>
      <s:c r="R9" s="22"/>
      <s:c r="S9" s="22"/>
      <s:c r="T9" s="22"/>
      <s:c r="U9" s="28"/>
      <s:c r="V9" s="5"/>
      <s:c r="W9" s="5"/>
      <s:c r="X9" s="5"/>
      <s:c r="Y9" s="5"/>
    </s:row>
    <s:row r="10">
      <s:c r="B10" s="23"/>
      <s:c r="C10" s="5"/>
      <s:c r="D10" s="5"/>
      <s:c r="E10" s="5"/>
      <s:c r="F10" s="59" t="s">
        <s:v>16</s:v>
      </s:c>
      <s:c r="G10" s="59"/>
      <s:c r="H10" s="59"/>
      <s:c r="I10" s="60">
        <s:f>I11*I12</s:f>
        <s:v>13358.400000000001</s:v>
      </s:c>
      <s:c r="J10" s="61">
        <s:f>H49</s:f>
        <s:v>9277.9130434782601</s:v>
      </s:c>
      <s:c r="K10" s="319">
        <s:f>IF(AND(I10&lt;&gt;"",I10&lt;&gt;0,J10&lt;&gt;""),J10/I10,"")</s:f>
        <s:v>0.69453774729595308</s:v>
      </s:c>
      <s:c r="L10" s="79">
        <s:f>J10</s:f>
        <s:v>9277.9130434782601</s:v>
      </s:c>
      <s:c r="M10" s="320">
        <s:f>IF(AND(I10&lt;&gt;"",I10&lt;&gt;0,L10&lt;&gt;"",L10&lt;&gt;0),L10/I10,"")</s:f>
        <s:v>0.69453774729595308</s:v>
      </s:c>
      <s:c r="N10" s="64">
        <s:f>IF(AND(J10&lt;&gt;0,J10&lt;&gt;"",I10&lt;&gt;0,I10&lt;&gt;""),L10-I10,"")</s:f>
        <s:v>-4080.4869565217414</s:v>
      </s:c>
      <s:c r="O10" s="65">
        <s:f>O11*O12</s:f>
        <s:v>0</s:v>
      </s:c>
      <s:c r="P10" s="66" t="str">
        <s:f>IF(AND(O10&lt;&gt;"",O10&lt;&gt;0,L10&lt;&gt;"",L10&lt;&gt;0),-O10+L10,"")</s:f>
        <s:v/>
      </s:c>
      <s:c r="Q10" s="67" t="str">
        <s:f>IF(AND(P10&lt;&gt;"",P10&lt;&gt;0,O10&lt;&gt;0,O10&lt;&gt;""),P10/O10,"")</s:f>
        <s:v/>
      </s:c>
      <s:c r="R10" s="22"/>
      <s:c r="S10" s="22"/>
      <s:c r="T10" s="22"/>
      <s:c r="U10" s="28"/>
      <s:c r="V10" s="5"/>
      <s:c r="W10" s="5"/>
      <s:c r="X10" s="5"/>
      <s:c r="Y10" s="5"/>
    </s:row>
    <s:row r="11">
      <s:c r="B11" s="23"/>
      <s:c r="C11" s="5"/>
      <s:c r="D11" s="5"/>
      <s:c r="E11" s="5"/>
      <s:c r="F11" s="49" t="s">
        <s:v>17</s:v>
      </s:c>
      <s:c r="G11" s="49"/>
      <s:c r="H11" s="49"/>
      <s:c r="I11" s="68">
        <s:f>Центрум!I11</s:f>
        <s:v>7260</s:v>
      </s:c>
      <s:c r="J11" s="51">
        <s:f>F49</s:f>
        <s:v>6096.9142857142861</s:v>
      </s:c>
      <s:c r="K11" s="317">
        <s:f>IF(AND(I11&lt;&gt;"",I11&lt;&gt;0,J11&lt;&gt;""),J11/I11,"")</s:f>
        <s:v>0.83979535615899259</s:v>
      </s:c>
      <s:c r="L11" s="79">
        <s:f>J11</s:f>
        <s:v>6096.9142857142861</s:v>
      </s:c>
      <s:c r="M11" s="318">
        <s:f>IF(AND(I11&lt;&gt;"",I11&lt;&gt;0,L11&lt;&gt;"",L11&lt;&gt;0),L11/I11,"")</s:f>
        <s:v>0.83979535615899259</s:v>
      </s:c>
      <s:c r="N11" s="55">
        <s:f>IF(AND(J11&lt;&gt;0,J11&lt;&gt;"",I11&lt;&gt;0,I11&lt;&gt;""),L11-I11,"")</s:f>
        <s:v>-1163.0857142857139</s:v>
      </s:c>
      <s:c r="O11" s="69"/>
      <s:c r="P11" s="57" t="str">
        <s:f>IF(AND(O11&lt;&gt;"",O11&lt;&gt;0,L11&lt;&gt;"",L11&lt;&gt;0),-O11+L11,"")</s:f>
        <s:v/>
      </s:c>
      <s:c r="Q11" s="58" t="str">
        <s:f>IF(AND(P11&lt;&gt;"",P11&lt;&gt;0,O11&lt;&gt;0,O11&lt;&gt;""),P11/O11,"")</s:f>
        <s:v/>
      </s:c>
      <s:c r="R11" s="22"/>
      <s:c r="S11" s="22"/>
      <s:c r="T11" s="22"/>
      <s:c r="U11" s="5"/>
      <s:c r="V11" s="5"/>
      <s:c r="W11" s="5"/>
      <s:c r="X11" s="5"/>
      <s:c r="Y11" s="5"/>
    </s:row>
    <s:row r="12">
      <s:c r="B12" s="23"/>
      <s:c r="C12" s="5"/>
      <s:c r="D12" s="5"/>
      <s:c r="E12" s="5"/>
      <s:c r="F12" s="49" t="s">
        <s:v>18</s:v>
      </s:c>
      <s:c r="G12" s="49"/>
      <s:c r="H12" s="49"/>
      <s:c r="I12" s="70">
        <s:f>Центрум!I12</s:f>
        <s:v>1.84</s:v>
      </s:c>
      <s:c r="J12" s="71">
        <s:f>J49</s:f>
        <s:v>1.5217391304347827</s:v>
      </s:c>
      <s:c r="K12" s="317">
        <s:f>IF(AND(I12&lt;&gt;"",I12&lt;&gt;0,J12&lt;&gt;""),J12/I12,"")</s:f>
        <s:v>0.82703213610586013</s:v>
      </s:c>
      <s:c r="L12" s="79">
        <s:f>J12</s:f>
        <s:v>1.5217391304347827</s:v>
      </s:c>
      <s:c r="M12" s="318">
        <s:f>IF(AND(I12&lt;&gt;"",I12&lt;&gt;0,L12&lt;&gt;"",L12&lt;&gt;0),L12/I12,"")</s:f>
        <s:v>0.82703213610586013</s:v>
      </s:c>
      <s:c r="N12" s="73">
        <s:f>IF(AND(J12&lt;&gt;0,J12&lt;&gt;"",I12&lt;&gt;0,I12&lt;&gt;""),L12-I12,"")</s:f>
        <s:v>-0.31826086956521737</s:v>
      </s:c>
      <s:c r="O12" s="74"/>
      <s:c r="P12" s="57" t="str">
        <s:f>IF(AND(O12&lt;&gt;"",O12&lt;&gt;0,L12&lt;&gt;"",L12&lt;&gt;0),-O12+L12,"")</s:f>
        <s:v/>
      </s:c>
      <s:c r="Q12" s="58" t="str">
        <s:f>IF(AND(P12&lt;&gt;"",P12&lt;&gt;0,O12&lt;&gt;0,O12&lt;&gt;""),P12/O12,"")</s:f>
        <s:v/>
      </s:c>
      <s:c r="R12" s="22"/>
      <s:c r="S12" s="22"/>
      <s:c r="T12" s="22"/>
      <s:c r="U12" s="5"/>
      <s:c r="V12" s="5"/>
      <s:c r="W12" s="5"/>
      <s:c r="X12" s="5"/>
      <s:c r="Y12" s="5"/>
    </s:row>
    <s:row r="13">
      <s:c r="B13" s="23"/>
      <s:c r="C13" s="5"/>
      <s:c r="D13" s="5"/>
      <s:c r="E13" s="5"/>
      <s:c r="F13" s="49" t="s">
        <s:v>19</s:v>
      </s:c>
      <s:c r="G13" s="49"/>
      <s:c r="H13" s="49"/>
      <s:c r="I13" s="50">
        <s:f>IF(I12&lt;&gt;0,I9/I12,"")</s:f>
        <s:v>42.724137931034491</s:v>
      </s:c>
      <s:c r="J13" s="51">
        <s:f>G49</s:f>
        <s:v>23</s:v>
      </s:c>
      <s:c r="K13" s="317">
        <s:f>IF(AND(I13&lt;&gt;"",I13&lt;&gt;0,J13&lt;&gt;""),J13/I13,"")</s:f>
        <s:v>0.53833736884584327</s:v>
      </s:c>
      <s:c r="L13" s="79">
        <s:f>IF(SUMIF($G$25:$G$47,"&gt;=0",$X$25:$X$47)&lt;&gt;0,I13*G49/SUMIF($G$25:$G$47,"&gt;=0",$X$25:$X$47),"")</s:f>
        <s:v>22.999999999999993</s:v>
      </s:c>
      <s:c r="M13" s="318">
        <s:f>IF(AND(I13&lt;&gt;"",I13&lt;&gt;0,L13&lt;&gt;"",L13&lt;&gt;0),L13/I13,"")</s:f>
        <s:v>0.53833736884584316</s:v>
      </s:c>
      <s:c r="N13" s="73">
        <s:f>IF(AND(J13&lt;&gt;0,J13&lt;&gt;"",I13&lt;&gt;0,I13&lt;&gt;""),L13-I13,"")</s:f>
        <s:v>-19.724137931034498</s:v>
      </s:c>
      <s:c r="O13" s="75"/>
      <s:c r="P13" s="57" t="str">
        <s:f>IF(AND(O13&lt;&gt;"",O13&lt;&gt;0,L13&lt;&gt;"",L13&lt;&gt;0),-O13+L13,"")</s:f>
        <s:v/>
      </s:c>
      <s:c r="Q13" s="58" t="str">
        <s:f>IF(AND(P13&lt;&gt;"",P13&lt;&gt;0,O13&lt;&gt;0,O13&lt;&gt;""),P13/O13,"")</s:f>
        <s:v/>
      </s:c>
      <s:c r="R13" s="22"/>
      <s:c r="S13" s="22"/>
      <s:c r="T13" s="22"/>
      <s:c r="U13" s="5"/>
      <s:c r="V13" s="5"/>
      <s:c r="W13" s="5"/>
      <s:c r="X13" s="5"/>
      <s:c r="Y13" s="5"/>
    </s:row>
    <s:row r="14">
      <s:c r="B14" s="23"/>
      <s:c r="C14" s="5"/>
      <s:c r="D14" s="5"/>
      <s:c r="E14" s="5"/>
      <s:c r="F14" s="49" t="s">
        <s:v>85</s:v>
      </s:c>
      <s:c r="G14" s="49"/>
      <s:c r="H14" s="49"/>
      <s:c r="I14" s="68">
        <s:f>График!AI28</s:f>
        <s:v>20</s:v>
      </s:c>
      <s:c r="J14" s="76">
        <s:v>20</s:v>
      </s:c>
      <s:c r="K14" s="317">
        <s:f>IF(AND(I14&lt;&gt;"",I14&lt;&gt;0,J14&lt;&gt;""),J14/I14,"")</s:f>
        <s:v>1</s:v>
      </s:c>
      <s:c r="L14" s="79">
        <s:f>IF(SUMIF($D$25:$D$47,"&gt;=0",$V$25:$V$47),I49*I8/SUMIF($D$25:$D$47,"&gt;=0",$V$25:$V$47),"")</s:f>
        <s:v>279.99999999999994</s:v>
      </s:c>
      <s:c r="M14" s="318"/>
      <s:c r="N14" s="55">
        <s:f>IF(AND(J14&lt;&gt;0,J14&lt;&gt;"",I14&lt;&gt;0,I14&lt;&gt;""),L14-I14,"")</s:f>
        <s:v>259.99999999999994</s:v>
      </s:c>
      <s:c r="O14" s="75"/>
      <s:c r="P14" s="57" t="str">
        <s:f>IF(AND(O14&lt;&gt;"",O14&lt;&gt;0,L14&lt;&gt;"",L14&lt;&gt;0),-O14+L14,"")</s:f>
        <s:v/>
      </s:c>
      <s:c r="Q14" s="58" t="str">
        <s:f>IF(AND(P14&lt;&gt;"",P14&lt;&gt;0,O14&lt;&gt;0,O14&lt;&gt;""),P14/O14,"")</s:f>
        <s:v/>
      </s:c>
      <s:c r="R14" s="22"/>
      <s:c r="S14" s="22"/>
      <s:c r="T14" s="22"/>
      <s:c r="U14" s="77"/>
      <s:c r="V14" s="5"/>
      <s:c r="W14" s="5"/>
      <s:c r="X14" s="5"/>
      <s:c r="Y14" s="5"/>
    </s:row>
    <s:row r="15">
      <s:c r="B15" s="23"/>
      <s:c r="C15" s="5"/>
      <s:c r="D15" s="5"/>
      <s:c r="E15" s="5"/>
      <s:c r="F15" s="49" t="s">
        <s:v>21</s:v>
      </s:c>
      <s:c r="G15" s="49"/>
      <s:c r="H15" s="49"/>
      <s:c r="I15" s="321">
        <s:f>Центрум!I15/2</s:f>
        <s:v>33396.000000000007</s:v>
      </s:c>
      <s:c r="J15" s="85">
        <s:f>J8/J14</s:f>
        <s:v>10669.6</s:v>
      </s:c>
      <s:c r="K15" s="322">
        <s:f>IF(AND(I15&lt;&gt;"",I15&lt;&gt;0,J15&lt;&gt;""),J15/I15,"")</s:f>
        <s:v>0.3194873637561384</s:v>
      </s:c>
      <s:c r="L15" s="86">
        <s:f>J15</s:f>
        <s:v>10669.6</s:v>
      </s:c>
      <s:c r="M15" s="318">
        <s:f>IF(AND(I15&lt;&gt;"",I15&lt;&gt;0,L15&lt;&gt;"",L15&lt;&gt;0),L15/I15,"")</s:f>
        <s:v>0.3194873637561384</s:v>
      </s:c>
      <s:c r="N15" s="55">
        <s:f>IF(AND(J15&lt;&gt;0,J15&lt;&gt;"",I15&lt;&gt;0,I15&lt;&gt;""),L15-I15,"")</s:f>
        <s:v>-22726.400000000009</s:v>
      </s:c>
      <s:c r="O15" s="88"/>
      <s:c r="P15" s="57" t="str">
        <s:f>IF(AND(O15&lt;&gt;"",O15&lt;&gt;0,L15&lt;&gt;"",L15&lt;&gt;0),-O15+L15,"")</s:f>
        <s:v/>
      </s:c>
      <s:c r="Q15" s="58" t="str">
        <s:f>IF(AND(P15&lt;&gt;"",P15&lt;&gt;0,O15&lt;&gt;0,O15&lt;&gt;""),P15/O15,"")</s:f>
        <s:v/>
      </s:c>
      <s:c r="R15" s="22"/>
      <s:c r="S15" s="22"/>
      <s:c r="T15" s="22"/>
      <s:c r="U15" s="28"/>
      <s:c r="V15" s="5"/>
      <s:c r="W15" s="5"/>
      <s:c r="X15" s="5"/>
      <s:c r="Y15" s="5"/>
    </s:row>
    <s:row r="16" ht="24">
      <s:c r="B16" s="23"/>
      <s:c r="C16" s="5"/>
      <s:c r="D16" s="5"/>
      <s:c r="E16" s="5"/>
      <s:c r="F16" s="49" t="s">
        <s:v>22</s:v>
      </s:c>
      <s:c r="G16" s="49"/>
      <s:c r="H16" s="49"/>
      <s:c r="I16" s="321"/>
      <s:c r="J16" s="85">
        <s:f>J8-I15*J14</s:f>
        <s:v>-454528.00000000012</s:v>
      </s:c>
      <s:c r="K16" s="322" t="str">
        <s:f>IF(AND(I16&lt;&gt;"",I16&lt;&gt;0,J16&lt;&gt;""),J16/I16,"")</s:f>
        <s:v/>
      </s:c>
      <s:c r="L16" s="86">
        <s:f>J16</s:f>
        <s:v>-454528.00000000012</s:v>
      </s:c>
      <s:c r="M16" s="323" t="str">
        <s:f>IF(AND(I16&lt;&gt;"",I16&lt;&gt;0,L16&lt;&gt;"",L16&lt;&gt;0),L16/I16,"")</s:f>
        <s:v/>
      </s:c>
      <s:c r="N16" s="55" t="str">
        <s:f>IF(AND(J16&lt;&gt;0,J16&lt;&gt;"",I16&lt;&gt;0,I16&lt;&gt;""),L16-I16,"")</s:f>
        <s:v/>
      </s:c>
      <s:c r="O16" s="88"/>
      <s:c r="P16" s="57" t="str">
        <s:f>IF(AND(O16&lt;&gt;"",O16&lt;&gt;0,L16&lt;&gt;"",L16&lt;&gt;0),-O16+L16,"")</s:f>
        <s:v/>
      </s:c>
      <s:c r="Q16" s="58" t="str">
        <s:f>IF(AND(P16&lt;&gt;"",P16&lt;&gt;0,O16&lt;&gt;0,O16&lt;&gt;""),P16/O16,"")</s:f>
        <s:v/>
      </s:c>
      <s:c r="R16" s="22"/>
      <s:c r="S16" s="22"/>
      <s:c r="T16" s="22"/>
      <s:c r="U16" s="324" t="s">
        <s:v>23</s:v>
      </s:c>
      <s:c r="V16" s="5"/>
      <s:c r="W16" s="5"/>
      <s:c r="X16" s="5"/>
      <s:c r="Y16" s="5"/>
    </s:row>
    <s:row r="17">
      <s:c r="B17" s="23"/>
      <s:c r="C17" s="5"/>
      <s:c r="D17" s="5"/>
      <s:c r="E17" s="5"/>
      <s:c r="F17" s="49" t="s">
        <s:v>24</s:v>
      </s:c>
      <s:c r="G17" s="49"/>
      <s:c r="H17" s="49"/>
      <s:c r="I17" s="321">
        <s:f>Центрум!I17/График!AJ29*График!AJ23</s:f>
        <s:v>0</s:v>
      </s:c>
      <s:c r="J17" s="85">
        <s:f>I49</s:f>
        <s:v>280</s:v>
      </s:c>
      <s:c r="K17" s="322" t="str">
        <s:f>IF(AND(I17&lt;&gt;"",I17&lt;&gt;0,J17&lt;&gt;""),J17/I17,"")</s:f>
        <s:v/>
      </s:c>
      <s:c r="L17" s="86">
        <s:f>J17/J14*I14</s:f>
        <s:v>280</s:v>
      </s:c>
      <s:c r="M17" s="323" t="str">
        <s:f>IF(AND(I17&lt;&gt;"",I17&lt;&gt;0,L17&lt;&gt;"",L17&lt;&gt;0),L17/I17,"")</s:f>
        <s:v/>
      </s:c>
      <s:c r="N17" s="55" t="str">
        <s:f>IF(AND(J17&lt;&gt;0,J17&lt;&gt;"",I17&lt;&gt;0,I17&lt;&gt;""),L17-I17,"")</s:f>
        <s:v/>
      </s:c>
      <s:c r="O17" s="88"/>
      <s:c r="P17" s="57" t="str">
        <s:f>IF(AND(O17&lt;&gt;"",O17&lt;&gt;0,L17&lt;&gt;"",L17&lt;&gt;0),-O17+L17,"")</s:f>
        <s:v/>
      </s:c>
      <s:c r="Q17" s="58" t="str">
        <s:f>IF(AND(P17&lt;&gt;"",P17&lt;&gt;0,O17&lt;&gt;0,O17&lt;&gt;""),P17/O17,"")</s:f>
        <s:v/>
      </s:c>
      <s:c r="R17" s="22"/>
      <s:c r="S17" s="22"/>
      <s:c r="T17" s="22"/>
      <s:c r="U17" s="324"/>
      <s:c r="V17" s="5"/>
      <s:c r="W17" s="5"/>
      <s:c r="X17" s="5"/>
      <s:c r="Y17" s="5"/>
    </s:row>
    <s:row r="18">
      <s:c r="B18" s="23"/>
      <s:c r="C18" s="5"/>
      <s:c r="D18" s="5"/>
      <s:c r="E18" s="5"/>
      <s:c r="F18" s="49"/>
      <s:c r="G18" s="49"/>
      <s:c r="H18" s="49"/>
      <s:c r="I18" s="84"/>
      <s:c r="J18" s="85"/>
      <s:c r="K18" s="322" t="str">
        <s:f>IF(AND(I18&lt;&gt;"",I18&lt;&gt;0,J18&lt;&gt;""),J18/I18,"")</s:f>
        <s:v/>
      </s:c>
      <s:c r="L18" s="86">
        <s:f>J18</s:f>
        <s:v>0</s:v>
      </s:c>
      <s:c r="M18" s="323" t="str">
        <s:f>IF(AND(I18&lt;&gt;"",I18&lt;&gt;0,L18&lt;&gt;"",L18&lt;&gt;0),L18/I18,"")</s:f>
        <s:v/>
      </s:c>
      <s:c r="N18" s="55" t="str">
        <s:f>IF(AND(J18&lt;&gt;0,J18&lt;&gt;"",I18&lt;&gt;0,I18&lt;&gt;""),L18-I18,"")</s:f>
        <s:v/>
      </s:c>
      <s:c r="O18" s="325">
        <s:v>0</s:v>
      </s:c>
      <s:c r="P18" s="57" t="str">
        <s:f>IF(AND(O18&lt;&gt;"",O18&lt;&gt;0,L18&lt;&gt;"",L18&lt;&gt;0),-O18+L18,"")</s:f>
        <s:v/>
      </s:c>
      <s:c r="Q18" s="58" t="str">
        <s:f>IF(AND(P18&lt;&gt;"",P18&lt;&gt;0,O18&lt;&gt;0,O18&lt;&gt;""),P18/O18,"")</s:f>
        <s:v/>
      </s:c>
      <s:c r="R18" s="22"/>
      <s:c r="S18" s="22"/>
      <s:c r="T18" s="22"/>
      <s:c r="U18" s="83"/>
      <s:c r="V18" s="5"/>
      <s:c r="W18" s="5"/>
      <s:c r="X18" s="5"/>
      <s:c r="Y18" s="5"/>
    </s:row>
    <s:row r="19">
      <s:c r="B19" s="23"/>
      <s:c r="C19" s="5"/>
      <s:c r="D19" s="5"/>
      <s:c r="E19" s="5"/>
      <s:c r="F19" s="49"/>
      <s:c r="G19" s="49"/>
      <s:c r="H19" s="49"/>
      <s:c r="I19" s="84"/>
      <s:c r="J19" s="85">
        <s:f>P49</s:f>
        <s:v>0</s:v>
      </s:c>
      <s:c r="K19" s="322" t="str">
        <s:f>IF(AND(I19&lt;&gt;"",I19&lt;&gt;0,J19&lt;&gt;""),J19/I19,"")</s:f>
        <s:v/>
      </s:c>
      <s:c r="L19" s="86">
        <s:f>J19</s:f>
        <s:v>0</s:v>
      </s:c>
      <s:c r="M19" s="323" t="str">
        <s:f>IF(AND(I19&lt;&gt;"",I19&lt;&gt;0,L19&lt;&gt;"",L19&lt;&gt;0),L19/I19,"")</s:f>
        <s:v/>
      </s:c>
      <s:c r="N19" s="55" t="str">
        <s:f>IF(AND(J19&lt;&gt;0,J19&lt;&gt;"",I19&lt;&gt;0,I19&lt;&gt;""),L19-I19,"")</s:f>
        <s:v/>
      </s:c>
      <s:c r="O19" s="88">
        <s:v>0</s:v>
      </s:c>
      <s:c r="P19" s="57" t="str">
        <s:f>IF(AND(O19&lt;&gt;"",O19&lt;&gt;0,L19&lt;&gt;"",L19&lt;&gt;0),-O19+L19,"")</s:f>
        <s:v/>
      </s:c>
      <s:c r="Q19" s="58" t="str">
        <s:f>IF(AND(P19&lt;&gt;"",P19&lt;&gt;0,O19&lt;&gt;0,O19&lt;&gt;""),P19/O19,"")</s:f>
        <s:v/>
      </s:c>
      <s:c r="R19" s="22"/>
      <s:c r="S19" s="22"/>
      <s:c r="T19" s="22"/>
      <s:c r="U19" s="52" t="e">
        <s:f>U18/I16</s:f>
        <s:v>#DIV/0!</s:v>
      </s:c>
      <s:c r="V19" s="5"/>
      <s:c r="W19" s="5"/>
      <s:c r="X19" s="5"/>
      <s:c r="Y19" s="5"/>
    </s:row>
    <s:row r="20">
      <s:c r="B20" s="23"/>
      <s:c r="C20" s="5"/>
      <s:c r="D20" s="5"/>
      <s:c r="E20" s="5"/>
      <s:c r="F20" s="89" t="s">
        <s:v>90</s:v>
      </s:c>
      <s:c r="G20" s="89"/>
      <s:c r="H20" s="89"/>
      <s:c r="I20" s="326">
        <s:f>Центрум!I20</s:f>
        <s:v>0.1</s:v>
      </s:c>
      <s:c r="J20" s="327">
        <s:f>T49</s:f>
        <s:v>8.2142857142857142E-2</s:v>
      </s:c>
      <s:c r="K20" s="91">
        <s:f>J20/I20</s:f>
        <s:v>0.8214285714285714</s:v>
      </s:c>
      <s:c r="L20" s="92">
        <s:f>IF(AND(K8&lt;&gt;0,I14&lt;&gt;0,I49&lt;&gt;0),(I49*T49+(I49/K8-I49)*I20)/(I49/K8),0)</s:f>
        <s:v>9.3323292438510314E-2</s:v>
      </s:c>
      <s:c r="M20" s="328">
        <s:f>IF(AND(I20&lt;&gt;"",I20&lt;&gt;0,L20&lt;&gt;"",L20&lt;&gt;0),L20/I20,"")</s:f>
        <s:v>0.93323292438510308</s:v>
      </s:c>
      <s:c r="N20" s="94">
        <s:f>IF(AND(J20&lt;&gt;0,J20&lt;&gt;"",I20&lt;&gt;0,I20&lt;&gt;""),L20-I20,"")</s:f>
        <s:v>-6.676707561489692E-3</s:v>
      </s:c>
      <s:c r="O20" s="95"/>
      <s:c r="P20" s="96" t="str">
        <s:f>IF(AND(O20&lt;&gt;"",O20&lt;&gt;0,L20&lt;&gt;"",L20&lt;&gt;0),-O20+L20,"")</s:f>
        <s:v/>
      </s:c>
      <s:c r="Q20" s="97" t="str">
        <s:f>IF(AND(P20&lt;&gt;"",P20&lt;&gt;0,O20&lt;&gt;0,O20&lt;&gt;""),P20/O20,"")</s:f>
        <s:v/>
      </s:c>
      <s:c r="R20" s="22"/>
      <s:c r="S20" s="22"/>
      <s:c r="T20" s="22"/>
      <s:c r="U20" s="28"/>
      <s:c r="V20" s="5"/>
      <s:c r="W20" s="5"/>
      <s:c r="X20" s="5"/>
      <s:c r="Y20" s="5"/>
    </s:row>
    <s:row r="21">
      <s:c r="B21" s="23"/>
      <s:c r="C21" s="5"/>
      <s:c r="D21" s="5"/>
      <s:c r="E21" s="5"/>
      <s:c r="F21" s="5"/>
      <s:c r="G21" s="5"/>
      <s:c r="H21" s="5"/>
      <s:c r="I21" s="5"/>
      <s:c r="J21" s="5"/>
      <s:c r="K21" s="5"/>
      <s:c r="L21" s="5"/>
      <s:c r="M21" s="5"/>
      <s:c r="N21" s="5"/>
      <s:c r="O21" s="5"/>
      <s:c r="P21" s="5"/>
      <s:c r="Q21" s="5"/>
      <s:c r="R21" s="5"/>
      <s:c r="S21" s="5"/>
      <s:c r="T21" s="5"/>
      <s:c r="U21" s="5"/>
      <s:c r="V21" s="5"/>
      <s:c r="W21" s="5"/>
      <s:c r="X21" s="28"/>
      <s:c r="Y21" s="28"/>
      <s:c r="Z21" s="5"/>
      <s:c r="AA21" s="5"/>
      <s:c r="AB21" s="5"/>
      <s:c r="AC21" s="5"/>
    </s:row>
    <s:row r="22" ht="36">
      <s:c r="B22" s="329" t="s">
        <s:v>26</s:v>
      </s:c>
      <s:c r="C22" s="329"/>
      <s:c r="D22" s="329"/>
      <s:c r="E22" s="329"/>
      <s:c r="F22" s="329"/>
      <s:c r="G22" s="329"/>
      <s:c r="H22" s="329"/>
      <s:c r="I22" s="329"/>
      <s:c r="J22" s="329"/>
      <s:c r="K22" s="329"/>
      <s:c r="L22" s="329"/>
      <s:c r="M22" s="329"/>
      <s:c r="N22" s="329"/>
      <s:c r="O22" s="329"/>
      <s:c r="P22" s="329"/>
      <s:c r="Q22" s="329"/>
      <s:c r="R22" s="329"/>
      <s:c r="S22" s="329"/>
      <s:c r="T22" s="329"/>
      <s:c r="U22" s="330" t="s">
        <s:v>47</s:v>
      </s:c>
      <s:c r="V22" s="329" t="s">
        <s:v>27</s:v>
      </s:c>
      <s:c r="W22" s="329"/>
      <s:c r="X22" s="329"/>
      <s:c r="Y22" s="329"/>
      <s:c r="Z22" s="329"/>
      <s:c r="AA22" s="329"/>
      <s:c r="AB22" s="329"/>
      <s:c r="AC22" s="329"/>
    </s:row>
    <s:row r="23" ht="36">
      <s:c r="B23" s="330" t="s">
        <s:v>29</s:v>
      </s:c>
      <s:c r="C23" s="330" t="s">
        <s:v>30</s:v>
      </s:c>
      <s:c r="D23" s="330" t="s">
        <s:v>31</s:v>
      </s:c>
      <s:c r="E23" s="330" t="s">
        <s:v>32</s:v>
      </s:c>
      <s:c r="F23" s="330" t="s">
        <s:v>33</s:v>
      </s:c>
      <s:c r="G23" s="330" t="s">
        <s:v>34</s:v>
      </s:c>
      <s:c r="H23" s="330" t="s">
        <s:v>35</s:v>
      </s:c>
      <s:c r="I23" s="330" t="s">
        <s:v>24</s:v>
      </s:c>
      <s:c r="J23" s="330" t="s">
        <s:v>36</s:v>
      </s:c>
      <s:c r="K23" s="331" t="s">
        <s:v>37</s:v>
      </s:c>
      <s:c r="L23" s="105" t="s">
        <s:v>38</s:v>
      </s:c>
      <s:c r="M23" s="331" t="s">
        <s:v>39</s:v>
      </s:c>
      <s:c r="N23" s="105" t="s">
        <s:v>40</s:v>
      </s:c>
      <s:c r="O23" s="331" t="s">
        <s:v>41</s:v>
      </s:c>
      <s:c r="P23" s="105" t="s">
        <s:v>42</s:v>
      </s:c>
      <s:c r="Q23" s="105" t="s">
        <s:v>43</s:v>
      </s:c>
      <s:c r="R23" s="105" t="s">
        <s:v>44</s:v>
      </s:c>
      <s:c r="S23" s="105" t="s">
        <s:v>45</s:v>
      </s:c>
      <s:c r="T23" s="330" t="s">
        <s:v>46</s:v>
      </s:c>
      <s:c r="U23" s="330"/>
      <s:c r="V23" s="330" t="s">
        <s:v>48</s:v>
      </s:c>
      <s:c r="W23" s="330" t="s">
        <s:v>49</s:v>
      </s:c>
      <s:c r="X23" s="330" t="s">
        <s:v>50</s:v>
      </s:c>
      <s:c r="Y23" s="330" t="s">
        <s:v>51</s:v>
      </s:c>
      <s:c r="Z23" s="330" t="s">
        <s:v>52</s:v>
      </s:c>
      <s:c r="AA23" s="330" t="s">
        <s:v>53</s:v>
      </s:c>
      <s:c r="AB23" s="332" t="s">
        <s:v>54</s:v>
      </s:c>
      <s:c r="AC23" s="332" t="s">
        <s:v>55</s:v>
      </s:c>
      <s:c r="AD23" s="190"/>
    </s:row>
    <s:row r="24">
      <s:c r="A24" s="333"/>
      <s:c r="B24" s="334">
        <s:v>1</s:v>
      </s:c>
      <s:c r="C24" s="335">
        <s:v>2</s:v>
      </s:c>
      <s:c r="D24" s="336">
        <s:v>3</s:v>
      </s:c>
      <s:c r="E24" s="336" t="s">
        <s:v>91</s:v>
      </s:c>
      <s:c r="F24" s="335">
        <s:v>5</s:v>
      </s:c>
      <s:c r="G24" s="336">
        <s:v>6</s:v>
      </s:c>
      <s:c r="H24" s="335">
        <s:v>7</s:v>
      </s:c>
      <s:c r="I24" s="336">
        <s:v>8</s:v>
      </s:c>
      <s:c r="J24" s="336">
        <s:v>9</s:v>
      </s:c>
      <s:c r="K24" s="113">
        <s:v>10</s:v>
      </s:c>
      <s:c r="L24" s="113">
        <s:v>11</s:v>
      </s:c>
      <s:c r="M24" s="113">
        <s:v>12</s:v>
      </s:c>
      <s:c r="N24" s="113">
        <s:v>13</s:v>
      </s:c>
      <s:c r="O24" s="113">
        <s:v>14</s:v>
      </s:c>
      <s:c r="P24" s="113">
        <s:v>15</s:v>
      </s:c>
      <s:c r="Q24" s="113">
        <s:v>16</s:v>
      </s:c>
      <s:c r="R24" s="113">
        <s:v>17</s:v>
      </s:c>
      <s:c r="S24" s="113"/>
      <s:c r="T24" s="113">
        <s:v>18</s:v>
      </s:c>
      <s:c r="U24" s="330"/>
      <s:c r="V24" s="337">
        <s:v>1</s:v>
      </s:c>
      <s:c r="W24" s="337">
        <s:v>2</s:v>
      </s:c>
      <s:c r="X24" s="337">
        <s:v>3</s:v>
      </s:c>
      <s:c r="Y24" s="337">
        <s:v>4</s:v>
      </s:c>
      <s:c r="Z24" s="337">
        <s:v>5</s:v>
      </s:c>
      <s:c r="AA24" s="337">
        <s:v>6</s:v>
      </s:c>
      <s:c r="AB24" s="337">
        <s:v>10</s:v>
      </s:c>
      <s:c r="AC24" s="337">
        <s:v>11</s:v>
      </s:c>
    </s:row>
    <s:row r="25">
      <s:c r="A25" s="338">
        <s:v>1</s:v>
      </s:c>
      <s:c r="B25" s="134">
        <s:v>46054</s:v>
      </s:c>
      <s:c r="C25" s="135" t="s">
        <s:v>57</s:v>
      </s:c>
      <s:c r="D25" s="138">
        <s:f>-10892+28117+7503</s:f>
        <s:v>24728</s:v>
      </s:c>
      <s:c r="E25" s="137">
        <s:v>6</s:v>
      </s:c>
      <s:c r="F25" s="137">
        <s:f>IF(AND(E25&lt;&gt;"",E25&lt;&gt;0),D25/E25,"")</s:f>
        <s:v>4121.333333333333</s:v>
      </s:c>
      <s:c r="G25" s="137">
        <s:v>4</s:v>
      </s:c>
      <s:c r="H25" s="137">
        <s:f>IF(AND(G25&lt;&gt;"",G25&lt;&gt;0),D25/G25,"")</s:f>
        <s:v>6182</s:v>
      </s:c>
      <s:c r="I25" s="148">
        <s:v>28</s:v>
      </s:c>
      <s:c r="J25" s="138">
        <s:f>IF(AND(G25&lt;&gt;"",G25&lt;&gt;0),E25/G25,"")</s:f>
        <s:v>1.5</s:v>
      </s:c>
      <s:c r="K25" s="136"/>
      <s:c r="L25" s="136">
        <s:v>7503</s:v>
      </s:c>
      <s:c r="M25" s="136">
        <s:v>8592</s:v>
      </s:c>
      <s:c r="N25" s="136"/>
      <s:c r="O25" s="136"/>
      <s:c r="P25" s="136"/>
      <s:c r="Q25" s="136"/>
      <s:c r="R25" s="136"/>
      <s:c r="S25" s="136"/>
      <s:c r="T25" s="140">
        <s:f>IF(AND(I25&lt;&gt;"",I25&lt;&gt;0),G25/I25,"")</s:f>
        <s:v>0.14285714285714285</s:v>
      </s:c>
      <s:c r="U25" s="141">
        <s:f>D25/V25</s:f>
        <s:v>0.77989070619873846</s:v>
      </s:c>
      <s:c r="V25" s="142">
        <s:f>$I$8*AB25*AC25/SUMPRODUCT($AC$25:$AC$56,$AB$25:$AB$56)</s:f>
        <s:v>31707.006896551731</s:v>
      </s:c>
      <s:c r="W25" s="143">
        <s:f>$I$9*AB25*AC25/SUMPRODUCT($AC$25:$AC$56,$AB$25:$AB$56)</s:f>
        <s:v>4.3673563218390816</s:v>
      </s:c>
      <s:c r="X25" s="143">
        <s:f>IF($I$12="","",W25/$I$12)</s:f>
        <s:v>2.3735632183908053</s:v>
      </s:c>
      <s:c r="Y25" s="142">
        <s:f>IF(AC25&lt;&gt;"",IF(D25&lt;&gt;"",D25,($I$8-SUM($Y24:Y$25))*AB25*AC25/SUMPRODUCT($AC25:$AC$56,$AB25:$AB$56)),"")</s:f>
        <s:v>24728</s:v>
      </s:c>
      <s:c r="Z25" s="143">
        <s:f>IF(AC25&lt;&gt;"",IF(E25&lt;&gt;"",E25,($I$9-SUM($Z24:Z$25))*AB25*AC25/SUMPRODUCT($AC25:$AC$56,$AB25:$AB$56)),"")</s:f>
        <s:v>6</s:v>
      </s:c>
      <s:c r="AA25" s="143">
        <s:f>IF(AC25&lt;&gt;"",IF($I$12&lt;&gt;"",IF(G25&lt;&gt;"",G25,($I$9/$I$12-SUM($AA24:AA$25))*AB25*AC25/SUMPRODUCT($AC25:$AC$56,$AB25:$AB$56)),""),"")</s:f>
        <s:v>4</s:v>
      </s:c>
      <s:c r="AB25" s="339">
        <s:v>1</s:v>
      </s:c>
      <s:c r="AC25" s="339">
        <s:v>1</s:v>
      </s:c>
      <s:c r="AD25" s="145"/>
      <s:c r="AE25" s="145"/>
      <s:c r="AF25" s="160"/>
      <s:c r="AG25" s="2"/>
      <s:c r="AH25" s="2"/>
      <s:c r="AI25" s="2"/>
      <s:c r="AJ25" s="2"/>
      <s:c r="AK25" s="2"/>
      <s:c r="AL25" s="2"/>
      <s:c r="AM25" s="2"/>
    </s:row>
    <s:row r="26">
      <s:c r="A26" s="340">
        <s:v>2</s:v>
      </s:c>
      <s:c r="B26" s="341">
        <s:v>46055</s:v>
      </s:c>
      <s:c r="C26" s="181" t="s">
        <s:v>58</s:v>
      </s:c>
      <s:c r="D26" s="342">
        <s:v>0</s:v>
      </s:c>
      <s:c r="E26" s="148">
        <s:v>0</s:v>
      </s:c>
      <s:c r="F26" s="174" t="str">
        <s:f>IF(AND(E26&lt;&gt;"",E26&lt;&gt;0),D26/E26,"")</s:f>
        <s:v/>
      </s:c>
      <s:c r="G26" s="148">
        <s:v>0</s:v>
      </s:c>
      <s:c r="H26" s="174" t="str">
        <s:f>IF(AND(G26&lt;&gt;"",G26&lt;&gt;0),D26/G26,"")</s:f>
        <s:v/>
      </s:c>
      <s:c r="I26" s="148">
        <s:v>17</s:v>
      </s:c>
      <s:c r="J26" s="138" t="str">
        <s:f>IF(AND(G26&lt;&gt;"",G26&lt;&gt;0),E26/G26,"")</s:f>
        <s:v/>
      </s:c>
      <s:c r="K26" s="136"/>
      <s:c r="L26" s="136"/>
      <s:c r="M26" s="136"/>
      <s:c r="N26" s="136"/>
      <s:c r="O26" s="136"/>
      <s:c r="P26" s="136"/>
      <s:c r="Q26" s="136"/>
      <s:c r="R26" s="136"/>
      <s:c r="S26" s="136"/>
      <s:c r="T26" s="140">
        <s:f>IF(AND(I26&lt;&gt;"",I26&lt;&gt;0),G26/I26,"")</s:f>
        <s:v>0</s:v>
      </s:c>
      <s:c r="U26" s="141">
        <s:f>D26/V26</s:f>
        <s:v>0</s:v>
      </s:c>
      <s:c r="V26" s="142">
        <s:f>$I$8*AB26*AC26/SUMPRODUCT($AC$25:$AC$56,$AB$25:$AB$56)</s:f>
        <s:v>31707.006896551731</s:v>
      </s:c>
      <s:c r="W26" s="143">
        <s:f>$I$9*AB26*AC26/SUMPRODUCT($AC$25:$AC$56,$AB$25:$AB$56)</s:f>
        <s:v>4.3673563218390816</s:v>
      </s:c>
      <s:c r="X26" s="143">
        <s:f>IF($I$12="","",W26/$I$12)</s:f>
        <s:v>2.3735632183908053</s:v>
      </s:c>
      <s:c r="Y26" s="142">
        <s:f>IF(AC26&lt;&gt;"",IF(D26&lt;&gt;"",D26,($I$8-SUM($Y25:Y$25))*AB26*AC26/SUMPRODUCT($AC26:$AC$56,$AB26:$AB$56)),"")</s:f>
        <s:v>0</s:v>
      </s:c>
      <s:c r="Z26" s="143">
        <s:f>IF(AC26&lt;&gt;"",IF(E26&lt;&gt;"",E26,($I$9-SUM($Z25:Z$25))*AB26*AC26/SUMPRODUCT($AC26:$AC$56,$AB26:$AB$56)),"")</s:f>
        <s:v>0</s:v>
      </s:c>
      <s:c r="AA26" s="143">
        <s:f>IF(AC26&lt;&gt;"",IF($I$12&lt;&gt;"",IF(G26&lt;&gt;"",G26,($I$9/$I$12-SUM($AA25:AA$25))*AB26*AC26/SUMPRODUCT($AC26:$AC$56,$AB26:$AB$56)),""),"")</s:f>
        <s:v>0</s:v>
      </s:c>
      <s:c r="AB26" s="339">
        <s:v>1</s:v>
      </s:c>
      <s:c r="AC26" s="339">
        <s:v>1</s:v>
      </s:c>
      <s:c r="AD26" s="145"/>
      <s:c r="AE26" s="149"/>
      <s:c r="AF26" s="2"/>
      <s:c r="AG26" s="2"/>
      <s:c r="AH26" s="2"/>
      <s:c r="AI26" s="2"/>
      <s:c r="AJ26" s="2"/>
      <s:c r="AK26" s="2"/>
      <s:c r="AL26" s="2"/>
      <s:c r="AM26" s="2"/>
    </s:row>
    <s:row r="27">
      <s:c r="A27" s="338">
        <s:v>3</s:v>
      </s:c>
      <s:c r="B27" s="134">
        <s:v>46056</s:v>
      </s:c>
      <s:c r="C27" s="135" t="s">
        <s:v>60</s:v>
      </s:c>
      <s:c r="D27" s="342">
        <s:v>30122</s:v>
      </s:c>
      <s:c r="E27" s="148">
        <s:v>5</s:v>
      </s:c>
      <s:c r="F27" s="137">
        <s:f>IF(AND(E27&lt;&gt;"",E27&lt;&gt;0),D27/E27,"")</s:f>
        <s:v>6024.4</s:v>
      </s:c>
      <s:c r="G27" s="148">
        <s:v>3</s:v>
      </s:c>
      <s:c r="H27" s="137">
        <s:f>IF(AND(G27&lt;&gt;"",G27&lt;&gt;0),D27/G27,"")</s:f>
        <s:v>10040.666666666666</s:v>
      </s:c>
      <s:c r="I27" s="148">
        <s:v>18</s:v>
      </s:c>
      <s:c r="J27" s="138">
        <s:f>IF(AND(G27&lt;&gt;"",G27&lt;&gt;0),E27/G27,"")</s:f>
        <s:v>1.6666666666666667</s:v>
      </s:c>
      <s:c r="K27" s="136"/>
      <s:c r="L27" s="136"/>
      <s:c r="M27" s="136">
        <s:v>23903</s:v>
      </s:c>
      <s:c r="N27" s="136"/>
      <s:c r="O27" s="136"/>
      <s:c r="P27" s="136"/>
      <s:c r="Q27" s="136"/>
      <s:c r="R27" s="136"/>
      <s:c r="S27" s="136">
        <s:v>6219</s:v>
      </s:c>
      <s:c r="T27" s="140">
        <s:f>IF(AND(I27&lt;&gt;"",I27&lt;&gt;0),G27/I27,"")</s:f>
        <s:v>0.16666666666666666</s:v>
      </s:c>
      <s:c r="U27" s="141">
        <s:f>D27/V27</s:f>
        <s:v>0.95001083193620184</s:v>
      </s:c>
      <s:c r="V27" s="142">
        <s:f>$I$8*AB27*AC27/SUMPRODUCT($AC$25:$AC$56,$AB$25:$AB$56)</s:f>
        <s:v>31707.006896551731</s:v>
      </s:c>
      <s:c r="W27" s="143">
        <s:f>$I$9*AB27*AC27/SUMPRODUCT($AC$25:$AC$56,$AB$25:$AB$56)</s:f>
        <s:v>4.3673563218390816</s:v>
      </s:c>
      <s:c r="X27" s="143">
        <s:f>IF($I$12="","",W27/$I$12)</s:f>
        <s:v>2.3735632183908053</s:v>
      </s:c>
      <s:c r="Y27" s="142">
        <s:f>IF(AC27&lt;&gt;"",IF(D27&lt;&gt;"",D27,($I$8-SUM($Y$25:Y26))*AB27*AC27/SUMPRODUCT($AC27:$AC$56,$AB27:$AB$56)),"")</s:f>
        <s:v>30122</s:v>
      </s:c>
      <s:c r="Z27" s="143">
        <s:f>IF(AC27&lt;&gt;"",IF(E27&lt;&gt;"",E27,($I$9-SUM($Z$25:Z26))*AB27*AC27/SUMPRODUCT($AC27:$AC$56,$AB27:$AB$56)),"")</s:f>
        <s:v>5</s:v>
      </s:c>
      <s:c r="AA27" s="143">
        <s:f>IF(AC27&lt;&gt;"",IF($I$12&lt;&gt;"",IF(G27&lt;&gt;"",G27,($I$9/$I$12-SUM($AA$25:AA26))*AB27*AC27/SUMPRODUCT($AC27:$AC$56,$AB27:$AB$56)),""),"")</s:f>
        <s:v>3</s:v>
      </s:c>
      <s:c r="AB27" s="339">
        <s:v>1</s:v>
      </s:c>
      <s:c r="AC27" s="339">
        <s:v>1</s:v>
      </s:c>
      <s:c r="AD27" s="145"/>
      <s:c r="AE27" s="145"/>
      <s:c r="AF27" s="2"/>
      <s:c r="AG27" s="2"/>
      <s:c r="AH27" s="2"/>
      <s:c r="AI27" s="2"/>
      <s:c r="AJ27" s="2"/>
      <s:c r="AK27" s="2"/>
      <s:c r="AL27" s="2"/>
      <s:c r="AM27" s="2"/>
    </s:row>
    <s:row r="28">
      <s:c r="A28" s="340">
        <s:v>4</s:v>
      </s:c>
      <s:c r="B28" s="134">
        <s:v>46059</s:v>
      </s:c>
      <s:c r="C28" s="181" t="s">
        <s:v>64</s:v>
      </s:c>
      <s:c r="D28" s="342">
        <s:v>0</s:v>
      </s:c>
      <s:c r="E28" s="148">
        <s:v>0</s:v>
      </s:c>
      <s:c r="F28" s="174" t="str">
        <s:f>IF(AND(E28&lt;&gt;"",E28&lt;&gt;0),D28/E28,"")</s:f>
        <s:v/>
      </s:c>
      <s:c r="G28" s="148">
        <s:v>0</s:v>
      </s:c>
      <s:c r="H28" s="174" t="str">
        <s:f>IF(AND(G28&lt;&gt;"",G28&lt;&gt;0),D28/G28,"")</s:f>
        <s:v/>
      </s:c>
      <s:c r="I28" s="148">
        <s:v>25</s:v>
      </s:c>
      <s:c r="J28" s="138" t="str">
        <s:f>IF(AND(G28&lt;&gt;"",G28&lt;&gt;0),E28/G28,"")</s:f>
        <s:v/>
      </s:c>
      <s:c r="K28" s="136"/>
      <s:c r="L28" s="136"/>
      <s:c r="M28" s="136"/>
      <s:c r="N28" s="136"/>
      <s:c r="O28" s="136"/>
      <s:c r="P28" s="136"/>
      <s:c r="Q28" s="136"/>
      <s:c r="R28" s="136"/>
      <s:c r="S28" s="136"/>
      <s:c r="T28" s="140">
        <s:f>IF(AND(I28&lt;&gt;"",I28&lt;&gt;0),G28/I28,"")</s:f>
        <s:v>0</s:v>
      </s:c>
      <s:c r="U28" s="141">
        <s:f>D28/V28</s:f>
        <s:v>0</s:v>
      </s:c>
      <s:c r="V28" s="142">
        <s:f>$I$8*AB28*AC28/SUMPRODUCT($AC$25:$AC$56,$AB$25:$AB$56)</s:f>
        <s:v>31707.006896551731</s:v>
      </s:c>
      <s:c r="W28" s="143">
        <s:f>$I$9*AB28*AC28/SUMPRODUCT($AC$25:$AC$56,$AB$25:$AB$56)</s:f>
        <s:v>4.3673563218390816</s:v>
      </s:c>
      <s:c r="X28" s="143">
        <s:f>IF($I$12="","",W28/$I$12)</s:f>
        <s:v>2.3735632183908053</s:v>
      </s:c>
      <s:c r="Y28" s="142">
        <s:f>IF(AC28&lt;&gt;"",IF(D28&lt;&gt;"",D28,($I$8-SUM($Y$25:Y27))*AB28*AC28/SUMPRODUCT($AC28:$AC$56,$AB28:$AB$56)),"")</s:f>
        <s:v>0</s:v>
      </s:c>
      <s:c r="Z28" s="143">
        <s:f>IF(AC28&lt;&gt;"",IF(E28&lt;&gt;"",E28,($I$9-SUM($Z$25:Z27))*AB28*AC28/SUMPRODUCT($AC28:$AC$56,$AB28:$AB$56)),"")</s:f>
        <s:v>0</s:v>
      </s:c>
      <s:c r="AA28" s="143">
        <s:f>IF(AC28&lt;&gt;"",IF($I$12&lt;&gt;"",IF(G28&lt;&gt;"",G28,($I$9/$I$12-SUM($AA$25:AA27))*AB28*AC28/SUMPRODUCT($AC28:$AC$56,$AB28:$AB$56)),""),"")</s:f>
        <s:v>0</s:v>
      </s:c>
      <s:c r="AB28" s="339">
        <s:v>1</s:v>
      </s:c>
      <s:c r="AC28" s="339">
        <s:v>1</s:v>
      </s:c>
      <s:c r="AD28" s="145"/>
      <s:c r="AE28" s="145"/>
      <s:c r="AF28" s="2"/>
      <s:c r="AG28" s="2"/>
      <s:c r="AH28" s="2"/>
      <s:c r="AI28" s="2"/>
      <s:c r="AJ28" s="2"/>
      <s:c r="AK28" s="2"/>
      <s:c r="AL28" s="2"/>
      <s:c r="AM28" s="2"/>
    </s:row>
    <s:row r="29">
      <s:c r="A29" s="338">
        <s:v>5</s:v>
      </s:c>
      <s:c r="B29" s="134">
        <s:v>46060</s:v>
      </s:c>
      <s:c r="C29" s="135" t="s">
        <s:v>66</s:v>
      </s:c>
      <s:c r="D29" s="342">
        <s:v>30068</s:v>
      </s:c>
      <s:c r="E29" s="148">
        <s:v>4</s:v>
      </s:c>
      <s:c r="F29" s="137">
        <s:f>IF(AND(E29&lt;&gt;"",E29&lt;&gt;0),D29/E29,"")</s:f>
        <s:v>7517</s:v>
      </s:c>
      <s:c r="G29" s="148">
        <s:v>2</s:v>
      </s:c>
      <s:c r="H29" s="137">
        <s:f>IF(AND(G29&lt;&gt;"",G29&lt;&gt;0),D29/G29,"")</s:f>
        <s:v>15034</s:v>
      </s:c>
      <s:c r="I29" s="148">
        <s:v>28</s:v>
      </s:c>
      <s:c r="J29" s="138">
        <s:f>IF(AND(G29&lt;&gt;"",G29&lt;&gt;0),E29/G29,"")</s:f>
        <s:v>2</s:v>
      </s:c>
      <s:c r="K29" s="136"/>
      <s:c r="L29" s="148"/>
      <s:c r="M29" s="148">
        <s:v>15984</s:v>
      </s:c>
      <s:c r="N29" s="148"/>
      <s:c r="O29" s="136"/>
      <s:c r="P29" s="136"/>
      <s:c r="Q29" s="136"/>
      <s:c r="R29" s="136"/>
      <s:c r="S29" s="136"/>
      <s:c r="T29" s="140">
        <s:f>IF(AND(I29&lt;&gt;"",I29&lt;&gt;0),G29/I29,"")</s:f>
        <s:v>7.1428571428571425E-2</s:v>
      </s:c>
      <s:c r="U29" s="141">
        <s:f>D29/V29</s:f>
        <s:v>0.94830773835262328</s:v>
      </s:c>
      <s:c r="V29" s="142">
        <s:f>$I$8*AB29*AC29/SUMPRODUCT($AC$25:$AC$56,$AB$25:$AB$56)</s:f>
        <s:v>31707.006896551731</s:v>
      </s:c>
      <s:c r="W29" s="143">
        <s:f>$I$9*AB29*AC29/SUMPRODUCT($AC$25:$AC$56,$AB$25:$AB$56)</s:f>
        <s:v>4.3673563218390816</s:v>
      </s:c>
      <s:c r="X29" s="143">
        <s:f>IF($I$12="","",W29/$I$12)</s:f>
        <s:v>2.3735632183908053</s:v>
      </s:c>
      <s:c r="Y29" s="142">
        <s:f>IF(AC29&lt;&gt;"",IF(D29&lt;&gt;"",D29,($I$8-SUM($Y$25:Y28))*AB29*AC29/SUMPRODUCT($AC29:$AC$56,$AB29:$AB$56)),"")</s:f>
        <s:v>30068</s:v>
      </s:c>
      <s:c r="Z29" s="143">
        <s:f>IF(AC29&lt;&gt;"",IF(E29&lt;&gt;"",E29,($I$9-SUM($Z$25:Z28))*AB29*AC29/SUMPRODUCT($AC29:$AC$56,$AB29:$AB$56)),"")</s:f>
        <s:v>4</s:v>
      </s:c>
      <s:c r="AA29" s="143">
        <s:f>IF(AC29&lt;&gt;"",IF($I$12&lt;&gt;"",IF(G29&lt;&gt;"",G29,($I$9/$I$12-SUM($AA$25:AA28))*AB29*AC29/SUMPRODUCT($AC29:$AC$56,$AB29:$AB$56)),""),"")</s:f>
        <s:v>2</s:v>
      </s:c>
      <s:c r="AB29" s="339">
        <s:v>1</s:v>
      </s:c>
      <s:c r="AC29" s="339">
        <s:v>1</s:v>
      </s:c>
      <s:c r="AD29" s="145"/>
      <s:c r="AE29" s="145"/>
      <s:c r="AF29" s="2"/>
      <s:c r="AG29" s="2"/>
      <s:c r="AH29" s="2"/>
      <s:c r="AI29" s="2"/>
      <s:c r="AJ29" s="2"/>
      <s:c r="AK29" s="2"/>
      <s:c r="AL29" s="2"/>
      <s:c r="AM29" s="2"/>
    </s:row>
    <s:row r="30">
      <s:c r="A30" s="338">
        <s:v>6</s:v>
      </s:c>
      <s:c r="B30" s="134">
        <s:v>46061</s:v>
      </s:c>
      <s:c r="C30" s="181" t="s">
        <s:v>57</s:v>
      </s:c>
      <s:c r="D30" s="342">
        <s:v>31503</s:v>
      </s:c>
      <s:c r="E30" s="343">
        <s:v>5</s:v>
      </s:c>
      <s:c r="F30" s="174">
        <s:f>IF(AND(E30&lt;&gt;"",E30&lt;&gt;0),D30/E30,"")</s:f>
        <s:v>6300.6</s:v>
      </s:c>
      <s:c r="G30" s="148">
        <s:v>3</s:v>
      </s:c>
      <s:c r="H30" s="174">
        <s:f>IF(AND(G30&lt;&gt;"",G30&lt;&gt;0),D30/G30,"")</s:f>
        <s:v>10501</s:v>
      </s:c>
      <s:c r="I30" s="148">
        <s:v>30</s:v>
      </s:c>
      <s:c r="J30" s="138">
        <s:f>IF(AND(G30&lt;&gt;"",G30&lt;&gt;0),E30/G30,"")</s:f>
        <s:v>1.6666666666666667</s:v>
      </s:c>
      <s:c r="K30" s="136"/>
      <s:c r="L30" s="136"/>
      <s:c r="M30" s="136"/>
      <s:c r="N30" s="136"/>
      <s:c r="O30" s="136"/>
      <s:c r="P30" s="136"/>
      <s:c r="Q30" s="136"/>
      <s:c r="R30" s="136"/>
      <s:c r="S30" s="136"/>
      <s:c r="T30" s="140">
        <s:f>IF(AND(I30&lt;&gt;"",I30&lt;&gt;0),G30/I30,"")</s:f>
        <s:v>0.1</s:v>
      </s:c>
      <s:c r="U30" s="141">
        <s:f>D30/V30</s:f>
        <s:v>0.99356587339772151</s:v>
      </s:c>
      <s:c r="V30" s="142">
        <s:f>$I$8*AB30*AC30/SUMPRODUCT($AC$25:$AC$56,$AB$25:$AB$56)</s:f>
        <s:v>31707.006896551731</s:v>
      </s:c>
      <s:c r="W30" s="143">
        <s:f>$I$9*AB30*AC30/SUMPRODUCT($AC$25:$AC$56,$AB$25:$AB$56)</s:f>
        <s:v>4.3673563218390816</s:v>
      </s:c>
      <s:c r="X30" s="143">
        <s:f>IF($I$12="","",W30/$I$12)</s:f>
        <s:v>2.3735632183908053</s:v>
      </s:c>
      <s:c r="Y30" s="142">
        <s:f>IF(AC30&lt;&gt;"",IF(D30&lt;&gt;"",D30,($I$8-SUM($Y$25:Y29))*AB30*AC30/SUMPRODUCT($AC30:$AC$56,$AB30:$AB$56)),"")</s:f>
        <s:v>31503</s:v>
      </s:c>
      <s:c r="Z30" s="143">
        <s:f>IF(AC30&lt;&gt;"",IF(E30&lt;&gt;"",E30,($I$9-SUM($Z$25:Z29))*AB30*AC30/SUMPRODUCT($AC30:$AC$56,$AB30:$AB$56)),"")</s:f>
        <s:v>5</s:v>
      </s:c>
      <s:c r="AA30" s="143">
        <s:f>IF(AC30&lt;&gt;"",IF($I$12&lt;&gt;"",IF(G30&lt;&gt;"",G30,($I$9/$I$12-SUM($AA$25:AA29))*AB30*AC30/SUMPRODUCT($AC30:$AC$56,$AB30:$AB$56)),""),"")</s:f>
        <s:v>3</s:v>
      </s:c>
      <s:c r="AB30" s="339">
        <s:v>1</s:v>
      </s:c>
      <s:c r="AC30" s="339">
        <s:v>1</s:v>
      </s:c>
      <s:c r="AD30" s="145"/>
      <s:c r="AE30" s="145"/>
      <s:c r="AF30" s="160"/>
      <s:c r="AG30" s="2"/>
      <s:c r="AH30" s="2"/>
      <s:c r="AI30" s="2"/>
      <s:c r="AJ30" s="2"/>
      <s:c r="AK30" s="2"/>
      <s:c r="AL30" s="2"/>
      <s:c r="AM30" s="2"/>
    </s:row>
    <s:row r="31">
      <s:c r="A31" s="338">
        <s:v>7</s:v>
      </s:c>
      <s:c r="B31" s="134">
        <s:v>46063</s:v>
      </s:c>
      <s:c r="C31" s="135" t="s">
        <s:v>60</s:v>
      </s:c>
      <s:c r="D31" s="342">
        <s:v>5098</s:v>
      </s:c>
      <s:c r="E31" s="148">
        <s:v>1</s:v>
      </s:c>
      <s:c r="F31" s="137">
        <s:f>IF(AND(E31&lt;&gt;"",E31&lt;&gt;0),D31/E31,"")</s:f>
        <s:v>5098</s:v>
      </s:c>
      <s:c r="G31" s="148">
        <s:v>1</s:v>
      </s:c>
      <s:c r="H31" s="137">
        <s:f>IF(AND(G31&lt;&gt;"",G31&lt;&gt;0),D31/G31,"")</s:f>
        <s:v>5098</s:v>
      </s:c>
      <s:c r="I31" s="148">
        <s:v>25</s:v>
      </s:c>
      <s:c r="J31" s="138">
        <s:f>IF(AND(G31&lt;&gt;"",G31&lt;&gt;0),E31/G31,"")</s:f>
        <s:v>1</s:v>
      </s:c>
      <s:c r="K31" s="136"/>
      <s:c r="L31" s="136"/>
      <s:c r="M31" s="136"/>
      <s:c r="N31" s="136"/>
      <s:c r="O31" s="136"/>
      <s:c r="P31" s="136"/>
      <s:c r="Q31" s="136"/>
      <s:c r="R31" s="136"/>
      <s:c r="S31" s="136"/>
      <s:c r="T31" s="140">
        <s:f>IF(AND(I31&lt;&gt;"",I31&lt;&gt;0),G31/I31,"")</s:f>
        <s:v>0.04</s:v>
      </s:c>
      <s:c r="U31" s="141">
        <s:f>D31/V31</s:f>
        <s:v>0.16078464979784732</s:v>
      </s:c>
      <s:c r="V31" s="142">
        <s:f>$I$8*AB31*AC31/SUMPRODUCT($AC$25:$AC$56,$AB$25:$AB$56)</s:f>
        <s:v>31707.006896551731</s:v>
      </s:c>
      <s:c r="W31" s="143">
        <s:f>$I$9*AB31*AC31/SUMPRODUCT($AC$25:$AC$56,$AB$25:$AB$56)</s:f>
        <s:v>4.3673563218390816</s:v>
      </s:c>
      <s:c r="X31" s="143">
        <s:f>IF($I$12="","",W31/$I$12)</s:f>
        <s:v>2.3735632183908053</s:v>
      </s:c>
      <s:c r="Y31" s="142">
        <s:f>IF(AC31&lt;&gt;"",IF(D31&lt;&gt;"",D31,($I$8-SUM($Y$25:Y30))*AB31*AC31/SUMPRODUCT($AC31:$AC$56,$AB31:$AB$56)),"")</s:f>
        <s:v>5098</s:v>
      </s:c>
      <s:c r="Z31" s="143">
        <s:f>IF(AC31&lt;&gt;"",IF(E31&lt;&gt;"",E31,($I$9-SUM($Z$25:Z30))*AB31*AC31/SUMPRODUCT($AC31:$AC$56,$AB31:$AB$56)),"")</s:f>
        <s:v>1</s:v>
      </s:c>
      <s:c r="AA31" s="143">
        <s:f>IF(AC31&lt;&gt;"",IF($I$12&lt;&gt;"",IF(G31&lt;&gt;"",G31,($I$9/$I$12-SUM($AA$25:AA30))*AB31*AC31/SUMPRODUCT($AC31:$AC$56,$AB31:$AB$56)),""),"")</s:f>
        <s:v>1</s:v>
      </s:c>
      <s:c r="AB31" s="339">
        <s:v>1</s:v>
      </s:c>
      <s:c r="AC31" s="339">
        <s:v>1</s:v>
      </s:c>
      <s:c r="AD31" s="145"/>
      <s:c r="AE31" s="145"/>
      <s:c r="AF31" s="160"/>
      <s:c r="AG31" s="2"/>
      <s:c r="AH31" s="2"/>
      <s:c r="AI31" s="2"/>
      <s:c r="AJ31" s="2"/>
      <s:c r="AK31" s="2"/>
      <s:c r="AL31" s="2"/>
      <s:c r="AM31" s="2"/>
    </s:row>
    <s:row r="32">
      <s:c r="A32" s="338">
        <s:v>8</s:v>
      </s:c>
      <s:c r="B32" s="134">
        <s:v>46064</s:v>
      </s:c>
      <s:c r="C32" s="181" t="s">
        <s:v>62</s:v>
      </s:c>
      <s:c r="D32" s="138">
        <s:v>5692</s:v>
      </s:c>
      <s:c r="E32" s="148">
        <s:v>1</s:v>
      </s:c>
      <s:c r="F32" s="174">
        <s:f>IF(AND(E32&lt;&gt;"",E32&lt;&gt;0),D32/E32,"")</s:f>
        <s:v>5692</s:v>
      </s:c>
      <s:c r="G32" s="148">
        <s:v>1</s:v>
      </s:c>
      <s:c r="H32" s="174">
        <s:f>IF(AND(G32&lt;&gt;"",G32&lt;&gt;0),D32/G32,"")</s:f>
        <s:v>5692</s:v>
      </s:c>
      <s:c r="I32" s="344">
        <s:v>27</s:v>
      </s:c>
      <s:c r="J32" s="345">
        <s:f>IF(AND(G32&lt;&gt;"",G32&lt;&gt;0),E32/G32,"")</s:f>
        <s:v>1</s:v>
      </s:c>
      <s:c r="K32" s="346"/>
      <s:c r="L32" s="346"/>
      <s:c r="M32" s="346"/>
      <s:c r="N32" s="346"/>
      <s:c r="O32" s="346"/>
      <s:c r="P32" s="346"/>
      <s:c r="Q32" s="346"/>
      <s:c r="R32" s="346"/>
      <s:c r="S32" s="346"/>
      <s:c r="T32" s="140">
        <s:f>IF(AND(I32&lt;&gt;"",I32&lt;&gt;0),G32/I32,"")</s:f>
        <s:v>3.7037037037037035E-2</s:v>
      </s:c>
      <s:c r="U32" s="141">
        <s:f>D32/V32</s:f>
        <s:v>0.17951867921721204</s:v>
      </s:c>
      <s:c r="V32" s="142">
        <s:f>$I$8*AB32*AC32/SUMPRODUCT($AC$25:$AC$56,$AB$25:$AB$56)</s:f>
        <s:v>31707.006896551731</s:v>
      </s:c>
      <s:c r="W32" s="143">
        <s:f>$I$9*AB32*AC32/SUMPRODUCT($AC$25:$AC$56,$AB$25:$AB$56)</s:f>
        <s:v>4.3673563218390816</s:v>
      </s:c>
      <s:c r="X32" s="143">
        <s:f>IF($I$12="","",W32/$I$12)</s:f>
        <s:v>2.3735632183908053</s:v>
      </s:c>
      <s:c r="Y32" s="142">
        <s:f>IF(AC32&lt;&gt;"",IF(D32&lt;&gt;"",D32,($I$8-SUM($Y$25:Y31))*AB32*AC32/SUMPRODUCT($AC32:$AC$56,$AB32:$AB$56)),"")</s:f>
        <s:v>5692</s:v>
      </s:c>
      <s:c r="Z32" s="143">
        <s:f>IF(AC32&lt;&gt;"",IF(E32&lt;&gt;"",E32,($I$9-SUM($Z$25:Z31))*AB32*AC32/SUMPRODUCT($AC32:$AC$56,$AB32:$AB$56)),"")</s:f>
        <s:v>1</s:v>
      </s:c>
      <s:c r="AA32" s="143">
        <s:f>IF(AC32&lt;&gt;"",IF($I$12&lt;&gt;"",IF(G32&lt;&gt;"",G32,($I$9/$I$12-SUM($AA$25:AA31))*AB32*AC32/SUMPRODUCT($AC32:$AC$56,$AB32:$AB$56)),""),"")</s:f>
        <s:v>1</s:v>
      </s:c>
      <s:c r="AB32" s="339">
        <s:v>1</s:v>
      </s:c>
      <s:c r="AC32" s="339">
        <s:v>1</s:v>
      </s:c>
      <s:c r="AD32" s="145"/>
      <s:c r="AE32" s="145"/>
      <s:c r="AF32" s="2"/>
      <s:c r="AG32" s="2"/>
      <s:c r="AH32" s="2"/>
      <s:c r="AI32" s="2"/>
      <s:c r="AJ32" s="2"/>
      <s:c r="AK32" s="2"/>
      <s:c r="AL32" s="2"/>
      <s:c r="AM32" s="2"/>
    </s:row>
    <s:row r="33">
      <s:c r="A33" s="338">
        <s:v>9</s:v>
      </s:c>
      <s:c r="B33" s="134">
        <s:v>46067</s:v>
      </s:c>
      <s:c r="C33" s="135" t="s">
        <s:v>66</s:v>
      </s:c>
      <s:c r="D33" s="347">
        <s:v>26506</s:v>
      </s:c>
      <s:c r="E33" s="148">
        <s:v>2</s:v>
      </s:c>
      <s:c r="F33" s="137">
        <s:f>IF(AND(E33&lt;&gt;"",E33&lt;&gt;0),D33/E33,"")</s:f>
        <s:v>13253</s:v>
      </s:c>
      <s:c r="G33" s="148">
        <s:v>1</s:v>
      </s:c>
      <s:c r="H33" s="137">
        <s:f>IF(AND(G33&lt;&gt;"",G33&lt;&gt;0),D33/G33,"")</s:f>
        <s:v>26506</s:v>
      </s:c>
      <s:c r="I33" s="137">
        <s:v>25</s:v>
      </s:c>
      <s:c r="J33" s="138">
        <s:f>IF(AND(G33&lt;&gt;"",G33&lt;&gt;0),E33/G33,"")</s:f>
        <s:v>2</s:v>
      </s:c>
      <s:c r="K33" s="137"/>
      <s:c r="L33" s="137"/>
      <s:c r="M33" s="137"/>
      <s:c r="N33" s="137"/>
      <s:c r="O33" s="137"/>
      <s:c r="P33" s="137"/>
      <s:c r="Q33" s="137"/>
      <s:c r="R33" s="137"/>
      <s:c r="S33" s="137"/>
      <s:c r="T33" s="140">
        <s:f>IF(AND(I33&lt;&gt;"",I33&lt;&gt;0),G33/I33,"")</s:f>
        <s:v>0.04</s:v>
      </s:c>
      <s:c r="U33" s="348">
        <s:f>D33/V33</s:f>
        <s:v>0.83596663937656746</s:v>
      </s:c>
      <s:c r="V33" s="142">
        <s:f>$I$8*AB33*AC33/SUMPRODUCT($AC$25:$AC$56,$AB$25:$AB$56)</s:f>
        <s:v>31707.006896551731</s:v>
      </s:c>
      <s:c r="W33" s="349">
        <s:f>$I$9*AB33*AC33/SUMPRODUCT($AC$25:$AC$56,$AB$25:$AB$56)</s:f>
        <s:v>4.3673563218390816</s:v>
      </s:c>
      <s:c r="X33" s="143">
        <s:f>IF($I$12="","",W33/$I$12)</s:f>
        <s:v>2.3735632183908053</s:v>
      </s:c>
      <s:c r="Y33" s="142">
        <s:f>IF(AC33&lt;&gt;"",IF(D33&lt;&gt;"",D33,($I$8-SUM($Y$25:Y32))*AB33*AC33/SUMPRODUCT($AC33:$AC$56,$AB33:$AB$56)),"")</s:f>
        <s:v>26506</s:v>
      </s:c>
      <s:c r="Z33" s="143">
        <s:f>IF(AC33&lt;&gt;"",IF(E33&lt;&gt;"",E33,($I$9-SUM($Z$25:Z32))*AB33*AC33/SUMPRODUCT($AC33:$AC$56,$AB33:$AB$56)),"")</s:f>
        <s:v>2</s:v>
      </s:c>
      <s:c r="AA33" s="349">
        <s:f>IF(AC33&lt;&gt;"",IF($I$12&lt;&gt;"",IF(G33&lt;&gt;"",G33,($I$9/$I$12-SUM($AA$25:AA32))*AB33*AC33/SUMPRODUCT($AC33:$AC$56,$AB33:$AB$56)),""),"")</s:f>
        <s:v>1</s:v>
      </s:c>
      <s:c r="AB33" s="339">
        <s:v>1</s:v>
      </s:c>
      <s:c r="AC33" s="339">
        <s:v>1</s:v>
      </s:c>
      <s:c r="AD33" s="145"/>
      <s:c r="AE33" s="145"/>
      <s:c r="AF33" s="2"/>
      <s:c r="AG33" s="2"/>
      <s:c r="AH33" s="2"/>
      <s:c r="AI33" s="2"/>
      <s:c r="AJ33" s="2"/>
      <s:c r="AK33" s="2"/>
      <s:c r="AL33" s="2"/>
      <s:c r="AM33" s="2"/>
    </s:row>
    <s:row r="34">
      <s:c r="A34" s="340">
        <s:v>10</s:v>
      </s:c>
      <s:c r="B34" s="134">
        <s:v>46068</s:v>
      </s:c>
      <s:c r="C34" s="135" t="s">
        <s:v>57</s:v>
      </s:c>
      <s:c r="D34" s="138">
        <s:v>0</s:v>
      </s:c>
      <s:c r="E34" s="148">
        <s:v>0</s:v>
      </s:c>
      <s:c r="F34" s="344" t="str">
        <s:f>IF(AND(E34&lt;&gt;"",E34&lt;&gt;0),D34/E34,"")</s:f>
        <s:v/>
      </s:c>
      <s:c r="G34" s="148">
        <s:v>0</s:v>
      </s:c>
      <s:c r="H34" s="137" t="str">
        <s:f>IF(AND(G34&lt;&gt;"",G34&lt;&gt;0),D34/G34,"")</s:f>
        <s:v/>
      </s:c>
      <s:c r="I34" s="137">
        <s:v>33</s:v>
      </s:c>
      <s:c r="J34" s="138" t="str">
        <s:f>IF(AND(G34&lt;&gt;"",G34&lt;&gt;0),E34/G34,"")</s:f>
        <s:v/>
      </s:c>
      <s:c r="K34" s="137"/>
      <s:c r="L34" s="137"/>
      <s:c r="M34" s="137"/>
      <s:c r="N34" s="137"/>
      <s:c r="O34" s="137"/>
      <s:c r="P34" s="137"/>
      <s:c r="Q34" s="137"/>
      <s:c r="R34" s="137"/>
      <s:c r="S34" s="174"/>
      <s:c r="T34" s="350">
        <s:f>IF(AND(I34&lt;&gt;"",I34&lt;&gt;0),G34/I34,"")</s:f>
        <s:v>0</s:v>
      </s:c>
      <s:c r="U34" s="141">
        <s:f>D34/V34</s:f>
        <s:v>0</s:v>
      </s:c>
      <s:c r="V34" s="351">
        <s:f>$I$8*AB34*AC34/SUMPRODUCT($AC$25:$AC$56,$AB$25:$AB$56)</s:f>
        <s:v>31707.006896551731</s:v>
      </s:c>
      <s:c r="W34" s="143">
        <s:f>$I$9*AB34*AC34/SUMPRODUCT($AC$25:$AC$56,$AB$25:$AB$56)</s:f>
        <s:v>4.3673563218390816</s:v>
      </s:c>
      <s:c r="X34" s="349">
        <s:f>IF($I$12="","",W34/$I$12)</s:f>
        <s:v>2.3735632183908053</s:v>
      </s:c>
      <s:c r="Y34" s="142">
        <s:f>IF(AC34&lt;&gt;"",IF(D34&lt;&gt;"",D34,($I$8-SUM($Y$25:Y33))*AB34*AC34/SUMPRODUCT($AC34:$AC$56,$AB34:$AB$56)),"")</s:f>
        <s:v>0</s:v>
      </s:c>
      <s:c r="Z34" s="349">
        <s:f>IF(AC34&lt;&gt;"",IF(E34&lt;&gt;"",E34,($I$9-SUM($Z$25:Z33))*AB34*AC34/SUMPRODUCT($AC34:$AC$56,$AB34:$AB$56)),"")</s:f>
        <s:v>0</s:v>
      </s:c>
      <s:c r="AA34" s="143">
        <s:f>IF(AC34&lt;&gt;"",IF($I$12&lt;&gt;"",IF(G34&lt;&gt;"",G34,($I$9/$I$12-SUM($AA$25:AA33))*AB34*AC34/SUMPRODUCT($AC34:$AC$56,$AB34:$AB$56)),""),"")</s:f>
        <s:v>0</s:v>
      </s:c>
      <s:c r="AB34" s="339">
        <s:v>1</s:v>
      </s:c>
      <s:c r="AC34" s="339">
        <s:v>1</s:v>
      </s:c>
      <s:c r="AD34" s="145"/>
      <s:c r="AE34" s="145"/>
      <s:c r="AF34" s="160"/>
      <s:c r="AG34" s="2"/>
      <s:c r="AH34" s="2"/>
      <s:c r="AI34" s="2"/>
      <s:c r="AJ34" s="2"/>
      <s:c r="AK34" s="2"/>
      <s:c r="AL34" s="2"/>
      <s:c r="AM34" s="2"/>
    </s:row>
    <s:row r="35">
      <s:c r="A35" s="340">
        <s:v>11</s:v>
      </s:c>
      <s:c r="B35" s="134">
        <s:v>46069</s:v>
      </s:c>
      <s:c r="C35" s="181" t="s">
        <s:v>58</s:v>
      </s:c>
      <s:c r="D35" s="138">
        <s:v>0</s:v>
      </s:c>
      <s:c r="E35" s="148">
        <s:v>0</s:v>
      </s:c>
      <s:c r="F35" s="137" t="str">
        <s:f>IF(AND(E35&lt;&gt;"",E35&lt;&gt;0),D35/E35,"")</s:f>
        <s:v/>
      </s:c>
      <s:c r="G35" s="148">
        <s:v>0</s:v>
      </s:c>
      <s:c r="H35" s="137" t="str">
        <s:f>IF(AND(G35&lt;&gt;"",G35&lt;&gt;0),D35/G35,"")</s:f>
        <s:v/>
      </s:c>
      <s:c r="I35" s="137">
        <s:v>21</s:v>
      </s:c>
      <s:c r="J35" s="138" t="str">
        <s:f>IF(AND(G35&lt;&gt;"",G35&lt;&gt;0),E35/G35,"")</s:f>
        <s:v/>
      </s:c>
      <s:c r="K35" s="137"/>
      <s:c r="L35" s="137"/>
      <s:c r="M35" s="137"/>
      <s:c r="N35" s="137"/>
      <s:c r="O35" s="137"/>
      <s:c r="P35" s="137"/>
      <s:c r="Q35" s="137"/>
      <s:c r="R35" s="137"/>
      <s:c r="S35" s="137"/>
      <s:c r="T35" s="140">
        <s:f>IF(AND(I35&lt;&gt;"",I35&lt;&gt;0),G35/I35,"")</s:f>
        <s:v>0</s:v>
      </s:c>
      <s:c r="U35" s="348">
        <s:f>D35/V35</s:f>
        <s:v>0</s:v>
      </s:c>
      <s:c r="V35" s="142">
        <s:f>$I$8*AB35*AC35/SUMPRODUCT($AC$25:$AC$56,$AB$25:$AB$56)</s:f>
        <s:v>31707.006896551731</s:v>
      </s:c>
      <s:c r="W35" s="349">
        <s:f>$I$9*AB35*AC35/SUMPRODUCT($AC$25:$AC$56,$AB$25:$AB$56)</s:f>
        <s:v>4.3673563218390816</s:v>
      </s:c>
      <s:c r="X35" s="143">
        <s:f>IF($I$12="","",W35/$I$12)</s:f>
        <s:v>2.3735632183908053</s:v>
      </s:c>
      <s:c r="Y35" s="142">
        <s:f>IF(AC35&lt;&gt;"",IF(D35&lt;&gt;"",D35,($I$8-SUM($Y$25:Y34))*AB35*AC35/SUMPRODUCT($AC35:$AC$56,$AB35:$AB$56)),"")</s:f>
        <s:v>0</s:v>
      </s:c>
      <s:c r="Z35" s="143">
        <s:f>IF(AC35&lt;&gt;"",IF(E35&lt;&gt;"",E35,($I$9-SUM($Z$25:Z34))*AB35*AC35/SUMPRODUCT($AC35:$AC$56,$AB35:$AB$56)),"")</s:f>
        <s:v>0</s:v>
      </s:c>
      <s:c r="AA35" s="143">
        <s:f>IF(AC35&lt;&gt;"",IF($I$12&lt;&gt;"",IF(G35&lt;&gt;"",G35,($I$9/$I$12-SUM($AA$25:AA34))*AB35*AC35/SUMPRODUCT($AC35:$AC$56,$AB35:$AB$56)),""),"")</s:f>
        <s:v>0</s:v>
      </s:c>
      <s:c r="AB35" s="339">
        <s:v>1</s:v>
      </s:c>
      <s:c r="AC35" s="339">
        <s:v>1</s:v>
      </s:c>
      <s:c r="AD35" s="145"/>
      <s:c r="AE35" s="145"/>
      <s:c r="AF35" s="160"/>
      <s:c r="AG35" s="2"/>
      <s:c r="AH35" s="2"/>
      <s:c r="AI35" s="2"/>
      <s:c r="AJ35" s="2"/>
      <s:c r="AK35" s="2"/>
      <s:c r="AL35" s="2"/>
      <s:c r="AM35" s="2"/>
    </s:row>
    <s:row r="36">
      <s:c r="A36" s="340">
        <s:v>12</s:v>
      </s:c>
      <s:c r="B36" s="134">
        <s:v>46070</s:v>
      </s:c>
      <s:c r="C36" s="135" t="s">
        <s:v>60</s:v>
      </s:c>
      <s:c r="D36" s="347">
        <s:v>0</s:v>
      </s:c>
      <s:c r="E36" s="148">
        <s:v>0</s:v>
      </s:c>
      <s:c r="F36" s="174" t="str">
        <s:f>IF(AND(E36&lt;&gt;"",E36&lt;&gt;0),D36/E36,"")</s:f>
        <s:v/>
      </s:c>
      <s:c r="G36" s="148">
        <s:v>0</s:v>
      </s:c>
      <s:c r="H36" s="137" t="str">
        <s:f>IF(AND(G36&lt;&gt;"",G36&lt;&gt;0),D36/G36,"")</s:f>
        <s:v/>
      </s:c>
      <s:c r="I36" s="137">
        <s:v>17</s:v>
      </s:c>
      <s:c r="J36" s="138" t="str">
        <s:f>IF(AND(G36&lt;&gt;"",G36&lt;&gt;0),E36/G36,"")</s:f>
        <s:v/>
      </s:c>
      <s:c r="K36" s="137"/>
      <s:c r="L36" s="137"/>
      <s:c r="M36" s="137"/>
      <s:c r="N36" s="137"/>
      <s:c r="O36" s="137"/>
      <s:c r="P36" s="137"/>
      <s:c r="Q36" s="137"/>
      <s:c r="R36" s="137"/>
      <s:c r="S36" s="137"/>
      <s:c r="T36" s="140">
        <s:f>IF(AND(I36&lt;&gt;"",I36&lt;&gt;0),G36/I36,"")</s:f>
        <s:v>0</s:v>
      </s:c>
      <s:c r="U36" s="141">
        <s:f>D36/V36</s:f>
        <s:v>0</s:v>
      </s:c>
      <s:c r="V36" s="142">
        <s:f>$I$8*AB36*AC36/SUMPRODUCT($AC$25:$AC$56,$AB$25:$AB$56)</s:f>
        <s:v>31707.006896551731</s:v>
      </s:c>
      <s:c r="W36" s="143">
        <s:f>$I$9*AB36*AC36/SUMPRODUCT($AC$25:$AC$56,$AB$25:$AB$56)</s:f>
        <s:v>4.3673563218390816</s:v>
      </s:c>
      <s:c r="X36" s="143">
        <s:f>IF($I$12="","",W36/$I$12)</s:f>
        <s:v>2.3735632183908053</s:v>
      </s:c>
      <s:c r="Y36" s="142">
        <s:f>IF(AC36&lt;&gt;"",IF(D36&lt;&gt;"",D36,($I$8-SUM($Y$25:Y35))*AB36*AC36/SUMPRODUCT($AC36:$AC$56,$AB36:$AB$56)),"")</s:f>
        <s:v>0</s:v>
      </s:c>
      <s:c r="Z36" s="143">
        <s:f>IF(AC36&lt;&gt;"",IF(E36&lt;&gt;"",E36,($I$9-SUM($Z$25:Z35))*AB36*AC36/SUMPRODUCT($AC36:$AC$56,$AB36:$AB$56)),"")</s:f>
        <s:v>0</s:v>
      </s:c>
      <s:c r="AA36" s="143">
        <s:f>IF(AC36&lt;&gt;"",IF($I$12&lt;&gt;"",IF(G36&lt;&gt;"",G36,($I$9/$I$12-SUM($AA$25:AA35))*AB36*AC36/SUMPRODUCT($AC36:$AC$56,$AB36:$AB$56)),""),"")</s:f>
        <s:v>0</s:v>
      </s:c>
      <s:c r="AB36" s="339">
        <s:v>1</s:v>
      </s:c>
      <s:c r="AC36" s="339">
        <s:v>1</s:v>
      </s:c>
      <s:c r="AD36" s="145"/>
      <s:c r="AE36" s="145"/>
      <s:c r="AF36" s="160"/>
      <s:c r="AG36" s="2"/>
      <s:c r="AH36" s="2"/>
      <s:c r="AI36" s="2"/>
      <s:c r="AJ36" s="2"/>
      <s:c r="AK36" s="2"/>
      <s:c r="AL36" s="2"/>
      <s:c r="AM36" s="2"/>
    </s:row>
    <s:row r="37">
      <s:c r="A37" s="340">
        <s:v>13</s:v>
      </s:c>
      <s:c r="B37" s="134">
        <s:v>46073</s:v>
      </s:c>
      <s:c r="C37" s="175" t="s">
        <s:v>64</s:v>
      </s:c>
      <s:c r="D37" s="138">
        <s:f>11384+5690</s:f>
        <s:v>17074</s:v>
      </s:c>
      <s:c r="E37" s="148">
        <s:v>3</s:v>
      </s:c>
      <s:c r="F37" s="137">
        <s:f>IF(AND(E37&lt;&gt;"",E37&lt;&gt;0),D37/E37,"")</s:f>
        <s:v>5691.333333333333</s:v>
      </s:c>
      <s:c r="G37" s="148">
        <s:v>2</s:v>
      </s:c>
      <s:c r="H37" s="137">
        <s:f>IF(AND(G37&lt;&gt;"",G37&lt;&gt;0),D37/G37,"")</s:f>
        <s:v>8537</s:v>
      </s:c>
      <s:c r="I37" s="137">
        <s:v>31</s:v>
      </s:c>
      <s:c r="J37" s="138">
        <s:f>IF(AND(G37&lt;&gt;"",G37&lt;&gt;0),E37/G37,"")</s:f>
        <s:v>1.5</s:v>
      </s:c>
      <s:c r="K37" s="137"/>
      <s:c r="L37" s="137"/>
      <s:c r="M37" s="137"/>
      <s:c r="N37" s="137"/>
      <s:c r="O37" s="137"/>
      <s:c r="P37" s="137"/>
      <s:c r="Q37" s="137"/>
      <s:c r="R37" s="137"/>
      <s:c r="S37" s="137"/>
      <s:c r="T37" s="140">
        <s:f>IF(AND(I37&lt;&gt;"",I37&lt;&gt;0),G37/I37,"")</s:f>
        <s:v>6.4516129032258063E-2</s:v>
      </s:c>
      <s:c r="U37" s="141">
        <s:f>D37/V37</s:f>
        <s:v>0.5384929601115036</s:v>
      </s:c>
      <s:c r="V37" s="142">
        <s:f>$I$8*AB37*AC37/SUMPRODUCT($AC$25:$AC$56,$AB$25:$AB$56)</s:f>
        <s:v>31707.006896551731</s:v>
      </s:c>
      <s:c r="W37" s="349">
        <s:f>$I$9*AB37*AC37/SUMPRODUCT($AC$25:$AC$56,$AB$25:$AB$56)</s:f>
        <s:v>4.3673563218390816</s:v>
      </s:c>
      <s:c r="X37" s="143">
        <s:f>IF($I$12="","",W37/$I$12)</s:f>
        <s:v>2.3735632183908053</s:v>
      </s:c>
      <s:c r="Y37" s="142">
        <s:f>IF(AC37&lt;&gt;"",IF(D37&lt;&gt;"",D37,($I$8-SUM($Y$25:Y36))*AB37*AC37/SUMPRODUCT($AC37:$AC$56,$AB37:$AB$56)),"")</s:f>
        <s:v>17074</s:v>
      </s:c>
      <s:c r="Z37" s="143">
        <s:f>IF(AC37&lt;&gt;"",IF(E37&lt;&gt;"",E37,($I$9-SUM($Z$25:Z36))*AB37*AC37/SUMPRODUCT($AC37:$AC$56,$AB37:$AB$56)),"")</s:f>
        <s:v>3</s:v>
      </s:c>
      <s:c r="AA37" s="143">
        <s:f>IF(AC37&lt;&gt;"",IF($I$12&lt;&gt;"",IF(G37&lt;&gt;"",G37,($I$9/$I$12-SUM($AA$25:AA36))*AB37*AC37/SUMPRODUCT($AC37:$AC$56,$AB37:$AB$56)),""),"")</s:f>
        <s:v>2</s:v>
      </s:c>
      <s:c r="AB37" s="339">
        <s:v>1</s:v>
      </s:c>
      <s:c r="AC37" s="339">
        <s:v>1</s:v>
      </s:c>
      <s:c r="AD37" s="145"/>
      <s:c r="AE37" s="145"/>
      <s:c r="AF37" s="160"/>
      <s:c r="AG37" s="2"/>
      <s:c r="AH37" s="2"/>
      <s:c r="AI37" s="2"/>
      <s:c r="AJ37" s="2"/>
      <s:c r="AK37" s="2"/>
      <s:c r="AL37" s="2"/>
      <s:c r="AM37" s="2"/>
    </s:row>
    <s:row r="38">
      <s:c r="A38" s="340">
        <s:v>14</s:v>
      </s:c>
      <s:c r="B38" s="134">
        <s:v>46074</s:v>
      </s:c>
      <s:c r="C38" s="175" t="s">
        <s:v>66</s:v>
      </s:c>
      <s:c r="D38" s="138">
        <s:v>2147</s:v>
      </s:c>
      <s:c r="E38" s="148">
        <s:v>1</s:v>
      </s:c>
      <s:c r="F38" s="346">
        <s:f>IF(AND(E38&lt;&gt;"",E38&lt;&gt;0),D38/E38,"")</s:f>
        <s:v>2147</s:v>
      </s:c>
      <s:c r="G38" s="148">
        <s:v>1</s:v>
      </s:c>
      <s:c r="H38" s="137">
        <s:f>IF(AND(G38&lt;&gt;"",G38&lt;&gt;0),D38/G38,"")</s:f>
        <s:v>2147</s:v>
      </s:c>
      <s:c r="I38" s="137">
        <s:v>25</s:v>
      </s:c>
      <s:c r="J38" s="138">
        <s:f>IF(AND(G38&lt;&gt;"",G38&lt;&gt;0),E38/G38,"")</s:f>
        <s:v>1</s:v>
      </s:c>
      <s:c r="K38" s="137"/>
      <s:c r="L38" s="137"/>
      <s:c r="M38" s="137"/>
      <s:c r="N38" s="137"/>
      <s:c r="O38" s="137"/>
      <s:c r="P38" s="137"/>
      <s:c r="Q38" s="137"/>
      <s:c r="R38" s="137"/>
      <s:c r="S38" s="137">
        <s:v>2147</s:v>
      </s:c>
      <s:c r="T38" s="352">
        <s:f>IF(AND(I38&lt;&gt;"",I38&lt;&gt;0),G38/I38,"")</s:f>
        <s:v>0.04</s:v>
      </s:c>
      <s:c r="U38" s="141">
        <s:f>D38/V38</s:f>
        <s:v>6.7713739332282891E-2</s:v>
      </s:c>
      <s:c r="V38" s="142">
        <s:f>$I$8*AB38*AC38/SUMPRODUCT($AC$25:$AC$46,$AB$25:$AB$46)</s:f>
        <s:v>31707.006896551731</s:v>
      </s:c>
      <s:c r="W38" s="143">
        <s:f>$I$9*AB38*AC38/SUMPRODUCT($AC$25:$AC$46,$AB$25:$AB$46)</s:f>
        <s:v>4.3673563218390816</s:v>
      </s:c>
      <s:c r="X38" s="143">
        <s:f>IF($I$12="","",W38/$I$12)</s:f>
        <s:v>2.3735632183908053</s:v>
      </s:c>
      <s:c r="Y38" s="142">
        <s:f>IF(AC38&lt;&gt;"",IF(D38&lt;&gt;"",D38,($I$8-SUM($Y$25:Y37))*AB38*AC38/SUMPRODUCT($AC38:$AC$56,$AB38:$AB$56)),"")</s:f>
        <s:v>2147</s:v>
      </s:c>
      <s:c r="Z38" s="143">
        <s:f>IF(AC38&lt;&gt;"",IF(E38&lt;&gt;"",E38,($I$9-SUM($Z$25:Z37))*AB38*AC38/SUMPRODUCT($AC38:$AC$56,$AB38:$AB$56)),"")</s:f>
        <s:v>1</s:v>
      </s:c>
      <s:c r="AA38" s="143">
        <s:f>IF(AC38&lt;&gt;"",IF($I$12&lt;&gt;"",IF(G38&lt;&gt;"",G38,($I$9/$I$12-SUM($AA$25:AA37))*AB38*AC38/SUMPRODUCT($AC38:$AC$56,$AB38:$AB$56)),""),"")</s:f>
        <s:v>1</s:v>
      </s:c>
      <s:c r="AB38" s="339">
        <s:v>1</s:v>
      </s:c>
      <s:c r="AC38" s="339">
        <s:v>1</s:v>
      </s:c>
      <s:c r="AD38" s="353"/>
      <s:c r="AE38" s="353"/>
    </s:row>
    <s:row r="39">
      <s:c r="A39" s="340">
        <s:v>15</s:v>
      </s:c>
      <s:c r="B39" s="134">
        <s:v>46075</s:v>
      </s:c>
      <s:c r="C39" s="135" t="s">
        <s:v>57</s:v>
      </s:c>
      <s:c r="D39" s="138">
        <s:v>7491</s:v>
      </s:c>
      <s:c r="E39" s="354">
        <s:v>2</s:v>
      </s:c>
      <s:c r="F39" s="355">
        <s:f>IF(AND(E39&lt;&gt;"",E39&lt;&gt;0),D39/E39,"")</s:f>
        <s:v>3745.5</s:v>
      </s:c>
      <s:c r="G39" s="136">
        <s:v>1</s:v>
      </s:c>
      <s:c r="H39" s="137">
        <s:f>IF(AND(G39&lt;&gt;"",G39&lt;&gt;0),D39/G39,"")</s:f>
        <s:v>7491</s:v>
      </s:c>
      <s:c r="I39" s="137"/>
      <s:c r="J39" s="138">
        <s:f>IF(AND(G39&lt;&gt;"",G39&lt;&gt;0),E39/G39,"")</s:f>
        <s:v>2</s:v>
      </s:c>
      <s:c r="K39" s="137"/>
      <s:c r="L39" s="137"/>
      <s:c r="M39" s="137"/>
      <s:c r="N39" s="137"/>
      <s:c r="O39" s="137"/>
      <s:c r="P39" s="137"/>
      <s:c r="Q39" s="137"/>
      <s:c r="R39" s="137"/>
      <s:c r="S39" s="137"/>
      <s:c r="T39" s="352" t="str">
        <s:f>IF(AND(I39&lt;&gt;"",I39&lt;&gt;0),G39/I39,"")</s:f>
        <s:v/>
      </s:c>
      <s:c r="U39" s="141">
        <s:f>D39/V39</s:f>
        <s:v>0.23625692656643277</s:v>
      </s:c>
      <s:c r="V39" s="142">
        <s:f>$I$8*AB39*AC39/SUMPRODUCT($AC$25:$AC$46,$AB$25:$AB$46)</s:f>
        <s:v>31707.006896551731</s:v>
      </s:c>
      <s:c r="W39" s="143">
        <s:f>$I$9*AB39*AC39/SUMPRODUCT($AC$25:$AC$46,$AB$25:$AB$46)</s:f>
        <s:v>4.3673563218390816</s:v>
      </s:c>
      <s:c r="X39" s="143">
        <s:f>IF($I$12="","",W39/$I$12)</s:f>
        <s:v>2.3735632183908053</s:v>
      </s:c>
      <s:c r="Y39" s="142">
        <s:f>IF(AC39&lt;&gt;"",IF(D39&lt;&gt;"",D39,($I$8-SUM($Y$25:Y38))*AB39*AC39/SUMPRODUCT($AC39:$AC$56,$AB39:$AB$56)),"")</s:f>
        <s:v>7491</s:v>
      </s:c>
      <s:c r="Z39" s="143">
        <s:f>IF(AC39&lt;&gt;"",IF(E39&lt;&gt;"",E39,($I$9-SUM($Z$25:Z38))*AB39*AC39/SUMPRODUCT($AC39:$AC$56,$AB39:$AB$56)),"")</s:f>
        <s:v>2</s:v>
      </s:c>
      <s:c r="AA39" s="143">
        <s:f>IF(AC39&lt;&gt;"",IF($I$12&lt;&gt;"",IF(G39&lt;&gt;"",G39,($I$9/$I$12-SUM($AA$25:AA38))*AB39*AC39/SUMPRODUCT($AC39:$AC$56,$AB39:$AB$56)),""),"")</s:f>
        <s:v>1</s:v>
      </s:c>
      <s:c r="AB39" s="339">
        <s:v>1</s:v>
      </s:c>
      <s:c r="AC39" s="339">
        <s:v>1</s:v>
      </s:c>
      <s:c r="AD39" s="353"/>
      <s:c r="AE39" s="353"/>
      <s:c r="AF39" s="356"/>
    </s:row>
    <s:row r="40">
      <s:c r="A40" s="340">
        <s:v>16</s:v>
      </s:c>
      <s:c r="B40" s="134">
        <s:v>46076</s:v>
      </s:c>
      <s:c r="C40" s="175" t="s">
        <s:v>58</s:v>
      </s:c>
      <s:c r="D40" s="138">
        <s:v>0</s:v>
      </s:c>
      <s:c r="E40" s="148">
        <s:v>0</s:v>
      </s:c>
      <s:c r="F40" s="344" t="str">
        <s:f>IF(AND(E40&lt;&gt;"",E40&lt;&gt;0),D40/E40,"")</s:f>
        <s:v/>
      </s:c>
      <s:c r="G40" s="148">
        <s:v>0</s:v>
      </s:c>
      <s:c r="H40" s="137" t="str">
        <s:f>IF(AND(G40&lt;&gt;"",G40&lt;&gt;0),D40/G40,"")</s:f>
        <s:v/>
      </s:c>
      <s:c r="I40" s="137"/>
      <s:c r="J40" s="138" t="str">
        <s:f>IF(AND(G40&lt;&gt;"",G40&lt;&gt;0),E40/G40,"")</s:f>
        <s:v/>
      </s:c>
      <s:c r="K40" s="137"/>
      <s:c r="L40" s="137"/>
      <s:c r="M40" s="137"/>
      <s:c r="N40" s="137"/>
      <s:c r="O40" s="137"/>
      <s:c r="P40" s="137"/>
      <s:c r="Q40" s="137"/>
      <s:c r="R40" s="137"/>
      <s:c r="S40" s="137"/>
      <s:c r="T40" s="352" t="str">
        <s:f>IF(AND(I40&lt;&gt;"",I40&lt;&gt;0),G40/I40,"")</s:f>
        <s:v/>
      </s:c>
      <s:c r="U40" s="141">
        <s:f>D40/V40</s:f>
        <s:v>0</s:v>
      </s:c>
      <s:c r="V40" s="142">
        <s:f>$I$8*AB40*AC40/SUMPRODUCT($AC$25:$AC$46,$AB$25:$AB$46)</s:f>
        <s:v>31707.006896551731</s:v>
      </s:c>
      <s:c r="W40" s="143">
        <s:f>$I$9*AB40*AC40/SUMPRODUCT($AC$25:$AC$46,$AB$25:$AB$46)</s:f>
        <s:v>4.3673563218390816</s:v>
      </s:c>
      <s:c r="X40" s="143">
        <s:f>IF($I$12="","",W40/$I$12)</s:f>
        <s:v>2.3735632183908053</s:v>
      </s:c>
      <s:c r="Y40" s="142">
        <s:f>IF(AC40&lt;&gt;"",IF(D40&lt;&gt;"",D40,($I$8-SUM($Y$25:Y39))*AB40*AC40/SUMPRODUCT($AC40:$AC$56,$AB40:$AB$56)),"")</s:f>
        <s:v>0</s:v>
      </s:c>
      <s:c r="Z40" s="143">
        <s:f>IF(AC40&lt;&gt;"",IF(E40&lt;&gt;"",E40,($I$9-SUM($Z$25:Z39))*AB40*AC40/SUMPRODUCT($AC40:$AC$56,$AB40:$AB$56)),"")</s:f>
        <s:v>0</s:v>
      </s:c>
      <s:c r="AA40" s="143">
        <s:f>IF(AC40&lt;&gt;"",IF($I$12&lt;&gt;"",IF(G40&lt;&gt;"",G40,($I$9/$I$12-SUM($AA$25:AA39))*AB40*AC40/SUMPRODUCT($AC40:$AC$56,$AB40:$AB$56)),""),"")</s:f>
        <s:v>0</s:v>
      </s:c>
      <s:c r="AB40" s="339">
        <s:v>1</s:v>
      </s:c>
      <s:c r="AC40" s="339">
        <s:v>1</s:v>
      </s:c>
      <s:c r="AD40" s="353"/>
      <s:c r="AE40" s="353"/>
      <s:c r="AF40" s="356"/>
    </s:row>
    <s:row r="41">
      <s:c r="A41" s="340">
        <s:v>17</s:v>
      </s:c>
      <s:c r="B41" s="134">
        <s:v>46077</s:v>
      </s:c>
      <s:c r="C41" s="175" t="s">
        <s:v>60</s:v>
      </s:c>
      <s:c r="D41" s="138">
        <s:v>0</s:v>
      </s:c>
      <s:c r="E41" s="148">
        <s:v>0</s:v>
      </s:c>
      <s:c r="F41" s="137" t="str">
        <s:f>IF(AND(E41&lt;&gt;"",E41&lt;&gt;0),D41/E41,"")</s:f>
        <s:v/>
      </s:c>
      <s:c r="G41" s="148">
        <s:v>0</s:v>
      </s:c>
      <s:c r="H41" s="137" t="str">
        <s:f>IF(AND(G41&lt;&gt;"",G41&lt;&gt;0),D41/G41,"")</s:f>
        <s:v/>
      </s:c>
      <s:c r="I41" s="137"/>
      <s:c r="J41" s="138" t="str">
        <s:f>IF(AND(G41&lt;&gt;"",G41&lt;&gt;0),E41/G41,"")</s:f>
        <s:v/>
      </s:c>
      <s:c r="K41" s="137"/>
      <s:c r="L41" s="137"/>
      <s:c r="M41" s="137"/>
      <s:c r="N41" s="137"/>
      <s:c r="O41" s="137"/>
      <s:c r="P41" s="137"/>
      <s:c r="Q41" s="137"/>
      <s:c r="R41" s="137"/>
      <s:c r="S41" s="137"/>
      <s:c r="T41" s="352" t="str">
        <s:f>IF(AND(I41&lt;&gt;"",I41&lt;&gt;0),G41/I41,"")</s:f>
        <s:v/>
      </s:c>
      <s:c r="U41" s="141">
        <s:f>D41/V41</s:f>
        <s:v>0</s:v>
      </s:c>
      <s:c r="V41" s="142">
        <s:f>$I$8*AB41*AC41/SUMPRODUCT($AC$25:$AC$46,$AB$25:$AB$46)</s:f>
        <s:v>31707.006896551731</s:v>
      </s:c>
      <s:c r="W41" s="143">
        <s:f>$I$9*AB41*AC41/SUMPRODUCT($AC$25:$AC$46,$AB$25:$AB$46)</s:f>
        <s:v>4.3673563218390816</s:v>
      </s:c>
      <s:c r="X41" s="143">
        <s:f>IF($I$12="","",W41/$I$12)</s:f>
        <s:v>2.3735632183908053</s:v>
      </s:c>
      <s:c r="Y41" s="142">
        <s:f>IF(AC41&lt;&gt;"",IF(D41&lt;&gt;"",D41,($I$8-SUM($Y$25:Y40))*AB41*AC41/SUMPRODUCT($AC41:$AC$56,$AB41:$AB$56)),"")</s:f>
        <s:v>0</s:v>
      </s:c>
      <s:c r="Z41" s="143">
        <s:f>IF(AC41&lt;&gt;"",IF(E41&lt;&gt;"",E41,($I$9-SUM($Z$25:Z40))*AB41*AC41/SUMPRODUCT($AC41:$AC$56,$AB41:$AB$56)),"")</s:f>
        <s:v>0</s:v>
      </s:c>
      <s:c r="AA41" s="143">
        <s:f>IF(AC41&lt;&gt;"",IF($I$12&lt;&gt;"",IF(G41&lt;&gt;"",G41,($I$9/$I$12-SUM($AA$25:AA40))*AB41*AC41/SUMPRODUCT($AC41:$AC$56,$AB41:$AB$56)),""),"")</s:f>
        <s:v>0</s:v>
      </s:c>
      <s:c r="AB41" s="339">
        <s:v>1</s:v>
      </s:c>
      <s:c r="AC41" s="339">
        <s:v>1</s:v>
      </s:c>
      <s:c r="AD41" s="353"/>
      <s:c r="AE41" s="353"/>
      <s:c r="AF41" s="356"/>
    </s:row>
    <s:row r="42">
      <s:c r="A42" s="340">
        <s:v>18</s:v>
      </s:c>
      <s:c r="B42" s="134">
        <s:v>46079</s:v>
      </s:c>
      <s:c r="C42" s="175" t="s">
        <s:v>63</s:v>
      </s:c>
      <s:c r="D42" s="138">
        <s:v>0</s:v>
      </s:c>
      <s:c r="E42" s="148">
        <s:v>0</s:v>
      </s:c>
      <s:c r="F42" s="137" t="str">
        <s:f>IF(AND(E42&lt;&gt;"",E42&lt;&gt;0),D42/E42,"")</s:f>
        <s:v/>
      </s:c>
      <s:c r="G42" s="148">
        <s:v>0</s:v>
      </s:c>
      <s:c r="H42" s="137" t="str">
        <s:f>IF(AND(G42&lt;&gt;"",G42&lt;&gt;0),D42/G42,"")</s:f>
        <s:v/>
      </s:c>
      <s:c r="I42" s="148"/>
      <s:c r="J42" s="138" t="str">
        <s:f>IF(AND(G42&lt;&gt;"",G42&lt;&gt;0),E42/G42,"")</s:f>
        <s:v/>
      </s:c>
      <s:c r="K42" s="137"/>
      <s:c r="L42" s="137"/>
      <s:c r="M42" s="137"/>
      <s:c r="N42" s="137"/>
      <s:c r="O42" s="137"/>
      <s:c r="P42" s="137"/>
      <s:c r="Q42" s="137"/>
      <s:c r="R42" s="137"/>
      <s:c r="S42" s="137"/>
      <s:c r="T42" s="352" t="str">
        <s:f>IF(AND(I42&lt;&gt;"",I42&lt;&gt;0),G42/I42,"")</s:f>
        <s:v/>
      </s:c>
      <s:c r="U42" s="141">
        <s:f>D42/V42</s:f>
        <s:v>0</s:v>
      </s:c>
      <s:c r="V42" s="142">
        <s:f>$I$8*AB42*AC42/SUMPRODUCT($AC$25:$AC$46,$AB$25:$AB$46)</s:f>
        <s:v>31707.006896551731</s:v>
      </s:c>
      <s:c r="W42" s="143">
        <s:f>$I$9*AB42*AC42/SUMPRODUCT($AC$25:$AC$46,$AB$25:$AB$46)</s:f>
        <s:v>4.3673563218390816</s:v>
      </s:c>
      <s:c r="X42" s="143">
        <s:f>IF($I$12="","",W42/$I$12)</s:f>
        <s:v>2.3735632183908053</s:v>
      </s:c>
      <s:c r="Y42" s="142">
        <s:f>IF(AC42&lt;&gt;"",IF(D42&lt;&gt;"",D42,($I$8-SUM($Y$25:Y41))*AB42*AC42/SUMPRODUCT($AC42:$AC$56,$AB42:$AB$56)),"")</s:f>
        <s:v>0</s:v>
      </s:c>
      <s:c r="Z42" s="143">
        <s:f>IF(AC42&lt;&gt;"",IF(E42&lt;&gt;"",E42,($I$9-SUM($Z$25:Z41))*AB42*AC42/SUMPRODUCT($AC42:$AC$56,$AB42:$AB$56)),"")</s:f>
        <s:v>0</s:v>
      </s:c>
      <s:c r="AA42" s="143">
        <s:f>IF(AC42&lt;&gt;"",IF($I$12&lt;&gt;"",IF(G42&lt;&gt;"",G42,($I$9/$I$12-SUM($AA$25:AA41))*AB42*AC42/SUMPRODUCT($AC42:$AC$56,$AB42:$AB$56)),""),"")</s:f>
        <s:v>0</s:v>
      </s:c>
      <s:c r="AB42" s="339">
        <s:v>1</s:v>
      </s:c>
      <s:c r="AC42" s="339">
        <s:v>1</s:v>
      </s:c>
      <s:c r="AD42" s="353"/>
      <s:c r="AE42" s="353"/>
      <s:c r="AF42" s="356"/>
    </s:row>
    <s:row r="43">
      <s:c r="A43" s="340">
        <s:v>19</s:v>
      </s:c>
      <s:c r="B43" s="134">
        <s:v>46080</s:v>
      </s:c>
      <s:c r="C43" s="175" t="s">
        <s:v>64</s:v>
      </s:c>
      <s:c r="D43" s="357">
        <s:v>4693</s:v>
      </s:c>
      <s:c r="E43" s="358">
        <s:v>1</s:v>
      </s:c>
      <s:c r="F43" s="137">
        <s:f>IF(AND(E43&lt;&gt;"",E43&lt;&gt;0),D43/E43,"")</s:f>
        <s:v>4693</s:v>
      </s:c>
      <s:c r="G43" s="358">
        <s:v>1</s:v>
      </s:c>
      <s:c r="H43" s="137">
        <s:f>IF(AND(G43&lt;&gt;"",G43&lt;&gt;0),D43/G43,"")</s:f>
        <s:v>4693</s:v>
      </s:c>
      <s:c r="I43" s="358"/>
      <s:c r="J43" s="138">
        <s:f>IF(AND(G43&lt;&gt;"",G43&lt;&gt;0),E43/G43,"")</s:f>
        <s:v>1</s:v>
      </s:c>
      <s:c r="K43" s="137"/>
      <s:c r="L43" s="137"/>
      <s:c r="M43" s="137"/>
      <s:c r="N43" s="137"/>
      <s:c r="O43" s="137">
        <s:v>10993</s:v>
      </s:c>
      <s:c r="P43" s="137"/>
      <s:c r="Q43" s="137"/>
      <s:c r="R43" s="137"/>
      <s:c r="S43" s="137"/>
      <s:c r="T43" s="352" t="str">
        <s:f>IF(AND(I43&lt;&gt;"",I43&lt;&gt;0),G43/I43,"")</s:f>
        <s:v/>
      </s:c>
      <s:c r="U43" s="141" t="e">
        <s:f>D43/V43</s:f>
        <s:v>#DIV/0!</s:v>
      </s:c>
      <s:c r="V43" s="142">
        <s:f>$I$8*AB43*AC43/SUMPRODUCT($AC$25:$AC$46,$AB$25:$AB$46)</s:f>
        <s:v>0</s:v>
      </s:c>
      <s:c r="W43" s="143">
        <s:f>$I$9*AB43*AC43/SUMPRODUCT($AC$25:$AC$46,$AB$25:$AB$46)</s:f>
        <s:v>0</s:v>
      </s:c>
      <s:c r="X43" s="143">
        <s:f>IF($I$12="","",W43/$I$12)</s:f>
        <s:v>0</s:v>
      </s:c>
      <s:c r="Y43" s="142" t="str">
        <s:f>IF(AC43&lt;&gt;"",IF(D43&lt;&gt;"",D43,($I$8-SUM($Y$25:Y42))*AB43*AC43/SUMPRODUCT($AC43:$AC$56,$AB43:$AB$56)),"")</s:f>
        <s:v/>
      </s:c>
      <s:c r="Z43" s="143" t="str">
        <s:f>IF(AC43&lt;&gt;"",IF(E43&lt;&gt;"",E43,($I$9-SUM($Z$25:Z42))*AB43*AC43/SUMPRODUCT($AC43:$AC$56,$AB43:$AB$56)),"")</s:f>
        <s:v/>
      </s:c>
      <s:c r="AA43" s="143" t="str">
        <s:f>IF(AC43&lt;&gt;"",IF($I$12&lt;&gt;"",IF(G43&lt;&gt;"",G43,($I$9/$I$12-SUM($AA$25:AA42))*AB43*AC43/SUMPRODUCT($AC43:$AC$56,$AB43:$AB$56)),""),"")</s:f>
        <s:v/>
      </s:c>
      <s:c r="AB43" s="339"/>
      <s:c r="AC43" s="339"/>
      <s:c r="AD43" s="353"/>
      <s:c r="AE43" s="353"/>
      <s:c r="AF43" s="356"/>
    </s:row>
    <s:row r="44">
      <s:c r="A44" s="340">
        <s:v>20</s:v>
      </s:c>
      <s:c r="B44" s="134">
        <s:v>46081</s:v>
      </s:c>
      <s:c r="C44" s="175" t="s">
        <s:v>66</s:v>
      </s:c>
      <s:c r="D44" s="357">
        <s:v>28270</s:v>
      </s:c>
      <s:c r="E44" s="358">
        <s:v>4</s:v>
      </s:c>
      <s:c r="F44" s="137">
        <s:f>IF(AND(E44&lt;&gt;"",E44&lt;&gt;0),D44/E44,"")</s:f>
        <s:v>7067.5</s:v>
      </s:c>
      <s:c r="G44" s="358">
        <s:v>3</s:v>
      </s:c>
      <s:c r="H44" s="137">
        <s:f>IF(AND(G44&lt;&gt;"",G44&lt;&gt;0),D44/G44,"")</s:f>
        <s:v>9423.3333333333339</s:v>
      </s:c>
      <s:c r="I44" s="358"/>
      <s:c r="J44" s="138">
        <s:f>IF(AND(G44&lt;&gt;"",G44&lt;&gt;0),E44/G44,"")</s:f>
        <s:v>1.3333333333333333</s:v>
      </s:c>
      <s:c r="K44" s="137"/>
      <s:c r="L44" s="137"/>
      <s:c r="M44" s="137"/>
      <s:c r="N44" s="137"/>
      <s:c r="O44" s="137"/>
      <s:c r="P44" s="137"/>
      <s:c r="Q44" s="137"/>
      <s:c r="R44" s="137"/>
      <s:c r="S44" s="137"/>
      <s:c r="T44" s="352" t="str">
        <s:f>IF(AND(I44&lt;&gt;"",I44&lt;&gt;0),G44/I44,"")</s:f>
        <s:v/>
      </s:c>
      <s:c r="U44" s="141" t="e">
        <s:f>D44/V44</s:f>
        <s:v>#DIV/0!</s:v>
      </s:c>
      <s:c r="V44" s="142">
        <s:f>$I$8*AB44*AC44/SUMPRODUCT($AC$25:$AC$46,$AB$25:$AB$46)</s:f>
        <s:v>0</s:v>
      </s:c>
      <s:c r="W44" s="143">
        <s:f>$I$9*AB44*AC44/SUMPRODUCT($AC$25:$AC$46,$AB$25:$AB$46)</s:f>
        <s:v>0</s:v>
      </s:c>
      <s:c r="X44" s="143">
        <s:f>IF($I$12="","",W44/$I$12)</s:f>
        <s:v>0</s:v>
      </s:c>
      <s:c r="Y44" s="142" t="str">
        <s:f>IF(AC44&lt;&gt;"",IF(D44&lt;&gt;"",D44,($I$8-SUM($Y$25:Y43))*AB44*AC44/SUMPRODUCT($AC44:$AC$56,$AB44:$AB$56)),"")</s:f>
        <s:v/>
      </s:c>
      <s:c r="Z44" s="143" t="str">
        <s:f>IF(AC44&lt;&gt;"",IF(E44&lt;&gt;"",E44,($I$9-SUM($Z$25:Z43))*AB44*AC44/SUMPRODUCT($AC44:$AC$56,$AB44:$AB$56)),"")</s:f>
        <s:v/>
      </s:c>
      <s:c r="AA44" s="143" t="str">
        <s:f>IF(AC44&lt;&gt;"",IF($I$12&lt;&gt;"",IF(G44&lt;&gt;"",G44,($I$9/$I$12-SUM($AA$25:AA43))*AB44*AC44/SUMPRODUCT($AC44:$AC$56,$AB44:$AB$56)),""),"")</s:f>
        <s:v/>
      </s:c>
      <s:c r="AB44" s="359"/>
      <s:c r="AC44" s="359"/>
      <s:c r="AD44" s="353"/>
      <s:c r="AE44" s="353"/>
      <s:c r="AF44" s="356"/>
    </s:row>
    <s:row r="45">
      <s:c r="A45" s="340"/>
      <s:c r="B45" s="134"/>
      <s:c r="C45" s="175"/>
      <s:c r="D45" s="357"/>
      <s:c r="E45" s="358"/>
      <s:c r="F45" s="137" t="str">
        <s:f>IF(AND(E45&lt;&gt;"",E45&lt;&gt;0),D45/E45,"")</s:f>
        <s:v/>
      </s:c>
      <s:c r="G45" s="358"/>
      <s:c r="H45" s="137" t="str">
        <s:f>IF(AND(G45&lt;&gt;"",G45&lt;&gt;0),D45/G45,"")</s:f>
        <s:v/>
      </s:c>
      <s:c r="I45" s="358"/>
      <s:c r="J45" s="138" t="str">
        <s:f>IF(AND(G45&lt;&gt;"",G45&lt;&gt;0),E45/G45,"")</s:f>
        <s:v/>
      </s:c>
      <s:c r="K45" s="137"/>
      <s:c r="L45" s="137"/>
      <s:c r="M45" s="137"/>
      <s:c r="N45" s="137"/>
      <s:c r="O45" s="137"/>
      <s:c r="P45" s="137"/>
      <s:c r="Q45" s="137"/>
      <s:c r="R45" s="137"/>
      <s:c r="S45" s="137"/>
      <s:c r="T45" s="352" t="str">
        <s:f>IF(AND(I45&lt;&gt;"",I45&lt;&gt;0),G45/I45,"")</s:f>
        <s:v/>
      </s:c>
      <s:c r="U45" s="141" t="e">
        <s:f>D45/V45</s:f>
        <s:v>#DIV/0!</s:v>
      </s:c>
      <s:c r="V45" s="142">
        <s:f>$I$8*AB45*AC45/SUMPRODUCT($AC$25:$AC$46,$AB$25:$AB$46)</s:f>
        <s:v>0</s:v>
      </s:c>
      <s:c r="W45" s="143">
        <s:f>$I$9*AB45*AC45/SUMPRODUCT($AC$25:$AC$46,$AB$25:$AB$46)</s:f>
        <s:v>0</s:v>
      </s:c>
      <s:c r="X45" s="143">
        <s:f>IF($I$12="","",W45/$I$12)</s:f>
        <s:v>0</s:v>
      </s:c>
      <s:c r="Y45" s="142" t="str">
        <s:f>IF(AC45&lt;&gt;"",IF(D45&lt;&gt;"",D45,($I$8-SUM($Y$25:Y44))*AB45*AC45/SUMPRODUCT($AC45:$AC$56,$AB45:$AB$56)),"")</s:f>
        <s:v/>
      </s:c>
      <s:c r="Z45" s="143" t="str">
        <s:f>IF(AC45&lt;&gt;"",IF(E45&lt;&gt;"",E45,($I$9-SUM($Z$25:Z44))*AB45*AC45/SUMPRODUCT($AC45:$AC$56,$AB45:$AB$56)),"")</s:f>
        <s:v/>
      </s:c>
      <s:c r="AA45" s="143" t="str">
        <s:f>IF(AC45&lt;&gt;"",IF($I$12&lt;&gt;"",IF(G45&lt;&gt;"",G45,($I$9/$I$12-SUM($AA$25:AA44))*AB45*AC45/SUMPRODUCT($AC45:$AC$56,$AB45:$AB$56)),""),"")</s:f>
        <s:v/>
      </s:c>
      <s:c r="AB45" s="359"/>
      <s:c r="AC45" s="359"/>
      <s:c r="AD45" s="353"/>
      <s:c r="AE45" s="353"/>
      <s:c r="AF45" s="356"/>
    </s:row>
    <s:row r="46">
      <s:c r="A46" s="340"/>
      <s:c r="B46" s="134"/>
      <s:c r="C46" s="175"/>
      <s:c r="D46" s="342"/>
      <s:c r="E46" s="148"/>
      <s:c r="F46" s="137" t="str">
        <s:f>IF(AND(E46&lt;&gt;"",E46&lt;&gt;0),D46/E46,"")</s:f>
        <s:v/>
      </s:c>
      <s:c r="G46" s="148"/>
      <s:c r="H46" s="137" t="str">
        <s:f>IF(AND(G46&lt;&gt;"",G46&lt;&gt;0),D46/G46,"")</s:f>
        <s:v/>
      </s:c>
      <s:c r="I46" s="148"/>
      <s:c r="J46" s="138" t="str">
        <s:f>IF(AND(G46&lt;&gt;"",G46&lt;&gt;0),E46/G46,"")</s:f>
        <s:v/>
      </s:c>
      <s:c r="K46" s="137"/>
      <s:c r="L46" s="137"/>
      <s:c r="M46" s="137"/>
      <s:c r="N46" s="137"/>
      <s:c r="O46" s="137"/>
      <s:c r="P46" s="137"/>
      <s:c r="Q46" s="137"/>
      <s:c r="R46" s="137"/>
      <s:c r="S46" s="137"/>
      <s:c r="T46" s="352" t="str">
        <s:f>IF(AND(I46&lt;&gt;"",I46&lt;&gt;0),G46/I46,"")</s:f>
        <s:v/>
      </s:c>
      <s:c r="U46" s="141" t="e">
        <s:f>D46/V46</s:f>
        <s:v>#DIV/0!</s:v>
      </s:c>
      <s:c r="V46" s="142">
        <s:f>$I$8*AB46*AC46/SUMPRODUCT($AC$25:$AC$46,$AB$25:$AB$46)</s:f>
        <s:v>0</s:v>
      </s:c>
      <s:c r="W46" s="143">
        <s:f>$I$9*AB46*AC46/SUMPRODUCT($AC$25:$AC$46,$AB$25:$AB$46)</s:f>
        <s:v>0</s:v>
      </s:c>
      <s:c r="X46" s="143">
        <s:f>IF($I$12="","",W46/$I$12)</s:f>
        <s:v>0</s:v>
      </s:c>
      <s:c r="Y46" s="142" t="str">
        <s:f>IF(AC46&lt;&gt;"",IF(D46&lt;&gt;"",D46,($I$8-SUM($Y$25:Y45))*AB46*AC46/SUMPRODUCT($AC46:$AC$56,$AB46:$AB$56)),"")</s:f>
        <s:v/>
      </s:c>
      <s:c r="Z46" s="143" t="str">
        <s:f>IF(AC46&lt;&gt;"",IF(E46&lt;&gt;"",E46,($I$9-SUM($Z$25:Z45))*AB46*AC46/SUMPRODUCT($AC46:$AC$56,$AB46:$AB$56)),"")</s:f>
        <s:v/>
      </s:c>
      <s:c r="AA46" s="143" t="str">
        <s:f>IF(AC46&lt;&gt;"",IF($I$12&lt;&gt;"",IF(G46&lt;&gt;"",G46,($I$9/$I$12-SUM($AA$25:AA45))*AB46*AC46/SUMPRODUCT($AC46:$AC$56,$AB46:$AB$56)),""),"")</s:f>
        <s:v/>
      </s:c>
      <s:c r="AB46" s="359"/>
      <s:c r="AC46" s="359"/>
      <s:c r="AD46" s="353"/>
      <s:c r="AE46" s="360"/>
    </s:row>
    <s:row r="47">
      <s:c r="A47" s="340"/>
      <s:c r="B47" s="134"/>
      <s:c r="C47" s="135"/>
      <s:c r="D47" s="138"/>
      <s:c r="E47" s="137"/>
      <s:c r="F47" s="137" t="str">
        <s:f>IF(AND(E47&lt;&gt;"",E47&lt;&gt;0),D47/E47,"")</s:f>
        <s:v/>
      </s:c>
      <s:c r="G47" s="137"/>
      <s:c r="H47" s="137" t="str">
        <s:f>IF(AND(G47&lt;&gt;"",G47&lt;&gt;0),D47/G47,"")</s:f>
        <s:v/>
      </s:c>
      <s:c r="I47" s="137"/>
      <s:c r="J47" s="138" t="str">
        <s:f>IF(AND(G47&lt;&gt;"",G47&lt;&gt;0),E47/G47,"")</s:f>
        <s:v/>
      </s:c>
      <s:c r="K47" s="137"/>
      <s:c r="L47" s="137"/>
      <s:c r="M47" s="137"/>
      <s:c r="N47" s="137"/>
      <s:c r="O47" s="137"/>
      <s:c r="P47" s="137"/>
      <s:c r="Q47" s="137"/>
      <s:c r="R47" s="137"/>
      <s:c r="S47" s="137"/>
      <s:c r="T47" s="352" t="str">
        <s:f>IF(AND(I47&lt;&gt;"",I47&lt;&gt;0),G47/I47,"")</s:f>
        <s:v/>
      </s:c>
      <s:c r="U47" s="141" t="e">
        <s:f>D47/V47</s:f>
        <s:v>#DIV/0!</s:v>
      </s:c>
      <s:c r="V47" s="142">
        <s:f>$I$8*AB47*AC47/SUMPRODUCT($AC$25:$AC$46,$AB$25:$AB$46)</s:f>
        <s:v>0</s:v>
      </s:c>
      <s:c r="W47" s="143">
        <s:f>$I$9*AB47*AC47/SUMPRODUCT($AC$25:$AC$46,$AB$25:$AB$46)</s:f>
        <s:v>0</s:v>
      </s:c>
      <s:c r="X47" s="143">
        <s:f>IF($I$12="","",W47/$I$12)</s:f>
        <s:v>0</s:v>
      </s:c>
      <s:c r="Y47" s="142" t="str">
        <s:f>IF(AC47&lt;&gt;"",IF(D47&lt;&gt;"",D47,($I$8-SUM($Y$25:Y46))*AB47*AC47/SUMPRODUCT($AC47:$AC$56,$AB47:$AB$56)),"")</s:f>
        <s:v/>
      </s:c>
      <s:c r="Z47" s="143" t="str">
        <s:f>IF(AC47&lt;&gt;"",IF(E47&lt;&gt;"",E47,($I$9-SUM($Z$25:Z46))*AB47*AC47/SUMPRODUCT($AC47:$AC$56,$AB47:$AB$56)),"")</s:f>
        <s:v/>
      </s:c>
      <s:c r="AA47" s="143" t="str">
        <s:f>IF(AC47&lt;&gt;"",IF($I$12&lt;&gt;"",IF(G47&lt;&gt;"",G47,($I$9/$I$12-SUM($AA$25:AA46))*AB47*AC47/SUMPRODUCT($AC47:$AC$56,$AB47:$AB$56)),""),"")</s:f>
        <s:v/>
      </s:c>
      <s:c r="AB47" s="359"/>
      <s:c r="AC47" s="359"/>
      <s:c r="AD47" s="353"/>
      <s:c r="AE47" s="353"/>
    </s:row>
    <s:row r="48">
      <s:c r="A48" s="340"/>
      <s:c r="B48" s="134"/>
      <s:c r="C48" s="135"/>
      <s:c r="D48" s="138"/>
      <s:c r="E48" s="137"/>
      <s:c r="F48" s="137" t="str">
        <s:f>IF(AND(E48&lt;&gt;"",E48&lt;&gt;0),D48/E48,"")</s:f>
        <s:v/>
      </s:c>
      <s:c r="G48" s="137"/>
      <s:c r="H48" s="137" t="str">
        <s:f>IF(AND(G48&lt;&gt;"",G48&lt;&gt;0),D48/G48,"")</s:f>
        <s:v/>
      </s:c>
      <s:c r="I48" s="137"/>
      <s:c r="J48" s="138" t="str">
        <s:f>IF(AND(G48&lt;&gt;"",G48&lt;&gt;0),E48/G48,"")</s:f>
        <s:v/>
      </s:c>
      <s:c r="K48" s="137"/>
      <s:c r="L48" s="137"/>
      <s:c r="M48" s="137"/>
      <s:c r="N48" s="137"/>
      <s:c r="O48" s="137"/>
      <s:c r="P48" s="137"/>
      <s:c r="Q48" s="137"/>
      <s:c r="R48" s="137"/>
      <s:c r="S48" s="137"/>
      <s:c r="T48" s="352" t="str">
        <s:f>IF(AND(I48&lt;&gt;"",I48&lt;&gt;0),G48/I48,"")</s:f>
        <s:v/>
      </s:c>
      <s:c r="U48" s="348" t="e">
        <s:f>D48/V48</s:f>
        <s:v>#DIV/0!</s:v>
      </s:c>
      <s:c r="V48" s="142">
        <s:f>$I$8*AB48*AC48/SUMPRODUCT($AC$25:$AC$46,$AB$25:$AB$46)</s:f>
        <s:v>0</s:v>
      </s:c>
      <s:c r="W48" s="143">
        <s:f>$I$9*AB48*AC48/SUMPRODUCT($AC$25:$AC$46,$AB$25:$AB$46)</s:f>
        <s:v>0</s:v>
      </s:c>
      <s:c r="X48" s="143">
        <s:f>IF($I$12="","",W48/$I$12)</s:f>
        <s:v>0</s:v>
      </s:c>
      <s:c r="Y48" s="142" t="str">
        <s:f>IF(AC48&lt;&gt;"",IF(D48&lt;&gt;"",D48,($I$8-SUM($Y$25:Y47))*AB48*AC48/SUMPRODUCT($AC48:$AC$56,$AB48:$AB$56)),"")</s:f>
        <s:v/>
      </s:c>
      <s:c r="Z48" s="143" t="str">
        <s:f>IF(AC48&lt;&gt;"",IF(E48&lt;&gt;"",E48,($I$9-SUM($Z$25:Z47))*AB48*AC48/SUMPRODUCT($AC48:$AC$56,$AB48:$AB$56)),"")</s:f>
        <s:v/>
      </s:c>
      <s:c r="AA48" s="143" t="str">
        <s:f>IF(AC48&lt;&gt;"",IF($I$12&lt;&gt;"",IF(G48&lt;&gt;"",G48,($I$9/$I$12-SUM($AA$25:AA47))*AB48*AC48/SUMPRODUCT($AC48:$AC$56,$AB48:$AB$56)),""),"")</s:f>
        <s:v/>
      </s:c>
      <s:c r="AB48" s="359"/>
      <s:c r="AC48" s="359"/>
      <s:c r="AD48" s="353"/>
      <s:c r="AE48" s="353"/>
    </s:row>
    <s:row r="49">
      <s:c r="B49" s="361" t="s">
        <s:v>72</s:v>
      </s:c>
      <s:c r="C49" s="362"/>
      <s:c r="D49" s="363">
        <s:f>SUM(D25:D47)</s:f>
        <s:v>213392</s:v>
      </s:c>
      <s:c r="E49" s="363">
        <s:f>SUM(E25:E47)</s:f>
        <s:v>35</s:v>
      </s:c>
      <s:c r="F49" s="363">
        <s:f>IF(AND(E49&lt;&gt;"",E49&lt;&gt;0),D49/E49,"")</s:f>
        <s:v>6096.9142857142861</s:v>
      </s:c>
      <s:c r="G49" s="363">
        <s:f>SUM(G25:G47)</s:f>
        <s:v>23</s:v>
      </s:c>
      <s:c r="H49" s="363">
        <s:f>IF(AND(G49&lt;&gt;"",G49&lt;&gt;0),D49/G49,"")</s:f>
        <s:v>9277.9130434782601</s:v>
      </s:c>
      <s:c r="I49" s="363">
        <s:f>SUM(I25:I47)*0.8</s:f>
        <s:v>280</s:v>
      </s:c>
      <s:c r="J49" s="364">
        <s:f>IF(AND(G49&lt;&gt;"",G49&lt;&gt;0),E49/G49,"")</s:f>
        <s:v>1.5217391304347827</s:v>
      </s:c>
      <s:c r="K49" s="363">
        <s:f>SUM(K25:K48)</s:f>
        <s:v>0</s:v>
      </s:c>
      <s:c r="L49" s="363">
        <s:f>SUM(L25:L48)</s:f>
        <s:v>7503</s:v>
      </s:c>
      <s:c r="M49" s="363">
        <s:f>SUM(M25:M48)</s:f>
        <s:v>48479</s:v>
      </s:c>
      <s:c r="N49" s="363">
        <s:f>SUM(N25:N48)</s:f>
        <s:v>0</s:v>
      </s:c>
      <s:c r="O49" s="363">
        <s:f>SUM(O25:O48)</s:f>
        <s:v>10993</s:v>
      </s:c>
      <s:c r="P49" s="363">
        <s:f>SUM(P25:P48)</s:f>
        <s:v>0</s:v>
      </s:c>
      <s:c r="Q49" s="363">
        <s:f>SUM(Q25:Q48)</s:f>
        <s:v>0</s:v>
      </s:c>
      <s:c r="R49" s="363">
        <s:f>SUM(R25:R48)</s:f>
        <s:v>0</s:v>
      </s:c>
      <s:c r="S49" s="363">
        <s:f>SUM(S25:S48)</s:f>
        <s:v>8366</s:v>
      </s:c>
      <s:c r="T49" s="178">
        <s:f>IF(AND(I49&lt;&gt;"",I49&lt;&gt;0),G49/I49,"")</s:f>
        <s:v>8.2142857142857142E-2</s:v>
      </s:c>
      <s:c r="U49" s="365">
        <s:f>D49/V49</s:f>
        <s:v>0.37389562344342259</s:v>
      </s:c>
      <s:c r="V49" s="366">
        <s:f>SUM(V25:V47)</s:f>
        <s:v>570726.12413793127</s:v>
      </s:c>
      <s:c r="W49" s="366">
        <s:f>SUM(W25:W47)</s:f>
        <s:v>78.612413793103471</s:v>
      </s:c>
      <s:c r="X49" s="366">
        <s:f>SUM(X25:X47)</s:f>
        <s:v>42.724137931034505</s:v>
      </s:c>
      <s:c r="Y49" s="366">
        <s:f>SUM(Y25:Y47)</s:f>
        <s:v>180429</s:v>
      </s:c>
      <s:c r="Z49" s="366">
        <s:f>SUM(Z25:Z47)</s:f>
        <s:v>30</s:v>
      </s:c>
      <s:c r="AA49" s="366">
        <s:f>SUM(AA25:AA47)</s:f>
        <s:v>19</s:v>
      </s:c>
      <s:c r="AB49" s="367"/>
      <s:c r="AC49" s="367"/>
    </s:row>
    <s:row r="50">
      <s:c r="B50" s="181"/>
      <s:c r="C50" s="182"/>
      <s:c r="D50" s="183">
        <s:f>SUMIF(D25:D47,"",V25:V47)+D49</s:f>
        <s:v>213392</s:v>
      </s:c>
      <s:c r="E50" s="184"/>
      <s:c r="F50" s="182"/>
      <s:c r="G50" s="182"/>
      <s:c r="H50" s="185"/>
      <s:c r="I50" s="186"/>
      <s:c r="J50" s="185"/>
      <s:c r="O50" s="187"/>
      <s:c r="P50" s="184"/>
      <s:c r="Q50" s="184"/>
      <s:c r="R50" s="184"/>
      <s:c r="S50" s="184"/>
      <s:c r="T50" s="187"/>
      <s:c r="U50" s="187"/>
      <s:c r="V50" s="187"/>
      <s:c r="W50" s="188"/>
    </s:row>
    <s:row r="51">
      <s:c r="D51" s="190"/>
    </s:row>
    <s:row r="53">
      <s:c r="D53" s="190"/>
    </s:row>
    <s:row r="54">
      <s:c r="D54" s="190"/>
    </s:row>
  </s:sheetData>
  <s:pageMargins left="0.7" right="0.7" top="0.75" bottom="0.75" header="0.3" footer="0.3"/>
</s:worksheet>
</file>

<file path=xl/worksheets/sheet6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600-000000000000}">
  <s:dimension ref="A1:AM53"/>
  <s:sheetViews>
    <s:sheetView tabSelected="0" topLeftCell="A21" workbookViewId="0">
      <s:selection activeCell="D41" sqref="D41"/>
    </s:sheetView>
  </s:sheetViews>
  <s:sheetFormatPr baseColWidth="10" defaultColWidth="10" defaultRowHeight="15"/>
  <s:sheetData>
    <s:row r="1" ht="36">
      <s:c r="B1" s="3">
        <s:f ca="1">TODAY()-1</s:f>
        <s:v>46171</s:v>
      </s:c>
      <s:c r="C1" s="3"/>
      <s:c r="D1" s="4"/>
      <s:c r="E1" s="4"/>
      <s:c r="F1" s="5"/>
      <s:c r="G1" s="5"/>
      <s:c r="H1" s="5"/>
      <s:c r="I1" s="5"/>
      <s:c r="J1" s="6"/>
      <s:c r="K1" s="6"/>
      <s:c r="L1" s="6"/>
      <s:c r="M1" s="6"/>
      <s:c r="N1" s="6"/>
      <s:c r="O1" s="6"/>
      <s:c r="P1" s="6"/>
      <s:c r="Q1" s="6"/>
      <s:c r="R1" s="6"/>
      <s:c r="S1" s="6"/>
      <s:c r="T1" s="6"/>
      <s:c r="U1" s="6"/>
      <s:c r="V1" s="6"/>
      <s:c r="W1" s="7"/>
      <s:c r="X1" s="7"/>
      <s:c r="Y1" s="7"/>
      <s:c r="Z1" s="7"/>
      <s:c r="AA1" s="5"/>
      <s:c r="AB1" s="368"/>
      <s:c r="AC1" s="368"/>
    </s:row>
    <s:row r="2" ht="36">
      <s:c r="B2" s="8" t="s">
        <s:v>89</s:v>
      </s:c>
      <s:c r="C2" s="8"/>
      <s:c r="D2" s="4"/>
      <s:c r="E2" s="4"/>
      <s:c r="F2" s="5"/>
      <s:c r="G2" s="5"/>
      <s:c r="H2" s="5"/>
      <s:c r="I2" s="5"/>
      <s:c r="J2" s="304" t="s">
        <s:v>1</s:v>
      </s:c>
      <s:c r="K2" s="304"/>
      <s:c r="L2" s="304"/>
      <s:c r="M2" s="304"/>
      <s:c r="N2" s="304"/>
      <s:c r="O2" s="9"/>
      <s:c r="P2" s="9"/>
      <s:c r="Q2" s="9"/>
      <s:c r="R2" s="9"/>
      <s:c r="S2" s="9"/>
      <s:c r="T2" s="9"/>
      <s:c r="U2" s="9"/>
      <s:c r="V2" s="9"/>
      <s:c r="W2" s="7"/>
      <s:c r="X2" s="7"/>
      <s:c r="Y2" s="7"/>
      <s:c r="Z2" s="7"/>
      <s:c r="AA2" s="5"/>
      <s:c r="AB2" s="368"/>
      <s:c r="AC2" s="368"/>
    </s:row>
    <s:row r="3" ht="51">
      <s:c r="B3" s="10" t="s">
        <s:v>2</s:v>
      </s:c>
      <s:c r="C3" s="4"/>
      <s:c r="D3" s="4"/>
      <s:c r="E3" s="4"/>
      <s:c r="F3" s="5"/>
      <s:c r="G3" s="5"/>
      <s:c r="H3" s="5"/>
      <s:c r="I3" s="5"/>
      <s:c r="J3" s="305" t="str">
        <s:f>График!B25</s:f>
        <s:v>Корж Анастасия</s:v>
      </s:c>
      <s:c r="K3" s="306"/>
      <s:c r="L3" s="306"/>
      <s:c r="M3" s="306"/>
      <s:c r="N3" s="307"/>
      <s:c r="O3" s="9"/>
      <s:c r="P3" s="9"/>
      <s:c r="Q3" s="9"/>
      <s:c r="R3" s="9"/>
      <s:c r="S3" s="9"/>
      <s:c r="T3" s="9"/>
      <s:c r="U3" s="6"/>
      <s:c r="V3" s="14"/>
      <s:c r="W3" s="7"/>
      <s:c r="X3" s="7"/>
      <s:c r="Y3" s="7"/>
      <s:c r="Z3" s="7"/>
      <s:c r="AA3" s="5"/>
      <s:c r="AB3" s="368"/>
      <s:c r="AC3" s="368"/>
    </s:row>
    <s:row r="4" ht="36">
      <s:c r="B4" s="4"/>
      <s:c r="C4" s="308">
        <s:f>I8-D48</s:f>
        <s:v>287026.65517241391</s:v>
      </s:c>
      <s:c r="D4" s="308"/>
      <s:c r="E4" s="309">
        <s:f>IF(I8&lt;&gt;0,C4/I8,0)</s:f>
        <s:v>0.48116720102886124</s:v>
      </s:c>
      <s:c r="F4" s="5"/>
      <s:c r="G4" s="5"/>
      <s:c r="H4" s="5"/>
      <s:c r="I4" s="5"/>
      <s:c r="J4" s="310"/>
      <s:c r="K4" s="311"/>
      <s:c r="L4" s="311"/>
      <s:c r="M4" s="311"/>
      <s:c r="N4" s="312"/>
      <s:c r="O4" s="9"/>
      <s:c r="P4" s="9"/>
      <s:c r="Q4" s="9"/>
      <s:c r="R4" s="9"/>
      <s:c r="S4" s="9"/>
      <s:c r="T4" s="9"/>
      <s:c r="U4" s="5"/>
      <s:c r="V4" s="5"/>
      <s:c r="W4" s="7"/>
      <s:c r="X4" s="7"/>
      <s:c r="Y4" s="7"/>
      <s:c r="Z4" s="7"/>
      <s:c r="AA4" s="5"/>
      <s:c r="AB4" s="368"/>
      <s:c r="AC4" s="368"/>
    </s:row>
    <s:row r="5">
      <s:c r="B5" s="5"/>
      <s:c r="C5" s="5"/>
      <s:c r="D5" s="5"/>
      <s:c r="E5" s="5"/>
      <s:c r="F5" s="5"/>
      <s:c r="G5" s="5"/>
      <s:c r="H5" s="5"/>
      <s:c r="I5" s="5"/>
      <s:c r="J5" s="22"/>
      <s:c r="K5" s="22"/>
      <s:c r="L5" s="22"/>
      <s:c r="M5" s="22"/>
      <s:c r="N5" s="22"/>
      <s:c r="O5" s="22"/>
      <s:c r="P5" s="22"/>
      <s:c r="Q5" s="22"/>
      <s:c r="R5" s="22"/>
      <s:c r="S5" s="22"/>
      <s:c r="T5" s="22"/>
      <s:c r="U5" s="5"/>
      <s:c r="V5" s="5"/>
      <s:c r="W5" s="5"/>
      <s:c r="X5" s="5"/>
      <s:c r="Y5" s="5"/>
      <s:c r="Z5" s="5"/>
      <s:c r="AA5" s="5"/>
      <s:c r="AB5" s="368"/>
      <s:c r="AC5" s="368"/>
    </s:row>
    <s:row r="6" ht="16">
      <s:c r="B6" s="23"/>
      <s:c r="C6" s="5"/>
      <s:c r="D6" s="5"/>
      <s:c r="E6" s="5"/>
      <s:c r="F6" s="25" t="s">
        <s:v>4</s:v>
      </s:c>
      <s:c r="G6" s="26"/>
      <s:c r="H6" s="26"/>
      <s:c r="I6" s="26"/>
      <s:c r="J6" s="26"/>
      <s:c r="K6" s="26"/>
      <s:c r="L6" s="26"/>
      <s:c r="M6" s="26"/>
      <s:c r="N6" s="26"/>
      <s:c r="O6" s="26"/>
      <s:c r="P6" s="26"/>
      <s:c r="Q6" s="27"/>
      <s:c r="R6" s="22"/>
      <s:c r="S6" s="22"/>
      <s:c r="T6" s="22"/>
      <s:c r="U6" s="28"/>
      <s:c r="V6" s="5"/>
      <s:c r="W6" s="5"/>
      <s:c r="X6" s="28"/>
      <s:c r="Y6" s="28"/>
      <s:c r="Z6" s="5"/>
      <s:c r="AA6" s="5"/>
      <s:c r="AB6" s="368"/>
      <s:c r="AC6" s="368"/>
    </s:row>
    <s:row r="7" ht="60">
      <s:c r="B7" s="23"/>
      <s:c r="C7" s="5"/>
      <s:c r="D7" s="5"/>
      <s:c r="E7" s="29"/>
      <s:c r="F7" s="30" t="s">
        <s:v>5</s:v>
      </s:c>
      <s:c r="G7" s="30"/>
      <s:c r="H7" s="30"/>
      <s:c r="I7" s="369" t="s">
        <s:v>6</s:v>
      </s:c>
      <s:c r="J7" s="370" t="s">
        <s:v>7</s:v>
      </s:c>
      <s:c r="K7" s="371" t="s">
        <s:v>8</s:v>
      </s:c>
      <s:c r="L7" s="372" t="s">
        <s:v>9</s:v>
      </s:c>
      <s:c r="M7" s="372" t="s">
        <s:v>10</s:v>
      </s:c>
      <s:c r="N7" s="373" t="s">
        <s:v>11</s:v>
      </s:c>
      <s:c r="O7" s="36" t="s">
        <s:v>12</s:v>
      </s:c>
      <s:c r="P7" s="374" t="s">
        <s:v>13</s:v>
      </s:c>
      <s:c r="Q7" s="375"/>
      <s:c r="R7" s="22"/>
      <s:c r="S7" s="22"/>
      <s:c r="T7" s="22"/>
      <s:c r="U7" s="28"/>
      <s:c r="V7" s="28"/>
      <s:c r="W7" s="5"/>
      <s:c r="X7" s="5"/>
      <s:c r="Y7" s="5"/>
      <s:c r="Z7" s="5"/>
      <s:c r="AA7" s="5"/>
      <s:c r="AB7" s="368"/>
      <s:c r="AC7" s="368"/>
    </s:row>
    <s:row r="8">
      <s:c r="B8" s="23"/>
      <s:c r="C8" s="5"/>
      <s:c r="D8" s="5"/>
      <s:c r="E8" s="5"/>
      <s:c r="F8" s="264" t="s">
        <s:v>14</s:v>
      </s:c>
      <s:c r="G8" s="264"/>
      <s:c r="H8" s="264"/>
      <s:c r="I8" s="314">
        <s:f>Центрум!I8/График!AJ29*График!AJ25</s:f>
        <s:v>596521.65517241391</s:v>
      </s:c>
      <s:c r="J8" s="41">
        <s:f>D48</s:f>
        <s:v>309495</s:v>
      </s:c>
      <s:c r="K8" s="315">
        <s:f>IF(AND(I8&lt;&gt;"",I8&lt;&gt;0,J8&lt;&gt;""),J8/I8,"")</s:f>
        <s:v>0.51883279897113876</s:v>
      </s:c>
      <s:c r="L8" s="43">
        <s:f>IF(SUMIF($D$25:$D$47,"&gt;=0",$V$25:$V$47)&lt;&gt;0,I8*D48/SUMIF($D$25:$D$47,"&gt;=0",$V$25:$V$47),0)</s:f>
        <s:v>320761.0244143419</s:v>
      </s:c>
      <s:c r="M8" s="316">
        <s:f>L8/I8</s:f>
        <s:v>0.53771899416062552</s:v>
      </s:c>
      <s:c r="N8" s="45">
        <s:f>IF(AND(J8&lt;&gt;0,J8&lt;&gt;"",I8&lt;&gt;0,I8&lt;&gt;""),L8-I8,"")</s:f>
        <s:v>-275760.63075807202</s:v>
      </s:c>
      <s:c r="O8" s="376"/>
      <s:c r="P8" s="47" t="str">
        <s:f>IF(AND(O8&lt;&gt;"",O8&lt;&gt;0,L8&lt;&gt;"",L8&lt;&gt;0),-O8+L8,"")</s:f>
        <s:v/>
      </s:c>
      <s:c r="Q8" s="48" t="str">
        <s:f>IF(AND(P8&lt;&gt;"",P8&lt;&gt;0,O8&lt;&gt;0,O8&lt;&gt;""),P8/O8,"")</s:f>
        <s:v/>
      </s:c>
      <s:c r="R8" s="22"/>
      <s:c r="S8" s="22"/>
      <s:c r="T8" s="22"/>
      <s:c r="U8" s="28"/>
      <s:c r="V8" s="28"/>
      <s:c r="W8" s="5"/>
      <s:c r="X8" s="5"/>
      <s:c r="Y8" s="5"/>
      <s:c r="Z8" s="5"/>
      <s:c r="AA8" s="5"/>
      <s:c r="AB8" s="368"/>
      <s:c r="AC8" s="368"/>
    </s:row>
    <s:row r="9">
      <s:c r="B9" s="23"/>
      <s:c r="C9" s="5"/>
      <s:c r="D9" s="5"/>
      <s:c r="E9" s="5"/>
      <s:c r="F9" s="49" t="s">
        <s:v>15</s:v>
      </s:c>
      <s:c r="G9" s="49"/>
      <s:c r="H9" s="49"/>
      <s:c r="I9" s="50">
        <s:f>I8/I11</s:f>
        <s:v>82.165517241379334</s:v>
      </s:c>
      <s:c r="J9" s="51">
        <s:f>E48</s:f>
        <s:v>29</s:v>
      </s:c>
      <s:c r="K9" s="317">
        <s:f>IF(AND(I9&lt;&gt;"",I9&lt;&gt;0,J9&lt;&gt;""),J9/I9,"")</s:f>
        <s:v>0.35294611381567892</s:v>
      </s:c>
      <s:c r="L9" s="79">
        <s:f>IF(SUMIF($E$25:$E$47,"&gt;=0",$W$25:$W$47)&lt;&gt;0,I9*E48/SUMIF($E$25:$E$47,"&gt;=0",$W$25:$W$47),0)</s:f>
        <s:v>29.297110991400821</s:v>
      </s:c>
      <s:c r="M9" s="318">
        <s:f>IF(AND(I9&lt;&gt;"",I9&lt;&gt;0,L9&lt;&gt;"",L9&lt;&gt;0),L9/I9,"")</s:f>
        <s:v>0.35656211967039769</s:v>
      </s:c>
      <s:c r="N9" s="55">
        <s:f>IF(AND(J9&lt;&gt;0,J9&lt;&gt;"",I9&lt;&gt;0,I9&lt;&gt;""),L9-I9,"")</s:f>
        <s:v>-52.868406249978513</s:v>
      </s:c>
      <s:c r="O9" s="56" t="e">
        <s:f>O8/O11</s:f>
        <s:v>#DIV/0!</s:v>
      </s:c>
      <s:c r="P9" s="57" t="e">
        <s:f>IF(AND(O9&lt;&gt;"",O9&lt;&gt;0,L9&lt;&gt;"",L9&lt;&gt;0),-O9+L9,"")</s:f>
        <s:v>#DIV/0!</s:v>
      </s:c>
      <s:c r="Q9" s="58" t="e">
        <s:f>IF(AND(P9&lt;&gt;"",P9&lt;&gt;0,O9&lt;&gt;0,O9&lt;&gt;""),P9/O9,"")</s:f>
        <s:v>#DIV/0!</s:v>
      </s:c>
      <s:c r="R9" s="22"/>
      <s:c r="S9" s="22"/>
      <s:c r="T9" s="22"/>
      <s:c r="U9" s="28"/>
      <s:c r="V9" s="28"/>
      <s:c r="W9" s="5"/>
      <s:c r="X9" s="5"/>
      <s:c r="Y9" s="5"/>
      <s:c r="Z9" s="5"/>
      <s:c r="AA9" s="5"/>
      <s:c r="AB9" s="368"/>
      <s:c r="AC9" s="368"/>
    </s:row>
    <s:row r="10">
      <s:c r="B10" s="23"/>
      <s:c r="C10" s="5"/>
      <s:c r="D10" s="5"/>
      <s:c r="E10" s="5"/>
      <s:c r="F10" s="59" t="s">
        <s:v>16</s:v>
      </s:c>
      <s:c r="G10" s="59"/>
      <s:c r="H10" s="59"/>
      <s:c r="I10" s="60">
        <s:f>I11*I12</s:f>
        <s:v>13358.400000000001</s:v>
      </s:c>
      <s:c r="J10" s="61">
        <s:f>H48</s:f>
        <s:v>17194.166666666668</s:v>
      </s:c>
      <s:c r="K10" s="319">
        <s:f>IF(AND(I10&lt;&gt;"",I10&lt;&gt;0,J10&lt;&gt;""),J10/I10,"")</s:f>
        <s:v>1.2871426717770591</s:v>
      </s:c>
      <s:c r="L10" s="79">
        <s:f>J10</s:f>
        <s:v>17194.166666666668</s:v>
      </s:c>
      <s:c r="M10" s="320">
        <s:f>IF(AND(I10&lt;&gt;"",I10&lt;&gt;0,L10&lt;&gt;"",L10&lt;&gt;0),L10/I10,"")</s:f>
        <s:v>1.2871426717770591</s:v>
      </s:c>
      <s:c r="N10" s="64">
        <s:f>IF(AND(J10&lt;&gt;0,J10&lt;&gt;"",I10&lt;&gt;0,I10&lt;&gt;""),L10-I10,"")</s:f>
        <s:v>3835.7666666666664</s:v>
      </s:c>
      <s:c r="O10" s="65">
        <s:f>O11*O12</s:f>
        <s:v>0</s:v>
      </s:c>
      <s:c r="P10" s="66" t="str">
        <s:f>IF(AND(O10&lt;&gt;"",O10&lt;&gt;0,L10&lt;&gt;"",L10&lt;&gt;0),-O10+L10,"")</s:f>
        <s:v/>
      </s:c>
      <s:c r="Q10" s="67" t="str">
        <s:f>IF(AND(P10&lt;&gt;"",P10&lt;&gt;0,O10&lt;&gt;0,O10&lt;&gt;""),P10/O10,"")</s:f>
        <s:v/>
      </s:c>
      <s:c r="R10" s="22"/>
      <s:c r="S10" s="22"/>
      <s:c r="T10" s="22"/>
      <s:c r="U10" s="28"/>
      <s:c r="V10" s="28"/>
      <s:c r="W10" s="5"/>
      <s:c r="X10" s="5"/>
      <s:c r="Y10" s="5"/>
      <s:c r="Z10" s="5"/>
      <s:c r="AA10" s="5"/>
      <s:c r="AB10" s="368"/>
      <s:c r="AC10" s="368"/>
    </s:row>
    <s:row r="11">
      <s:c r="B11" s="23"/>
      <s:c r="C11" s="5"/>
      <s:c r="D11" s="5"/>
      <s:c r="E11" s="5"/>
      <s:c r="F11" s="49" t="s">
        <s:v>17</s:v>
      </s:c>
      <s:c r="G11" s="49"/>
      <s:c r="H11" s="49"/>
      <s:c r="I11" s="68">
        <s:f>Центрум!I11</s:f>
        <s:v>7260</s:v>
      </s:c>
      <s:c r="J11" s="51">
        <s:f>F48</s:f>
        <s:v>10672.241379310344</s:v>
      </s:c>
      <s:c r="K11" s="317">
        <s:f>IF(AND(I11&lt;&gt;"",I11&lt;&gt;0,J11&lt;&gt;""),J11/I11,"")</s:f>
        <s:v>1.4700056996295241</s:v>
      </s:c>
      <s:c r="L11" s="79">
        <s:f>J11</s:f>
        <s:v>10672.241379310344</s:v>
      </s:c>
      <s:c r="M11" s="318">
        <s:f>IF(AND(I11&lt;&gt;"",I11&lt;&gt;0,L11&lt;&gt;"",L11&lt;&gt;0),L11/I11,"")</s:f>
        <s:v>1.4700056996295241</s:v>
      </s:c>
      <s:c r="N11" s="55">
        <s:f>IF(AND(J11&lt;&gt;0,J11&lt;&gt;"",I11&lt;&gt;0,I11&lt;&gt;""),L11-I11,"")</s:f>
        <s:v>3412.2413793103442</s:v>
      </s:c>
      <s:c r="O11" s="69"/>
      <s:c r="P11" s="57" t="str">
        <s:f>IF(AND(O11&lt;&gt;"",O11&lt;&gt;0,L11&lt;&gt;"",L11&lt;&gt;0),-O11+L11,"")</s:f>
        <s:v/>
      </s:c>
      <s:c r="Q11" s="58" t="str">
        <s:f>IF(AND(P11&lt;&gt;"",P11&lt;&gt;0,O11&lt;&gt;0,O11&lt;&gt;""),P11/O11,"")</s:f>
        <s:v/>
      </s:c>
      <s:c r="R11" s="22"/>
      <s:c r="S11" s="22"/>
      <s:c r="T11" s="22"/>
      <s:c r="U11" s="28"/>
      <s:c r="V11" s="5"/>
      <s:c r="W11" s="5"/>
      <s:c r="X11" s="5"/>
      <s:c r="Y11" s="5"/>
      <s:c r="Z11" s="5"/>
      <s:c r="AA11" s="5"/>
      <s:c r="AB11" s="368"/>
      <s:c r="AC11" s="368"/>
    </s:row>
    <s:row r="12">
      <s:c r="B12" s="23"/>
      <s:c r="C12" s="5"/>
      <s:c r="D12" s="5"/>
      <s:c r="E12" s="5"/>
      <s:c r="F12" s="49" t="s">
        <s:v>18</s:v>
      </s:c>
      <s:c r="G12" s="49"/>
      <s:c r="H12" s="49"/>
      <s:c r="I12" s="70">
        <s:f>Центрум!I12</s:f>
        <s:v>1.84</s:v>
      </s:c>
      <s:c r="J12" s="71">
        <s:f>J48</s:f>
        <s:v>1.6111111111111112</s:v>
      </s:c>
      <s:c r="K12" s="317">
        <s:f>IF(AND(I12&lt;&gt;"",I12&lt;&gt;0,J12&lt;&gt;""),J12/I12,"")</s:f>
        <s:v>0.87560386473429952</s:v>
      </s:c>
      <s:c r="L12" s="79">
        <s:f>J12</s:f>
        <s:v>1.6111111111111112</s:v>
      </s:c>
      <s:c r="M12" s="318">
        <s:f>IF(AND(I12&lt;&gt;"",I12&lt;&gt;0,L12&lt;&gt;"",L12&lt;&gt;0),L12/I12,"")</s:f>
        <s:v>0.87560386473429952</s:v>
      </s:c>
      <s:c r="N12" s="73">
        <s:f>IF(AND(J12&lt;&gt;0,J12&lt;&gt;"",I12&lt;&gt;0,I12&lt;&gt;""),L12-I12,"")</s:f>
        <s:v>-0.22888888888888892</s:v>
      </s:c>
      <s:c r="O12" s="74"/>
      <s:c r="P12" s="57" t="str">
        <s:f>IF(AND(O12&lt;&gt;"",O12&lt;&gt;0,L12&lt;&gt;"",L12&lt;&gt;0),-O12+L12,"")</s:f>
        <s:v/>
      </s:c>
      <s:c r="Q12" s="58" t="str">
        <s:f>IF(AND(P12&lt;&gt;"",P12&lt;&gt;0,O12&lt;&gt;0,O12&lt;&gt;""),P12/O12,"")</s:f>
        <s:v/>
      </s:c>
      <s:c r="R12" s="22"/>
      <s:c r="S12" s="22"/>
      <s:c r="T12" s="22"/>
      <s:c r="U12" s="28"/>
      <s:c r="V12" s="5"/>
      <s:c r="W12" s="5"/>
      <s:c r="X12" s="5"/>
      <s:c r="Y12" s="5"/>
      <s:c r="Z12" s="5"/>
      <s:c r="AA12" s="5"/>
      <s:c r="AB12" s="368"/>
      <s:c r="AC12" s="368"/>
    </s:row>
    <s:row r="13">
      <s:c r="B13" s="23"/>
      <s:c r="C13" s="5"/>
      <s:c r="D13" s="5"/>
      <s:c r="E13" s="5"/>
      <s:c r="F13" s="49" t="s">
        <s:v>19</s:v>
      </s:c>
      <s:c r="G13" s="49"/>
      <s:c r="H13" s="49"/>
      <s:c r="I13" s="50">
        <s:f>IF(I12&lt;&gt;0,I9/I12,"")</s:f>
        <s:v>44.655172413793117</s:v>
      </s:c>
      <s:c r="J13" s="51">
        <s:f>G48</s:f>
        <s:v>18</s:v>
      </s:c>
      <s:c r="K13" s="317">
        <s:f>IF(AND(I13&lt;&gt;"",I13&lt;&gt;0,J13&lt;&gt;""),J13/I13,"")</s:f>
        <s:v>0.40308880308880296</s:v>
      </s:c>
      <s:c r="L13" s="79">
        <s:f>IF(SUMIF($G$25:$G$47,"&gt;=0",$X$25:$X$47)&lt;&gt;0,I13*G48/SUMIF($G$25:$G$47,"&gt;=0",$X$25:$X$47),"")</s:f>
        <s:v>18.256242513590717</s:v>
      </s:c>
      <s:c r="M13" s="318">
        <s:f>IF(AND(I13&lt;&gt;"",I13&lt;&gt;0,L13&lt;&gt;"",L13&lt;&gt;0),L13/I13,"")</s:f>
        <s:v>0.40882705242790007</s:v>
      </s:c>
      <s:c r="N13" s="73">
        <s:f>IF(AND(J13&lt;&gt;0,J13&lt;&gt;"",I13&lt;&gt;0,I13&lt;&gt;""),L13-I13,"")</s:f>
        <s:v>-26.3989299002024</s:v>
      </s:c>
      <s:c r="O13" s="75"/>
      <s:c r="P13" s="57" t="str">
        <s:f>IF(AND(O13&lt;&gt;"",O13&lt;&gt;0,L13&lt;&gt;"",L13&lt;&gt;0),-O13+L13,"")</s:f>
        <s:v/>
      </s:c>
      <s:c r="Q13" s="58" t="str">
        <s:f>IF(AND(P13&lt;&gt;"",P13&lt;&gt;0,O13&lt;&gt;0,O13&lt;&gt;""),P13/O13,"")</s:f>
        <s:v/>
      </s:c>
      <s:c r="R13" s="22"/>
      <s:c r="S13" s="22"/>
      <s:c r="T13" s="22"/>
      <s:c r="U13" s="28"/>
      <s:c r="V13" s="5"/>
      <s:c r="W13" s="5"/>
      <s:c r="X13" s="5"/>
      <s:c r="Y13" s="5"/>
      <s:c r="Z13" s="5"/>
      <s:c r="AA13" s="5"/>
      <s:c r="AB13" s="368"/>
      <s:c r="AC13" s="368"/>
    </s:row>
    <s:row r="14">
      <s:c r="B14" s="23"/>
      <s:c r="C14" s="5"/>
      <s:c r="D14" s="5"/>
      <s:c r="E14" s="5"/>
      <s:c r="F14" s="49" t="s">
        <s:v>85</s:v>
      </s:c>
      <s:c r="G14" s="49"/>
      <s:c r="H14" s="49"/>
      <s:c r="I14" s="68">
        <s:f>График!AI25</s:f>
        <s:v>17</s:v>
      </s:c>
      <s:c r="J14" s="76">
        <s:v>17</s:v>
      </s:c>
      <s:c r="K14" s="317">
        <s:f>IF(AND(I14&lt;&gt;"",I14&lt;&gt;0,J14&lt;&gt;""),J14/I14,"")</s:f>
        <s:v>1</s:v>
      </s:c>
      <s:c r="L14" s="79">
        <s:f>IF(SUMIF($D$25:$D$47,"&gt;=0",$V$25:$V$47),I48*I8/SUMIF($D$25:$D$47,"&gt;=0",$V$25:$V$47),"")</s:f>
        <s:v>232.98301519683375</s:v>
      </s:c>
      <s:c r="M14" s="318"/>
      <s:c r="N14" s="55">
        <s:f>IF(AND(J14&lt;&gt;0,J14&lt;&gt;"",I14&lt;&gt;0,I14&lt;&gt;""),L14-I14,"")</s:f>
        <s:v>215.98301519683375</s:v>
      </s:c>
      <s:c r="O14" s="75"/>
      <s:c r="P14" s="57" t="str">
        <s:f>IF(AND(O14&lt;&gt;"",O14&lt;&gt;0,L14&lt;&gt;"",L14&lt;&gt;0),-O14+L14,"")</s:f>
        <s:v/>
      </s:c>
      <s:c r="Q14" s="58" t="str">
        <s:f>IF(AND(P14&lt;&gt;"",P14&lt;&gt;0,O14&lt;&gt;0,O14&lt;&gt;""),P14/O14,"")</s:f>
        <s:v/>
      </s:c>
      <s:c r="R14" s="22"/>
      <s:c r="S14" s="22"/>
      <s:c r="T14" s="22"/>
      <s:c r="U14" s="28"/>
      <s:c r="V14" s="77"/>
      <s:c r="W14" s="5"/>
      <s:c r="X14" s="5"/>
      <s:c r="Y14" s="5"/>
      <s:c r="Z14" s="5"/>
      <s:c r="AA14" s="5"/>
      <s:c r="AB14" s="368"/>
      <s:c r="AC14" s="368"/>
    </s:row>
    <s:row r="15">
      <s:c r="B15" s="23"/>
      <s:c r="C15" s="5"/>
      <s:c r="D15" s="5"/>
      <s:c r="E15" s="5"/>
      <s:c r="F15" s="49" t="s">
        <s:v>21</s:v>
      </s:c>
      <s:c r="G15" s="49"/>
      <s:c r="H15" s="49"/>
      <s:c r="I15" s="321">
        <s:f>Центрум!I15/2</s:f>
        <s:v>33396.000000000007</s:v>
      </s:c>
      <s:c r="J15" s="85">
        <s:f>J8/J14</s:f>
        <s:v>18205.588235294119</s:v>
      </s:c>
      <s:c r="K15" s="322">
        <s:f>IF(AND(I15&lt;&gt;"",I15&lt;&gt;0,J15&lt;&gt;""),J15/I15,"")</s:f>
        <s:v>0.54514277863498972</s:v>
      </s:c>
      <s:c r="L15" s="86">
        <s:f>J15</s:f>
        <s:v>18205.588235294119</s:v>
      </s:c>
      <s:c r="M15" s="318">
        <s:f>IF(AND(I15&lt;&gt;"",I15&lt;&gt;0,L15&lt;&gt;"",L15&lt;&gt;0),L15/I15,"")</s:f>
        <s:v>0.54514277863498972</s:v>
      </s:c>
      <s:c r="N15" s="55">
        <s:f>IF(AND(J15&lt;&gt;0,J15&lt;&gt;"",I15&lt;&gt;0,I15&lt;&gt;""),L15-I15,"")</s:f>
        <s:v>-15190.411764705888</s:v>
      </s:c>
      <s:c r="O15" s="88"/>
      <s:c r="P15" s="57" t="str">
        <s:f>IF(AND(O15&lt;&gt;"",O15&lt;&gt;0,L15&lt;&gt;"",L15&lt;&gt;0),-O15+L15,"")</s:f>
        <s:v/>
      </s:c>
      <s:c r="Q15" s="58" t="str">
        <s:f>IF(AND(P15&lt;&gt;"",P15&lt;&gt;0,O15&lt;&gt;0,O15&lt;&gt;""),P15/O15,"")</s:f>
        <s:v/>
      </s:c>
      <s:c r="R15" s="22"/>
      <s:c r="S15" s="22"/>
      <s:c r="T15" s="22"/>
      <s:c r="U15" s="28"/>
      <s:c r="V15" s="28"/>
      <s:c r="W15" s="5"/>
      <s:c r="X15" s="5"/>
      <s:c r="Y15" s="5"/>
      <s:c r="Z15" s="5"/>
      <s:c r="AA15" s="5"/>
      <s:c r="AB15" s="368"/>
      <s:c r="AC15" s="368"/>
    </s:row>
    <s:row r="16" ht="24">
      <s:c r="B16" s="23"/>
      <s:c r="C16" s="5"/>
      <s:c r="D16" s="5"/>
      <s:c r="E16" s="5"/>
      <s:c r="F16" s="49" t="s">
        <s:v>22</s:v>
      </s:c>
      <s:c r="G16" s="49"/>
      <s:c r="H16" s="49"/>
      <s:c r="I16" s="321"/>
      <s:c r="J16" s="85">
        <s:f>J8-I15*J14</s:f>
        <s:v>-258237.00000000012</s:v>
      </s:c>
      <s:c r="K16" s="322" t="str">
        <s:f>IF(AND(I16&lt;&gt;"",I16&lt;&gt;0,J16&lt;&gt;""),J16/I16,"")</s:f>
        <s:v/>
      </s:c>
      <s:c r="L16" s="86">
        <s:f>J16</s:f>
        <s:v>-258237.00000000012</s:v>
      </s:c>
      <s:c r="M16" s="323" t="str">
        <s:f>IF(AND(I16&lt;&gt;"",I16&lt;&gt;0,L16&lt;&gt;"",L16&lt;&gt;0),L16/I16,"")</s:f>
        <s:v/>
      </s:c>
      <s:c r="N16" s="55" t="str">
        <s:f>IF(AND(J16&lt;&gt;0,J16&lt;&gt;"",I16&lt;&gt;0,I16&lt;&gt;""),L16-I16,"")</s:f>
        <s:v/>
      </s:c>
      <s:c r="O16" s="88"/>
      <s:c r="P16" s="57" t="str">
        <s:f>IF(AND(O16&lt;&gt;"",O16&lt;&gt;0,L16&lt;&gt;"",L16&lt;&gt;0),-O16+L16,"")</s:f>
        <s:v/>
      </s:c>
      <s:c r="Q16" s="58" t="str">
        <s:f>IF(AND(P16&lt;&gt;"",P16&lt;&gt;0,O16&lt;&gt;0,O16&lt;&gt;""),P16/O16,"")</s:f>
        <s:v/>
      </s:c>
      <s:c r="R16" s="22"/>
      <s:c r="S16" s="22"/>
      <s:c r="T16" s="22"/>
      <s:c r="U16" s="28"/>
      <s:c r="V16" s="324" t="s">
        <s:v>23</s:v>
      </s:c>
      <s:c r="W16" s="5"/>
      <s:c r="X16" s="5"/>
      <s:c r="Y16" s="5"/>
      <s:c r="Z16" s="5"/>
      <s:c r="AA16" s="5"/>
      <s:c r="AB16" s="368"/>
      <s:c r="AC16" s="368"/>
    </s:row>
    <s:row r="17">
      <s:c r="B17" s="23"/>
      <s:c r="C17" s="5"/>
      <s:c r="D17" s="5"/>
      <s:c r="E17" s="5"/>
      <s:c r="F17" s="49" t="s">
        <s:v>24</s:v>
      </s:c>
      <s:c r="G17" s="49"/>
      <s:c r="H17" s="49"/>
      <s:c r="I17" s="321">
        <s:f>Центрум!I17/График!AJ29*График!AJ25</s:f>
        <s:v>446.55172413793105</s:v>
      </s:c>
      <s:c r="J17" s="85">
        <s:f>I48</s:f>
        <s:v>224.8</s:v>
      </s:c>
      <s:c r="K17" s="322">
        <s:f>IF(AND(I17&lt;&gt;"",I17&lt;&gt;0,J17&lt;&gt;""),J17/I17,"")</s:f>
        <s:v>0.50341312741312738</s:v>
      </s:c>
      <s:c r="L17" s="86">
        <s:f>J17/J14*I14</s:f>
        <s:v>224.8</s:v>
      </s:c>
      <s:c r="M17" s="323">
        <s:f>IF(AND(I17&lt;&gt;"",I17&lt;&gt;0,L17&lt;&gt;"",L17&lt;&gt;0),L17/I17,"")</s:f>
        <s:v>0.50341312741312738</s:v>
      </s:c>
      <s:c r="N17" s="55">
        <s:f>IF(AND(J17&lt;&gt;0,J17&lt;&gt;"",I17&lt;&gt;0,I17&lt;&gt;""),L17-I17,"")</s:f>
        <s:v>-221.75172413793103</s:v>
      </s:c>
      <s:c r="O17" s="88"/>
      <s:c r="P17" s="57" t="str">
        <s:f>IF(AND(O17&lt;&gt;"",O17&lt;&gt;0,L17&lt;&gt;"",L17&lt;&gt;0),-O17+L17,"")</s:f>
        <s:v/>
      </s:c>
      <s:c r="Q17" s="58" t="str">
        <s:f>IF(AND(P17&lt;&gt;"",P17&lt;&gt;0,O17&lt;&gt;0,O17&lt;&gt;""),P17/O17,"")</s:f>
        <s:v/>
      </s:c>
      <s:c r="R17" s="22"/>
      <s:c r="S17" s="22"/>
      <s:c r="T17" s="22"/>
      <s:c r="U17" s="28"/>
      <s:c r="V17" s="324"/>
      <s:c r="W17" s="5"/>
      <s:c r="X17" s="5"/>
      <s:c r="Y17" s="5"/>
      <s:c r="Z17" s="5"/>
      <s:c r="AA17" s="5"/>
      <s:c r="AB17" s="368"/>
      <s:c r="AC17" s="368"/>
    </s:row>
    <s:row r="18">
      <s:c r="B18" s="23"/>
      <s:c r="C18" s="5"/>
      <s:c r="D18" s="5"/>
      <s:c r="E18" s="5"/>
      <s:c r="F18" s="49"/>
      <s:c r="G18" s="49"/>
      <s:c r="H18" s="49"/>
      <s:c r="I18" s="84"/>
      <s:c r="J18" s="85"/>
      <s:c r="K18" s="322" t="str">
        <s:f>IF(AND(I18&lt;&gt;"",I18&lt;&gt;0,J18&lt;&gt;""),J18/I18,"")</s:f>
        <s:v/>
      </s:c>
      <s:c r="L18" s="86">
        <s:f>J18</s:f>
        <s:v>0</s:v>
      </s:c>
      <s:c r="M18" s="323" t="str">
        <s:f>IF(AND(I18&lt;&gt;"",I18&lt;&gt;0,L18&lt;&gt;"",L18&lt;&gt;0),L18/I18,"")</s:f>
        <s:v/>
      </s:c>
      <s:c r="N18" s="55" t="str">
        <s:f>IF(AND(J18&lt;&gt;0,J18&lt;&gt;"",I18&lt;&gt;0,I18&lt;&gt;""),L18-I18,"")</s:f>
        <s:v/>
      </s:c>
      <s:c r="O18" s="325">
        <s:v>0</s:v>
      </s:c>
      <s:c r="P18" s="57" t="str">
        <s:f>IF(AND(O18&lt;&gt;"",O18&lt;&gt;0,L18&lt;&gt;"",L18&lt;&gt;0),-O18+L18,"")</s:f>
        <s:v/>
      </s:c>
      <s:c r="Q18" s="58" t="str">
        <s:f>IF(AND(P18&lt;&gt;"",P18&lt;&gt;0,O18&lt;&gt;0,O18&lt;&gt;""),P18/O18,"")</s:f>
        <s:v/>
      </s:c>
      <s:c r="R18" s="22"/>
      <s:c r="S18" s="22"/>
      <s:c r="T18" s="22"/>
      <s:c r="U18" s="28"/>
      <s:c r="V18" s="83"/>
      <s:c r="W18" s="5"/>
      <s:c r="X18" s="5"/>
      <s:c r="Y18" s="5"/>
      <s:c r="Z18" s="5"/>
      <s:c r="AA18" s="5"/>
      <s:c r="AB18" s="368"/>
      <s:c r="AC18" s="368"/>
    </s:row>
    <s:row r="19">
      <s:c r="B19" s="23"/>
      <s:c r="C19" s="5"/>
      <s:c r="D19" s="5"/>
      <s:c r="E19" s="5"/>
      <s:c r="F19" s="49"/>
      <s:c r="G19" s="49"/>
      <s:c r="H19" s="49"/>
      <s:c r="I19" s="84"/>
      <s:c r="J19" s="85">
        <s:f>P48</s:f>
        <s:v>0</s:v>
      </s:c>
      <s:c r="K19" s="322" t="str">
        <s:f>IF(AND(I19&lt;&gt;"",I19&lt;&gt;0,J19&lt;&gt;""),J19/I19,"")</s:f>
        <s:v/>
      </s:c>
      <s:c r="L19" s="86">
        <s:f>J19</s:f>
        <s:v>0</s:v>
      </s:c>
      <s:c r="M19" s="323" t="str">
        <s:f>IF(AND(I19&lt;&gt;"",I19&lt;&gt;0,L19&lt;&gt;"",L19&lt;&gt;0),L19/I19,"")</s:f>
        <s:v/>
      </s:c>
      <s:c r="N19" s="55" t="str">
        <s:f>IF(AND(J19&lt;&gt;0,J19&lt;&gt;"",I19&lt;&gt;0,I19&lt;&gt;""),L19-I19,"")</s:f>
        <s:v/>
      </s:c>
      <s:c r="O19" s="88">
        <s:v>0</s:v>
      </s:c>
      <s:c r="P19" s="57" t="str">
        <s:f>IF(AND(O19&lt;&gt;"",O19&lt;&gt;0,L19&lt;&gt;"",L19&lt;&gt;0),-O19+L19,"")</s:f>
        <s:v/>
      </s:c>
      <s:c r="Q19" s="58" t="str">
        <s:f>IF(AND(P19&lt;&gt;"",P19&lt;&gt;0,O19&lt;&gt;0,O19&lt;&gt;""),P19/O19,"")</s:f>
        <s:v/>
      </s:c>
      <s:c r="R19" s="22"/>
      <s:c r="S19" s="22"/>
      <s:c r="T19" s="22"/>
      <s:c r="U19" s="28"/>
      <s:c r="V19" s="52" t="e">
        <s:f>V18/I16</s:f>
        <s:v>#DIV/0!</s:v>
      </s:c>
      <s:c r="W19" s="5"/>
      <s:c r="X19" s="5"/>
      <s:c r="Y19" s="5"/>
      <s:c r="Z19" s="5"/>
      <s:c r="AA19" s="5"/>
      <s:c r="AB19" s="368"/>
      <s:c r="AC19" s="368"/>
    </s:row>
    <s:row r="20">
      <s:c r="B20" s="23"/>
      <s:c r="C20" s="5"/>
      <s:c r="D20" s="5"/>
      <s:c r="E20" s="5"/>
      <s:c r="F20" s="89" t="s">
        <s:v>90</s:v>
      </s:c>
      <s:c r="G20" s="89"/>
      <s:c r="H20" s="89"/>
      <s:c r="I20" s="326">
        <s:f>Центрум!I20</s:f>
        <s:v>0.1</s:v>
      </s:c>
      <s:c r="J20" s="327">
        <s:f>T48</s:f>
        <s:v>8.0071174377224191E-2</s:v>
      </s:c>
      <s:c r="K20" s="91">
        <s:f>J20/I20</s:f>
        <s:v>0.80071174377224186</s:v>
      </s:c>
      <s:c r="L20" s="92">
        <s:f>IF(AND(K8&lt;&gt;0,I14&lt;&gt;0,I48&lt;&gt;0),(I48*T48+(I48/K8-I48)*I20)/(I48/K8),0)</s:f>
        <s:v>8.9660271621927481E-2</s:v>
      </s:c>
      <s:c r="M20" s="328">
        <s:f>IF(AND(I20&lt;&gt;"",I20&lt;&gt;0,L20&lt;&gt;"",L20&lt;&gt;0),L20/I20,"")</s:f>
        <s:v>0.89660271621927479</s:v>
      </s:c>
      <s:c r="N20" s="94">
        <s:f>IF(AND(J20&lt;&gt;0,J20&lt;&gt;"",I20&lt;&gt;0,I20&lt;&gt;""),L20-I20,"")</s:f>
        <s:v>-1.0339728378072524E-2</s:v>
      </s:c>
      <s:c r="O20" s="95"/>
      <s:c r="P20" s="96" t="str">
        <s:f>IF(AND(O20&lt;&gt;"",O20&lt;&gt;0,L20&lt;&gt;"",L20&lt;&gt;0),-O20+L20,"")</s:f>
        <s:v/>
      </s:c>
      <s:c r="Q20" s="97" t="str">
        <s:f>IF(AND(P20&lt;&gt;"",P20&lt;&gt;0,O20&lt;&gt;0,O20&lt;&gt;""),P20/O20,"")</s:f>
        <s:v/>
      </s:c>
      <s:c r="R20" s="22"/>
      <s:c r="S20" s="22"/>
      <s:c r="T20" s="22"/>
      <s:c r="U20" s="28"/>
      <s:c r="V20" s="28"/>
      <s:c r="W20" s="5"/>
      <s:c r="X20" s="5"/>
      <s:c r="Y20" s="5"/>
      <s:c r="Z20" s="5"/>
      <s:c r="AA20" s="5"/>
      <s:c r="AB20" s="368"/>
      <s:c r="AC20" s="368"/>
    </s:row>
    <s:row r="21">
      <s:c r="B21" s="23"/>
      <s:c r="C21" s="5"/>
      <s:c r="D21" s="5"/>
      <s:c r="E21" s="5"/>
      <s:c r="F21" s="5"/>
      <s:c r="G21" s="5"/>
      <s:c r="H21" s="5"/>
      <s:c r="I21" s="5"/>
      <s:c r="J21" s="5"/>
      <s:c r="K21" s="5"/>
      <s:c r="L21" s="5"/>
      <s:c r="M21" s="5"/>
      <s:c r="N21" s="5"/>
      <s:c r="O21" s="5"/>
      <s:c r="P21" s="5"/>
      <s:c r="Q21" s="5"/>
      <s:c r="R21" s="5"/>
      <s:c r="S21" s="5"/>
      <s:c r="T21" s="5"/>
      <s:c r="U21" s="5"/>
      <s:c r="V21" s="5"/>
      <s:c r="W21" s="5"/>
      <s:c r="X21" s="28"/>
      <s:c r="Y21" s="28"/>
      <s:c r="Z21" s="5"/>
      <s:c r="AA21" s="5"/>
      <s:c r="AB21" s="368"/>
      <s:c r="AC21" s="368"/>
    </s:row>
    <s:row r="22" ht="36">
      <s:c r="B22" s="329" t="s">
        <s:v>26</s:v>
      </s:c>
      <s:c r="C22" s="329"/>
      <s:c r="D22" s="329"/>
      <s:c r="E22" s="329"/>
      <s:c r="F22" s="329"/>
      <s:c r="G22" s="329"/>
      <s:c r="H22" s="329"/>
      <s:c r="I22" s="329"/>
      <s:c r="J22" s="329"/>
      <s:c r="K22" s="329"/>
      <s:c r="L22" s="329"/>
      <s:c r="M22" s="329"/>
      <s:c r="N22" s="329"/>
      <s:c r="O22" s="329"/>
      <s:c r="P22" s="329"/>
      <s:c r="Q22" s="329"/>
      <s:c r="R22" s="329"/>
      <s:c r="S22" s="329"/>
      <s:c r="T22" s="329"/>
      <s:c r="U22" s="330" t="s">
        <s:v>47</s:v>
      </s:c>
      <s:c r="V22" s="329" t="s">
        <s:v>27</s:v>
      </s:c>
      <s:c r="W22" s="329"/>
      <s:c r="X22" s="329"/>
      <s:c r="Y22" s="329"/>
      <s:c r="Z22" s="329"/>
      <s:c r="AA22" s="329"/>
      <s:c r="AB22" s="329"/>
      <s:c r="AC22" s="329"/>
    </s:row>
    <s:row r="23" ht="36">
      <s:c r="B23" s="330" t="s">
        <s:v>29</s:v>
      </s:c>
      <s:c r="C23" s="330" t="s">
        <s:v>30</s:v>
      </s:c>
      <s:c r="D23" s="330" t="s">
        <s:v>31</s:v>
      </s:c>
      <s:c r="E23" s="330" t="s">
        <s:v>32</s:v>
      </s:c>
      <s:c r="F23" s="330" t="s">
        <s:v>33</s:v>
      </s:c>
      <s:c r="G23" s="330" t="s">
        <s:v>34</s:v>
      </s:c>
      <s:c r="H23" s="330" t="s">
        <s:v>35</s:v>
      </s:c>
      <s:c r="I23" s="330" t="s">
        <s:v>24</s:v>
      </s:c>
      <s:c r="J23" s="330" t="s">
        <s:v>36</s:v>
      </s:c>
      <s:c r="K23" s="105" t="s">
        <s:v>37</s:v>
      </s:c>
      <s:c r="L23" s="105" t="s">
        <s:v>38</s:v>
      </s:c>
      <s:c r="M23" s="105" t="s">
        <s:v>39</s:v>
      </s:c>
      <s:c r="N23" s="331" t="s">
        <s:v>40</s:v>
      </s:c>
      <s:c r="O23" s="105" t="s">
        <s:v>41</s:v>
      </s:c>
      <s:c r="P23" s="331" t="s">
        <s:v>42</s:v>
      </s:c>
      <s:c r="Q23" s="105" t="s">
        <s:v>43</s:v>
      </s:c>
      <s:c r="R23" s="105" t="s">
        <s:v>44</s:v>
      </s:c>
      <s:c r="S23" s="105" t="s">
        <s:v>45</s:v>
      </s:c>
      <s:c r="T23" s="330" t="s">
        <s:v>46</s:v>
      </s:c>
      <s:c r="U23" s="330"/>
      <s:c r="V23" s="330" t="s">
        <s:v>48</s:v>
      </s:c>
      <s:c r="W23" s="330" t="s">
        <s:v>49</s:v>
      </s:c>
      <s:c r="X23" s="330" t="s">
        <s:v>50</s:v>
      </s:c>
      <s:c r="Y23" s="330" t="s">
        <s:v>51</s:v>
      </s:c>
      <s:c r="Z23" s="330" t="s">
        <s:v>52</s:v>
      </s:c>
      <s:c r="AA23" s="330" t="s">
        <s:v>53</s:v>
      </s:c>
      <s:c r="AB23" s="377" t="s">
        <s:v>54</s:v>
      </s:c>
      <s:c r="AC23" s="377" t="s">
        <s:v>55</s:v>
      </s:c>
      <s:c r="AD23" s="190"/>
    </s:row>
    <s:row r="24">
      <s:c r="A24" s="333"/>
      <s:c r="B24" s="334">
        <s:v>1</s:v>
      </s:c>
      <s:c r="C24" s="335">
        <s:v>2</s:v>
      </s:c>
      <s:c r="D24" s="336">
        <s:v>3</s:v>
      </s:c>
      <s:c r="E24" s="336" t="s">
        <s:v>91</s:v>
      </s:c>
      <s:c r="F24" s="335">
        <s:v>5</s:v>
      </s:c>
      <s:c r="G24" s="336">
        <s:v>6</s:v>
      </s:c>
      <s:c r="H24" s="335">
        <s:v>7</s:v>
      </s:c>
      <s:c r="I24" s="336">
        <s:v>8</s:v>
      </s:c>
      <s:c r="J24" s="336">
        <s:v>9</s:v>
      </s:c>
      <s:c r="K24" s="113">
        <s:v>10</s:v>
      </s:c>
      <s:c r="L24" s="113">
        <s:v>11</s:v>
      </s:c>
      <s:c r="M24" s="113">
        <s:v>12</s:v>
      </s:c>
      <s:c r="N24" s="113">
        <s:v>13</s:v>
      </s:c>
      <s:c r="O24" s="113">
        <s:v>14</s:v>
      </s:c>
      <s:c r="P24" s="113">
        <s:v>15</s:v>
      </s:c>
      <s:c r="Q24" s="113">
        <s:v>16</s:v>
      </s:c>
      <s:c r="R24" s="113">
        <s:v>17</s:v>
      </s:c>
      <s:c r="S24" s="113"/>
      <s:c r="T24" s="113">
        <s:v>18</s:v>
      </s:c>
      <s:c r="U24" s="330"/>
      <s:c r="V24" s="337">
        <s:v>1</s:v>
      </s:c>
      <s:c r="W24" s="337">
        <s:v>2</s:v>
      </s:c>
      <s:c r="X24" s="337">
        <s:v>3</s:v>
      </s:c>
      <s:c r="Y24" s="337">
        <s:v>4</s:v>
      </s:c>
      <s:c r="Z24" s="337">
        <s:v>5</s:v>
      </s:c>
      <s:c r="AA24" s="337">
        <s:v>6</s:v>
      </s:c>
      <s:c r="AB24" s="378">
        <s:v>10</s:v>
      </s:c>
      <s:c r="AC24" s="378">
        <s:v>11</s:v>
      </s:c>
    </s:row>
    <s:row r="25">
      <s:c r="A25" s="338">
        <s:v>1</s:v>
      </s:c>
      <s:c r="B25" s="134">
        <s:v>46056</s:v>
      </s:c>
      <s:c r="C25" s="135" t="s">
        <s:v>60</s:v>
      </s:c>
      <s:c r="D25" s="342">
        <s:v>0</s:v>
      </s:c>
      <s:c r="E25" s="148">
        <s:v>0</s:v>
      </s:c>
      <s:c r="F25" s="137"/>
      <s:c r="G25" s="148">
        <s:v>0</s:v>
      </s:c>
      <s:c r="H25" s="137" t="str">
        <s:f>IF(AND(G25&lt;&gt;"",G25&lt;&gt;0),D25/G25,"")</s:f>
        <s:v/>
      </s:c>
      <s:c r="I25" s="148">
        <s:v>18</s:v>
      </s:c>
      <s:c r="J25" s="138" t="str">
        <s:f>IF(AND(G25&lt;&gt;"",G25&lt;&gt;0),E25/G25,"")</s:f>
        <s:v/>
      </s:c>
      <s:c r="K25" s="136"/>
      <s:c r="L25" s="136"/>
      <s:c r="M25" s="136"/>
      <s:c r="N25" s="136"/>
      <s:c r="O25" s="136"/>
      <s:c r="P25" s="136"/>
      <s:c r="Q25" s="136"/>
      <s:c r="R25" s="136"/>
      <s:c r="S25" s="136"/>
      <s:c r="T25" s="140">
        <s:f>IF(AND(I25&lt;&gt;"",I25&lt;&gt;0),G25/I25,"")</s:f>
        <s:v>0</s:v>
      </s:c>
      <s:c r="U25" s="141">
        <s:f>D25/V25</s:f>
        <s:v>0</s:v>
      </s:c>
      <s:c r="V25" s="142">
        <s:f>$I$8*AB25*AC25/SUMPRODUCT($AC$25:$AC$55,$AB$25:$AB$55)</s:f>
        <s:v>35089.509127789053</s:v>
      </s:c>
      <s:c r="W25" s="143">
        <s:f>$I$9*AB25*AC25/SUMPRODUCT($AC$25:$AC$55,$AB$25:$AB$55)</s:f>
        <s:v>4.8332657200811369</s:v>
      </s:c>
      <s:c r="X25" s="143">
        <s:f>IF($I$12="","",W25/$I$12)</s:f>
        <s:v>2.6267748478701831</s:v>
      </s:c>
      <s:c r="Y25" s="142">
        <s:f>IF(AC25&lt;&gt;"",IF(D25&lt;&gt;"",D25,($I$8-SUM($Y24:Y$25))*AB25*AC25/SUMPRODUCT($AC25:$AC$55,$AB25:$AB$55)),"")</s:f>
        <s:v>0</s:v>
      </s:c>
      <s:c r="Z25" s="143">
        <s:f>IF(AC25&lt;&gt;"",IF(E25&lt;&gt;"",E25,($I$9-SUM($Z24:Z$25))*AB25*AC25/SUMPRODUCT($AC25:$AC$55,$AB25:$AB$55)),"")</s:f>
        <s:v>0</s:v>
      </s:c>
      <s:c r="AA25" s="143">
        <s:f>IF(AC25&lt;&gt;"",IF($I$12&lt;&gt;"",IF(G25&lt;&gt;"",G25,($I$9/$I$12-SUM($AA24:AA$25))*AB25*AC25/SUMPRODUCT($AC25:$AC$55,$AB25:$AB$55)),""),"")</s:f>
        <s:v>0</s:v>
      </s:c>
      <s:c r="AB25" s="379">
        <s:v>1</s:v>
      </s:c>
      <s:c r="AC25" s="379">
        <s:v>1</s:v>
      </s:c>
      <s:c r="AD25" s="145"/>
      <s:c r="AE25" s="145"/>
      <s:c r="AF25" s="160"/>
      <s:c r="AG25" s="2"/>
      <s:c r="AH25" s="2"/>
      <s:c r="AI25" s="2"/>
      <s:c r="AJ25" s="2"/>
      <s:c r="AK25" s="2"/>
      <s:c r="AL25" s="2"/>
      <s:c r="AM25" s="2"/>
    </s:row>
    <s:row r="26">
      <s:c r="A26" s="340">
        <s:v>2</s:v>
      </s:c>
      <s:c r="B26" s="341">
        <s:v>46057</s:v>
      </s:c>
      <s:c r="C26" s="181" t="s">
        <s:v>62</s:v>
      </s:c>
      <s:c r="D26" s="342">
        <s:v>22340</s:v>
      </s:c>
      <s:c r="E26" s="148">
        <s:v>2</s:v>
      </s:c>
      <s:c r="F26" s="174">
        <s:f>IF(AND(E26&lt;&gt;"",E26&lt;&gt;0),D26/E26,"")</s:f>
        <s:v>11170</s:v>
      </s:c>
      <s:c r="G26" s="148">
        <s:v>2</s:v>
      </s:c>
      <s:c r="H26" s="174">
        <s:f>IF(AND(G26&lt;&gt;"",G26&lt;&gt;0),D26/G26,"")</s:f>
        <s:v>11170</s:v>
      </s:c>
      <s:c r="I26" s="148">
        <s:v>18</s:v>
      </s:c>
      <s:c r="J26" s="138">
        <s:f>IF(AND(G26&lt;&gt;"",G26&lt;&gt;0),E26/G26,"")</s:f>
        <s:v>1</s:v>
      </s:c>
      <s:c r="K26" s="136"/>
      <s:c r="L26" s="136"/>
      <s:c r="M26" s="136"/>
      <s:c r="N26" s="136"/>
      <s:c r="O26" s="136"/>
      <s:c r="P26" s="136"/>
      <s:c r="Q26" s="136"/>
      <s:c r="R26" s="136">
        <s:v>14445</s:v>
      </s:c>
      <s:c r="S26" s="136"/>
      <s:c r="T26" s="140">
        <s:f>IF(AND(I26&lt;&gt;"",I26&lt;&gt;0),G26/I26,"")</s:f>
        <s:v>0.1111111111111111</s:v>
      </s:c>
      <s:c r="U26" s="141">
        <s:f>D26/V26</s:f>
        <s:v>0.63665752400930253</s:v>
      </s:c>
      <s:c r="V26" s="142">
        <s:f>$I$8*AB26*AC26/SUMPRODUCT($AC$25:$AC$55,$AB$25:$AB$55)</s:f>
        <s:v>35089.509127789053</s:v>
      </s:c>
      <s:c r="W26" s="143">
        <s:f>$I$9*AB26*AC26/SUMPRODUCT($AC$25:$AC$55,$AB$25:$AB$55)</s:f>
        <s:v>4.8332657200811369</s:v>
      </s:c>
      <s:c r="X26" s="143">
        <s:f>IF($I$12="","",W26/$I$12)</s:f>
        <s:v>2.6267748478701831</s:v>
      </s:c>
      <s:c r="Y26" s="142">
        <s:f>IF(AC26&lt;&gt;"",IF(D26&lt;&gt;"",D26,($I$8-SUM($Y$25:Y25))*AB26*AC26/SUMPRODUCT($AC26:$AC$55,$AB26:$AB$55)),"")</s:f>
        <s:v>22340</s:v>
      </s:c>
      <s:c r="Z26" s="143">
        <s:f>IF(AC26&lt;&gt;"",IF(E26&lt;&gt;"",E26,($I$9-SUM($Z$25:Z25))*AB26*AC26/SUMPRODUCT($AC26:$AC$55,$AB26:$AB$55)),"")</s:f>
        <s:v>2</s:v>
      </s:c>
      <s:c r="AA26" s="143">
        <s:f>IF(AC26&lt;&gt;"",IF($I$12&lt;&gt;"",IF(G26&lt;&gt;"",G26,($I$9/$I$12-SUM($AA$25:AA25))*AB26*AC26/SUMPRODUCT($AC26:$AC$55,$AB26:$AB$55)),""),"")</s:f>
        <s:v>2</s:v>
      </s:c>
      <s:c r="AB26" s="379">
        <s:v>1</s:v>
      </s:c>
      <s:c r="AC26" s="379">
        <s:v>1</s:v>
      </s:c>
      <s:c r="AD26" s="145"/>
      <s:c r="AE26" s="149"/>
      <s:c r="AF26" s="2"/>
      <s:c r="AG26" s="2"/>
      <s:c r="AH26" s="2"/>
      <s:c r="AI26" s="2"/>
      <s:c r="AJ26" s="2"/>
      <s:c r="AK26" s="2"/>
      <s:c r="AL26" s="2"/>
      <s:c r="AM26" s="2"/>
    </s:row>
    <s:row r="27">
      <s:c r="A27" s="338">
        <s:v>3</s:v>
      </s:c>
      <s:c r="B27" s="134">
        <s:v>46058</s:v>
      </s:c>
      <s:c r="C27" s="135" t="s">
        <s:v>63</s:v>
      </s:c>
      <s:c r="D27" s="342">
        <s:v>3390</s:v>
      </s:c>
      <s:c r="E27" s="148">
        <s:v>1</s:v>
      </s:c>
      <s:c r="F27" s="137">
        <s:f>IF(AND(E27&lt;&gt;"",E27&lt;&gt;0),D27/E27,"")</s:f>
        <s:v>3390</s:v>
      </s:c>
      <s:c r="G27" s="148">
        <s:v>1</s:v>
      </s:c>
      <s:c r="H27" s="137">
        <s:f>IF(AND(G27&lt;&gt;"",G27&lt;&gt;0),D27/G27,"")</s:f>
        <s:v>3390</s:v>
      </s:c>
      <s:c r="I27" s="148">
        <s:v>17</s:v>
      </s:c>
      <s:c r="J27" s="138">
        <s:f>IF(AND(G27&lt;&gt;"",G27&lt;&gt;0),E27/G27,"")</s:f>
        <s:v>1</s:v>
      </s:c>
      <s:c r="K27" s="136"/>
      <s:c r="L27" s="136"/>
      <s:c r="M27" s="136"/>
      <s:c r="N27" s="136"/>
      <s:c r="O27" s="136"/>
      <s:c r="P27" s="136"/>
      <s:c r="Q27" s="136"/>
      <s:c r="R27" s="136"/>
      <s:c r="S27" s="136"/>
      <s:c r="T27" s="140">
        <s:f>IF(AND(I27&lt;&gt;"",I27&lt;&gt;0),G27/I27,"")</s:f>
        <s:v>5.8823529411764705E-2</s:v>
      </s:c>
      <s:c r="U27" s="141">
        <s:f>D27/V27</s:f>
        <s:v>0.23977931814966758</s:v>
      </s:c>
      <s:c r="V27" s="380">
        <s:v>14138</s:v>
      </s:c>
      <s:c r="W27" s="381">
        <s:v>4</s:v>
      </s:c>
      <s:c r="X27" s="381">
        <s:v>2</s:v>
      </s:c>
      <s:c r="Y27" s="380">
        <s:v>16611</s:v>
      </s:c>
      <s:c r="Z27" s="381">
        <s:v>3</s:v>
      </s:c>
      <s:c r="AA27" s="381">
        <s:v>3</s:v>
      </s:c>
      <s:c r="AB27" s="379">
        <s:v>1</s:v>
      </s:c>
      <s:c r="AC27" s="379">
        <s:v>1</s:v>
      </s:c>
      <s:c r="AD27" s="145"/>
      <s:c r="AE27" s="145"/>
      <s:c r="AF27" s="2"/>
      <s:c r="AG27" s="2"/>
      <s:c r="AH27" s="2"/>
      <s:c r="AI27" s="2"/>
      <s:c r="AJ27" s="2"/>
      <s:c r="AK27" s="2"/>
      <s:c r="AL27" s="2"/>
      <s:c r="AM27" s="2"/>
    </s:row>
    <s:row r="28">
      <s:c r="A28" s="340">
        <s:v>4</s:v>
      </s:c>
      <s:c r="B28" s="134">
        <s:v>46059</s:v>
      </s:c>
      <s:c r="C28" s="181" t="s">
        <s:v>64</s:v>
      </s:c>
      <s:c r="D28" s="342">
        <s:v>4529</s:v>
      </s:c>
      <s:c r="E28" s="148">
        <s:v>1</s:v>
      </s:c>
      <s:c r="F28" s="174">
        <s:f>IF(AND(E28&lt;&gt;"",E28&lt;&gt;0),D28/E28,"")</s:f>
        <s:v>4529</s:v>
      </s:c>
      <s:c r="G28" s="148">
        <s:v>1</s:v>
      </s:c>
      <s:c r="H28" s="174">
        <s:f>IF(AND(G28&lt;&gt;"",G28&lt;&gt;0),D28/G28,"")</s:f>
        <s:v>4529</s:v>
      </s:c>
      <s:c r="I28" s="148">
        <s:v>25</s:v>
      </s:c>
      <s:c r="J28" s="138">
        <s:f>IF(AND(G28&lt;&gt;"",G28&lt;&gt;0),E28/G28,"")</s:f>
        <s:v>1</s:v>
      </s:c>
      <s:c r="K28" s="136"/>
      <s:c r="L28" s="136"/>
      <s:c r="M28" s="136"/>
      <s:c r="N28" s="136"/>
      <s:c r="O28" s="136"/>
      <s:c r="P28" s="136"/>
      <s:c r="Q28" s="136"/>
      <s:c r="R28" s="136"/>
      <s:c r="S28" s="136"/>
      <s:c r="T28" s="140">
        <s:f>IF(AND(I28&lt;&gt;"",I28&lt;&gt;0),G28/I28,"")</s:f>
        <s:v>0.04</s:v>
      </s:c>
      <s:c r="U28" s="141">
        <s:f>D28/V28</s:f>
        <s:v>0.12906991612525207</s:v>
      </s:c>
      <s:c r="V28" s="142">
        <s:f>$I$8*AB28*AC28/SUMPRODUCT($AC$25:$AC$55,$AB$25:$AB$55)</s:f>
        <s:v>35089.509127789053</s:v>
      </s:c>
      <s:c r="W28" s="143">
        <s:f>$I$9*AB28*AC28/SUMPRODUCT($AC$25:$AC$55,$AB$25:$AB$55)</s:f>
        <s:v>4.8332657200811369</s:v>
      </s:c>
      <s:c r="X28" s="143">
        <s:f>IF($I$12="","",W28/$I$12)</s:f>
        <s:v>2.6267748478701831</s:v>
      </s:c>
      <s:c r="Y28" s="142">
        <s:f>IF(AC28&lt;&gt;"",IF(D28&lt;&gt;"",D28,($I$8-SUM($Y$25:Y27))*AB28*AC28/SUMPRODUCT($AC28:$AC$55,$AB28:$AB$55)),"")</s:f>
        <s:v>4529</s:v>
      </s:c>
      <s:c r="Z28" s="143">
        <s:f>IF(AC28&lt;&gt;"",IF(E28&lt;&gt;"",E28,($I$9-SUM($Z$25:Z27))*AB28*AC28/SUMPRODUCT($AC28:$AC$55,$AB28:$AB$55)),"")</s:f>
        <s:v>1</s:v>
      </s:c>
      <s:c r="AA28" s="143">
        <s:f>IF(AC28&lt;&gt;"",IF($I$12&lt;&gt;"",IF(G28&lt;&gt;"",G28,($I$9/$I$12-SUM($AA$25:AA27))*AB28*AC28/SUMPRODUCT($AC28:$AC$55,$AB28:$AB$55)),""),"")</s:f>
        <s:v>1</s:v>
      </s:c>
      <s:c r="AB28" s="379">
        <s:v>1</s:v>
      </s:c>
      <s:c r="AC28" s="379">
        <s:v>1</s:v>
      </s:c>
      <s:c r="AD28" s="145"/>
      <s:c r="AE28" s="145"/>
      <s:c r="AF28" s="2"/>
      <s:c r="AG28" s="2"/>
      <s:c r="AH28" s="2"/>
      <s:c r="AI28" s="2"/>
      <s:c r="AJ28" s="2"/>
      <s:c r="AK28" s="2"/>
      <s:c r="AL28" s="2"/>
      <s:c r="AM28" s="2"/>
    </s:row>
    <s:row r="29">
      <s:c r="A29" s="338">
        <s:v>5</s:v>
      </s:c>
      <s:c r="B29" s="134">
        <s:v>46062</s:v>
      </s:c>
      <s:c r="C29" s="135" t="s">
        <s:v>58</s:v>
      </s:c>
      <s:c r="D29" s="342">
        <s:v>0</s:v>
      </s:c>
      <s:c r="E29" s="148">
        <s:v>0</s:v>
      </s:c>
      <s:c r="F29" s="137" t="str">
        <s:f>IF(AND(E29&lt;&gt;"",E29&lt;&gt;0),D29/E29,"")</s:f>
        <s:v/>
      </s:c>
      <s:c r="G29" s="148">
        <s:v>0</s:v>
      </s:c>
      <s:c r="H29" s="137" t="str">
        <s:f>IF(AND(G29&lt;&gt;"",G29&lt;&gt;0),D29/G29,"")</s:f>
        <s:v/>
      </s:c>
      <s:c r="I29" s="148">
        <s:v>19</s:v>
      </s:c>
      <s:c r="J29" s="138" t="str">
        <s:f>IF(AND(G29&lt;&gt;"",G29&lt;&gt;0),E29/G29,"")</s:f>
        <s:v/>
      </s:c>
      <s:c r="K29" s="136"/>
      <s:c r="L29" s="136"/>
      <s:c r="M29" s="136"/>
      <s:c r="N29" s="136"/>
      <s:c r="O29" s="136"/>
      <s:c r="P29" s="136"/>
      <s:c r="Q29" s="136"/>
      <s:c r="R29" s="136"/>
      <s:c r="S29" s="136"/>
      <s:c r="T29" s="140">
        <s:f>IF(AND(I29&lt;&gt;"",I29&lt;&gt;0),G29/I29,"")</s:f>
        <s:v>0</s:v>
      </s:c>
      <s:c r="U29" s="141">
        <s:f>D29/V29</s:f>
        <s:v>0</s:v>
      </s:c>
      <s:c r="V29" s="142">
        <s:f>$I$8*AB29*AC29/SUMPRODUCT($AC$25:$AC$55,$AB$25:$AB$55)</s:f>
        <s:v>35089.509127789053</s:v>
      </s:c>
      <s:c r="W29" s="143">
        <s:f>$I$9*AB29*AC29/SUMPRODUCT($AC$25:$AC$55,$AB$25:$AB$55)</s:f>
        <s:v>4.8332657200811369</s:v>
      </s:c>
      <s:c r="X29" s="143">
        <s:f>IF($I$12="","",W29/$I$12)</s:f>
        <s:v>2.6267748478701831</s:v>
      </s:c>
      <s:c r="Y29" s="142">
        <s:f>IF(AC29&lt;&gt;"",IF(D29&lt;&gt;"",D29,($I$8-SUM($Y$25:Y28))*AB29*AC29/SUMPRODUCT($AC29:$AC$55,$AB29:$AB$55)),"")</s:f>
        <s:v>0</s:v>
      </s:c>
      <s:c r="Z29" s="143">
        <s:f>IF(AC29&lt;&gt;"",IF(E29&lt;&gt;"",E29,($I$9-SUM($Z$25:Z28))*AB29*AC29/SUMPRODUCT($AC29:$AC$55,$AB29:$AB$55)),"")</s:f>
        <s:v>0</s:v>
      </s:c>
      <s:c r="AA29" s="143">
        <s:f>IF(AC29&lt;&gt;"",IF($I$12&lt;&gt;"",IF(G29&lt;&gt;"",G29,($I$9/$I$12-SUM($AA$25:AA28))*AB29*AC29/SUMPRODUCT($AC29:$AC$55,$AB29:$AB$55)),""),"")</s:f>
        <s:v>0</s:v>
      </s:c>
      <s:c r="AB29" s="379">
        <s:v>1</s:v>
      </s:c>
      <s:c r="AC29" s="379">
        <s:v>1</s:v>
      </s:c>
      <s:c r="AD29" s="145"/>
      <s:c r="AE29" s="145"/>
      <s:c r="AF29" s="2"/>
      <s:c r="AG29" s="2"/>
      <s:c r="AH29" s="2"/>
      <s:c r="AI29" s="2"/>
      <s:c r="AJ29" s="2"/>
      <s:c r="AK29" s="2"/>
      <s:c r="AL29" s="2"/>
      <s:c r="AM29" s="2"/>
    </s:row>
    <s:row r="30">
      <s:c r="A30" s="338">
        <s:v>6</s:v>
      </s:c>
      <s:c r="B30" s="134">
        <s:v>46065</s:v>
      </s:c>
      <s:c r="C30" s="181" t="s">
        <s:v>63</s:v>
      </s:c>
      <s:c r="D30" s="138">
        <s:v>185851</s:v>
      </s:c>
      <s:c r="E30" s="148">
        <s:v>11</s:v>
      </s:c>
      <s:c r="F30" s="174">
        <s:f>IF(AND(E30&lt;&gt;"",E30&lt;&gt;0),D30/E30,"")</s:f>
        <s:v>16895.545454545456</s:v>
      </s:c>
      <s:c r="G30" s="148">
        <s:v>2</s:v>
      </s:c>
      <s:c r="H30" s="174">
        <s:f>IF(AND(G30&lt;&gt;"",G30&lt;&gt;0),D30/G30,"")</s:f>
        <s:v>92925.5</s:v>
      </s:c>
      <s:c r="I30" s="148">
        <s:v>20</s:v>
      </s:c>
      <s:c r="J30" s="138">
        <s:f>IF(AND(G30&lt;&gt;"",G30&lt;&gt;0),E30/G30,"")</s:f>
        <s:v>5.5</s:v>
      </s:c>
      <s:c r="K30" s="136">
        <s:v>62658</s:v>
      </s:c>
      <s:c r="L30" s="136"/>
      <s:c r="M30" s="136">
        <s:v>23181</s:v>
      </s:c>
      <s:c r="N30" s="136"/>
      <s:c r="O30" s="136"/>
      <s:c r="P30" s="136"/>
      <s:c r="Q30" s="136"/>
      <s:c r="R30" s="136">
        <s:v>79315</s:v>
      </s:c>
      <s:c r="S30" s="136"/>
      <s:c r="T30" s="140">
        <s:f>IF(AND(I30&lt;&gt;"",I30&lt;&gt;0),G30/I30,"")</s:f>
        <s:v>0.1</s:v>
      </s:c>
      <s:c r="U30" s="141">
        <s:f>D30/V30</s:f>
        <s:v>5.2964833256335222</s:v>
      </s:c>
      <s:c r="V30" s="142">
        <s:f>$I$8*AB30*AC30/SUMPRODUCT($AC$25:$AC$55,$AB$25:$AB$55)</s:f>
        <s:v>35089.509127789053</s:v>
      </s:c>
      <s:c r="W30" s="143">
        <s:f>$I$9*AB30*AC30/SUMPRODUCT($AC$25:$AC$55,$AB$25:$AB$55)</s:f>
        <s:v>4.8332657200811369</s:v>
      </s:c>
      <s:c r="X30" s="143">
        <s:f>IF($I$12="","",W30/$I$12)</s:f>
        <s:v>2.6267748478701831</s:v>
      </s:c>
      <s:c r="Y30" s="142">
        <s:f>IF(AC30&lt;&gt;"",IF(D30&lt;&gt;"",D30,($I$8-SUM($Y$25:Y29))*AB30*AC30/SUMPRODUCT($AC30:$AC$55,$AB30:$AB$55)),"")</s:f>
        <s:v>185851</s:v>
      </s:c>
      <s:c r="Z30" s="143">
        <s:f>IF(AC30&lt;&gt;"",IF(E30&lt;&gt;"",E30,($I$9-SUM($Z$25:Z29))*AB30*AC30/SUMPRODUCT($AC30:$AC$55,$AB30:$AB$55)),"")</s:f>
        <s:v>11</s:v>
      </s:c>
      <s:c r="AA30" s="143">
        <s:f>IF(AC30&lt;&gt;"",IF($I$12&lt;&gt;"",IF(G30&lt;&gt;"",G30,($I$9/$I$12-SUM($AA$25:AA29))*AB30*AC30/SUMPRODUCT($AC30:$AC$55,$AB30:$AB$55)),""),"")</s:f>
        <s:v>2</s:v>
      </s:c>
      <s:c r="AB30" s="379">
        <s:v>1</s:v>
      </s:c>
      <s:c r="AC30" s="379">
        <s:v>1</s:v>
      </s:c>
      <s:c r="AD30" s="145"/>
      <s:c r="AE30" s="145"/>
      <s:c r="AF30" s="160"/>
      <s:c r="AG30" s="2"/>
      <s:c r="AH30" s="2"/>
      <s:c r="AI30" s="2"/>
      <s:c r="AJ30" s="2"/>
      <s:c r="AK30" s="2"/>
      <s:c r="AL30" s="2"/>
      <s:c r="AM30" s="2"/>
    </s:row>
    <s:row r="31">
      <s:c r="A31" s="338">
        <s:v>7</s:v>
      </s:c>
      <s:c r="B31" s="134">
        <s:v>46066</s:v>
      </s:c>
      <s:c r="C31" s="135" t="s">
        <s:v>64</s:v>
      </s:c>
      <s:c r="D31" s="342">
        <s:v>15735</s:v>
      </s:c>
      <s:c r="E31" s="148">
        <s:v>2</s:v>
      </s:c>
      <s:c r="F31" s="137">
        <s:f>IF(AND(E31&lt;&gt;"",E31&lt;&gt;0),D31/E31,"")</s:f>
        <s:v>7867.5</s:v>
      </s:c>
      <s:c r="G31" s="148">
        <s:v>2</s:v>
      </s:c>
      <s:c r="H31" s="137">
        <s:f>IF(AND(G31&lt;&gt;"",G31&lt;&gt;0),D31/G31,"")</s:f>
        <s:v>7867.5</s:v>
      </s:c>
      <s:c r="I31" s="148">
        <s:v>35</s:v>
      </s:c>
      <s:c r="J31" s="138">
        <s:f>IF(AND(G31&lt;&gt;"",G31&lt;&gt;0),E31/G31,"")</s:f>
        <s:v>1</s:v>
      </s:c>
      <s:c r="K31" s="136"/>
      <s:c r="L31" s="136"/>
      <s:c r="M31" s="136">
        <s:v>10982</s:v>
      </s:c>
      <s:c r="N31" s="136"/>
      <s:c r="O31" s="136"/>
      <s:c r="P31" s="136"/>
      <s:c r="Q31" s="136"/>
      <s:c r="R31" s="136"/>
      <s:c r="S31" s="136"/>
      <s:c r="T31" s="140">
        <s:f>IF(AND(I31&lt;&gt;"",I31&lt;&gt;0),G31/I31,"")</s:f>
        <s:v>5.7142857142857141E-2</s:v>
      </s:c>
      <s:c r="U31" s="141">
        <s:f>D31/V31</s:f>
        <s:v>0.44842462579616721</s:v>
      </s:c>
      <s:c r="V31" s="142">
        <s:f>$I$8*AB31*AC31/SUMPRODUCT($AC$25:$AC$55,$AB$25:$AB$55)</s:f>
        <s:v>35089.509127789053</s:v>
      </s:c>
      <s:c r="W31" s="143">
        <s:f>$I$9*AB31*AC31/SUMPRODUCT($AC$25:$AC$55,$AB$25:$AB$55)</s:f>
        <s:v>4.8332657200811369</s:v>
      </s:c>
      <s:c r="X31" s="143">
        <s:f>IF($I$12="","",W31/$I$12)</s:f>
        <s:v>2.6267748478701831</s:v>
      </s:c>
      <s:c r="Y31" s="142">
        <s:f>IF(AC31&lt;&gt;"",IF(D31&lt;&gt;"",D31,($I$8-SUM($Y$25:Y30))*AB31*AC31/SUMPRODUCT($AC31:$AC$55,$AB31:$AB$55)),"")</s:f>
        <s:v>15735</s:v>
      </s:c>
      <s:c r="Z31" s="143">
        <s:f>IF(AC31&lt;&gt;"",IF(E31&lt;&gt;"",E31,($I$9-SUM($Z$25:Z30))*AB31*AC31/SUMPRODUCT($AC31:$AC$55,$AB31:$AB$55)),"")</s:f>
        <s:v>2</s:v>
      </s:c>
      <s:c r="AA31" s="382">
        <s:f>IF(AC31&lt;&gt;"",IF($I$12&lt;&gt;"",IF(G31&lt;&gt;"",G31,($I$9/$I$12-SUM($AA$25:AA30))*AB31*AC31/SUMPRODUCT($AC31:$AC$55,$AB31:$AB$55)),""),"")</s:f>
        <s:v>2</s:v>
      </s:c>
      <s:c r="AB31" s="379">
        <s:v>1</s:v>
      </s:c>
      <s:c r="AC31" s="379">
        <s:v>1</s:v>
      </s:c>
      <s:c r="AD31" s="145"/>
      <s:c r="AE31" s="145"/>
      <s:c r="AF31" s="160"/>
      <s:c r="AG31" s="2"/>
      <s:c r="AH31" s="2"/>
      <s:c r="AI31" s="2"/>
      <s:c r="AJ31" s="2"/>
      <s:c r="AK31" s="2"/>
      <s:c r="AL31" s="2"/>
      <s:c r="AM31" s="2"/>
    </s:row>
    <s:row r="32">
      <s:c r="A32" s="338">
        <s:v>8</s:v>
      </s:c>
      <s:c r="B32" s="134">
        <s:v>46067</s:v>
      </s:c>
      <s:c r="C32" s="181" t="s">
        <s:v>66</s:v>
      </s:c>
      <s:c r="D32" s="342">
        <s:v>12083</s:v>
      </s:c>
      <s:c r="E32" s="148">
        <s:v>2</s:v>
      </s:c>
      <s:c r="F32" s="174">
        <s:f>IF(AND(E32&lt;&gt;"",E32&lt;&gt;0),D32/E32,"")</s:f>
        <s:v>6041.5</s:v>
      </s:c>
      <s:c r="G32" s="148">
        <s:v>2</s:v>
      </s:c>
      <s:c r="H32" s="174">
        <s:f>IF(AND(G32&lt;&gt;"",G32&lt;&gt;0),D32/G32,"")</s:f>
        <s:v>6041.5</s:v>
      </s:c>
      <s:c r="I32" s="148">
        <s:v>25</s:v>
      </s:c>
      <s:c r="J32" s="138">
        <s:f>IF(AND(G32&lt;&gt;"",G32&lt;&gt;0),E32/G32,"")</s:f>
        <s:v>1</s:v>
      </s:c>
      <s:c r="K32" s="137"/>
      <s:c r="L32" s="137"/>
      <s:c r="M32" s="137"/>
      <s:c r="N32" s="137"/>
      <s:c r="O32" s="137"/>
      <s:c r="P32" s="137"/>
      <s:c r="Q32" s="137"/>
      <s:c r="R32" s="346"/>
      <s:c r="S32" s="346"/>
      <s:c r="T32" s="140">
        <s:f>IF(AND(I32&lt;&gt;"",I32&lt;&gt;0),G32/I32,"")</s:f>
        <s:v>0.08</s:v>
      </s:c>
      <s:c r="U32" s="141">
        <s:f>D32/V32</s:f>
        <s:v>0.34434793476295444</s:v>
      </s:c>
      <s:c r="V32" s="142">
        <s:f>$I$8*AB32*AC32/SUMPRODUCT($AC$25:$AC$55,$AB$25:$AB$55)</s:f>
        <s:v>35089.509127789053</s:v>
      </s:c>
      <s:c r="W32" s="143">
        <s:f>$I$9*AB32*AC32/SUMPRODUCT($AC$25:$AC$55,$AB$25:$AB$55)</s:f>
        <s:v>4.8332657200811369</s:v>
      </s:c>
      <s:c r="X32" s="143">
        <s:f>IF($I$12="","",W32/$I$12)</s:f>
        <s:v>2.6267748478701831</s:v>
      </s:c>
      <s:c r="Y32" s="142">
        <s:f>IF(AC32&lt;&gt;"",IF(D32&lt;&gt;"",D32,($I$8-SUM($Y$25:Y31))*AB32*AC32/SUMPRODUCT($AC32:$AC$55,$AB32:$AB$55)),"")</s:f>
        <s:v>12083</s:v>
      </s:c>
      <s:c r="Z32" s="143">
        <s:f>IF(AC32&lt;&gt;"",IF(E32&lt;&gt;"",E32,($I$9-SUM($Z$25:Z31))*AB32*AC32/SUMPRODUCT($AC32:$AC$55,$AB32:$AB$55)),"")</s:f>
        <s:v>2</s:v>
      </s:c>
      <s:c r="AA32" s="382">
        <s:f>IF(AC32&lt;&gt;"",IF($I$12&lt;&gt;"",IF(G32&lt;&gt;"",G32,($I$9/$I$12-SUM($AA$25:AA31))*AB32*AC32/SUMPRODUCT($AC32:$AC$55,$AB32:$AB$55)),""),"")</s:f>
        <s:v>2</s:v>
      </s:c>
      <s:c r="AB32" s="379">
        <s:v>1</s:v>
      </s:c>
      <s:c r="AC32" s="379">
        <s:v>1</s:v>
      </s:c>
      <s:c r="AD32" s="145"/>
      <s:c r="AE32" s="145"/>
      <s:c r="AF32" s="2"/>
      <s:c r="AG32" s="2"/>
      <s:c r="AH32" s="2"/>
      <s:c r="AI32" s="2"/>
      <s:c r="AJ32" s="2"/>
      <s:c r="AK32" s="2"/>
      <s:c r="AL32" s="2"/>
      <s:c r="AM32" s="2"/>
    </s:row>
    <s:row r="33">
      <s:c r="A33" s="338">
        <s:v>9</s:v>
      </s:c>
      <s:c r="B33" s="134">
        <s:v>46068</s:v>
      </s:c>
      <s:c r="C33" s="135" t="s">
        <s:v>57</s:v>
      </s:c>
      <s:c r="D33" s="347">
        <s:v>3193</s:v>
      </s:c>
      <s:c r="E33" s="148">
        <s:v>1</s:v>
      </s:c>
      <s:c r="F33" s="137">
        <s:f>IF(AND(E33&lt;&gt;"",E33&lt;&gt;0),D33/E33,"")</s:f>
        <s:v>3193</s:v>
      </s:c>
      <s:c r="G33" s="148">
        <s:v>1</s:v>
      </s:c>
      <s:c r="H33" s="137">
        <s:f>IF(AND(G33&lt;&gt;"",G33&lt;&gt;0),D33/G33,"")</s:f>
        <s:v>3193</s:v>
      </s:c>
      <s:c r="I33" s="148">
        <s:v>33</s:v>
      </s:c>
      <s:c r="J33" s="138">
        <s:f>IF(AND(G33&lt;&gt;"",G33&lt;&gt;0),E33/G33,"")</s:f>
        <s:v>1</s:v>
      </s:c>
      <s:c r="K33" s="137"/>
      <s:c r="L33" s="137"/>
      <s:c r="M33" s="137"/>
      <s:c r="N33" s="137"/>
      <s:c r="O33" s="137"/>
      <s:c r="P33" s="137"/>
      <s:c r="Q33" s="137"/>
      <s:c r="R33" s="137"/>
      <s:c r="S33" s="137"/>
      <s:c r="T33" s="140">
        <s:f>IF(AND(I33&lt;&gt;"",I33&lt;&gt;0),G33/I33,"")</s:f>
        <s:v>3.0303030303030304E-2</s:v>
      </s:c>
      <s:c r="U33" s="348">
        <s:f>D33/V33</s:f>
        <s:v>9.0995858288348386E-2</s:v>
      </s:c>
      <s:c r="V33" s="142">
        <s:f>$I$8*AB33*AC33/SUMPRODUCT($AC$25:$AC$55,$AB$25:$AB$55)</s:f>
        <s:v>35089.509127789053</s:v>
      </s:c>
      <s:c r="W33" s="349">
        <s:f>$I$9*AB33*AC33/SUMPRODUCT($AC$25:$AC$55,$AB$25:$AB$55)</s:f>
        <s:v>4.8332657200811369</s:v>
      </s:c>
      <s:c r="X33" s="143">
        <s:f>IF($I$12="","",W33/$I$12)</s:f>
        <s:v>2.6267748478701831</s:v>
      </s:c>
      <s:c r="Y33" s="142">
        <s:f>IF(AC33&lt;&gt;"",IF(D33&lt;&gt;"",D33,($I$8-SUM($Y$25:Y32))*AB33*AC33/SUMPRODUCT($AC33:$AC$55,$AB33:$AB$55)),"")</s:f>
        <s:v>3193</s:v>
      </s:c>
      <s:c r="Z33" s="143">
        <s:f>IF(AC33&lt;&gt;"",IF(E33&lt;&gt;"",E33,($I$9-SUM($Z$25:Z32))*AB33*AC33/SUMPRODUCT($AC33:$AC$55,$AB33:$AB$55)),"")</s:f>
        <s:v>1</s:v>
      </s:c>
      <s:c r="AA33" s="349">
        <s:f>IF(AC33&lt;&gt;"",IF($I$12&lt;&gt;"",IF(G33&lt;&gt;"",G33,($I$9/$I$12-SUM($AA$25:AA32))*AB33*AC33/SUMPRODUCT($AC33:$AC$55,$AB33:$AB$55)),""),"")</s:f>
        <s:v>1</s:v>
      </s:c>
      <s:c r="AB33" s="379">
        <s:v>1</s:v>
      </s:c>
      <s:c r="AC33" s="379">
        <s:v>1</s:v>
      </s:c>
      <s:c r="AD33" s="145"/>
      <s:c r="AE33" s="145"/>
      <s:c r="AF33" s="2"/>
      <s:c r="AG33" s="2"/>
      <s:c r="AH33" s="2"/>
      <s:c r="AI33" s="2"/>
      <s:c r="AJ33" s="2"/>
      <s:c r="AK33" s="2"/>
      <s:c r="AL33" s="2"/>
      <s:c r="AM33" s="2"/>
    </s:row>
    <s:row r="34">
      <s:c r="A34" s="338">
        <s:v>10</s:v>
      </s:c>
      <s:c r="B34" s="134">
        <s:v>46071</s:v>
      </s:c>
      <s:c r="C34" s="181" t="s">
        <s:v>62</s:v>
      </s:c>
      <s:c r="D34" s="138">
        <s:v>0</s:v>
      </s:c>
      <s:c r="E34" s="148">
        <s:v>0</s:v>
      </s:c>
      <s:c r="F34" s="344" t="str">
        <s:f>IF(AND(E34&lt;&gt;"",E34&lt;&gt;0),D34/E34,"")</s:f>
        <s:v/>
      </s:c>
      <s:c r="G34" s="148">
        <s:v>0</s:v>
      </s:c>
      <s:c r="H34" s="137" t="str">
        <s:f>IF(AND(G34&lt;&gt;"",G34&lt;&gt;0),D34/G34,"")</s:f>
        <s:v/>
      </s:c>
      <s:c r="I34" s="148">
        <s:v>24</s:v>
      </s:c>
      <s:c r="J34" s="138" t="str">
        <s:f>IF(AND(G34&lt;&gt;"",G34&lt;&gt;0),E34/G34,"")</s:f>
        <s:v/>
      </s:c>
      <s:c r="K34" s="137"/>
      <s:c r="L34" s="137"/>
      <s:c r="M34" s="137"/>
      <s:c r="N34" s="137"/>
      <s:c r="O34" s="137"/>
      <s:c r="P34" s="137"/>
      <s:c r="Q34" s="137"/>
      <s:c r="R34" s="137"/>
      <s:c r="S34" s="137"/>
      <s:c r="T34" s="140">
        <s:f>IF(AND(I34&lt;&gt;"",I34&lt;&gt;0),G34/I34,"")</s:f>
        <s:v>0</s:v>
      </s:c>
      <s:c r="U34" s="383">
        <s:f>D34/V34</s:f>
        <s:v>0</s:v>
      </s:c>
      <s:c r="V34" s="351">
        <s:f>$I$8*AB34*AC34/SUMPRODUCT($AC$25:$AC$55,$AB$25:$AB$55)</s:f>
        <s:v>35089.509127789053</s:v>
      </s:c>
      <s:c r="W34" s="143">
        <s:f>$I$9*AB34*AC34/SUMPRODUCT($AC$25:$AC$55,$AB$25:$AB$55)</s:f>
        <s:v>4.8332657200811369</s:v>
      </s:c>
      <s:c r="X34" s="349">
        <s:f>IF($I$12="","",W34/$I$12)</s:f>
        <s:v>2.6267748478701831</s:v>
      </s:c>
      <s:c r="Y34" s="142">
        <s:f>IF(AC34&lt;&gt;"",IF(D34&lt;&gt;"",D34,($I$8-SUM($Y$25:Y33))*AB34*AC34/SUMPRODUCT($AC34:$AC$55,$AB34:$AB$55)),"")</s:f>
        <s:v>0</s:v>
      </s:c>
      <s:c r="Z34" s="349">
        <s:f>IF(AC34&lt;&gt;"",IF(E34&lt;&gt;"",E34,($I$9-SUM($Z$25:Z33))*AB34*AC34/SUMPRODUCT($AC34:$AC$55,$AB34:$AB$55)),"")</s:f>
        <s:v>0</s:v>
      </s:c>
      <s:c r="AA34" s="382">
        <s:f>IF(AC34&lt;&gt;"",IF($I$12&lt;&gt;"",IF(G34&lt;&gt;"",G34,($I$9/$I$12-SUM($AA$25:AA33))*AB34*AC34/SUMPRODUCT($AC34:$AC$55,$AB34:$AB$55)),""),"")</s:f>
        <s:v>0</s:v>
      </s:c>
      <s:c r="AB34" s="379">
        <s:v>1</s:v>
      </s:c>
      <s:c r="AC34" s="379">
        <s:v>1</s:v>
      </s:c>
      <s:c r="AD34" s="145"/>
      <s:c r="AE34" s="145"/>
      <s:c r="AF34" s="160"/>
      <s:c r="AG34" s="2"/>
      <s:c r="AH34" s="2"/>
      <s:c r="AI34" s="2"/>
      <s:c r="AJ34" s="2"/>
      <s:c r="AK34" s="2"/>
      <s:c r="AL34" s="2"/>
      <s:c r="AM34" s="2"/>
    </s:row>
    <s:row r="35">
      <s:c r="A35" s="338">
        <s:v>11</s:v>
      </s:c>
      <s:c r="B35" s="134">
        <s:v>46072</s:v>
      </s:c>
      <s:c r="C35" s="135" t="s">
        <s:v>63</s:v>
      </s:c>
      <s:c r="D35" s="138">
        <s:v>0</s:v>
      </s:c>
      <s:c r="E35" s="148">
        <s:v>0</s:v>
      </s:c>
      <s:c r="F35" s="137" t="str">
        <s:f>IF(AND(E35&lt;&gt;"",E35&lt;&gt;0),D35/E35,"")</s:f>
        <s:v/>
      </s:c>
      <s:c r="G35" s="148">
        <s:v>0</s:v>
      </s:c>
      <s:c r="H35" s="174" t="str">
        <s:f>IF(AND(G35&lt;&gt;"",G35&lt;&gt;0),D35/G35,"")</s:f>
        <s:v/>
      </s:c>
      <s:c r="I35" s="148">
        <s:v>16</s:v>
      </s:c>
      <s:c r="J35" s="138" t="str">
        <s:f>IF(AND(G35&lt;&gt;"",G35&lt;&gt;0),E35/G35,"")</s:f>
        <s:v/>
      </s:c>
      <s:c r="K35" s="137"/>
      <s:c r="L35" s="137"/>
      <s:c r="M35" s="137"/>
      <s:c r="N35" s="137"/>
      <s:c r="O35" s="137"/>
      <s:c r="P35" s="137"/>
      <s:c r="Q35" s="137"/>
      <s:c r="R35" s="137"/>
      <s:c r="S35" s="137"/>
      <s:c r="T35" s="140">
        <s:f>IF(AND(I35&lt;&gt;"",I35&lt;&gt;0),G35/I35,"")</s:f>
        <s:v>0</s:v>
      </s:c>
      <s:c r="U35" s="348">
        <s:f>D35/V35</s:f>
        <s:v>0</s:v>
      </s:c>
      <s:c r="V35" s="142">
        <s:f>$I$8*AB35*AC35/SUMPRODUCT($AC$25:$AC$55,$AB$25:$AB$55)</s:f>
        <s:v>35089.509127789053</s:v>
      </s:c>
      <s:c r="W35" s="349">
        <s:f>$I$9*AB35*AC35/SUMPRODUCT($AC$25:$AC$55,$AB$25:$AB$55)</s:f>
        <s:v>4.8332657200811369</s:v>
      </s:c>
      <s:c r="X35" s="143">
        <s:f>IF($I$12="","",W35/$I$12)</s:f>
        <s:v>2.6267748478701831</s:v>
      </s:c>
      <s:c r="Y35" s="142">
        <s:f>IF(AC35&lt;&gt;"",IF(D35&lt;&gt;"",D35,($I$8-SUM($Y$25:Y34))*AB35*AC35/SUMPRODUCT($AC35:$AC$55,$AB35:$AB$55)),"")</s:f>
        <s:v>0</s:v>
      </s:c>
      <s:c r="Z35" s="143">
        <s:f>IF(AC35&lt;&gt;"",IF(E35&lt;&gt;"",E35,($I$9-SUM($Z$25:Z34))*AB35*AC35/SUMPRODUCT($AC35:$AC$55,$AB35:$AB$55)),"")</s:f>
        <s:v>0</s:v>
      </s:c>
      <s:c r="AA35" s="382">
        <s:f>IF(AC35&lt;&gt;"",IF($I$12&lt;&gt;"",IF(G35&lt;&gt;"",G35,($I$9/$I$12-SUM($AA$25:AA34))*AB35*AC35/SUMPRODUCT($AC35:$AC$55,$AB35:$AB$55)),""),"")</s:f>
        <s:v>0</s:v>
      </s:c>
      <s:c r="AB35" s="379">
        <s:v>1</s:v>
      </s:c>
      <s:c r="AC35" s="379">
        <s:v>1</s:v>
      </s:c>
      <s:c r="AD35" s="145"/>
      <s:c r="AE35" s="145"/>
      <s:c r="AF35" s="160"/>
      <s:c r="AG35" s="2"/>
      <s:c r="AH35" s="2"/>
      <s:c r="AI35" s="2"/>
      <s:c r="AJ35" s="2"/>
      <s:c r="AK35" s="2"/>
      <s:c r="AL35" s="2"/>
      <s:c r="AM35" s="2"/>
    </s:row>
    <s:row r="36">
      <s:c r="A36" s="340">
        <s:v>12</s:v>
      </s:c>
      <s:c r="B36" s="134">
        <s:v>46073</s:v>
      </s:c>
      <s:c r="C36" s="175" t="s">
        <s:v>64</s:v>
      </s:c>
      <s:c r="D36" s="138">
        <s:v>9387</s:v>
      </s:c>
      <s:c r="E36" s="148">
        <s:v>2</s:v>
      </s:c>
      <s:c r="F36" s="174">
        <s:f>IF(AND(E36&lt;&gt;"",E36&lt;&gt;0),D36/E36,"")</s:f>
        <s:v>4693.5</s:v>
      </s:c>
      <s:c r="G36" s="148">
        <s:v>1</s:v>
      </s:c>
      <s:c r="H36" s="137">
        <s:f>IF(AND(G36&lt;&gt;"",G36&lt;&gt;0),D36/G36,"")</s:f>
        <s:v>9387</s:v>
      </s:c>
      <s:c r="I36" s="148">
        <s:v>31</s:v>
      </s:c>
      <s:c r="J36" s="138">
        <s:f>IF(AND(G36&lt;&gt;"",G36&lt;&gt;0),E36/G36,"")</s:f>
        <s:v>2</s:v>
      </s:c>
      <s:c r="K36" s="137"/>
      <s:c r="L36" s="137"/>
      <s:c r="M36" s="137"/>
      <s:c r="N36" s="137"/>
      <s:c r="O36" s="137"/>
      <s:c r="P36" s="137"/>
      <s:c r="Q36" s="137"/>
      <s:c r="R36" s="137"/>
      <s:c r="S36" s="137"/>
      <s:c r="T36" s="140">
        <s:f>IF(AND(I36&lt;&gt;"",I36&lt;&gt;0),G36/I36,"")</s:f>
        <s:v>3.2258064516129031E-2</s:v>
      </s:c>
      <s:c r="U36" s="141">
        <s:f>D36/V36</s:f>
        <s:v>0.26751585397830452</s:v>
      </s:c>
      <s:c r="V36" s="142">
        <s:f>$I$8*AB36*AC36/SUMPRODUCT($AC$25:$AC$55,$AB$25:$AB$55)</s:f>
        <s:v>35089.509127789053</s:v>
      </s:c>
      <s:c r="W36" s="143">
        <s:f>$I$9*AB36*AC36/SUMPRODUCT($AC$25:$AC$55,$AB$25:$AB$55)</s:f>
        <s:v>4.8332657200811369</s:v>
      </s:c>
      <s:c r="X36" s="143">
        <s:f>IF($I$12="","",W36/$I$12)</s:f>
        <s:v>2.6267748478701831</s:v>
      </s:c>
      <s:c r="Y36" s="142">
        <s:f>IF(AC36&lt;&gt;"",IF(D36&lt;&gt;"",D36,($I$8-SUM($Y$25:Y35))*AB36*AC36/SUMPRODUCT($AC36:$AC$55,$AB36:$AB$55)),"")</s:f>
        <s:v>9387</s:v>
      </s:c>
      <s:c r="Z36" s="143">
        <s:f>IF(AC36&lt;&gt;"",IF(E36&lt;&gt;"",E36,($I$9-SUM($Z$25:Z35))*AB36*AC36/SUMPRODUCT($AC36:$AC$55,$AB36:$AB$55)),"")</s:f>
        <s:v>2</s:v>
      </s:c>
      <s:c r="AA36" s="382">
        <s:f>IF(AC36&lt;&gt;"",IF($I$12&lt;&gt;"",IF(G36&lt;&gt;"",G36,($I$9/$I$12-SUM($AA$25:AA35))*AB36*AC36/SUMPRODUCT($AC36:$AC$55,$AB36:$AB$55)),""),"")</s:f>
        <s:v>1</s:v>
      </s:c>
      <s:c r="AB36" s="379">
        <s:v>1</s:v>
      </s:c>
      <s:c r="AC36" s="379">
        <s:v>1</s:v>
      </s:c>
      <s:c r="AD36" s="145"/>
      <s:c r="AE36" s="145"/>
      <s:c r="AF36" s="160"/>
      <s:c r="AG36" s="2"/>
      <s:c r="AH36" s="2"/>
      <s:c r="AI36" s="2"/>
      <s:c r="AJ36" s="2"/>
      <s:c r="AK36" s="2"/>
      <s:c r="AL36" s="2"/>
      <s:c r="AM36" s="2"/>
    </s:row>
    <s:row r="37">
      <s:c r="A37" s="338">
        <s:v>13</s:v>
      </s:c>
      <s:c r="B37" s="134">
        <s:v>46074</s:v>
      </s:c>
      <s:c r="C37" s="175" t="s">
        <s:v>66</s:v>
      </s:c>
      <s:c r="D37" s="138">
        <s:v>25795</s:v>
      </s:c>
      <s:c r="E37" s="136">
        <s:v>2</s:v>
      </s:c>
      <s:c r="F37" s="137">
        <s:f>IF(AND(E37&lt;&gt;"",E37&lt;&gt;0),D37/E37,"")</s:f>
        <s:v>12897.5</s:v>
      </s:c>
      <s:c r="G37" s="136">
        <s:v>2</s:v>
      </s:c>
      <s:c r="H37" s="137">
        <s:f>IF(AND(G37&lt;&gt;"",G37&lt;&gt;0),D37/G37,"")</s:f>
        <s:v>12897.5</s:v>
      </s:c>
      <s:c r="I37" s="136"/>
      <s:c r="J37" s="138">
        <s:f>IF(AND(G37&lt;&gt;"",G37&lt;&gt;0),E37/G37,"")</s:f>
        <s:v>1</s:v>
      </s:c>
      <s:c r="K37" s="136"/>
      <s:c r="L37" s="136"/>
      <s:c r="M37" s="136"/>
      <s:c r="N37" s="136"/>
      <s:c r="O37" s="136"/>
      <s:c r="P37" s="139"/>
      <s:c r="Q37" s="139"/>
      <s:c r="R37" s="137"/>
      <s:c r="S37" s="137"/>
      <s:c r="T37" s="140" t="str">
        <s:f>IF(AND(I37&lt;&gt;"",I37&lt;&gt;0),G37/I37,"")</s:f>
        <s:v/>
      </s:c>
      <s:c r="U37" s="141">
        <s:f>D37/V37</s:f>
        <s:v>0.73512000142434908</s:v>
      </s:c>
      <s:c r="V37" s="142">
        <s:f>$I$8*AB37*AC37/SUMPRODUCT($AC$25:$AC$55,$AB$25:$AB$55)</s:f>
        <s:v>35089.509127789053</s:v>
      </s:c>
      <s:c r="W37" s="143">
        <s:f>$I$9*AB37*AC37/SUMPRODUCT($AC$25:$AC$55,$AB$25:$AB$55)</s:f>
        <s:v>4.8332657200811369</s:v>
      </s:c>
      <s:c r="X37" s="143">
        <s:f>IF($I$12="","",W37/$I$12)</s:f>
        <s:v>2.6267748478701831</s:v>
      </s:c>
      <s:c r="Y37" s="142">
        <s:f>IF(AC37&lt;&gt;"",IF(D37&lt;&gt;"",D37,($I$8-SUM($Y$25:Y36))*AB37*AC37/SUMPRODUCT($AC37:$AC$55,$AB37:$AB$55)),"")</s:f>
        <s:v>25795</s:v>
      </s:c>
      <s:c r="Z37" s="143">
        <s:f>IF(AC37&lt;&gt;"",IF(E37&lt;&gt;"",E37,($I$9-SUM($Z$25:Z36))*AB37*AC37/SUMPRODUCT($AC37:$AC$55,$AB37:$AB$55)),"")</s:f>
        <s:v>2</s:v>
      </s:c>
      <s:c r="AA37" s="143">
        <s:f>IF(AC37&lt;&gt;"",IF($I$12&lt;&gt;"",IF(G37&lt;&gt;"",G37,($I$9/$I$12-SUM($AA$25:AA36))*AB37*AC37/SUMPRODUCT($AC37:$AC$55,$AB37:$AB$55)),""),"")</s:f>
        <s:v>2</s:v>
      </s:c>
      <s:c r="AB37" s="379">
        <s:v>1</s:v>
      </s:c>
      <s:c r="AC37" s="379">
        <s:v>1</s:v>
      </s:c>
      <s:c r="AD37" s="145"/>
      <s:c r="AE37" s="145"/>
      <s:c r="AF37" s="160"/>
      <s:c r="AG37" s="2"/>
      <s:c r="AH37" s="2"/>
      <s:c r="AI37" s="2"/>
      <s:c r="AJ37" s="2"/>
      <s:c r="AK37" s="2"/>
      <s:c r="AL37" s="2"/>
      <s:c r="AM37" s="2"/>
    </s:row>
    <s:row r="38">
      <s:c r="A38" s="340">
        <s:v>14</s:v>
      </s:c>
      <s:c r="B38" s="134">
        <s:v>46077</s:v>
      </s:c>
      <s:c r="C38" s="176" t="s">
        <s:v>60</s:v>
      </s:c>
      <s:c r="D38" s="138">
        <s:v>0</s:v>
      </s:c>
      <s:c r="E38" s="136">
        <s:v>0</s:v>
      </s:c>
      <s:c r="F38" s="137" t="str">
        <s:f>IF(AND(E38&lt;&gt;"",E38&lt;&gt;0),D38/E38,"")</s:f>
        <s:v/>
      </s:c>
      <s:c r="G38" s="136">
        <s:v>0</s:v>
      </s:c>
      <s:c r="H38" s="137" t="str">
        <s:f>IF(AND(G38&lt;&gt;"",G38&lt;&gt;0),D38/G38,"")</s:f>
        <s:v/>
      </s:c>
      <s:c r="I38" s="136"/>
      <s:c r="J38" s="138" t="str">
        <s:f>IF(AND(G38&lt;&gt;"",G38&lt;&gt;0),E38/G38,"")</s:f>
        <s:v/>
      </s:c>
      <s:c r="K38" s="136"/>
      <s:c r="L38" s="136"/>
      <s:c r="M38" s="136"/>
      <s:c r="N38" s="136"/>
      <s:c r="O38" s="136"/>
      <s:c r="P38" s="139"/>
      <s:c r="Q38" s="139"/>
      <s:c r="R38" s="137"/>
      <s:c r="S38" s="137"/>
      <s:c r="T38" s="140" t="str">
        <s:f>IF(AND(I38&lt;&gt;"",I38&lt;&gt;0),G38/I38,"")</s:f>
        <s:v/>
      </s:c>
      <s:c r="U38" s="141">
        <s:f>D38/V38</s:f>
        <s:v>0</s:v>
      </s:c>
      <s:c r="V38" s="142">
        <s:f>$I$8*AB38*AC38/SUMPRODUCT($AC$25:$AC$55,$AB$25:$AB$55)</s:f>
        <s:v>35089.509127789053</s:v>
      </s:c>
      <s:c r="W38" s="143">
        <s:f>$I$9*AB38*AC38/SUMPRODUCT($AC$25:$AC$55,$AB$25:$AB$55)</s:f>
        <s:v>4.8332657200811369</s:v>
      </s:c>
      <s:c r="X38" s="143">
        <s:f>IF($I$12="","",W38/$I$12)</s:f>
        <s:v>2.6267748478701831</s:v>
      </s:c>
      <s:c r="Y38" s="142">
        <s:f>IF(AC38&lt;&gt;"",IF(D38&lt;&gt;"",D38,($I$8-SUM($Y$25:Y37))*AB38*AC38/SUMPRODUCT($AC38:$AC$55,$AB38:$AB$55)),"")</s:f>
        <s:v>0</s:v>
      </s:c>
      <s:c r="Z38" s="143">
        <s:f>IF(AC38&lt;&gt;"",IF(E38&lt;&gt;"",E38,($I$9-SUM($Z$25:Z37))*AB38*AC38/SUMPRODUCT($AC38:$AC$55,$AB38:$AB$55)),"")</s:f>
        <s:v>0</s:v>
      </s:c>
      <s:c r="AA38" s="143">
        <s:f>IF(AC38&lt;&gt;"",IF($I$12&lt;&gt;"",IF(G38&lt;&gt;"",G38,($I$9/$I$12-SUM($AA$25:AA37))*AB38*AC38/SUMPRODUCT($AC38:$AC$55,$AB38:$AB$55)),""),"")</s:f>
        <s:v>0</s:v>
      </s:c>
      <s:c r="AB38" s="379">
        <s:v>1</s:v>
      </s:c>
      <s:c r="AC38" s="379">
        <s:v>1</s:v>
      </s:c>
      <s:c r="AD38" s="145"/>
      <s:c r="AE38" s="145"/>
      <s:c r="AF38" s="160"/>
      <s:c r="AG38" s="2"/>
      <s:c r="AH38" s="2"/>
      <s:c r="AI38" s="2"/>
      <s:c r="AJ38" s="2"/>
      <s:c r="AK38" s="2"/>
      <s:c r="AL38" s="2"/>
      <s:c r="AM38" s="2"/>
    </s:row>
    <s:row r="39">
      <s:c r="A39" s="338">
        <s:v>15</s:v>
      </s:c>
      <s:c r="B39" s="134">
        <s:v>46078</s:v>
      </s:c>
      <s:c r="C39" s="175" t="s">
        <s:v>62</s:v>
      </s:c>
      <s:c r="D39" s="138">
        <s:v>0</s:v>
      </s:c>
      <s:c r="E39" s="136">
        <s:v>0</s:v>
      </s:c>
      <s:c r="F39" s="137" t="str">
        <s:f>IF(AND(E39&lt;&gt;"",E39&lt;&gt;0),D39/E39,"")</s:f>
        <s:v/>
      </s:c>
      <s:c r="G39" s="136">
        <s:v>0</s:v>
      </s:c>
      <s:c r="H39" s="137" t="str">
        <s:f>IF(AND(G39&lt;&gt;"",G39&lt;&gt;0),D39/G39,"")</s:f>
        <s:v/>
      </s:c>
      <s:c r="I39" s="136"/>
      <s:c r="J39" s="138" t="str">
        <s:f>IF(AND(G39&lt;&gt;"",G39&lt;&gt;0),E39/G39,"")</s:f>
        <s:v/>
      </s:c>
      <s:c r="K39" s="136"/>
      <s:c r="L39" s="136"/>
      <s:c r="M39" s="136"/>
      <s:c r="N39" s="136"/>
      <s:c r="O39" s="136"/>
      <s:c r="P39" s="139"/>
      <s:c r="Q39" s="139"/>
      <s:c r="R39" s="137"/>
      <s:c r="S39" s="137"/>
      <s:c r="T39" s="140" t="str">
        <s:f>IF(AND(I39&lt;&gt;"",I39&lt;&gt;0),G39/I39,"")</s:f>
        <s:v/>
      </s:c>
      <s:c r="U39" s="141">
        <s:f>D39/V39</s:f>
        <s:v>0</s:v>
      </s:c>
      <s:c r="V39" s="142">
        <s:f>$I$8*AB39*AC39/SUMPRODUCT($AC$25:$AC$55,$AB$25:$AB$55)</s:f>
        <s:v>35089.509127789053</s:v>
      </s:c>
      <s:c r="W39" s="143">
        <s:f>$I$9*AB39*AC39/SUMPRODUCT($AC$25:$AC$55,$AB$25:$AB$55)</s:f>
        <s:v>4.8332657200811369</s:v>
      </s:c>
      <s:c r="X39" s="143">
        <s:f>IF($I$12="","",W39/$I$12)</s:f>
        <s:v>2.6267748478701831</s:v>
      </s:c>
      <s:c r="Y39" s="142">
        <s:f>IF(AC39&lt;&gt;"",IF(D39&lt;&gt;"",D39,($I$8-SUM($Y$25:Y38))*AB39*AC39/SUMPRODUCT($AC39:$AC$55,$AB39:$AB$55)),"")</s:f>
        <s:v>0</s:v>
      </s:c>
      <s:c r="Z39" s="143">
        <s:f>IF(AC39&lt;&gt;"",IF(E39&lt;&gt;"",E39,($I$9-SUM($Z$25:Z38))*AB39*AC39/SUMPRODUCT($AC39:$AC$55,$AB39:$AB$55)),"")</s:f>
        <s:v>0</s:v>
      </s:c>
      <s:c r="AA39" s="143">
        <s:f>IF(AC39&lt;&gt;"",IF($I$12&lt;&gt;"",IF(G39&lt;&gt;"",G39,($I$9/$I$12-SUM($AA$25:AA38))*AB39*AC39/SUMPRODUCT($AC39:$AC$55,$AB39:$AB$55)),""),"")</s:f>
        <s:v>0</s:v>
      </s:c>
      <s:c r="AB39" s="379">
        <s:v>1</s:v>
      </s:c>
      <s:c r="AC39" s="379">
        <s:v>1</s:v>
      </s:c>
      <s:c r="AD39" s="145"/>
      <s:c r="AE39" s="145"/>
      <s:c r="AF39" s="160"/>
      <s:c r="AG39" s="2"/>
      <s:c r="AH39" s="2"/>
      <s:c r="AI39" s="2"/>
      <s:c r="AJ39" s="2"/>
      <s:c r="AK39" s="2"/>
      <s:c r="AL39" s="2"/>
      <s:c r="AM39" s="2"/>
    </s:row>
    <s:row r="40">
      <s:c r="A40" s="340">
        <s:v>16</s:v>
      </s:c>
      <s:c r="B40" s="134">
        <s:v>46079</s:v>
      </s:c>
      <s:c r="C40" s="176" t="s">
        <s:v>63</s:v>
      </s:c>
      <s:c r="D40" s="138">
        <s:v>10002</s:v>
      </s:c>
      <s:c r="E40" s="136">
        <s:v>2</s:v>
      </s:c>
      <s:c r="F40" s="174">
        <s:f>IF(AND(E40&lt;&gt;"",E40&lt;&gt;0),D40/E40,"")</s:f>
        <s:v>5001</s:v>
      </s:c>
      <s:c r="G40" s="148">
        <s:v>2</s:v>
      </s:c>
      <s:c r="H40" s="137">
        <s:f>IF(AND(G40&lt;&gt;"",G40&lt;&gt;0),D40/G40,"")</s:f>
        <s:v>5001</s:v>
      </s:c>
      <s:c r="I40" s="136"/>
      <s:c r="J40" s="138">
        <s:f>IF(AND(G40&lt;&gt;"",G40&lt;&gt;0),E40/G40,"")</s:f>
        <s:v>1</s:v>
      </s:c>
      <s:c r="K40" s="136"/>
      <s:c r="L40" s="136"/>
      <s:c r="M40" s="136"/>
      <s:c r="N40" s="136"/>
      <s:c r="O40" s="136"/>
      <s:c r="P40" s="139"/>
      <s:c r="Q40" s="139"/>
      <s:c r="R40" s="137"/>
      <s:c r="S40" s="137"/>
      <s:c r="T40" s="140" t="str">
        <s:f>IF(AND(I40&lt;&gt;"",I40&lt;&gt;0),G40/I40,"")</s:f>
        <s:v/>
      </s:c>
      <s:c r="U40" s="141">
        <s:f>D40/V40</s:f>
        <s:v>0.28504245994364569</s:v>
      </s:c>
      <s:c r="V40" s="142">
        <s:f>$I$8*AB40*AC40/SUMPRODUCT($AC$25:$AC$55,$AB$25:$AB$55)</s:f>
        <s:v>35089.509127789053</s:v>
      </s:c>
      <s:c r="W40" s="143">
        <s:f>$I$9*AB40*AC40/SUMPRODUCT($AC$25:$AC$55,$AB$25:$AB$55)</s:f>
        <s:v>4.8332657200811369</s:v>
      </s:c>
      <s:c r="X40" s="143">
        <s:f>IF($I$12="","",W40/$I$12)</s:f>
        <s:v>2.6267748478701831</s:v>
      </s:c>
      <s:c r="Y40" s="142">
        <s:f>IF(AC40&lt;&gt;"",IF(D40&lt;&gt;"",D40,($I$8-SUM($Y$25:Y39))*AB40*AC40/SUMPRODUCT($AC40:$AC$55,$AB40:$AB$55)),"")</s:f>
        <s:v>10002</s:v>
      </s:c>
      <s:c r="Z40" s="143">
        <s:f>IF(AC40&lt;&gt;"",IF(E40&lt;&gt;"",E40,($I$9-SUM($Z$25:Z39))*AB40*AC40/SUMPRODUCT($AC40:$AC$55,$AB40:$AB$55)),"")</s:f>
        <s:v>2</s:v>
      </s:c>
      <s:c r="AA40" s="143">
        <s:f>IF(AC40&lt;&gt;"",IF($I$12&lt;&gt;"",IF(G40&lt;&gt;"",G40,($I$9/$I$12-SUM($AA$25:AA39))*AB40*AC40/SUMPRODUCT($AC40:$AC$55,$AB40:$AB$55)),""),"")</s:f>
        <s:v>2</s:v>
      </s:c>
      <s:c r="AB40" s="379">
        <s:v>1</s:v>
      </s:c>
      <s:c r="AC40" s="379">
        <s:v>1</s:v>
      </s:c>
      <s:c r="AD40" s="145"/>
      <s:c r="AE40" s="145"/>
      <s:c r="AF40" s="160"/>
      <s:c r="AG40" s="2"/>
      <s:c r="AH40" s="2"/>
      <s:c r="AI40" s="2"/>
      <s:c r="AJ40" s="2"/>
      <s:c r="AK40" s="2"/>
      <s:c r="AL40" s="2"/>
      <s:c r="AM40" s="2"/>
    </s:row>
    <s:row r="41">
      <s:c r="A41" s="338">
        <s:v>17</s:v>
      </s:c>
      <s:c r="B41" s="134">
        <s:v>46080</s:v>
      </s:c>
      <s:c r="C41" s="175" t="s">
        <s:v>64</s:v>
      </s:c>
      <s:c r="D41" s="138">
        <s:v>4506</s:v>
      </s:c>
      <s:c r="E41" s="136">
        <s:v>1</s:v>
      </s:c>
      <s:c r="F41" s="137">
        <s:f>IF(AND(E41&lt;&gt;"",E41&lt;&gt;0),D41/E41,"")</s:f>
        <s:v>4506</s:v>
      </s:c>
      <s:c r="G41" s="136">
        <s:v>1</s:v>
      </s:c>
      <s:c r="H41" s="137">
        <s:f>IF(AND(G41&lt;&gt;"",G41&lt;&gt;0),D41/G41,"")</s:f>
        <s:v>4506</s:v>
      </s:c>
      <s:c r="I41" s="136"/>
      <s:c r="J41" s="138">
        <s:f>IF(AND(G41&lt;&gt;"",G41&lt;&gt;0),E41/G41,"")</s:f>
        <s:v>1</s:v>
      </s:c>
      <s:c r="K41" s="136"/>
      <s:c r="L41" s="136"/>
      <s:c r="M41" s="136"/>
      <s:c r="N41" s="136"/>
      <s:c r="O41" s="136"/>
      <s:c r="P41" s="139"/>
      <s:c r="Q41" s="139"/>
      <s:c r="R41" s="137"/>
      <s:c r="S41" s="137"/>
      <s:c r="T41" s="140" t="str">
        <s:f>IF(AND(I41&lt;&gt;"",I41&lt;&gt;0),G41/I41,"")</s:f>
        <s:v/>
      </s:c>
      <s:c r="U41" s="141">
        <s:f>D41/V41</s:f>
        <s:v>0.12841444956069459</s:v>
      </s:c>
      <s:c r="V41" s="142">
        <s:f>$I$8*AB41*AC41/SUMPRODUCT($AC$25:$AC$55,$AB$25:$AB$55)</s:f>
        <s:v>35089.509127789053</s:v>
      </s:c>
      <s:c r="W41" s="143">
        <s:f>$I$9*AB41*AC41/SUMPRODUCT($AC$25:$AC$55,$AB$25:$AB$55)</s:f>
        <s:v>4.8332657200811369</s:v>
      </s:c>
      <s:c r="X41" s="143">
        <s:f>IF($I$12="","",W41/$I$12)</s:f>
        <s:v>2.6267748478701831</s:v>
      </s:c>
      <s:c r="Y41" s="142">
        <s:f>IF(AC41&lt;&gt;"",IF(D41&lt;&gt;"",D41,($I$8-SUM($Y$25:Y40))*AB41*AC41/SUMPRODUCT($AC41:$AC$55,$AB41:$AB$55)),"")</s:f>
        <s:v>4506</s:v>
      </s:c>
      <s:c r="Z41" s="143">
        <s:f>IF(AC41&lt;&gt;"",IF(E41&lt;&gt;"",E41,($I$9-SUM($Z$25:Z40))*AB41*AC41/SUMPRODUCT($AC41:$AC$55,$AB41:$AB$55)),"")</s:f>
        <s:v>1</s:v>
      </s:c>
      <s:c r="AA41" s="143">
        <s:f>IF(AC41&lt;&gt;"",IF($I$12&lt;&gt;"",IF(G41&lt;&gt;"",G41,($I$9/$I$12-SUM($AA$25:AA40))*AB41*AC41/SUMPRODUCT($AC41:$AC$55,$AB41:$AB$55)),""),"")</s:f>
        <s:v>1</s:v>
      </s:c>
      <s:c r="AB41" s="379">
        <s:v>1</s:v>
      </s:c>
      <s:c r="AC41" s="379">
        <s:v>1</s:v>
      </s:c>
      <s:c r="AD41" s="145"/>
      <s:c r="AE41" s="145"/>
      <s:c r="AF41" s="160"/>
      <s:c r="AG41" s="2"/>
      <s:c r="AH41" s="2"/>
      <s:c r="AI41" s="2"/>
      <s:c r="AJ41" s="2"/>
      <s:c r="AK41" s="2"/>
      <s:c r="AL41" s="2"/>
      <s:c r="AM41" s="2"/>
    </s:row>
    <s:row r="42">
      <s:c r="A42" s="340">
        <s:v>18</s:v>
      </s:c>
      <s:c r="B42" s="134"/>
      <s:c r="C42" s="176"/>
      <s:c r="D42" s="138"/>
      <s:c r="E42" s="136"/>
      <s:c r="F42" s="137" t="str">
        <s:f>IF(AND(E42&lt;&gt;"",E42&lt;&gt;0),D42/E42,"")</s:f>
        <s:v/>
      </s:c>
      <s:c r="G42" s="136"/>
      <s:c r="H42" s="137" t="str">
        <s:f>IF(AND(G42&lt;&gt;"",G42&lt;&gt;0),D42/G42,"")</s:f>
        <s:v/>
      </s:c>
      <s:c r="I42" s="136"/>
      <s:c r="J42" s="138" t="str">
        <s:f>IF(AND(G42&lt;&gt;"",G42&lt;&gt;0),E42/G42,"")</s:f>
        <s:v/>
      </s:c>
      <s:c r="K42" s="136"/>
      <s:c r="L42" s="136"/>
      <s:c r="M42" s="136"/>
      <s:c r="N42" s="136"/>
      <s:c r="O42" s="136"/>
      <s:c r="P42" s="139"/>
      <s:c r="Q42" s="139"/>
      <s:c r="R42" s="137"/>
      <s:c r="S42" s="137"/>
      <s:c r="T42" s="140" t="str">
        <s:f>IF(AND(I42&lt;&gt;"",I42&lt;&gt;0),G42/I42,"")</s:f>
        <s:v/>
      </s:c>
      <s:c r="U42" s="141" t="e">
        <s:f>D42/V42</s:f>
        <s:v>#DIV/0!</s:v>
      </s:c>
      <s:c r="V42" s="142">
        <s:f>$I$8*AB42*AC42/SUMPRODUCT($AC$25:$AC$55,$AB$25:$AB$55)</s:f>
        <s:v>0</s:v>
      </s:c>
      <s:c r="W42" s="143">
        <s:f>$I$9*AB42*AC42/SUMPRODUCT($AC$25:$AC$55,$AB$25:$AB$55)</s:f>
        <s:v>0</s:v>
      </s:c>
      <s:c r="X42" s="143">
        <s:f>IF($I$12="","",W42/$I$12)</s:f>
        <s:v>0</s:v>
      </s:c>
      <s:c r="Y42" s="142" t="str">
        <s:f>IF(AC42&lt;&gt;"",IF(D42&lt;&gt;"",D42,($I$8-SUM($Y$25:Y41))*AB42*AC42/SUMPRODUCT($AC42:$AC$55,$AB42:$AB$55)),"")</s:f>
        <s:v/>
      </s:c>
      <s:c r="Z42" s="143" t="str">
        <s:f>IF(AC42&lt;&gt;"",IF(E42&lt;&gt;"",E42,($I$9-SUM($Z$25:Z41))*AB42*AC42/SUMPRODUCT($AC42:$AC$55,$AB42:$AB$55)),"")</s:f>
        <s:v/>
      </s:c>
      <s:c r="AA42" s="143" t="str">
        <s:f>IF(AC42&lt;&gt;"",IF($I$12&lt;&gt;"",IF(G42&lt;&gt;"",G42,($I$9/$I$12-SUM($AA$25:AA41))*AB42*AC42/SUMPRODUCT($AC42:$AC$55,$AB42:$AB$55)),""),"")</s:f>
        <s:v/>
      </s:c>
      <s:c r="AB42" s="379"/>
      <s:c r="AC42" s="379"/>
      <s:c r="AD42" s="145"/>
      <s:c r="AE42" s="145"/>
      <s:c r="AF42" s="160"/>
      <s:c r="AG42" s="2"/>
      <s:c r="AH42" s="2"/>
      <s:c r="AI42" s="2"/>
      <s:c r="AJ42" s="2"/>
      <s:c r="AK42" s="2"/>
      <s:c r="AL42" s="2"/>
      <s:c r="AM42" s="2"/>
    </s:row>
    <s:row r="43">
      <s:c r="A43" s="338">
        <s:v>19</s:v>
      </s:c>
      <s:c r="B43" s="134"/>
      <s:c r="C43" s="175"/>
      <s:c r="D43" s="138"/>
      <s:c r="E43" s="136"/>
      <s:c r="F43" s="137" t="str">
        <s:f>IF(AND(E43&lt;&gt;"",E43&lt;&gt;0),D43/E43,"")</s:f>
        <s:v/>
      </s:c>
      <s:c r="G43" s="136"/>
      <s:c r="H43" s="137" t="str">
        <s:f>IF(AND(G43&lt;&gt;"",G43&lt;&gt;0),D43/G43,"")</s:f>
        <s:v/>
      </s:c>
      <s:c r="I43" s="136"/>
      <s:c r="J43" s="138" t="str">
        <s:f>IF(AND(G43&lt;&gt;"",G43&lt;&gt;0),E43/G43,"")</s:f>
        <s:v/>
      </s:c>
      <s:c r="K43" s="136"/>
      <s:c r="L43" s="136"/>
      <s:c r="M43" s="136"/>
      <s:c r="N43" s="136"/>
      <s:c r="O43" s="136"/>
      <s:c r="P43" s="139"/>
      <s:c r="Q43" s="139"/>
      <s:c r="R43" s="137"/>
      <s:c r="S43" s="137"/>
      <s:c r="T43" s="140" t="str">
        <s:f>IF(AND(I43&lt;&gt;"",I43&lt;&gt;0),G43/I43,"")</s:f>
        <s:v/>
      </s:c>
      <s:c r="U43" s="141" t="e">
        <s:f>D43/V43</s:f>
        <s:v>#DIV/0!</s:v>
      </s:c>
      <s:c r="V43" s="142">
        <s:f>$I$8*AB43*AC43/SUMPRODUCT($AC$25:$AC$55,$AB$25:$AB$55)</s:f>
        <s:v>0</s:v>
      </s:c>
      <s:c r="W43" s="143">
        <s:f>$I$9*AB43*AC43/SUMPRODUCT($AC$25:$AC$55,$AB$25:$AB$55)</s:f>
        <s:v>0</s:v>
      </s:c>
      <s:c r="X43" s="143">
        <s:f>IF($I$12="","",W43/$I$12)</s:f>
        <s:v>0</s:v>
      </s:c>
      <s:c r="Y43" s="142" t="str">
        <s:f>IF(AC43&lt;&gt;"",IF(D43&lt;&gt;"",D43,($I$8-SUM($Y$25:Y42))*AB43*AC43/SUMPRODUCT($AC43:$AC$55,$AB43:$AB$55)),"")</s:f>
        <s:v/>
      </s:c>
      <s:c r="Z43" s="143" t="str">
        <s:f>IF(AC43&lt;&gt;"",IF(E43&lt;&gt;"",E43,($I$9-SUM($Z$25:Z42))*AB43*AC43/SUMPRODUCT($AC43:$AC$55,$AB43:$AB$55)),"")</s:f>
        <s:v/>
      </s:c>
      <s:c r="AA43" s="143" t="str">
        <s:f>IF(AC43&lt;&gt;"",IF($I$12&lt;&gt;"",IF(G43&lt;&gt;"",G43,($I$9/$I$12-SUM($AA$25:AA42))*AB43*AC43/SUMPRODUCT($AC43:$AC$55,$AB43:$AB$55)),""),"")</s:f>
        <s:v/>
      </s:c>
      <s:c r="AB43" s="379"/>
      <s:c r="AC43" s="379"/>
      <s:c r="AD43" s="145"/>
      <s:c r="AE43" s="145"/>
      <s:c r="AF43" s="160"/>
      <s:c r="AG43" s="2"/>
      <s:c r="AH43" s="2"/>
      <s:c r="AI43" s="2"/>
      <s:c r="AJ43" s="2"/>
      <s:c r="AK43" s="2"/>
      <s:c r="AL43" s="2"/>
      <s:c r="AM43" s="2"/>
    </s:row>
    <s:row r="44">
      <s:c r="A44" s="340"/>
      <s:c r="B44" s="134"/>
      <s:c r="C44" s="176"/>
      <s:c r="D44" s="138"/>
      <s:c r="E44" s="136"/>
      <s:c r="F44" s="137" t="str">
        <s:f>IF(AND(E44&lt;&gt;"",E44&lt;&gt;0),D44/E44,"")</s:f>
        <s:v/>
      </s:c>
      <s:c r="G44" s="136"/>
      <s:c r="H44" s="137" t="str">
        <s:f>IF(AND(G44&lt;&gt;"",G44&lt;&gt;0),D44/G44,"")</s:f>
        <s:v/>
      </s:c>
      <s:c r="I44" s="136"/>
      <s:c r="J44" s="138" t="str">
        <s:f>IF(AND(G44&lt;&gt;"",G44&lt;&gt;0),E44/G44,"")</s:f>
        <s:v/>
      </s:c>
      <s:c r="K44" s="136"/>
      <s:c r="L44" s="136"/>
      <s:c r="M44" s="136"/>
      <s:c r="N44" s="136"/>
      <s:c r="O44" s="136"/>
      <s:c r="P44" s="139"/>
      <s:c r="Q44" s="139"/>
      <s:c r="R44" s="137"/>
      <s:c r="S44" s="137"/>
      <s:c r="T44" s="140" t="str">
        <s:f>IF(AND(I44&lt;&gt;"",I44&lt;&gt;0),G44/I44,"")</s:f>
        <s:v/>
      </s:c>
      <s:c r="U44" s="141" t="e">
        <s:f>D44/V44</s:f>
        <s:v>#DIV/0!</s:v>
      </s:c>
      <s:c r="V44" s="142">
        <s:f>$I$8*AB44*AC44/SUMPRODUCT($AC$25:$AC$55,$AB$25:$AB$55)</s:f>
        <s:v>0</s:v>
      </s:c>
      <s:c r="W44" s="143">
        <s:f>$I$9*AB44*AC44/SUMPRODUCT($AC$25:$AC$55,$AB$25:$AB$55)</s:f>
        <s:v>0</s:v>
      </s:c>
      <s:c r="X44" s="143">
        <s:f>IF($I$12="","",W44/$I$12)</s:f>
        <s:v>0</s:v>
      </s:c>
      <s:c r="Y44" s="142" t="str">
        <s:f>IF(AC44&lt;&gt;"",IF(D44&lt;&gt;"",D44,($I$8-SUM($Y$25:Y43))*AB44*AC44/SUMPRODUCT($AC44:$AC$55,$AB44:$AB$55)),"")</s:f>
        <s:v/>
      </s:c>
      <s:c r="Z44" s="143" t="str">
        <s:f>IF(AC44&lt;&gt;"",IF(E44&lt;&gt;"",E44,($I$9-SUM($Z$25:Z43))*AB44*AC44/SUMPRODUCT($AC44:$AC$55,$AB44:$AB$55)),"")</s:f>
        <s:v/>
      </s:c>
      <s:c r="AA44" s="143" t="str">
        <s:f>IF(AC44&lt;&gt;"",IF($I$12&lt;&gt;"",IF(G44&lt;&gt;"",G44,($I$9/$I$12-SUM($AA$25:AA43))*AB44*AC44/SUMPRODUCT($AC44:$AC$55,$AB44:$AB$55)),""),"")</s:f>
        <s:v/>
      </s:c>
      <s:c r="AB44" s="154"/>
      <s:c r="AC44" s="154"/>
      <s:c r="AD44" s="145"/>
      <s:c r="AE44" s="145"/>
      <s:c r="AF44" s="160"/>
      <s:c r="AG44" s="2"/>
      <s:c r="AH44" s="2"/>
      <s:c r="AI44" s="2"/>
      <s:c r="AJ44" s="2"/>
      <s:c r="AK44" s="2"/>
      <s:c r="AL44" s="2"/>
      <s:c r="AM44" s="2"/>
    </s:row>
    <s:row r="45">
      <s:c r="A45" s="338"/>
      <s:c r="B45" s="134"/>
      <s:c r="C45" s="175"/>
      <s:c r="D45" s="138"/>
      <s:c r="E45" s="136"/>
      <s:c r="F45" s="137" t="str">
        <s:f>IF(AND(E45&lt;&gt;"",E45&lt;&gt;0),D45/E45,"")</s:f>
        <s:v/>
      </s:c>
      <s:c r="G45" s="136"/>
      <s:c r="H45" s="137" t="str">
        <s:f>IF(AND(G45&lt;&gt;"",G45&lt;&gt;0),D45/G45,"")</s:f>
        <s:v/>
      </s:c>
      <s:c r="I45" s="136"/>
      <s:c r="J45" s="138" t="str">
        <s:f>IF(AND(G45&lt;&gt;"",G45&lt;&gt;0),E45/G45,"")</s:f>
        <s:v/>
      </s:c>
      <s:c r="K45" s="136"/>
      <s:c r="L45" s="136"/>
      <s:c r="M45" s="136"/>
      <s:c r="N45" s="136"/>
      <s:c r="O45" s="136"/>
      <s:c r="P45" s="139"/>
      <s:c r="Q45" s="139"/>
      <s:c r="R45" s="137"/>
      <s:c r="S45" s="137"/>
      <s:c r="T45" s="140" t="str">
        <s:f>IF(AND(I45&lt;&gt;"",I45&lt;&gt;0),G45/I45,"")</s:f>
        <s:v/>
      </s:c>
      <s:c r="U45" s="141" t="e">
        <s:f>D45/V45</s:f>
        <s:v>#DIV/0!</s:v>
      </s:c>
      <s:c r="V45" s="142">
        <s:f>$I$8*AB45*AC45/SUMPRODUCT($AC$25:$AC$55,$AB$25:$AB$55)</s:f>
        <s:v>0</s:v>
      </s:c>
      <s:c r="W45" s="143">
        <s:f>$I$9*AB45*AC45/SUMPRODUCT($AC$25:$AC$55,$AB$25:$AB$55)</s:f>
        <s:v>0</s:v>
      </s:c>
      <s:c r="X45" s="143">
        <s:f>IF($I$12="","",W45/$I$12)</s:f>
        <s:v>0</s:v>
      </s:c>
      <s:c r="Y45" s="142" t="str">
        <s:f>IF(AC45&lt;&gt;"",IF(D45&lt;&gt;"",D45,($I$8-SUM($Y$25:Y44))*AB45*AC45/SUMPRODUCT($AC45:$AC$55,$AB45:$AB$55)),"")</s:f>
        <s:v/>
      </s:c>
      <s:c r="Z45" s="143" t="str">
        <s:f>IF(AC45&lt;&gt;"",IF(E45&lt;&gt;"",E45,($I$9-SUM($Z$25:Z44))*AB45*AC45/SUMPRODUCT($AC45:$AC$55,$AB45:$AB$55)),"")</s:f>
        <s:v/>
      </s:c>
      <s:c r="AA45" s="143" t="str">
        <s:f>IF(AC45&lt;&gt;"",IF($I$12&lt;&gt;"",IF(G45&lt;&gt;"",G45,($I$9/$I$12-SUM($AA$25:AA44))*AB45*AC45/SUMPRODUCT($AC45:$AC$55,$AB45:$AB$55)),""),"")</s:f>
        <s:v/>
      </s:c>
      <s:c r="AB45" s="154"/>
      <s:c r="AC45" s="154"/>
      <s:c r="AD45" s="145"/>
      <s:c r="AE45" s="145"/>
      <s:c r="AF45" s="2"/>
      <s:c r="AG45" s="2"/>
      <s:c r="AH45" s="2"/>
      <s:c r="AI45" s="2"/>
      <s:c r="AJ45" s="2"/>
      <s:c r="AK45" s="2"/>
      <s:c r="AL45" s="2"/>
      <s:c r="AM45" s="2"/>
    </s:row>
    <s:row r="46">
      <s:c r="B46" s="134"/>
      <s:c r="C46" s="135"/>
      <s:c r="D46" s="342"/>
      <s:c r="E46" s="354"/>
      <s:c r="F46" s="355" t="str">
        <s:f>IF(AND(E46&lt;&gt;"",E46&lt;&gt;0),D46/E46,"")</s:f>
        <s:v/>
      </s:c>
      <s:c r="G46" s="136"/>
      <s:c r="H46" s="137" t="str">
        <s:f>IF(AND(G46&lt;&gt;"",G46&lt;&gt;0),D46/G46,"")</s:f>
        <s:v/>
      </s:c>
      <s:c r="I46" s="148"/>
      <s:c r="J46" s="138" t="str">
        <s:f>IF(AND(G46&lt;&gt;"",G46&lt;&gt;0),E46/G46,"")</s:f>
        <s:v/>
      </s:c>
      <s:c r="K46" s="137"/>
      <s:c r="L46" s="137"/>
      <s:c r="M46" s="137"/>
      <s:c r="N46" s="137"/>
      <s:c r="O46" s="137"/>
      <s:c r="P46" s="137"/>
      <s:c r="Q46" s="137"/>
      <s:c r="R46" s="137"/>
      <s:c r="S46" s="137"/>
      <s:c r="T46" s="140" t="str">
        <s:f>IF(AND(I46&lt;&gt;"",I46&lt;&gt;0),G46/I46,"")</s:f>
        <s:v/>
      </s:c>
      <s:c r="U46" s="384" t="e">
        <s:f>D46/V46</s:f>
        <s:v>#DIV/0!</s:v>
      </s:c>
      <s:c r="V46" s="142">
        <s:f>$I$8*AB46*AC46/SUMPRODUCT($AC$25:$AC$46,$AB$25:$AB$46)</s:f>
        <s:v>0</s:v>
      </s:c>
      <s:c r="W46" s="143">
        <s:f>$I$9*AB46*AC46/SUMPRODUCT($AC$25:$AC$46,$AB$25:$AB$46)</s:f>
        <s:v>0</s:v>
      </s:c>
      <s:c r="X46" s="143">
        <s:f>IF($I$12="","",W46/$I$12)</s:f>
        <s:v>0</s:v>
      </s:c>
      <s:c r="Y46" s="142" t="str">
        <s:f>IF(AC46&lt;&gt;"",IF(D46&lt;&gt;"",D46,($I$8-SUM($Y$25:Y45))*AB46*AC46/SUMPRODUCT($AC46:$AC$46,$AB46:$AB$46)),"")</s:f>
        <s:v/>
      </s:c>
      <s:c r="Z46" s="143" t="str">
        <s:f>IF(AC46&lt;&gt;"",IF(E46&lt;&gt;"",E46,($I$9-SUM($Z$25:Z39))*AB46*AC46/SUMPRODUCT($AC46:$AC$46,$AB46:$AB$46)),"")</s:f>
        <s:v/>
      </s:c>
      <s:c r="AA46" s="143" t="str">
        <s:f>IF(AC46&lt;&gt;"",IF($I$12&lt;&gt;"",IF(G46&lt;&gt;"",G46,($I$9/$I$12-SUM($AA$25:AA39))*AB46*AC46/SUMPRODUCT($AC46:$AC$46,$AB46:$AB$46)),""),"")</s:f>
        <s:v/>
      </s:c>
      <s:c r="AB46" s="385"/>
      <s:c r="AC46" s="385"/>
      <s:c r="AD46" s="353"/>
      <s:c r="AE46" s="360"/>
    </s:row>
    <s:row r="47">
      <s:c r="B47" s="134">
        <s:v>46060</s:v>
      </s:c>
      <s:c r="C47" s="135" t="s">
        <s:v>66</s:v>
      </s:c>
      <s:c r="D47" s="347">
        <s:v>12684</s:v>
      </s:c>
      <s:c r="E47" s="344">
        <s:v>2</s:v>
      </s:c>
      <s:c r="F47" s="174">
        <s:f>IF(AND(E47&lt;&gt;"",E47&lt;&gt;0),D47/E47,"")</s:f>
        <s:v>6342</s:v>
      </s:c>
      <s:c r="G47" s="344">
        <s:v>1</s:v>
      </s:c>
      <s:c r="H47" s="174">
        <s:f>IF(AND(G47&lt;&gt;"",G47&lt;&gt;0),D47/G47,"")</s:f>
        <s:v>12684</s:v>
      </s:c>
      <s:c r="I47" s="386"/>
      <s:c r="J47" s="138">
        <s:f>IF(AND(G47&lt;&gt;"",G47&lt;&gt;0),E47/G47,"")</s:f>
        <s:v>2</s:v>
      </s:c>
      <s:c r="K47" s="137"/>
      <s:c r="L47" s="137"/>
      <s:c r="M47" s="137"/>
      <s:c r="N47" s="137"/>
      <s:c r="O47" s="137"/>
      <s:c r="P47" s="137"/>
      <s:c r="Q47" s="137"/>
      <s:c r="R47" s="137"/>
      <s:c r="S47" s="137"/>
      <s:c r="T47" s="140" t="str">
        <s:f>IF(AND(I47&lt;&gt;"",I47&lt;&gt;0),G47/I47,"")</s:f>
        <s:v/>
      </s:c>
      <s:c r="U47" s="384" t="e">
        <s:f>D47/V47</s:f>
        <s:v>#DIV/0!</s:v>
      </s:c>
      <s:c r="V47" s="142">
        <s:f>$I$8*AB47*AC47/SUMPRODUCT($AC$25:$AC$46,$AB$25:$AB$46)</s:f>
        <s:v>0</s:v>
      </s:c>
      <s:c r="W47" s="143">
        <s:f>$I$9*AB47*AC47/SUMPRODUCT($AC$25:$AC$46,$AB$25:$AB$46)</s:f>
        <s:v>0</s:v>
      </s:c>
      <s:c r="X47" s="143">
        <s:f>IF($I$12="","",W47/$I$12)</s:f>
        <s:v>0</s:v>
      </s:c>
      <s:c r="Y47" s="142" t="str">
        <s:f>IF(AC47&lt;&gt;"",IF(D47&lt;&gt;"",D47,($I$8-SUM($Y$25:Y46))*AB47*AC47/SUMPRODUCT($AC$47:$AC47,$AB$47:$AB47)),"")</s:f>
        <s:v/>
      </s:c>
      <s:c r="Z47" s="143" t="str">
        <s:f>IF(AC47&lt;&gt;"",IF(E47&lt;&gt;"",E47,($I$9-SUM(#REF!))*AB47*AC47/SUMPRODUCT($AC$47:$AC47,$AB$47:$AB47)),"")</s:f>
        <s:v/>
      </s:c>
      <s:c r="AA47" s="143" t="str">
        <s:f>IF(AC47&lt;&gt;"",IF($I$12&lt;&gt;"",IF(G47&lt;&gt;"",G47,($I$9/$I$12-SUM(#REF!))*AB47*AC47/SUMPRODUCT($AC$47:$AC47,$AB$47:$AB47)),""),"")</s:f>
        <s:v/>
      </s:c>
      <s:c r="AB47" s="385"/>
      <s:c r="AC47" s="385"/>
      <s:c r="AD47" s="353"/>
      <s:c r="AE47" s="353"/>
    </s:row>
    <s:row r="48">
      <s:c r="B48" s="387" t="s">
        <s:v>72</s:v>
      </s:c>
      <s:c r="C48" s="387"/>
      <s:c r="D48" s="363">
        <s:f>SUM(D25:D47)</s:f>
        <s:v>309495</s:v>
      </s:c>
      <s:c r="E48" s="363">
        <s:f>SUM(E25:E47)</s:f>
        <s:v>29</s:v>
      </s:c>
      <s:c r="F48" s="363">
        <s:f>IF(AND(E48&lt;&gt;"",E48&lt;&gt;0),D48/E48,"")</s:f>
        <s:v>10672.241379310344</s:v>
      </s:c>
      <s:c r="G48" s="363">
        <s:f>SUM(G25:G47)</s:f>
        <s:v>18</s:v>
      </s:c>
      <s:c r="H48" s="363">
        <s:f>IF(AND(G48&lt;&gt;"",G48&lt;&gt;0),D48/G48,"")</s:f>
        <s:v>17194.166666666668</s:v>
      </s:c>
      <s:c r="I48" s="363">
        <s:f>SUM(I25:I47)*0.8</s:f>
        <s:v>224.8</s:v>
      </s:c>
      <s:c r="J48" s="364">
        <s:f>IF(AND(G48&lt;&gt;"",G48&lt;&gt;0),E48/G48,"")</s:f>
        <s:v>1.6111111111111112</s:v>
      </s:c>
      <s:c r="K48" s="363">
        <s:f>SUM(K25:K47)</s:f>
        <s:v>62658</s:v>
      </s:c>
      <s:c r="L48" s="363">
        <s:f>SUM(L25:L47)</s:f>
        <s:v>0</s:v>
      </s:c>
      <s:c r="M48" s="363">
        <s:f>SUM(M25:M47)</s:f>
        <s:v>34163</s:v>
      </s:c>
      <s:c r="N48" s="363">
        <s:f>SUM(N25:N47)</s:f>
        <s:v>0</s:v>
      </s:c>
      <s:c r="O48" s="363">
        <s:f>SUM(O25:O47)</s:f>
        <s:v>0</s:v>
      </s:c>
      <s:c r="P48" s="363">
        <s:f>SUM(P25:P47)</s:f>
        <s:v>0</s:v>
      </s:c>
      <s:c r="Q48" s="363">
        <s:f>SUM(Q25:Q47)</s:f>
        <s:v>0</s:v>
      </s:c>
      <s:c r="R48" s="363">
        <s:f>SUM(R25:R47)</s:f>
        <s:v>93760</s:v>
      </s:c>
      <s:c r="S48" s="363"/>
      <s:c r="T48" s="178">
        <s:f>IF(AND(I48&lt;&gt;"",I48&lt;&gt;0),G48/I48,"")</s:f>
        <s:v>8.0071174377224191E-2</s:v>
      </s:c>
      <s:c r="U48" s="365">
        <s:f>D48/V48</s:f>
        <s:v>0.53771899416062552</s:v>
      </s:c>
      <s:c r="V48" s="366">
        <s:f>SUM(V25:V47)</s:f>
        <s:v>575570.14604462485</s:v>
      </s:c>
      <s:c r="W48" s="366">
        <s:f>SUM(W25:W47)</s:f>
        <s:v>81.332251521298161</s:v>
      </s:c>
      <s:c r="X48" s="366">
        <s:f>SUM(X25:X47)</s:f>
        <s:v>44.028397565922923</s:v>
      </s:c>
      <s:c r="Y48" s="366">
        <s:f>SUM(Y25:Y47)</s:f>
        <s:v>310032</s:v>
      </s:c>
      <s:c r="Z48" s="366">
        <s:f>SUM(Z25:Z47)</s:f>
        <s:v>29</s:v>
      </s:c>
      <s:c r="AA48" s="366">
        <s:f>SUM(AA25:AA47)</s:f>
        <s:v>19</s:v>
      </s:c>
      <s:c r="AB48" s="367"/>
      <s:c r="AC48" s="367"/>
    </s:row>
    <s:row r="49">
      <s:c r="B49" s="181"/>
      <s:c r="C49" s="182"/>
      <s:c r="D49" s="183">
        <s:f>SUMIF(D25:D47,"",V25:V47)+D48</s:f>
        <s:v>309495</s:v>
      </s:c>
      <s:c r="E49" s="184"/>
      <s:c r="F49" s="182"/>
      <s:c r="G49" s="182"/>
      <s:c r="H49" s="185"/>
      <s:c r="I49" s="186"/>
      <s:c r="J49" s="185"/>
      <s:c r="O49" s="187"/>
      <s:c r="P49" s="184"/>
      <s:c r="Q49" s="184"/>
      <s:c r="R49" s="184"/>
      <s:c r="S49" s="184"/>
      <s:c r="T49" s="187"/>
      <s:c r="U49" s="187"/>
      <s:c r="V49" s="187"/>
      <s:c r="W49" s="188"/>
    </s:row>
    <s:row r="50">
      <s:c r="D50" s="190"/>
      <s:c r="R50" s="184"/>
      <s:c r="S50" s="184"/>
    </s:row>
    <s:row r="52">
      <s:c r="D52" s="190"/>
    </s:row>
    <s:row r="53">
      <s:c r="D53" s="190"/>
    </s:row>
  </s:sheetData>
  <s:pageMargins left="0.7" right="0.7" top="0.75" bottom="0.75" header="0.3" footer="0.3"/>
</s:worksheet>
</file>

<file path=xl/worksheets/sheet7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700-000000000000}">
  <s:dimension ref="A1:AM53"/>
  <s:sheetViews>
    <s:sheetView tabSelected="0" topLeftCell="A3" workbookViewId="0"/>
  </s:sheetViews>
  <s:sheetFormatPr baseColWidth="10" defaultColWidth="10" defaultRowHeight="15"/>
  <s:sheetData>
    <s:row r="1" ht="36">
      <s:c r="B1" s="3">
        <s:f ca="1">TODAY()-1</s:f>
        <s:v>46171</s:v>
      </s:c>
      <s:c r="C1" s="3"/>
      <s:c r="D1" s="4"/>
      <s:c r="E1" s="4"/>
      <s:c r="F1" s="5"/>
      <s:c r="G1" s="5"/>
      <s:c r="H1" s="5"/>
      <s:c r="I1" s="5"/>
      <s:c r="J1" s="6"/>
      <s:c r="K1" s="6"/>
      <s:c r="L1" s="6"/>
      <s:c r="M1" s="6"/>
      <s:c r="N1" s="6"/>
      <s:c r="O1" s="6"/>
      <s:c r="P1" s="6"/>
      <s:c r="Q1" s="6"/>
      <s:c r="R1" s="6"/>
      <s:c r="S1" s="6"/>
      <s:c r="T1" s="6"/>
      <s:c r="U1" s="6"/>
      <s:c r="V1" s="6"/>
      <s:c r="W1" s="7"/>
      <s:c r="X1" s="7"/>
      <s:c r="Y1" s="7"/>
      <s:c r="Z1" s="7"/>
      <s:c r="AA1" s="5"/>
      <s:c r="AB1" s="5"/>
      <s:c r="AC1" s="5"/>
    </s:row>
    <s:row r="2" ht="36">
      <s:c r="B2" s="8" t="s">
        <s:v>89</s:v>
      </s:c>
      <s:c r="C2" s="8"/>
      <s:c r="D2" s="4"/>
      <s:c r="E2" s="4"/>
      <s:c r="F2" s="5"/>
      <s:c r="G2" s="5"/>
      <s:c r="H2" s="5"/>
      <s:c r="I2" s="5"/>
      <s:c r="J2" s="304" t="s">
        <s:v>1</s:v>
      </s:c>
      <s:c r="K2" s="304"/>
      <s:c r="L2" s="304"/>
      <s:c r="M2" s="304"/>
      <s:c r="N2" s="304"/>
      <s:c r="O2" s="9"/>
      <s:c r="P2" s="9"/>
      <s:c r="Q2" s="9"/>
      <s:c r="R2" s="9"/>
      <s:c r="S2" s="9"/>
      <s:c r="T2" s="9"/>
      <s:c r="U2" s="9"/>
      <s:c r="V2" s="9"/>
      <s:c r="W2" s="7"/>
      <s:c r="X2" s="7"/>
      <s:c r="Y2" s="7"/>
      <s:c r="Z2" s="7"/>
      <s:c r="AA2" s="5"/>
      <s:c r="AB2" s="5"/>
      <s:c r="AC2" s="5"/>
    </s:row>
    <s:row r="3" ht="36">
      <s:c r="B3" s="10" t="s">
        <s:v>2</s:v>
      </s:c>
      <s:c r="C3" s="4"/>
      <s:c r="D3" s="4"/>
      <s:c r="E3" s="4"/>
      <s:c r="F3" s="5"/>
      <s:c r="G3" s="5"/>
      <s:c r="H3" s="5"/>
      <s:c r="I3" s="5"/>
      <s:c r="J3" s="305" t="str">
        <s:f>График!B27</s:f>
        <s:v>Свидовская София</s:v>
      </s:c>
      <s:c r="K3" s="306"/>
      <s:c r="L3" s="306"/>
      <s:c r="M3" s="306"/>
      <s:c r="N3" s="307"/>
      <s:c r="O3" s="9"/>
      <s:c r="P3" s="9"/>
      <s:c r="Q3" s="9"/>
      <s:c r="R3" s="9"/>
      <s:c r="S3" s="9"/>
      <s:c r="T3" s="9"/>
      <s:c r="U3" s="6"/>
      <s:c r="V3" s="14"/>
      <s:c r="W3" s="7"/>
      <s:c r="X3" s="7"/>
      <s:c r="Y3" s="7"/>
      <s:c r="Z3" s="7"/>
      <s:c r="AA3" s="5"/>
      <s:c r="AB3" s="5"/>
      <s:c r="AC3" s="5"/>
    </s:row>
    <s:row r="4" ht="36">
      <s:c r="B4" s="4"/>
      <s:c r="C4" s="308">
        <s:f>I8-D48</s:f>
        <s:v>206054.23448275868</s:v>
      </s:c>
      <s:c r="D4" s="308"/>
      <s:c r="E4" s="309">
        <s:f>IF(I8&lt;&gt;0,C4/I8,0)</s:f>
        <s:v>0.45321883005845676</s:v>
      </s:c>
      <s:c r="F4" s="5"/>
      <s:c r="G4" s="5"/>
      <s:c r="H4" s="5"/>
      <s:c r="I4" s="5"/>
      <s:c r="J4" s="310"/>
      <s:c r="K4" s="311"/>
      <s:c r="L4" s="311"/>
      <s:c r="M4" s="311"/>
      <s:c r="N4" s="312"/>
      <s:c r="O4" s="9"/>
      <s:c r="P4" s="9"/>
      <s:c r="Q4" s="9"/>
      <s:c r="R4" s="9"/>
      <s:c r="S4" s="9"/>
      <s:c r="T4" s="9"/>
      <s:c r="U4" s="5"/>
      <s:c r="V4" s="5"/>
      <s:c r="W4" s="7"/>
      <s:c r="X4" s="7"/>
      <s:c r="Y4" s="7"/>
      <s:c r="Z4" s="7"/>
      <s:c r="AA4" s="5"/>
      <s:c r="AB4" s="5"/>
      <s:c r="AC4" s="5"/>
    </s:row>
    <s:row r="5">
      <s:c r="B5" s="5"/>
      <s:c r="C5" s="5"/>
      <s:c r="D5" s="5"/>
      <s:c r="E5" s="5"/>
      <s:c r="F5" s="5"/>
      <s:c r="G5" s="5"/>
      <s:c r="H5" s="5"/>
      <s:c r="I5" s="5"/>
      <s:c r="J5" s="22"/>
      <s:c r="K5" s="22"/>
      <s:c r="L5" s="22"/>
      <s:c r="M5" s="22"/>
      <s:c r="N5" s="22"/>
      <s:c r="O5" s="22"/>
      <s:c r="P5" s="22"/>
      <s:c r="Q5" s="22"/>
      <s:c r="R5" s="22"/>
      <s:c r="S5" s="22"/>
      <s:c r="T5" s="22"/>
      <s:c r="U5" s="5"/>
      <s:c r="V5" s="5"/>
      <s:c r="W5" s="5"/>
      <s:c r="X5" s="5"/>
      <s:c r="Y5" s="5"/>
      <s:c r="Z5" s="5"/>
      <s:c r="AA5" s="5"/>
      <s:c r="AB5" s="5"/>
      <s:c r="AC5" s="5"/>
    </s:row>
    <s:row r="6" ht="16">
      <s:c r="B6" s="23"/>
      <s:c r="C6" s="5"/>
      <s:c r="D6" s="5"/>
      <s:c r="E6" s="5"/>
      <s:c r="F6" s="25" t="s">
        <s:v>4</s:v>
      </s:c>
      <s:c r="G6" s="26"/>
      <s:c r="H6" s="26"/>
      <s:c r="I6" s="26"/>
      <s:c r="J6" s="26"/>
      <s:c r="K6" s="26"/>
      <s:c r="L6" s="26"/>
      <s:c r="M6" s="26"/>
      <s:c r="N6" s="26"/>
      <s:c r="O6" s="26"/>
      <s:c r="P6" s="26"/>
      <s:c r="Q6" s="27"/>
      <s:c r="R6" s="22"/>
      <s:c r="S6" s="22"/>
      <s:c r="T6" s="22"/>
      <s:c r="U6" s="28"/>
      <s:c r="V6" s="28"/>
      <s:c r="W6" s="5"/>
      <s:c r="X6" s="28"/>
      <s:c r="Y6" s="28"/>
      <s:c r="Z6" s="5"/>
      <s:c r="AA6" s="5"/>
      <s:c r="AB6" s="5"/>
      <s:c r="AC6" s="5"/>
    </s:row>
    <s:row r="7" ht="60">
      <s:c r="B7" s="23"/>
      <s:c r="C7" s="5"/>
      <s:c r="D7" s="5"/>
      <s:c r="E7" s="29"/>
      <s:c r="F7" s="313" t="s">
        <s:v>5</s:v>
      </s:c>
      <s:c r="G7" s="313"/>
      <s:c r="H7" s="313"/>
      <s:c r="I7" s="31" t="s">
        <s:v>6</s:v>
      </s:c>
      <s:c r="J7" s="32" t="s">
        <s:v>7</s:v>
      </s:c>
      <s:c r="K7" s="33" t="s">
        <s:v>8</s:v>
      </s:c>
      <s:c r="L7" s="34" t="s">
        <s:v>9</s:v>
      </s:c>
      <s:c r="M7" s="34" t="s">
        <s:v>10</s:v>
      </s:c>
      <s:c r="N7" s="35" t="s">
        <s:v>11</s:v>
      </s:c>
      <s:c r="O7" s="36" t="s">
        <s:v>12</s:v>
      </s:c>
      <s:c r="P7" s="374" t="s">
        <s:v>13</s:v>
      </s:c>
      <s:c r="Q7" s="375"/>
      <s:c r="R7" s="22"/>
      <s:c r="S7" s="22"/>
      <s:c r="T7" s="22"/>
      <s:c r="U7" s="28"/>
      <s:c r="V7" s="28"/>
      <s:c r="W7" s="5"/>
      <s:c r="X7" s="5"/>
      <s:c r="Y7" s="5"/>
      <s:c r="Z7" s="5"/>
    </s:row>
    <s:row r="8">
      <s:c r="B8" s="23"/>
      <s:c r="C8" s="5"/>
      <s:c r="D8" s="5"/>
      <s:c r="E8" s="5"/>
      <s:c r="F8" s="59" t="s">
        <s:v>14</s:v>
      </s:c>
      <s:c r="G8" s="59"/>
      <s:c r="H8" s="59"/>
      <s:c r="I8" s="314">
        <s:f>Центрум!I8/График!AJ29*График!AJ27</s:f>
        <s:v>454646.23448275868</s:v>
      </s:c>
      <s:c r="J8" s="41">
        <s:f>D48</s:f>
        <s:v>248592</s:v>
      </s:c>
      <s:c r="K8" s="315">
        <s:f>IF(AND(I8&lt;&gt;"",I8&lt;&gt;0,J8&lt;&gt;""),J8/I8,"")</s:f>
        <s:v>0.54678116994154324</s:v>
      </s:c>
      <s:c r="L8" s="43">
        <s:f>IF(SUMIF($D$25:$D$47,"&gt;=0",$V$25:$V$47)&lt;&gt;0,I8*D48/SUMIF($D$25:$D$47,"&gt;=0",$V$25:$V$47),0)</s:f>
        <s:v>260531.19955260603</s:v>
      </s:c>
      <s:c r="M8" s="316">
        <s:f>L8/I8</s:f>
        <s:v>0.5730415866063574</s:v>
      </s:c>
      <s:c r="N8" s="45">
        <s:f>IF(AND(J8&lt;&gt;0,J8&lt;&gt;"",I8&lt;&gt;0,I8&lt;&gt;""),L8-I8,"")</s:f>
        <s:v>-194115.03493015264</s:v>
      </s:c>
      <s:c r="O8" s="46"/>
      <s:c r="P8" s="47" t="str">
        <s:f>IF(AND(O8&lt;&gt;"",O8&lt;&gt;0,L8&lt;&gt;"",L8&lt;&gt;0),-O8+L8,"")</s:f>
        <s:v/>
      </s:c>
      <s:c r="Q8" s="48" t="str">
        <s:f>IF(AND(P8&lt;&gt;"",P8&lt;&gt;0,O8&lt;&gt;0,O8&lt;&gt;""),P8/O8,"")</s:f>
        <s:v/>
      </s:c>
      <s:c r="R8" s="22"/>
      <s:c r="S8" s="22"/>
      <s:c r="T8" s="22"/>
      <s:c r="U8" s="28"/>
      <s:c r="V8" s="28"/>
      <s:c r="W8" s="5"/>
      <s:c r="X8" s="5"/>
      <s:c r="Y8" s="5"/>
      <s:c r="Z8" s="5"/>
    </s:row>
    <s:row r="9">
      <s:c r="B9" s="23"/>
      <s:c r="C9" s="5"/>
      <s:c r="D9" s="5"/>
      <s:c r="E9" s="5"/>
      <s:c r="F9" s="49" t="s">
        <s:v>15</s:v>
      </s:c>
      <s:c r="G9" s="49"/>
      <s:c r="H9" s="49"/>
      <s:c r="I9" s="50">
        <s:f>I8/I11</s:f>
        <s:v>62.623448275862074</s:v>
      </s:c>
      <s:c r="J9" s="51">
        <s:f>E48</s:f>
        <s:v>33</s:v>
      </s:c>
      <s:c r="K9" s="317">
        <s:f>IF(AND(I9&lt;&gt;"",I9&lt;&gt;0,J9&lt;&gt;""),J9/I9,"")</s:f>
        <s:v>0.52695916479450244</s:v>
      </s:c>
      <s:c r="L9" s="79">
        <s:f>IF(SUMIF($E$25:$E$47,"&gt;=0",$W$25:$W$47)&lt;&gt;0,I9*E48/SUMIF($E$25:$E$47,"&gt;=0",$W$25:$W$47),0)</s:f>
        <s:v>33.436318503615311</s:v>
      </s:c>
      <s:c r="M9" s="318">
        <s:f>IF(AND(I9&lt;&gt;"",I9&lt;&gt;0,L9&lt;&gt;"",L9&lt;&gt;0),L9/I9,"")</s:f>
        <s:v>0.53392649916569968</s:v>
      </s:c>
      <s:c r="N9" s="55">
        <s:f>IF(AND(J9&lt;&gt;0,J9&lt;&gt;"",I9&lt;&gt;0,I9&lt;&gt;""),L9-I9,"")</s:f>
        <s:v>-29.187129772246763</s:v>
      </s:c>
      <s:c r="O9" s="56" t="e">
        <s:f>O8/O11</s:f>
        <s:v>#DIV/0!</s:v>
      </s:c>
      <s:c r="P9" s="57" t="e">
        <s:f>IF(AND(O9&lt;&gt;"",O9&lt;&gt;0,L9&lt;&gt;"",L9&lt;&gt;0),-O9+L9,"")</s:f>
        <s:v>#DIV/0!</s:v>
      </s:c>
      <s:c r="Q9" s="58" t="e">
        <s:f>IF(AND(P9&lt;&gt;"",P9&lt;&gt;0,O9&lt;&gt;0,O9&lt;&gt;""),P9/O9,"")</s:f>
        <s:v>#DIV/0!</s:v>
      </s:c>
      <s:c r="R9" s="22"/>
      <s:c r="S9" s="22"/>
      <s:c r="T9" s="22"/>
      <s:c r="U9" s="28"/>
      <s:c r="V9" s="28"/>
      <s:c r="W9" s="5"/>
      <s:c r="X9" s="5"/>
      <s:c r="Y9" s="5"/>
      <s:c r="Z9" s="5"/>
    </s:row>
    <s:row r="10">
      <s:c r="B10" s="23"/>
      <s:c r="C10" s="5"/>
      <s:c r="D10" s="5"/>
      <s:c r="E10" s="5"/>
      <s:c r="F10" s="59" t="s">
        <s:v>16</s:v>
      </s:c>
      <s:c r="G10" s="59"/>
      <s:c r="H10" s="59"/>
      <s:c r="I10" s="60">
        <s:f>I11*I12</s:f>
        <s:v>13358.400000000001</s:v>
      </s:c>
      <s:c r="J10" s="61">
        <s:f>H48</s:f>
        <s:v>10808.347826086956</s:v>
      </s:c>
      <s:c r="K10" s="319">
        <s:f>IF(AND(I10&lt;&gt;"",I10&lt;&gt;0,J10&lt;&gt;""),J10/I10,"")</s:f>
        <s:v>0.80910496961364797</s:v>
      </s:c>
      <s:c r="L10" s="79">
        <s:f>J10</s:f>
        <s:v>10808.347826086956</s:v>
      </s:c>
      <s:c r="M10" s="320">
        <s:f>IF(AND(I10&lt;&gt;"",I10&lt;&gt;0,L10&lt;&gt;"",L10&lt;&gt;0),L10/I10,"")</s:f>
        <s:v>0.80910496961364797</s:v>
      </s:c>
      <s:c r="N10" s="64">
        <s:f>IF(AND(J10&lt;&gt;0,J10&lt;&gt;"",I10&lt;&gt;0,I10&lt;&gt;""),L10-I10,"")</s:f>
        <s:v>-2550.0521739130454</s:v>
      </s:c>
      <s:c r="O10" s="65">
        <s:f>O11*O12</s:f>
        <s:v>0</s:v>
      </s:c>
      <s:c r="P10" s="66" t="str">
        <s:f>IF(AND(O10&lt;&gt;"",O10&lt;&gt;0,L10&lt;&gt;"",L10&lt;&gt;0),-O10+L10,"")</s:f>
        <s:v/>
      </s:c>
      <s:c r="Q10" s="67" t="str">
        <s:f>IF(AND(P10&lt;&gt;"",P10&lt;&gt;0,O10&lt;&gt;0,O10&lt;&gt;""),P10/O10,"")</s:f>
        <s:v/>
      </s:c>
      <s:c r="R10" s="22"/>
      <s:c r="S10" s="22"/>
      <s:c r="T10" s="22"/>
      <s:c r="U10" s="28"/>
      <s:c r="V10" s="28"/>
      <s:c r="W10" s="5"/>
      <s:c r="X10" s="5"/>
      <s:c r="Y10" s="5"/>
      <s:c r="Z10" s="5"/>
    </s:row>
    <s:row r="11">
      <s:c r="B11" s="23"/>
      <s:c r="C11" s="5"/>
      <s:c r="D11" s="5"/>
      <s:c r="E11" s="5"/>
      <s:c r="F11" s="49" t="s">
        <s:v>17</s:v>
      </s:c>
      <s:c r="G11" s="49"/>
      <s:c r="H11" s="49"/>
      <s:c r="I11" s="68">
        <s:f>Центрум!I11</s:f>
        <s:v>7260</s:v>
      </s:c>
      <s:c r="J11" s="51">
        <s:f>F48</s:f>
        <s:v>7533.090909090909</s:v>
      </s:c>
      <s:c r="K11" s="317">
        <s:f>IF(AND(I11&lt;&gt;"",I11&lt;&gt;0,J11&lt;&gt;""),J11/I11,"")</s:f>
        <s:v>1.0376158276984724</s:v>
      </s:c>
      <s:c r="L11" s="79">
        <s:f>J11</s:f>
        <s:v>7533.090909090909</s:v>
      </s:c>
      <s:c r="M11" s="318">
        <s:f>IF(AND(I11&lt;&gt;"",I11&lt;&gt;0,L11&lt;&gt;"",L11&lt;&gt;0),L11/I11,"")</s:f>
        <s:v>1.0376158276984724</s:v>
      </s:c>
      <s:c r="N11" s="55">
        <s:f>IF(AND(J11&lt;&gt;0,J11&lt;&gt;"",I11&lt;&gt;0,I11&lt;&gt;""),L11-I11,"")</s:f>
        <s:v>273.09090909090901</s:v>
      </s:c>
      <s:c r="O11" s="69"/>
      <s:c r="P11" s="57" t="str">
        <s:f>IF(AND(O11&lt;&gt;"",O11&lt;&gt;0,L11&lt;&gt;"",L11&lt;&gt;0),-O11+L11,"")</s:f>
        <s:v/>
      </s:c>
      <s:c r="Q11" s="58" t="str">
        <s:f>IF(AND(P11&lt;&gt;"",P11&lt;&gt;0,O11&lt;&gt;0,O11&lt;&gt;""),P11/O11,"")</s:f>
        <s:v/>
      </s:c>
      <s:c r="R11" s="22"/>
      <s:c r="S11" s="22"/>
      <s:c r="T11" s="22"/>
      <s:c r="U11" s="28"/>
      <s:c r="V11" s="5"/>
      <s:c r="W11" s="5"/>
      <s:c r="X11" s="5"/>
      <s:c r="Y11" s="5"/>
      <s:c r="Z11" s="5"/>
    </s:row>
    <s:row r="12">
      <s:c r="B12" s="23"/>
      <s:c r="C12" s="5"/>
      <s:c r="D12" s="5"/>
      <s:c r="E12" s="5"/>
      <s:c r="F12" s="49" t="s">
        <s:v>18</s:v>
      </s:c>
      <s:c r="G12" s="49"/>
      <s:c r="H12" s="49"/>
      <s:c r="I12" s="70">
        <s:f>Центрум!I12</s:f>
        <s:v>1.84</s:v>
      </s:c>
      <s:c r="J12" s="71">
        <s:f>J48</s:f>
        <s:v>1.4347826086956521</s:v>
      </s:c>
      <s:c r="K12" s="317">
        <s:f>IF(AND(I12&lt;&gt;"",I12&lt;&gt;0,J12&lt;&gt;""),J12/I12,"")</s:f>
        <s:v>0.77977315689981086</s:v>
      </s:c>
      <s:c r="L12" s="79">
        <s:f>J12</s:f>
        <s:v>1.4347826086956521</s:v>
      </s:c>
      <s:c r="M12" s="318">
        <s:f>IF(AND(I12&lt;&gt;"",I12&lt;&gt;0,L12&lt;&gt;"",L12&lt;&gt;0),L12/I12,"")</s:f>
        <s:v>0.77977315689981086</s:v>
      </s:c>
      <s:c r="N12" s="73">
        <s:f>IF(AND(J12&lt;&gt;0,J12&lt;&gt;"",I12&lt;&gt;0,I12&lt;&gt;""),L12-I12,"")</s:f>
        <s:v>-0.40521739130434797</s:v>
      </s:c>
      <s:c r="O12" s="74"/>
      <s:c r="P12" s="57" t="str">
        <s:f>IF(AND(O12&lt;&gt;"",O12&lt;&gt;0,L12&lt;&gt;"",L12&lt;&gt;0),-O12+L12,"")</s:f>
        <s:v/>
      </s:c>
      <s:c r="Q12" s="58" t="str">
        <s:f>IF(AND(P12&lt;&gt;"",P12&lt;&gt;0,O12&lt;&gt;0,O12&lt;&gt;""),P12/O12,"")</s:f>
        <s:v/>
      </s:c>
      <s:c r="R12" s="22"/>
      <s:c r="S12" s="22"/>
      <s:c r="T12" s="22"/>
      <s:c r="U12" s="28"/>
      <s:c r="V12" s="5"/>
      <s:c r="W12" s="5"/>
      <s:c r="X12" s="5"/>
      <s:c r="Y12" s="5"/>
      <s:c r="Z12" s="5"/>
    </s:row>
    <s:row r="13">
      <s:c r="B13" s="23"/>
      <s:c r="C13" s="5"/>
      <s:c r="D13" s="5"/>
      <s:c r="E13" s="5"/>
      <s:c r="F13" s="49" t="s">
        <s:v>19</s:v>
      </s:c>
      <s:c r="G13" s="49"/>
      <s:c r="H13" s="49"/>
      <s:c r="I13" s="50">
        <s:f>IF(I12&lt;&gt;0,I9/I12,"")</s:f>
        <s:v>34.03448275862069</s:v>
      </s:c>
      <s:c r="J13" s="51">
        <s:f>G48</s:f>
        <s:v>23</s:v>
      </s:c>
      <s:c r="K13" s="317">
        <s:f>IF(AND(I13&lt;&gt;"",I13&lt;&gt;0,J13&lt;&gt;""),J13/I13,"")</s:f>
        <s:v>0.67578520770010131</s:v>
      </s:c>
      <s:c r="L13" s="79">
        <s:f>IF(SUMIF($G$25:$G$47,"&gt;=0",$X$25:$X$47)&lt;&gt;0,I13*G48/SUMIF($G$25:$G$47,"&gt;=0",$X$25:$X$47),"")</s:f>
        <s:v>23.425384981743143</s:v>
      </s:c>
      <s:c r="M13" s="318">
        <s:f>IF(AND(I13&lt;&gt;"",I13&lt;&gt;0,L13&lt;&gt;"",L13&lt;&gt;0),L13/I13,"")</s:f>
        <s:v>0.68828385458009234</s:v>
      </s:c>
      <s:c r="N13" s="73">
        <s:f>IF(AND(J13&lt;&gt;0,J13&lt;&gt;"",I13&lt;&gt;0,I13&lt;&gt;""),L13-I13,"")</s:f>
        <s:v>-10.609097776877547</s:v>
      </s:c>
      <s:c r="O13" s="75"/>
      <s:c r="P13" s="57" t="str">
        <s:f>IF(AND(O13&lt;&gt;"",O13&lt;&gt;0,L13&lt;&gt;"",L13&lt;&gt;0),-O13+L13,"")</s:f>
        <s:v/>
      </s:c>
      <s:c r="Q13" s="58" t="str">
        <s:f>IF(AND(P13&lt;&gt;"",P13&lt;&gt;0,O13&lt;&gt;0,O13&lt;&gt;""),P13/O13,"")</s:f>
        <s:v/>
      </s:c>
      <s:c r="R13" s="22"/>
      <s:c r="S13" s="22"/>
      <s:c r="T13" s="22"/>
      <s:c r="U13" s="28"/>
      <s:c r="V13" s="5"/>
      <s:c r="W13" s="5"/>
      <s:c r="X13" s="5"/>
      <s:c r="Y13" s="5"/>
      <s:c r="Z13" s="5"/>
    </s:row>
    <s:row r="14">
      <s:c r="B14" s="23"/>
      <s:c r="C14" s="5"/>
      <s:c r="D14" s="5"/>
      <s:c r="E14" s="5"/>
      <s:c r="F14" s="49" t="s">
        <s:v>85</s:v>
      </s:c>
      <s:c r="G14" s="49"/>
      <s:c r="H14" s="49"/>
      <s:c r="I14" s="68">
        <s:f>График!AI27</s:f>
        <s:v>13</s:v>
      </s:c>
      <s:c r="J14" s="76">
        <s:v>13</s:v>
      </s:c>
      <s:c r="K14" s="317">
        <s:f>IF(AND(I14&lt;&gt;"",I14&lt;&gt;0,J14&lt;&gt;""),J14/I14,"")</s:f>
        <s:v>1</s:v>
      </s:c>
      <s:c r="L14" s="79">
        <s:f>IF(SUMIF($D$25:$D$47,"&gt;=0",$V$25:$V$47),I48*I8/SUMIF($D$25:$D$47,"&gt;=0",$V$25:$V$47),"")</s:f>
        <s:v>176.06858436650339</s:v>
      </s:c>
      <s:c r="M14" s="318"/>
      <s:c r="N14" s="55">
        <s:f>IF(AND(J14&lt;&gt;0,J14&lt;&gt;"",I14&lt;&gt;0,I14&lt;&gt;""),L14-I14,"")</s:f>
        <s:v>163.06858436650339</s:v>
      </s:c>
      <s:c r="O14" s="75"/>
      <s:c r="P14" s="57" t="str">
        <s:f>IF(AND(O14&lt;&gt;"",O14&lt;&gt;0,L14&lt;&gt;"",L14&lt;&gt;0),-O14+L14,"")</s:f>
        <s:v/>
      </s:c>
      <s:c r="Q14" s="58" t="str">
        <s:f>IF(AND(P14&lt;&gt;"",P14&lt;&gt;0,O14&lt;&gt;0,O14&lt;&gt;""),P14/O14,"")</s:f>
        <s:v/>
      </s:c>
      <s:c r="R14" s="22"/>
      <s:c r="S14" s="22"/>
      <s:c r="T14" s="22"/>
      <s:c r="U14" s="28"/>
      <s:c r="V14" s="77"/>
      <s:c r="W14" s="5"/>
      <s:c r="X14" s="5"/>
      <s:c r="Y14" s="5"/>
      <s:c r="Z14" s="5"/>
    </s:row>
    <s:row r="15">
      <s:c r="B15" s="23"/>
      <s:c r="C15" s="5"/>
      <s:c r="D15" s="5"/>
      <s:c r="E15" s="5"/>
      <s:c r="F15" s="49" t="s">
        <s:v>21</s:v>
      </s:c>
      <s:c r="G15" s="49"/>
      <s:c r="H15" s="49"/>
      <s:c r="I15" s="321">
        <s:f>Центрум!I15/2</s:f>
        <s:v>33396.000000000007</s:v>
      </s:c>
      <s:c r="J15" s="85">
        <s:f>J8/J14</s:f>
        <s:v>19122.461538461539</s:v>
      </s:c>
      <s:c r="K15" s="322">
        <s:f>IF(AND(I15&lt;&gt;"",I15&lt;&gt;0,J15&lt;&gt;""),J15/I15,"")</s:f>
        <s:v>0.57259736311119702</s:v>
      </s:c>
      <s:c r="L15" s="86">
        <s:f>J15</s:f>
        <s:v>19122.461538461539</s:v>
      </s:c>
      <s:c r="M15" s="318">
        <s:f>IF(AND(I15&lt;&gt;"",I15&lt;&gt;0,L15&lt;&gt;"",L15&lt;&gt;0),L15/I15,"")</s:f>
        <s:v>0.57259736311119702</s:v>
      </s:c>
      <s:c r="N15" s="55">
        <s:f>IF(AND(J15&lt;&gt;0,J15&lt;&gt;"",I15&lt;&gt;0,I15&lt;&gt;""),L15-I15,"")</s:f>
        <s:v>-14273.538461538468</s:v>
      </s:c>
      <s:c r="O15" s="88"/>
      <s:c r="P15" s="57" t="str">
        <s:f>IF(AND(O15&lt;&gt;"",O15&lt;&gt;0,L15&lt;&gt;"",L15&lt;&gt;0),-O15+L15,"")</s:f>
        <s:v/>
      </s:c>
      <s:c r="Q15" s="58" t="str">
        <s:f>IF(AND(P15&lt;&gt;"",P15&lt;&gt;0,O15&lt;&gt;0,O15&lt;&gt;""),P15/O15,"")</s:f>
        <s:v/>
      </s:c>
      <s:c r="R15" s="22"/>
      <s:c r="S15" s="22"/>
      <s:c r="T15" s="22"/>
      <s:c r="U15" s="28"/>
      <s:c r="V15" s="28"/>
      <s:c r="W15" s="5"/>
      <s:c r="X15" s="5"/>
      <s:c r="Y15" s="5"/>
      <s:c r="Z15" s="5"/>
    </s:row>
    <s:row r="16" ht="24">
      <s:c r="B16" s="23"/>
      <s:c r="C16" s="5"/>
      <s:c r="D16" s="5"/>
      <s:c r="E16" s="5"/>
      <s:c r="F16" s="49" t="s">
        <s:v>22</s:v>
      </s:c>
      <s:c r="G16" s="49"/>
      <s:c r="H16" s="49"/>
      <s:c r="I16" s="321"/>
      <s:c r="J16" s="85">
        <s:f>J8-I15*J14</s:f>
        <s:v>-185556.00000000012</s:v>
      </s:c>
      <s:c r="K16" s="322" t="str">
        <s:f>IF(AND(I16&lt;&gt;"",I16&lt;&gt;0,J16&lt;&gt;""),J16/I16,"")</s:f>
        <s:v/>
      </s:c>
      <s:c r="L16" s="86">
        <s:f>J16</s:f>
        <s:v>-185556.00000000012</s:v>
      </s:c>
      <s:c r="M16" s="323" t="str">
        <s:f>IF(AND(I16&lt;&gt;"",I16&lt;&gt;0,L16&lt;&gt;"",L16&lt;&gt;0),L16/I16,"")</s:f>
        <s:v/>
      </s:c>
      <s:c r="N16" s="55" t="str">
        <s:f>IF(AND(J16&lt;&gt;0,J16&lt;&gt;"",I16&lt;&gt;0,I16&lt;&gt;""),L16-I16,"")</s:f>
        <s:v/>
      </s:c>
      <s:c r="O16" s="88"/>
      <s:c r="P16" s="57" t="str">
        <s:f>IF(AND(O16&lt;&gt;"",O16&lt;&gt;0,L16&lt;&gt;"",L16&lt;&gt;0),-O16+L16,"")</s:f>
        <s:v/>
      </s:c>
      <s:c r="Q16" s="58" t="str">
        <s:f>IF(AND(P16&lt;&gt;"",P16&lt;&gt;0,O16&lt;&gt;0,O16&lt;&gt;""),P16/O16,"")</s:f>
        <s:v/>
      </s:c>
      <s:c r="R16" s="22"/>
      <s:c r="S16" s="22"/>
      <s:c r="T16" s="22"/>
      <s:c r="U16" s="28"/>
      <s:c r="V16" s="324" t="s">
        <s:v>23</s:v>
      </s:c>
      <s:c r="W16" s="5"/>
      <s:c r="X16" s="5"/>
      <s:c r="Y16" s="5"/>
      <s:c r="Z16" s="5"/>
    </s:row>
    <s:row r="17">
      <s:c r="B17" s="23"/>
      <s:c r="C17" s="5"/>
      <s:c r="D17" s="5"/>
      <s:c r="E17" s="5"/>
      <s:c r="F17" s="49" t="s">
        <s:v>24</s:v>
      </s:c>
      <s:c r="G17" s="49"/>
      <s:c r="H17" s="49"/>
      <s:c r="I17" s="321">
        <s:f>Центрум!I17/График!AJ29*График!AJ27</s:f>
        <s:v>340.34482758620686</s:v>
      </s:c>
      <s:c r="J17" s="85">
        <s:f>I48</s:f>
        <s:v>168</s:v>
      </s:c>
      <s:c r="K17" s="322">
        <s:f>IF(AND(I17&lt;&gt;"",I17&lt;&gt;0,J17&lt;&gt;""),J17/I17,"")</s:f>
        <s:v>0.49361702127659579</s:v>
      </s:c>
      <s:c r="L17" s="86">
        <s:f>J17/J14*I14</s:f>
        <s:v>168</s:v>
      </s:c>
      <s:c r="M17" s="323">
        <s:f>IF(AND(I17&lt;&gt;"",I17&lt;&gt;0,L17&lt;&gt;"",L17&lt;&gt;0),L17/I17,"")</s:f>
        <s:v>0.49361702127659579</s:v>
      </s:c>
      <s:c r="N17" s="55">
        <s:f>IF(AND(J17&lt;&gt;0,J17&lt;&gt;"",I17&lt;&gt;0,I17&lt;&gt;""),L17-I17,"")</s:f>
        <s:v>-172.34482758620686</s:v>
      </s:c>
      <s:c r="O17" s="88"/>
      <s:c r="P17" s="57" t="str">
        <s:f>IF(AND(O17&lt;&gt;"",O17&lt;&gt;0,L17&lt;&gt;"",L17&lt;&gt;0),-O17+L17,"")</s:f>
        <s:v/>
      </s:c>
      <s:c r="Q17" s="58" t="str">
        <s:f>IF(AND(P17&lt;&gt;"",P17&lt;&gt;0,O17&lt;&gt;0,O17&lt;&gt;""),P17/O17,"")</s:f>
        <s:v/>
      </s:c>
      <s:c r="R17" s="22"/>
      <s:c r="S17" s="22"/>
      <s:c r="T17" s="22"/>
      <s:c r="U17" s="28"/>
      <s:c r="V17" s="324"/>
      <s:c r="W17" s="5"/>
      <s:c r="X17" s="5"/>
      <s:c r="Y17" s="5"/>
      <s:c r="Z17" s="5"/>
    </s:row>
    <s:row r="18">
      <s:c r="B18" s="23"/>
      <s:c r="C18" s="5"/>
      <s:c r="D18" s="5"/>
      <s:c r="E18" s="5"/>
      <s:c r="F18" s="49"/>
      <s:c r="G18" s="49"/>
      <s:c r="H18" s="49"/>
      <s:c r="I18" s="84"/>
      <s:c r="J18" s="85"/>
      <s:c r="K18" s="322" t="str">
        <s:f>IF(AND(I18&lt;&gt;"",I18&lt;&gt;0,J18&lt;&gt;""),J18/I18,"")</s:f>
        <s:v/>
      </s:c>
      <s:c r="L18" s="86">
        <s:f>J18</s:f>
        <s:v>0</s:v>
      </s:c>
      <s:c r="M18" s="323" t="str">
        <s:f>IF(AND(I18&lt;&gt;"",I18&lt;&gt;0,L18&lt;&gt;"",L18&lt;&gt;0),L18/I18,"")</s:f>
        <s:v/>
      </s:c>
      <s:c r="N18" s="55" t="str">
        <s:f>IF(AND(J18&lt;&gt;0,J18&lt;&gt;"",I18&lt;&gt;0,I18&lt;&gt;""),L18-I18,"")</s:f>
        <s:v/>
      </s:c>
      <s:c r="O18" s="325">
        <s:v>0</s:v>
      </s:c>
      <s:c r="P18" s="57" t="str">
        <s:f>IF(AND(O18&lt;&gt;"",O18&lt;&gt;0,L18&lt;&gt;"",L18&lt;&gt;0),-O18+L18,"")</s:f>
        <s:v/>
      </s:c>
      <s:c r="Q18" s="58" t="str">
        <s:f>IF(AND(P18&lt;&gt;"",P18&lt;&gt;0,O18&lt;&gt;0,O18&lt;&gt;""),P18/O18,"")</s:f>
        <s:v/>
      </s:c>
      <s:c r="R18" s="22"/>
      <s:c r="S18" s="22"/>
      <s:c r="T18" s="22"/>
      <s:c r="U18" s="28"/>
      <s:c r="V18" s="83"/>
      <s:c r="W18" s="5"/>
      <s:c r="X18" s="5"/>
      <s:c r="Y18" s="5"/>
      <s:c r="Z18" s="5"/>
    </s:row>
    <s:row r="19">
      <s:c r="B19" s="23"/>
      <s:c r="C19" s="5"/>
      <s:c r="D19" s="5"/>
      <s:c r="E19" s="5"/>
      <s:c r="F19" s="49"/>
      <s:c r="G19" s="49"/>
      <s:c r="H19" s="49"/>
      <s:c r="I19" s="84"/>
      <s:c r="J19" s="85"/>
      <s:c r="K19" s="322" t="str">
        <s:f>IF(AND(I19&lt;&gt;"",I19&lt;&gt;0,J19&lt;&gt;""),J19/I19,"")</s:f>
        <s:v/>
      </s:c>
      <s:c r="L19" s="86">
        <s:f>J19</s:f>
        <s:v>0</s:v>
      </s:c>
      <s:c r="M19" s="323" t="str">
        <s:f>IF(AND(I19&lt;&gt;"",I19&lt;&gt;0,L19&lt;&gt;"",L19&lt;&gt;0),L19/I19,"")</s:f>
        <s:v/>
      </s:c>
      <s:c r="N19" s="55" t="str">
        <s:f>IF(AND(J19&lt;&gt;0,J19&lt;&gt;"",I19&lt;&gt;0,I19&lt;&gt;""),L19-I19,"")</s:f>
        <s:v/>
      </s:c>
      <s:c r="O19" s="88">
        <s:v>0</s:v>
      </s:c>
      <s:c r="P19" s="57" t="str">
        <s:f>IF(AND(O19&lt;&gt;"",O19&lt;&gt;0,L19&lt;&gt;"",L19&lt;&gt;0),-O19+L19,"")</s:f>
        <s:v/>
      </s:c>
      <s:c r="Q19" s="58" t="str">
        <s:f>IF(AND(P19&lt;&gt;"",P19&lt;&gt;0,O19&lt;&gt;0,O19&lt;&gt;""),P19/O19,"")</s:f>
        <s:v/>
      </s:c>
      <s:c r="R19" s="22"/>
      <s:c r="S19" s="22"/>
      <s:c r="T19" s="22"/>
      <s:c r="U19" s="28"/>
      <s:c r="V19" s="52" t="e">
        <s:f>V18/I16</s:f>
        <s:v>#DIV/0!</s:v>
      </s:c>
      <s:c r="W19" s="5"/>
      <s:c r="X19" s="5"/>
      <s:c r="Y19" s="5"/>
      <s:c r="Z19" s="5"/>
    </s:row>
    <s:row r="20">
      <s:c r="B20" s="23"/>
      <s:c r="C20" s="5"/>
      <s:c r="D20" s="5"/>
      <s:c r="E20" s="5"/>
      <s:c r="F20" s="89" t="s">
        <s:v>90</s:v>
      </s:c>
      <s:c r="G20" s="89"/>
      <s:c r="H20" s="89"/>
      <s:c r="I20" s="326">
        <s:f>Центрум!I20</s:f>
        <s:v>0.1</s:v>
      </s:c>
      <s:c r="J20" s="327">
        <s:f>T48</s:f>
        <s:v>0.13690476190476192</s:v>
      </s:c>
      <s:c r="K20" s="91">
        <s:f>J20/I20</s:f>
        <s:v>1.3690476190476191</s:v>
      </s:c>
      <s:c r="L20" s="92">
        <s:f>IF(AND(K8&lt;&gt;0,I14&lt;&gt;0,I48&lt;&gt;0),(I48*T48+(I48/K8-I48)*I20)/(I48/K8),0)</s:f>
        <s:v>0.12017882889069981</s:v>
      </s:c>
      <s:c r="M20" s="328">
        <s:f>IF(AND(I20&lt;&gt;"",I20&lt;&gt;0,L20&lt;&gt;"",L20&lt;&gt;0),L20/I20,"")</s:f>
        <s:v>1.201788288906998</s:v>
      </s:c>
      <s:c r="N20" s="94">
        <s:f>IF(AND(J20&lt;&gt;0,J20&lt;&gt;"",I20&lt;&gt;0,I20&lt;&gt;""),L20-I20,"")</s:f>
        <s:v>2.0178828890699801E-2</s:v>
      </s:c>
      <s:c r="O20" s="95"/>
      <s:c r="P20" s="96" t="str">
        <s:f>IF(AND(O20&lt;&gt;"",O20&lt;&gt;0,L20&lt;&gt;"",L20&lt;&gt;0),-O20+L20,"")</s:f>
        <s:v/>
      </s:c>
      <s:c r="Q20" s="97" t="str">
        <s:f>IF(AND(P20&lt;&gt;"",P20&lt;&gt;0,O20&lt;&gt;0,O20&lt;&gt;""),P20/O20,"")</s:f>
        <s:v/>
      </s:c>
      <s:c r="R20" s="22"/>
      <s:c r="S20" s="22"/>
      <s:c r="T20" s="22"/>
      <s:c r="U20" s="28"/>
      <s:c r="V20" s="28"/>
      <s:c r="W20" s="5"/>
      <s:c r="X20" s="5"/>
      <s:c r="Y20" s="5"/>
      <s:c r="Z20" s="5"/>
    </s:row>
    <s:row r="21">
      <s:c r="B21" s="23"/>
      <s:c r="C21" s="5"/>
      <s:c r="D21" s="5"/>
      <s:c r="E21" s="5"/>
      <s:c r="F21" s="5"/>
      <s:c r="G21" s="5"/>
      <s:c r="H21" s="5"/>
      <s:c r="I21" s="5"/>
      <s:c r="J21" s="5"/>
      <s:c r="K21" s="5"/>
      <s:c r="L21" s="5"/>
      <s:c r="M21" s="5"/>
      <s:c r="N21" s="5"/>
      <s:c r="O21" s="5"/>
      <s:c r="P21" s="5"/>
      <s:c r="Q21" s="5"/>
      <s:c r="R21" s="5"/>
      <s:c r="S21" s="5"/>
      <s:c r="T21" s="5"/>
      <s:c r="U21" s="5"/>
      <s:c r="V21" s="5"/>
      <s:c r="W21" s="5"/>
      <s:c r="X21" s="28"/>
      <s:c r="Y21" s="28"/>
      <s:c r="Z21" s="5"/>
      <s:c r="AA21" s="5"/>
      <s:c r="AB21" s="5"/>
      <s:c r="AC21" s="5"/>
    </s:row>
    <s:row r="22" ht="36">
      <s:c r="B22" s="329" t="s">
        <s:v>26</s:v>
      </s:c>
      <s:c r="C22" s="329"/>
      <s:c r="D22" s="329"/>
      <s:c r="E22" s="329"/>
      <s:c r="F22" s="329"/>
      <s:c r="G22" s="329"/>
      <s:c r="H22" s="329"/>
      <s:c r="I22" s="329"/>
      <s:c r="J22" s="329"/>
      <s:c r="K22" s="329"/>
      <s:c r="L22" s="388"/>
      <s:c r="M22" s="388"/>
      <s:c r="N22" s="388"/>
      <s:c r="O22" s="329"/>
      <s:c r="P22" s="329"/>
      <s:c r="Q22" s="329"/>
      <s:c r="R22" s="329"/>
      <s:c r="S22" s="329"/>
      <s:c r="T22" s="329"/>
      <s:c r="U22" s="330" t="s">
        <s:v>47</s:v>
      </s:c>
      <s:c r="V22" s="329" t="s">
        <s:v>27</s:v>
      </s:c>
      <s:c r="W22" s="329"/>
      <s:c r="X22" s="329"/>
      <s:c r="Y22" s="329"/>
      <s:c r="Z22" s="329"/>
      <s:c r="AA22" s="329"/>
      <s:c r="AB22" s="329"/>
      <s:c r="AC22" s="329"/>
    </s:row>
    <s:row r="23" ht="36">
      <s:c r="B23" s="330" t="s">
        <s:v>29</s:v>
      </s:c>
      <s:c r="C23" s="330" t="s">
        <s:v>30</s:v>
      </s:c>
      <s:c r="D23" s="330" t="s">
        <s:v>31</s:v>
      </s:c>
      <s:c r="E23" s="330" t="s">
        <s:v>32</s:v>
      </s:c>
      <s:c r="F23" s="330" t="s">
        <s:v>33</s:v>
      </s:c>
      <s:c r="G23" s="330" t="s">
        <s:v>34</s:v>
      </s:c>
      <s:c r="H23" s="330" t="s">
        <s:v>35</s:v>
      </s:c>
      <s:c r="I23" s="330" t="s">
        <s:v>24</s:v>
      </s:c>
      <s:c r="J23" s="330" t="s">
        <s:v>36</s:v>
      </s:c>
      <s:c r="K23" s="105" t="s">
        <s:v>37</s:v>
      </s:c>
      <s:c r="L23" s="105" t="s">
        <s:v>38</s:v>
      </s:c>
      <s:c r="M23" s="105" t="s">
        <s:v>39</s:v>
      </s:c>
      <s:c r="N23" s="105" t="s">
        <s:v>40</s:v>
      </s:c>
      <s:c r="O23" s="105" t="s">
        <s:v>41</s:v>
      </s:c>
      <s:c r="P23" s="331" t="s">
        <s:v>42</s:v>
      </s:c>
      <s:c r="Q23" s="105" t="s">
        <s:v>43</s:v>
      </s:c>
      <s:c r="R23" s="105" t="s">
        <s:v>44</s:v>
      </s:c>
      <s:c r="S23" s="105" t="s">
        <s:v>45</s:v>
      </s:c>
      <s:c r="T23" s="330" t="s">
        <s:v>46</s:v>
      </s:c>
      <s:c r="U23" s="330"/>
      <s:c r="V23" s="330" t="s">
        <s:v>48</s:v>
      </s:c>
      <s:c r="W23" s="330" t="s">
        <s:v>49</s:v>
      </s:c>
      <s:c r="X23" s="330" t="s">
        <s:v>50</s:v>
      </s:c>
      <s:c r="Y23" s="330" t="s">
        <s:v>51</s:v>
      </s:c>
      <s:c r="Z23" s="330" t="s">
        <s:v>52</s:v>
      </s:c>
      <s:c r="AA23" s="330" t="s">
        <s:v>53</s:v>
      </s:c>
      <s:c r="AB23" s="332" t="s">
        <s:v>54</s:v>
      </s:c>
      <s:c r="AC23" s="332" t="s">
        <s:v>55</s:v>
      </s:c>
      <s:c r="AD23" s="190"/>
    </s:row>
    <s:row r="24">
      <s:c r="A24" s="333"/>
      <s:c r="B24" s="334">
        <s:v>1</s:v>
      </s:c>
      <s:c r="C24" s="335">
        <s:v>2</s:v>
      </s:c>
      <s:c r="D24" s="336">
        <s:v>3</s:v>
      </s:c>
      <s:c r="E24" s="336" t="s">
        <s:v>91</s:v>
      </s:c>
      <s:c r="F24" s="335">
        <s:v>5</s:v>
      </s:c>
      <s:c r="G24" s="336">
        <s:v>6</s:v>
      </s:c>
      <s:c r="H24" s="335">
        <s:v>7</s:v>
      </s:c>
      <s:c r="I24" s="336">
        <s:v>8</s:v>
      </s:c>
      <s:c r="J24" s="336">
        <s:v>9</s:v>
      </s:c>
      <s:c r="K24" s="336">
        <s:v>10</s:v>
      </s:c>
      <s:c r="L24" s="389">
        <s:v>11</s:v>
      </s:c>
      <s:c r="M24" s="389">
        <s:v>12</s:v>
      </s:c>
      <s:c r="N24" s="389">
        <s:v>13</s:v>
      </s:c>
      <s:c r="O24" s="336">
        <s:v>14</s:v>
      </s:c>
      <s:c r="P24" s="113">
        <s:v>15</s:v>
      </s:c>
      <s:c r="Q24" s="336">
        <s:v>16</s:v>
      </s:c>
      <s:c r="R24" s="113">
        <s:v>17</s:v>
      </s:c>
      <s:c r="S24" s="113"/>
      <s:c r="T24" s="336">
        <s:v>18</s:v>
      </s:c>
      <s:c r="U24" s="330"/>
      <s:c r="V24" s="337">
        <s:v>1</s:v>
      </s:c>
      <s:c r="W24" s="337">
        <s:v>2</s:v>
      </s:c>
      <s:c r="X24" s="337">
        <s:v>3</s:v>
      </s:c>
      <s:c r="Y24" s="337">
        <s:v>4</s:v>
      </s:c>
      <s:c r="Z24" s="337">
        <s:v>5</s:v>
      </s:c>
      <s:c r="AA24" s="337">
        <s:v>6</s:v>
      </s:c>
      <s:c r="AB24" s="337">
        <s:v>10</s:v>
      </s:c>
      <s:c r="AC24" s="337">
        <s:v>11</s:v>
      </s:c>
    </s:row>
    <s:row r="25">
      <s:c r="A25" s="338">
        <s:v>1</s:v>
      </s:c>
      <s:c r="B25" s="134">
        <s:v>46063</s:v>
      </s:c>
      <s:c r="C25" s="135" t="s">
        <s:v>60</s:v>
      </s:c>
      <s:c r="D25" s="342">
        <s:v>39452</s:v>
      </s:c>
      <s:c r="E25" s="148">
        <s:v>5</s:v>
      </s:c>
      <s:c r="F25" s="137">
        <s:f>IF(AND(E25&lt;&gt;"",E25&lt;&gt;0),D25/E25,"")</s:f>
        <s:v>7890.4</s:v>
      </s:c>
      <s:c r="G25" s="148">
        <s:v>3</s:v>
      </s:c>
      <s:c r="H25" s="137">
        <s:f>IF(AND(G25&lt;&gt;"",G25&lt;&gt;0),D25/G25,"")</s:f>
        <s:v>13150.666666666666</s:v>
      </s:c>
      <s:c r="I25" s="148">
        <s:v>25</s:v>
      </s:c>
      <s:c r="J25" s="138">
        <s:f>IF(AND(G25&lt;&gt;"",G25&lt;&gt;0),E25/G25,"")</s:f>
        <s:v>1.6666666666666667</s:v>
      </s:c>
      <s:c r="K25" s="136"/>
      <s:c r="L25" s="136"/>
      <s:c r="M25" s="136"/>
      <s:c r="N25" s="136"/>
      <s:c r="O25" s="136"/>
      <s:c r="P25" s="136"/>
      <s:c r="Q25" s="136">
        <s:v>9777</s:v>
      </s:c>
      <s:c r="R25" s="136"/>
      <s:c r="S25" s="136"/>
      <s:c r="T25" s="140">
        <s:f>IF(AND(I25&lt;&gt;"",I25&lt;&gt;0),G25/I25,"")</s:f>
        <s:v>0.12</s:v>
      </s:c>
      <s:c r="U25" s="383">
        <s:f>D25/V25</s:f>
        <s:v>1.1280770874160833</s:v>
      </s:c>
      <s:c r="V25" s="142">
        <s:f>$I$8*AB25*AC25/SUMPRODUCT($AC$25:$AC$55,$AB$25:$AB$55)</s:f>
        <s:v>34972.78726790451</s:v>
      </s:c>
      <s:c r="W25" s="143">
        <s:f>$I$9*AB25*AC25/SUMPRODUCT($AC$25:$AC$55,$AB$25:$AB$55)</s:f>
        <s:v>4.8171883289124668</s:v>
      </s:c>
      <s:c r="X25" s="143">
        <s:f>IF($I$12="","",W25/$I$12)</s:f>
        <s:v>2.6180371352785143</s:v>
      </s:c>
      <s:c r="Y25" s="142">
        <s:f>IF(AC25&lt;&gt;"",IF(D25&lt;&gt;"",D25,($I$8-SUM($Y24:Y$25))*AB25*AC25/SUMPRODUCT($AC25:$AC$55,$AB25:$AB$55)),"")</s:f>
        <s:v>39452</s:v>
      </s:c>
      <s:c r="Z25" s="143">
        <s:f>IF(AC25&lt;&gt;"",IF(E25&lt;&gt;"",E25,($I$9-SUM($Z24:Z$25))*AB25*AC25/SUMPRODUCT($AC25:$AC$55,$AB25:$AB$55)),"")</s:f>
        <s:v>5</s:v>
      </s:c>
      <s:c r="AA25" s="143">
        <s:f>IF(AC25&lt;&gt;"",IF($I$12&lt;&gt;"",IF(G25&lt;&gt;"",G25,($I$9/$I$12-SUM($AA24:AA$25))*AB25*AC25/SUMPRODUCT($AC25:$AC$55,$AB25:$AB$55)),""),"")</s:f>
        <s:v>3</s:v>
      </s:c>
      <s:c r="AB25" s="379">
        <s:v>1</s:v>
      </s:c>
      <s:c r="AC25" s="379">
        <s:v>1</s:v>
      </s:c>
      <s:c r="AD25" s="145"/>
      <s:c r="AE25" s="145"/>
      <s:c r="AF25" s="160"/>
      <s:c r="AG25" s="2"/>
      <s:c r="AH25" s="2"/>
      <s:c r="AI25" s="2"/>
      <s:c r="AJ25" s="2"/>
      <s:c r="AK25" s="2"/>
      <s:c r="AL25" s="2"/>
      <s:c r="AM25" s="2"/>
    </s:row>
    <s:row r="26">
      <s:c r="A26" s="340">
        <s:v>2</s:v>
      </s:c>
      <s:c r="B26" s="341">
        <s:v>46064</s:v>
      </s:c>
      <s:c r="C26" s="181" t="s">
        <s:v>62</s:v>
      </s:c>
      <s:c r="D26" s="342">
        <s:v>4741</s:v>
      </s:c>
      <s:c r="E26" s="148">
        <s:v>1</s:v>
      </s:c>
      <s:c r="F26" s="174">
        <s:f>IF(AND(E26&lt;&gt;"",E26&lt;&gt;0),D26/E26,"")</s:f>
        <s:v>4741</s:v>
      </s:c>
      <s:c r="G26" s="148">
        <s:v>1</s:v>
      </s:c>
      <s:c r="H26" s="174">
        <s:f>IF(AND(G26&lt;&gt;"",G26&lt;&gt;0),D26/G26,"")</s:f>
        <s:v>4741</s:v>
      </s:c>
      <s:c r="I26" s="148">
        <s:v>27</s:v>
      </s:c>
      <s:c r="J26" s="138">
        <s:f>IF(AND(G26&lt;&gt;"",G26&lt;&gt;0),E26/G26,"")</s:f>
        <s:v>1</s:v>
      </s:c>
      <s:c r="K26" s="136"/>
      <s:c r="L26" s="136"/>
      <s:c r="M26" s="136"/>
      <s:c r="N26" s="136"/>
      <s:c r="O26" s="136"/>
      <s:c r="P26" s="136"/>
      <s:c r="Q26" s="136"/>
      <s:c r="R26" s="136"/>
      <s:c r="S26" s="136"/>
      <s:c r="T26" s="140">
        <s:f>IF(AND(I26&lt;&gt;"",I26&lt;&gt;0),G26/I26,"")</s:f>
        <s:v>3.7037037037037035E-2</s:v>
      </s:c>
      <s:c r="U26" s="383">
        <s:f>D26/V26</s:f>
        <s:v>0.13556254363377399</s:v>
      </s:c>
      <s:c r="V26" s="142">
        <s:f>$I$8*AB26*AC26/SUMPRODUCT($AC$25:$AC$55,$AB$25:$AB$55)</s:f>
        <s:v>34972.78726790451</s:v>
      </s:c>
      <s:c r="W26" s="143">
        <s:f>$I$9*AB26*AC26/SUMPRODUCT($AC$25:$AC$55,$AB$25:$AB$55)</s:f>
        <s:v>4.8171883289124668</s:v>
      </s:c>
      <s:c r="X26" s="143">
        <s:f>IF($I$12="","",W26/$I$12)</s:f>
        <s:v>2.6180371352785143</s:v>
      </s:c>
      <s:c r="Y26" s="142">
        <s:f>IF(AC26&lt;&gt;"",IF(D26&lt;&gt;"",D26,($I$8-SUM($Y$25:Y25))*AB26*AC26/SUMPRODUCT($AC26:$AC$55,$AB26:$AB$55)),"")</s:f>
        <s:v>4741</s:v>
      </s:c>
      <s:c r="Z26" s="143">
        <s:f>IF(AC26&lt;&gt;"",IF(E26&lt;&gt;"",E26,($I$9-SUM($Z$25:Z25))*AB26*AC26/SUMPRODUCT($AC26:$AC$55,$AB26:$AB$55)),"")</s:f>
        <s:v>1</s:v>
      </s:c>
      <s:c r="AA26" s="143">
        <s:f>IF(AC26&lt;&gt;"",IF($I$12&lt;&gt;"",IF(G26&lt;&gt;"",G26,($I$9/$I$12-SUM($AA$25:AA25))*AB26*AC26/SUMPRODUCT($AC26:$AC$55,$AB26:$AB$55)),""),"")</s:f>
        <s:v>1</s:v>
      </s:c>
      <s:c r="AB26" s="379">
        <s:v>1</s:v>
      </s:c>
      <s:c r="AC26" s="379">
        <s:v>1</s:v>
      </s:c>
      <s:c r="AD26" s="145"/>
      <s:c r="AE26" s="149"/>
      <s:c r="AF26" s="2"/>
      <s:c r="AG26" s="2"/>
      <s:c r="AH26" s="2"/>
      <s:c r="AI26" s="2"/>
      <s:c r="AJ26" s="2"/>
      <s:c r="AK26" s="2"/>
      <s:c r="AL26" s="2"/>
      <s:c r="AM26" s="2"/>
    </s:row>
    <s:row r="27">
      <s:c r="A27" s="338">
        <s:v>3</s:v>
      </s:c>
      <s:c r="B27" s="134">
        <s:v>46065</s:v>
      </s:c>
      <s:c r="C27" s="135" t="s">
        <s:v>63</s:v>
      </s:c>
      <s:c r="D27" s="342">
        <s:v>22549</s:v>
      </s:c>
      <s:c r="E27" s="148">
        <s:v>3</s:v>
      </s:c>
      <s:c r="F27" s="137">
        <s:f>IF(AND(E27&lt;&gt;"",E27&lt;&gt;0),D27/E27,"")</s:f>
        <s:v>7516.333333333333</s:v>
      </s:c>
      <s:c r="G27" s="148">
        <s:v>2</s:v>
      </s:c>
      <s:c r="H27" s="137">
        <s:f>IF(AND(G27&lt;&gt;"",G27&lt;&gt;0),D27/G27,"")</s:f>
        <s:v>11274.5</s:v>
      </s:c>
      <s:c r="I27" s="148">
        <s:v>20</s:v>
      </s:c>
      <s:c r="J27" s="138">
        <s:f>IF(AND(G27&lt;&gt;"",G27&lt;&gt;0),E27/G27,"")</s:f>
        <s:v>1.5</s:v>
      </s:c>
      <s:c r="K27" s="136"/>
      <s:c r="L27" s="136">
        <s:v>15902</s:v>
      </s:c>
      <s:c r="M27" s="136"/>
      <s:c r="N27" s="136"/>
      <s:c r="O27" s="136"/>
      <s:c r="P27" s="136"/>
      <s:c r="Q27" s="136"/>
      <s:c r="R27" s="136"/>
      <s:c r="S27" s="136">
        <s:v>1647</s:v>
      </s:c>
      <s:c r="T27" s="140">
        <s:f>IF(AND(I27&lt;&gt;"",I27&lt;&gt;0),G27/I27,"")</s:f>
        <s:v>0.1</s:v>
      </s:c>
      <s:c r="U27" s="383">
        <s:f>D27/V27</s:f>
        <s:v>1.5949214881878624</s:v>
      </s:c>
      <s:c r="V27" s="380">
        <s:v>14138</s:v>
      </s:c>
      <s:c r="W27" s="381">
        <s:v>4</s:v>
      </s:c>
      <s:c r="X27" s="381">
        <s:v>2</s:v>
      </s:c>
      <s:c r="Y27" s="380">
        <s:v>16611</s:v>
      </s:c>
      <s:c r="Z27" s="381">
        <s:v>3</s:v>
      </s:c>
      <s:c r="AA27" s="381">
        <s:v>3</s:v>
      </s:c>
      <s:c r="AB27" s="379">
        <s:v>1</s:v>
      </s:c>
      <s:c r="AC27" s="379">
        <s:v>1</s:v>
      </s:c>
      <s:c r="AD27" s="145"/>
      <s:c r="AE27" s="145"/>
      <s:c r="AF27" s="2"/>
      <s:c r="AG27" s="2"/>
      <s:c r="AH27" s="2"/>
      <s:c r="AI27" s="2"/>
      <s:c r="AJ27" s="2"/>
      <s:c r="AK27" s="2"/>
      <s:c r="AL27" s="2"/>
      <s:c r="AM27" s="2"/>
    </s:row>
    <s:row r="28">
      <s:c r="A28" s="340">
        <s:v>4</s:v>
      </s:c>
      <s:c r="B28" s="134">
        <s:v>46066</s:v>
      </s:c>
      <s:c r="C28" s="181" t="s">
        <s:v>64</s:v>
      </s:c>
      <s:c r="D28" s="342">
        <s:v>44222</s:v>
      </s:c>
      <s:c r="E28" s="148">
        <s:v>7</s:v>
      </s:c>
      <s:c r="F28" s="174">
        <s:f>IF(AND(E28&lt;&gt;"",E28&lt;&gt;0),D28/E28,"")</s:f>
        <s:v>6317.4285714285716</s:v>
      </s:c>
      <s:c r="G28" s="148">
        <s:v>4</s:v>
      </s:c>
      <s:c r="H28" s="174">
        <s:f>IF(AND(G28&lt;&gt;"",G28&lt;&gt;0),D28/G28,"")</s:f>
        <s:v>11055.5</s:v>
      </s:c>
      <s:c r="I28" s="148">
        <s:v>35</s:v>
      </s:c>
      <s:c r="J28" s="138">
        <s:f>IF(AND(G28&lt;&gt;"",G28&lt;&gt;0),E28/G28,"")</s:f>
        <s:v>1.75</s:v>
      </s:c>
      <s:c r="K28" s="136"/>
      <s:c r="L28" s="136"/>
      <s:c r="M28" s="136"/>
      <s:c r="N28" s="136"/>
      <s:c r="O28" s="136"/>
      <s:c r="P28" s="136"/>
      <s:c r="Q28" s="136"/>
      <s:c r="R28" s="136"/>
      <s:c r="S28" s="136"/>
      <s:c r="T28" s="140">
        <s:f>IF(AND(I28&lt;&gt;"",I28&lt;&gt;0),G28/I28,"")</s:f>
        <s:v>0.11428571428571428</s:v>
      </s:c>
      <s:c r="U28" s="383">
        <s:f>D28/V28</s:f>
        <s:v>1.2644688471994838</s:v>
      </s:c>
      <s:c r="V28" s="142">
        <s:f>$I$8*AB28*AC28/SUMPRODUCT($AC$25:$AC$55,$AB$25:$AB$55)</s:f>
        <s:v>34972.78726790451</s:v>
      </s:c>
      <s:c r="W28" s="143">
        <s:f>$I$9*AB28*AC28/SUMPRODUCT($AC$25:$AC$55,$AB$25:$AB$55)</s:f>
        <s:v>4.8171883289124668</s:v>
      </s:c>
      <s:c r="X28" s="143">
        <s:f>IF($I$12="","",W28/$I$12)</s:f>
        <s:v>2.6180371352785143</s:v>
      </s:c>
      <s:c r="Y28" s="142">
        <s:f>IF(AC28&lt;&gt;"",IF(D28&lt;&gt;"",D28,($I$8-SUM($Y$25:Y27))*AB28*AC28/SUMPRODUCT($AC28:$AC$55,$AB28:$AB$55)),"")</s:f>
        <s:v>44222</s:v>
      </s:c>
      <s:c r="Z28" s="143">
        <s:f>IF(AC28&lt;&gt;"",IF(E28&lt;&gt;"",E28,($I$9-SUM($Z$25:Z27))*AB28*AC28/SUMPRODUCT($AC28:$AC$55,$AB28:$AB$55)),"")</s:f>
        <s:v>7</s:v>
      </s:c>
      <s:c r="AA28" s="143">
        <s:f>IF(AC28&lt;&gt;"",IF($I$12&lt;&gt;"",IF(G28&lt;&gt;"",G28,($I$9/$I$12-SUM($AA$25:AA27))*AB28*AC28/SUMPRODUCT($AC28:$AC$55,$AB28:$AB$55)),""),"")</s:f>
        <s:v>4</s:v>
      </s:c>
      <s:c r="AB28" s="379">
        <s:v>1</s:v>
      </s:c>
      <s:c r="AC28" s="379">
        <s:v>1</s:v>
      </s:c>
      <s:c r="AD28" s="145"/>
      <s:c r="AE28" s="145"/>
      <s:c r="AF28" s="2"/>
      <s:c r="AG28" s="2"/>
      <s:c r="AH28" s="2"/>
      <s:c r="AI28" s="2"/>
      <s:c r="AJ28" s="2"/>
      <s:c r="AK28" s="2"/>
      <s:c r="AL28" s="2"/>
      <s:c r="AM28" s="2"/>
    </s:row>
    <s:row r="29">
      <s:c r="A29" s="338">
        <s:v>5</s:v>
      </s:c>
      <s:c r="B29" s="134">
        <s:v>46069</s:v>
      </s:c>
      <s:c r="C29" s="135" t="s">
        <s:v>58</s:v>
      </s:c>
      <s:c r="D29" s="342">
        <s:v>32673</s:v>
      </s:c>
      <s:c r="E29" s="148">
        <s:v>3</s:v>
      </s:c>
      <s:c r="F29" s="137">
        <s:f>IF(AND(E29&lt;&gt;"",E29&lt;&gt;0),D29/E29,"")</s:f>
        <s:v>10891</s:v>
      </s:c>
      <s:c r="G29" s="148">
        <s:v>2</s:v>
      </s:c>
      <s:c r="H29" s="137">
        <s:f>IF(AND(G29&lt;&gt;"",G29&lt;&gt;0),D29/G29,"")</s:f>
        <s:v>16336.5</s:v>
      </s:c>
      <s:c r="I29" s="148">
        <s:v>21</s:v>
      </s:c>
      <s:c r="J29" s="138">
        <s:f>IF(AND(G29&lt;&gt;"",G29&lt;&gt;0),E29/G29,"")</s:f>
        <s:v>1.5</s:v>
      </s:c>
      <s:c r="K29" s="136"/>
      <s:c r="L29" s="136"/>
      <s:c r="M29" s="136">
        <s:v>27672</s:v>
      </s:c>
      <s:c r="N29" s="136"/>
      <s:c r="O29" s="136"/>
      <s:c r="P29" s="136"/>
      <s:c r="Q29" s="136"/>
      <s:c r="R29" s="136"/>
      <s:c r="S29" s="136"/>
      <s:c r="T29" s="140">
        <s:f>IF(AND(I29&lt;&gt;"",I29&lt;&gt;0),G29/I29,"")</s:f>
        <s:v>9.5238095238095233E-2</s:v>
      </s:c>
      <s:c r="U29" s="383">
        <s:f>D29/V29</s:f>
        <s:v>0.93424066402579564</s:v>
      </s:c>
      <s:c r="V29" s="142">
        <s:f>$I$8*AB29*AC29/SUMPRODUCT($AC$25:$AC$55,$AB$25:$AB$55)</s:f>
        <s:v>34972.78726790451</s:v>
      </s:c>
      <s:c r="W29" s="143">
        <s:f>$I$9*AB29*AC29/SUMPRODUCT($AC$25:$AC$55,$AB$25:$AB$55)</s:f>
        <s:v>4.8171883289124668</s:v>
      </s:c>
      <s:c r="X29" s="143">
        <s:f>IF($I$12="","",W29/$I$12)</s:f>
        <s:v>2.6180371352785143</s:v>
      </s:c>
      <s:c r="Y29" s="142">
        <s:f>IF(AC29&lt;&gt;"",IF(D29&lt;&gt;"",D29,($I$8-SUM($Y$25:Y28))*AB29*AC29/SUMPRODUCT($AC29:$AC$55,$AB29:$AB$55)),"")</s:f>
        <s:v>32673</s:v>
      </s:c>
      <s:c r="Z29" s="143">
        <s:f>IF(AC29&lt;&gt;"",IF(E29&lt;&gt;"",E29,($I$9-SUM($Z$25:Z28))*AB29*AC29/SUMPRODUCT($AC29:$AC$55,$AB29:$AB$55)),"")</s:f>
        <s:v>3</s:v>
      </s:c>
      <s:c r="AA29" s="143">
        <s:f>IF(AC29&lt;&gt;"",IF($I$12&lt;&gt;"",IF(G29&lt;&gt;"",G29,($I$9/$I$12-SUM($AA$25:AA28))*AB29*AC29/SUMPRODUCT($AC29:$AC$55,$AB29:$AB$55)),""),"")</s:f>
        <s:v>2</s:v>
      </s:c>
      <s:c r="AB29" s="379">
        <s:v>1</s:v>
      </s:c>
      <s:c r="AC29" s="379">
        <s:v>1</s:v>
      </s:c>
      <s:c r="AD29" s="145"/>
      <s:c r="AE29" s="145"/>
      <s:c r="AF29" s="2"/>
      <s:c r="AG29" s="2"/>
      <s:c r="AH29" s="2"/>
      <s:c r="AI29" s="2"/>
      <s:c r="AJ29" s="2"/>
      <s:c r="AK29" s="2"/>
      <s:c r="AL29" s="2"/>
      <s:c r="AM29" s="2"/>
    </s:row>
    <s:row r="30">
      <s:c r="A30" s="338">
        <s:v>6</s:v>
      </s:c>
      <s:c r="B30" s="134">
        <s:v>46070</s:v>
      </s:c>
      <s:c r="C30" s="181" t="s">
        <s:v>60</s:v>
      </s:c>
      <s:c r="D30" s="342">
        <s:v>21121</s:v>
      </s:c>
      <s:c r="E30" s="148">
        <s:v>3</s:v>
      </s:c>
      <s:c r="F30" s="174">
        <s:f>IF(AND(E30&lt;&gt;"",E30&lt;&gt;0),D30/E30,"")</s:f>
        <s:v>7040.333333333333</s:v>
      </s:c>
      <s:c r="G30" s="148">
        <s:v>2</s:v>
      </s:c>
      <s:c r="H30" s="174">
        <s:f>IF(AND(G30&lt;&gt;"",G30&lt;&gt;0),D30/G30,"")</s:f>
        <s:v>10560.5</s:v>
      </s:c>
      <s:c r="I30" s="148">
        <s:v>17</s:v>
      </s:c>
      <s:c r="J30" s="138">
        <s:f>IF(AND(G30&lt;&gt;"",G30&lt;&gt;0),E30/G30,"")</s:f>
        <s:v>1.5</s:v>
      </s:c>
      <s:c r="K30" s="136"/>
      <s:c r="L30" s="136"/>
      <s:c r="M30" s="136"/>
      <s:c r="N30" s="136"/>
      <s:c r="O30" s="136"/>
      <s:c r="P30" s="136"/>
      <s:c r="Q30" s="136">
        <s:v>7605</s:v>
      </s:c>
      <s:c r="R30" s="136"/>
      <s:c r="S30" s="136"/>
      <s:c r="T30" s="140">
        <s:f>IF(AND(I30&lt;&gt;"",I30&lt;&gt;0),G30/I30,"")</s:f>
        <s:v>0.11764705882352941</s:v>
      </s:c>
      <s:c r="U30" s="383">
        <s:f>D30/V30</s:f>
        <s:v>0.60392669987111158</s:v>
      </s:c>
      <s:c r="V30" s="142">
        <s:f>$I$8*AB30*AC30/SUMPRODUCT($AC$25:$AC$55,$AB$25:$AB$55)</s:f>
        <s:v>34972.78726790451</s:v>
      </s:c>
      <s:c r="W30" s="143">
        <s:f>$I$9*AB30*AC30/SUMPRODUCT($AC$25:$AC$55,$AB$25:$AB$55)</s:f>
        <s:v>4.8171883289124668</s:v>
      </s:c>
      <s:c r="X30" s="143">
        <s:f>IF($I$12="","",W30/$I$12)</s:f>
        <s:v>2.6180371352785143</s:v>
      </s:c>
      <s:c r="Y30" s="142">
        <s:f>IF(AC30&lt;&gt;"",IF(D30&lt;&gt;"",D30,($I$8-SUM($Y$25:Y29))*AB30*AC30/SUMPRODUCT($AC30:$AC$55,$AB30:$AB$55)),"")</s:f>
        <s:v>21121</s:v>
      </s:c>
      <s:c r="Z30" s="143">
        <s:f>IF(AC30&lt;&gt;"",IF(E30&lt;&gt;"",E30,($I$9-SUM($Z$25:Z29))*AB30*AC30/SUMPRODUCT($AC30:$AC$55,$AB30:$AB$55)),"")</s:f>
        <s:v>3</s:v>
      </s:c>
      <s:c r="AA30" s="143">
        <s:f>IF(AC30&lt;&gt;"",IF($I$12&lt;&gt;"",IF(G30&lt;&gt;"",G30,($I$9/$I$12-SUM($AA$25:AA29))*AB30*AC30/SUMPRODUCT($AC30:$AC$55,$AB30:$AB$55)),""),"")</s:f>
        <s:v>2</s:v>
      </s:c>
      <s:c r="AB30" s="379">
        <s:v>1</s:v>
      </s:c>
      <s:c r="AC30" s="379">
        <s:v>1</s:v>
      </s:c>
      <s:c r="AD30" s="145"/>
      <s:c r="AE30" s="145"/>
      <s:c r="AF30" s="160"/>
      <s:c r="AG30" s="2"/>
      <s:c r="AH30" s="2"/>
      <s:c r="AI30" s="2"/>
      <s:c r="AJ30" s="2"/>
      <s:c r="AK30" s="2"/>
      <s:c r="AL30" s="2"/>
      <s:c r="AM30" s="2"/>
    </s:row>
    <s:row r="31">
      <s:c r="A31" s="338">
        <s:v>7</s:v>
      </s:c>
      <s:c r="B31" s="134">
        <s:v>46071</s:v>
      </s:c>
      <s:c r="C31" s="135" t="s">
        <s:v>62</s:v>
      </s:c>
      <s:c r="D31" s="342">
        <s:v>0</s:v>
      </s:c>
      <s:c r="E31" s="148">
        <s:v>0</s:v>
      </s:c>
      <s:c r="F31" s="137" t="str">
        <s:f>IF(AND(E31&lt;&gt;"",E31&lt;&gt;0),D31/E31,"")</s:f>
        <s:v/>
      </s:c>
      <s:c r="G31" s="148">
        <s:v>0</s:v>
      </s:c>
      <s:c r="H31" s="137" t="str">
        <s:f>IF(AND(G31&lt;&gt;"",G31&lt;&gt;0),D31/G31,"")</s:f>
        <s:v/>
      </s:c>
      <s:c r="I31" s="148">
        <s:v>24</s:v>
      </s:c>
      <s:c r="J31" s="138" t="str">
        <s:f>IF(AND(G31&lt;&gt;"",G31&lt;&gt;0),E31/G31,"")</s:f>
        <s:v/>
      </s:c>
      <s:c r="K31" s="390"/>
      <s:c r="L31" s="390"/>
      <s:c r="M31" s="390"/>
      <s:c r="N31" s="390"/>
      <s:c r="O31" s="390"/>
      <s:c r="P31" s="136"/>
      <s:c r="Q31" s="136"/>
      <s:c r="R31" s="136"/>
      <s:c r="S31" s="136"/>
      <s:c r="T31" s="140">
        <s:f>IF(AND(I31&lt;&gt;"",I31&lt;&gt;0),G31/I31,"")</s:f>
        <s:v>0</s:v>
      </s:c>
      <s:c r="U31" s="383">
        <s:f>D31/V31</s:f>
        <s:v>0</s:v>
      </s:c>
      <s:c r="V31" s="142">
        <s:f>$I$8*AB31*AC31/SUMPRODUCT($AC$25:$AC$55,$AB$25:$AB$55)</s:f>
        <s:v>34972.78726790451</s:v>
      </s:c>
      <s:c r="W31" s="143">
        <s:f>$I$9*AB31*AC31/SUMPRODUCT($AC$25:$AC$55,$AB$25:$AB$55)</s:f>
        <s:v>4.8171883289124668</s:v>
      </s:c>
      <s:c r="X31" s="143">
        <s:f>IF($I$12="","",W31/$I$12)</s:f>
        <s:v>2.6180371352785143</s:v>
      </s:c>
      <s:c r="Y31" s="142">
        <s:f>IF(AC31&lt;&gt;"",IF(D31&lt;&gt;"",D31,($I$8-SUM($Y$25:Y30))*AB31*AC31/SUMPRODUCT($AC31:$AC$55,$AB31:$AB$55)),"")</s:f>
        <s:v>0</s:v>
      </s:c>
      <s:c r="Z31" s="143">
        <s:f>IF(AC31&lt;&gt;"",IF(E31&lt;&gt;"",E31,($I$9-SUM($Z$25:Z30))*AB31*AC31/SUMPRODUCT($AC31:$AC$55,$AB31:$AB$55)),"")</s:f>
        <s:v>0</s:v>
      </s:c>
      <s:c r="AA31" s="143">
        <s:f>IF(AC31&lt;&gt;"",IF($I$12&lt;&gt;"",IF(G31&lt;&gt;"",G31,($I$9/$I$12-SUM($AA$25:AA30))*AB31*AC31/SUMPRODUCT($AC31:$AC$55,$AB31:$AB$55)),""),"")</s:f>
        <s:v>0</s:v>
      </s:c>
      <s:c r="AB31" s="379">
        <s:v>1</s:v>
      </s:c>
      <s:c r="AC31" s="379">
        <s:v>1</s:v>
      </s:c>
      <s:c r="AD31" s="145"/>
      <s:c r="AE31" s="145"/>
      <s:c r="AF31" s="160"/>
      <s:c r="AG31" s="2"/>
      <s:c r="AH31" s="2"/>
      <s:c r="AI31" s="2"/>
      <s:c r="AJ31" s="2"/>
      <s:c r="AK31" s="2"/>
      <s:c r="AL31" s="2"/>
      <s:c r="AM31" s="2"/>
    </s:row>
    <s:row r="32">
      <s:c r="A32" s="338">
        <s:v>8</s:v>
      </s:c>
      <s:c r="B32" s="134">
        <s:v>46072</s:v>
      </s:c>
      <s:c r="C32" s="181" t="s">
        <s:v>63</s:v>
      </s:c>
      <s:c r="D32" s="342">
        <s:f>8883+7139</s:f>
        <s:v>16022</s:v>
      </s:c>
      <s:c r="E32" s="148">
        <s:v>3</s:v>
      </s:c>
      <s:c r="F32" s="174">
        <s:f>IF(AND(E32&lt;&gt;"",E32&lt;&gt;0),D32/E32,"")</s:f>
        <s:v>5340.666666666667</s:v>
      </s:c>
      <s:c r="G32" s="148">
        <s:v>2</s:v>
      </s:c>
      <s:c r="H32" s="174">
        <s:f>IF(AND(G32&lt;&gt;"",G32&lt;&gt;0),D32/G32,"")</s:f>
        <s:v>8011</s:v>
      </s:c>
      <s:c r="I32" s="148">
        <s:v>16</s:v>
      </s:c>
      <s:c r="J32" s="391">
        <s:f>IF(AND(G32&lt;&gt;"",G32&lt;&gt;0),E32/G32,"")</s:f>
        <s:v>1.5</s:v>
      </s:c>
      <s:c r="K32" s="355"/>
      <s:c r="L32" s="355"/>
      <s:c r="M32" s="355"/>
      <s:c r="N32" s="355"/>
      <s:c r="O32" s="355"/>
      <s:c r="P32" s="137"/>
      <s:c r="Q32" s="137"/>
      <s:c r="R32" s="346"/>
      <s:c r="S32" s="346"/>
      <s:c r="T32" s="140">
        <s:f>IF(AND(I32&lt;&gt;"",I32&lt;&gt;0),G32/I32,"")</s:f>
        <s:v>0.125</s:v>
      </s:c>
      <s:c r="U32" s="383">
        <s:f>D32/V32</s:f>
        <s:v>0.45812762583849959</s:v>
      </s:c>
      <s:c r="V32" s="142">
        <s:f>$I$8*AB32*AC32/SUMPRODUCT($AC$25:$AC$55,$AB$25:$AB$55)</s:f>
        <s:v>34972.78726790451</s:v>
      </s:c>
      <s:c r="W32" s="143">
        <s:f>$I$9*AB32*AC32/SUMPRODUCT($AC$25:$AC$55,$AB$25:$AB$55)</s:f>
        <s:v>4.8171883289124668</s:v>
      </s:c>
      <s:c r="X32" s="143">
        <s:f>IF($I$12="","",W32/$I$12)</s:f>
        <s:v>2.6180371352785143</s:v>
      </s:c>
      <s:c r="Y32" s="142">
        <s:f>IF(AC32&lt;&gt;"",IF(D32&lt;&gt;"",D32,($I$8-SUM($Y$25:Y31))*AB32*AC32/SUMPRODUCT($AC32:$AC$55,$AB32:$AB$55)),"")</s:f>
        <s:v>16022</s:v>
      </s:c>
      <s:c r="Z32" s="143">
        <s:f>IF(AC32&lt;&gt;"",IF(E32&lt;&gt;"",E32,($I$9-SUM($Z$25:Z31))*AB32*AC32/SUMPRODUCT($AC32:$AC$55,$AB32:$AB$55)),"")</s:f>
        <s:v>3</s:v>
      </s:c>
      <s:c r="AA32" s="143">
        <s:f>IF(AC32&lt;&gt;"",IF($I$12&lt;&gt;"",IF(G32&lt;&gt;"",G32,($I$9/$I$12-SUM($AA$25:AA31))*AB32*AC32/SUMPRODUCT($AC32:$AC$55,$AB32:$AB$55)),""),"")</s:f>
        <s:v>2</s:v>
      </s:c>
      <s:c r="AB32" s="379">
        <s:v>1</s:v>
      </s:c>
      <s:c r="AC32" s="379">
        <s:v>1</s:v>
      </s:c>
      <s:c r="AD32" s="145"/>
      <s:c r="AE32" s="145"/>
      <s:c r="AF32" s="2"/>
      <s:c r="AG32" s="2"/>
      <s:c r="AH32" s="2"/>
      <s:c r="AI32" s="2"/>
      <s:c r="AJ32" s="2"/>
      <s:c r="AK32" s="2"/>
      <s:c r="AL32" s="2"/>
      <s:c r="AM32" s="2"/>
    </s:row>
    <s:row r="33">
      <s:c r="A33" s="338">
        <s:v>9</s:v>
      </s:c>
      <s:c r="B33" s="134">
        <s:v>46075</s:v>
      </s:c>
      <s:c r="C33" s="392" t="s">
        <s:v>57</s:v>
      </s:c>
      <s:c r="D33" s="342">
        <s:v>20365</s:v>
      </s:c>
      <s:c r="E33" s="343">
        <s:v>3</s:v>
      </s:c>
      <s:c r="F33" s="137">
        <s:f>IF(AND(E33&lt;&gt;"",E33&lt;&gt;0),D33/E33,"")</s:f>
        <s:v>6788.333333333333</s:v>
      </s:c>
      <s:c r="G33" s="148">
        <s:v>2</s:v>
      </s:c>
      <s:c r="H33" s="137">
        <s:f>IF(AND(G33&lt;&gt;"",G33&lt;&gt;0),D33/G33,"")</s:f>
        <s:v>10182.5</s:v>
      </s:c>
      <s:c r="I33" s="148">
        <s:v>25</s:v>
      </s:c>
      <s:c r="J33" s="391">
        <s:f>IF(AND(G33&lt;&gt;"",G33&lt;&gt;0),E33/G33,"")</s:f>
        <s:v>1.5</s:v>
      </s:c>
      <s:c r="K33" s="355"/>
      <s:c r="L33" s="355"/>
      <s:c r="M33" s="355"/>
      <s:c r="N33" s="355"/>
      <s:c r="O33" s="355"/>
      <s:c r="P33" s="137"/>
      <s:c r="Q33" s="137"/>
      <s:c r="R33" s="137"/>
      <s:c r="S33" s="137"/>
      <s:c r="T33" s="140">
        <s:f>IF(AND(I33&lt;&gt;"",I33&lt;&gt;0),G33/I33,"")</s:f>
        <s:v>0.08</s:v>
      </s:c>
      <s:c r="U33" s="383">
        <s:f>D33/V33</s:f>
        <s:v>0.58230989266015754</s:v>
      </s:c>
      <s:c r="V33" s="142">
        <s:f>$I$8*AB33*AC33/SUMPRODUCT($AC$25:$AC$55,$AB$25:$AB$55)</s:f>
        <s:v>34972.78726790451</s:v>
      </s:c>
      <s:c r="W33" s="349">
        <s:f>$I$9*AB33*AC33/SUMPRODUCT($AC$25:$AC$55,$AB$25:$AB$55)</s:f>
        <s:v>4.8171883289124668</s:v>
      </s:c>
      <s:c r="X33" s="143">
        <s:f>IF($I$12="","",W33/$I$12)</s:f>
        <s:v>2.6180371352785143</s:v>
      </s:c>
      <s:c r="Y33" s="142">
        <s:f>IF(AC33&lt;&gt;"",IF(D33&lt;&gt;"",D33,($I$8-SUM($Y$25:Y32))*AB33*AC33/SUMPRODUCT($AC33:$AC$55,$AB33:$AB$55)),"")</s:f>
        <s:v>20365</s:v>
      </s:c>
      <s:c r="Z33" s="143">
        <s:f>IF(AC33&lt;&gt;"",IF(E33&lt;&gt;"",E33,($I$9-SUM($Z$25:Z32))*AB33*AC33/SUMPRODUCT($AC33:$AC$55,$AB33:$AB$55)),"")</s:f>
        <s:v>3</s:v>
      </s:c>
      <s:c r="AA33" s="349">
        <s:f>IF(AC33&lt;&gt;"",IF($I$12&lt;&gt;"",IF(G33&lt;&gt;"",G33,($I$9/$I$12-SUM($AA$25:AA32))*AB33*AC33/SUMPRODUCT($AC33:$AC$55,$AB33:$AB$55)),""),"")</s:f>
        <s:v>2</s:v>
      </s:c>
      <s:c r="AB33" s="379">
        <s:v>1</s:v>
      </s:c>
      <s:c r="AC33" s="379">
        <s:v>1</s:v>
      </s:c>
      <s:c r="AD33" s="145"/>
      <s:c r="AE33" s="145"/>
      <s:c r="AF33" s="2"/>
      <s:c r="AG33" s="2"/>
      <s:c r="AH33" s="2"/>
      <s:c r="AI33" s="2"/>
      <s:c r="AJ33" s="2"/>
      <s:c r="AK33" s="2"/>
      <s:c r="AL33" s="2"/>
      <s:c r="AM33" s="2"/>
    </s:row>
    <s:row r="34">
      <s:c r="A34" s="338">
        <s:v>10</s:v>
      </s:c>
      <s:c r="B34" s="393">
        <s:v>46076</s:v>
      </s:c>
      <s:c r="C34" s="394" t="s">
        <s:v>58</s:v>
      </s:c>
      <s:c r="D34" s="147">
        <s:v>18806</s:v>
      </s:c>
      <s:c r="E34" s="148">
        <s:v>2</s:v>
      </s:c>
      <s:c r="F34" s="137">
        <s:f>IF(AND(E34&lt;&gt;"",E34&lt;&gt;0),D34/E34,"")</s:f>
        <s:v>9403</s:v>
      </s:c>
      <s:c r="G34" s="148">
        <s:v>2</s:v>
      </s:c>
      <s:c r="H34" s="137">
        <s:f>IF(AND(G34&lt;&gt;"",G34&lt;&gt;0),D34/G34,"")</s:f>
        <s:v>9403</s:v>
      </s:c>
      <s:c r="I34" s="137"/>
      <s:c r="J34" s="391">
        <s:f>IF(AND(G34&lt;&gt;"",G34&lt;&gt;0),E34/G34,"")</s:f>
        <s:v>1</s:v>
      </s:c>
      <s:c r="K34" s="355"/>
      <s:c r="L34" s="355"/>
      <s:c r="M34" s="355">
        <s:v>10903</s:v>
      </s:c>
      <s:c r="N34" s="355"/>
      <s:c r="O34" s="355"/>
      <s:c r="P34" s="137"/>
      <s:c r="Q34" s="137"/>
      <s:c r="R34" s="137"/>
      <s:c r="S34" s="137"/>
      <s:c r="T34" s="140" t="str">
        <s:f>IF(AND(I34&lt;&gt;"",I34&lt;&gt;0),G34/I34,"")</s:f>
        <s:v/>
      </s:c>
      <s:c r="U34" s="383">
        <s:f>D34/V34</s:f>
        <s:v>0.5377323762026478</s:v>
      </s:c>
      <s:c r="V34" s="351">
        <s:f>$I$8*AB34*AC34/SUMPRODUCT($AC$25:$AC$55,$AB$25:$AB$55)</s:f>
        <s:v>34972.78726790451</s:v>
      </s:c>
      <s:c r="W34" s="143">
        <s:f>$I$9*AB34*AC34/SUMPRODUCT($AC$25:$AC$55,$AB$25:$AB$55)</s:f>
        <s:v>4.8171883289124668</s:v>
      </s:c>
      <s:c r="X34" s="349">
        <s:f>IF($I$12="","",W34/$I$12)</s:f>
        <s:v>2.6180371352785143</s:v>
      </s:c>
      <s:c r="Y34" s="142">
        <s:f>IF(AC34&lt;&gt;"",IF(D34&lt;&gt;"",D34,($I$8-SUM($Y$25:Y33))*AB34*AC34/SUMPRODUCT($AC34:$AC$55,$AB34:$AB$55)),"")</s:f>
        <s:v>18806</s:v>
      </s:c>
      <s:c r="Z34" s="349">
        <s:f>IF(AC34&lt;&gt;"",IF(E34&lt;&gt;"",E34,($I$9-SUM($Z$25:Z33))*AB34*AC34/SUMPRODUCT($AC34:$AC$55,$AB34:$AB$55)),"")</s:f>
        <s:v>2</s:v>
      </s:c>
      <s:c r="AA34" s="143">
        <s:f>IF(AC34&lt;&gt;"",IF($I$12&lt;&gt;"",IF(G34&lt;&gt;"",G34,($I$9/$I$12-SUM($AA$25:AA33))*AB34*AC34/SUMPRODUCT($AC34:$AC$55,$AB34:$AB$55)),""),"")</s:f>
        <s:v>2</s:v>
      </s:c>
      <s:c r="AB34" s="379">
        <s:v>1</s:v>
      </s:c>
      <s:c r="AC34" s="379">
        <s:v>1</s:v>
      </s:c>
      <s:c r="AD34" s="145"/>
      <s:c r="AE34" s="145"/>
      <s:c r="AF34" s="160"/>
      <s:c r="AG34" s="2"/>
      <s:c r="AH34" s="2"/>
      <s:c r="AI34" s="2"/>
      <s:c r="AJ34" s="2"/>
      <s:c r="AK34" s="2"/>
      <s:c r="AL34" s="2"/>
      <s:c r="AM34" s="2"/>
    </s:row>
    <s:row r="35">
      <s:c r="A35" s="340">
        <s:v>11</s:v>
      </s:c>
      <s:c r="B35" s="393">
        <s:v>46077</s:v>
      </s:c>
      <s:c r="C35" s="394" t="s">
        <s:v>60</s:v>
      </s:c>
      <s:c r="D35" s="147">
        <s:v>16803</s:v>
      </s:c>
      <s:c r="E35" s="148">
        <s:v>1</s:v>
      </s:c>
      <s:c r="F35" s="174">
        <s:f>IF(AND(E35&lt;&gt;"",E35&lt;&gt;0),D35/E35,"")</s:f>
        <s:v>16803</s:v>
      </s:c>
      <s:c r="G35" s="148">
        <s:v>1</s:v>
      </s:c>
      <s:c r="H35" s="174">
        <s:f>IF(AND(G35&lt;&gt;"",G35&lt;&gt;0),D35/G35,"")</s:f>
        <s:v>16803</s:v>
      </s:c>
      <s:c r="I35" s="148"/>
      <s:c r="J35" s="391">
        <s:f>IF(AND(G35&lt;&gt;"",G35&lt;&gt;0),E35/G35,"")</s:f>
        <s:v>1</s:v>
      </s:c>
      <s:c r="K35" s="355"/>
      <s:c r="L35" s="355"/>
      <s:c r="M35" s="355"/>
      <s:c r="N35" s="355"/>
      <s:c r="O35" s="355"/>
      <s:c r="P35" s="137"/>
      <s:c r="Q35" s="137"/>
      <s:c r="R35" s="137"/>
      <s:c r="S35" s="137"/>
      <s:c r="T35" s="140" t="str">
        <s:f>IF(AND(I35&lt;&gt;"",I35&lt;&gt;0),G35/I35,"")</s:f>
        <s:v/>
      </s:c>
      <s:c r="U35" s="383">
        <s:f>D35/V35</s:f>
        <s:v>0.48045927455775239</s:v>
      </s:c>
      <s:c r="V35" s="142">
        <s:f>$I$8*AB35*AC35/SUMPRODUCT($AC$25:$AC$55,$AB$25:$AB$55)</s:f>
        <s:v>34972.78726790451</s:v>
      </s:c>
      <s:c r="W35" s="349">
        <s:f>$I$9*AB35*AC35/SUMPRODUCT($AC$25:$AC$55,$AB$25:$AB$55)</s:f>
        <s:v>4.8171883289124668</s:v>
      </s:c>
      <s:c r="X35" s="143">
        <s:f>IF($I$12="","",W35/$I$12)</s:f>
        <s:v>2.6180371352785143</s:v>
      </s:c>
      <s:c r="Y35" s="142">
        <s:f>IF(AC35&lt;&gt;"",IF(D35&lt;&gt;"",D35,($I$8-SUM($Y$25:Y34))*AB35*AC35/SUMPRODUCT($AC35:$AC$55,$AB35:$AB$55)),"")</s:f>
        <s:v>16803</s:v>
      </s:c>
      <s:c r="Z35" s="143">
        <s:f>IF(AC35&lt;&gt;"",IF(E35&lt;&gt;"",E35,($I$9-SUM($Z$25:Z34))*AB35*AC35/SUMPRODUCT($AC35:$AC$55,$AB35:$AB$55)),"")</s:f>
        <s:v>1</s:v>
      </s:c>
      <s:c r="AA35" s="143">
        <s:f>IF(AC35&lt;&gt;"",IF($I$12&lt;&gt;"",IF(G35&lt;&gt;"",G35,($I$9/$I$12-SUM($AA$25:AA34))*AB35*AC35/SUMPRODUCT($AC35:$AC$55,$AB35:$AB$55)),""),"")</s:f>
        <s:v>1</s:v>
      </s:c>
      <s:c r="AB35" s="379">
        <s:v>1</s:v>
      </s:c>
      <s:c r="AC35" s="379">
        <s:v>1</s:v>
      </s:c>
      <s:c r="AD35" s="145"/>
      <s:c r="AE35" s="145"/>
      <s:c r="AF35" s="160"/>
      <s:c r="AG35" s="2"/>
      <s:c r="AH35" s="2"/>
      <s:c r="AI35" s="2"/>
      <s:c r="AJ35" s="2"/>
      <s:c r="AK35" s="2"/>
      <s:c r="AL35" s="2"/>
      <s:c r="AM35" s="2"/>
    </s:row>
    <s:row r="36">
      <s:c r="A36" s="340">
        <s:v>12</s:v>
      </s:c>
      <s:c r="B36" s="393">
        <s:v>46078</s:v>
      </s:c>
      <s:c r="C36" s="394" t="s">
        <s:v>62</s:v>
      </s:c>
      <s:c r="D36" s="147">
        <s:v>0</s:v>
      </s:c>
      <s:c r="E36" s="148">
        <s:v>0</s:v>
      </s:c>
      <s:c r="F36" s="137" t="str">
        <s:f>IF(AND(E36&lt;&gt;"",E36&lt;&gt;0),D36/E36,"")</s:f>
        <s:v/>
      </s:c>
      <s:c r="G36" s="148">
        <s:v>0</s:v>
      </s:c>
      <s:c r="H36" s="137" t="str">
        <s:f>IF(AND(G36&lt;&gt;"",G36&lt;&gt;0),D36/G36,"")</s:f>
        <s:v/>
      </s:c>
      <s:c r="I36" s="148"/>
      <s:c r="J36" s="391" t="str">
        <s:f>IF(AND(G36&lt;&gt;"",G36&lt;&gt;0),E36/G36,"")</s:f>
        <s:v/>
      </s:c>
      <s:c r="K36" s="355"/>
      <s:c r="L36" s="355"/>
      <s:c r="M36" s="355"/>
      <s:c r="N36" s="355"/>
      <s:c r="O36" s="355"/>
      <s:c r="P36" s="137"/>
      <s:c r="Q36" s="137"/>
      <s:c r="R36" s="137"/>
      <s:c r="S36" s="137"/>
      <s:c r="T36" s="140" t="str">
        <s:f>IF(AND(I36&lt;&gt;"",I36&lt;&gt;0),G36/I36,"")</s:f>
        <s:v/>
      </s:c>
      <s:c r="U36" s="383">
        <s:f>D36/V36</s:f>
        <s:v>0</s:v>
      </s:c>
      <s:c r="V36" s="142">
        <s:f>$I$8*AB36*AC36/SUMPRODUCT($AC$25:$AC$55,$AB$25:$AB$55)</s:f>
        <s:v>34972.78726790451</s:v>
      </s:c>
      <s:c r="W36" s="143">
        <s:f>$I$9*AB36*AC36/SUMPRODUCT($AC$25:$AC$55,$AB$25:$AB$55)</s:f>
        <s:v>4.8171883289124668</s:v>
      </s:c>
      <s:c r="X36" s="143">
        <s:f>IF($I$12="","",W36/$I$12)</s:f>
        <s:v>2.6180371352785143</s:v>
      </s:c>
      <s:c r="Y36" s="142">
        <s:f>IF(AC36&lt;&gt;"",IF(D36&lt;&gt;"",D36,($I$8-SUM($Y$25:Y35))*AB36*AC36/SUMPRODUCT($AC36:$AC$55,$AB36:$AB$55)),"")</s:f>
        <s:v>0</s:v>
      </s:c>
      <s:c r="Z36" s="143">
        <s:f>IF(AC36&lt;&gt;"",IF(E36&lt;&gt;"",E36,($I$9-SUM($Z$25:Z35))*AB36*AC36/SUMPRODUCT($AC36:$AC$55,$AB36:$AB$55)),"")</s:f>
        <s:v>0</s:v>
      </s:c>
      <s:c r="AA36" s="143">
        <s:f>IF(AC36&lt;&gt;"",IF($I$12&lt;&gt;"",IF(G36&lt;&gt;"",G36,($I$9/$I$12-SUM($AA$25:AA35))*AB36*AC36/SUMPRODUCT($AC36:$AC$55,$AB36:$AB$55)),""),"")</s:f>
        <s:v>0</s:v>
      </s:c>
      <s:c r="AB36" s="379">
        <s:v>1</s:v>
      </s:c>
      <s:c r="AC36" s="379">
        <s:v>1</s:v>
      </s:c>
      <s:c r="AD36" s="145"/>
      <s:c r="AE36" s="145"/>
      <s:c r="AF36" s="160"/>
      <s:c r="AG36" s="2"/>
      <s:c r="AH36" s="2"/>
      <s:c r="AI36" s="2"/>
      <s:c r="AJ36" s="2"/>
      <s:c r="AK36" s="2"/>
      <s:c r="AL36" s="2"/>
      <s:c r="AM36" s="2"/>
    </s:row>
    <s:row r="37">
      <s:c r="A37" s="340">
        <s:v>13</s:v>
      </s:c>
      <s:c r="B37" s="393">
        <s:v>46081</s:v>
      </s:c>
      <s:c r="C37" s="394" t="s">
        <s:v>66</s:v>
      </s:c>
      <s:c r="D37" s="395">
        <s:v>8593</s:v>
      </s:c>
      <s:c r="E37" s="148">
        <s:v>1</s:v>
      </s:c>
      <s:c r="F37" s="137">
        <s:f>IF(AND(E37&lt;&gt;"",E37&lt;&gt;0),D37/E37,"")</s:f>
        <s:v>8593</s:v>
      </s:c>
      <s:c r="G37" s="148">
        <s:v>1</s:v>
      </s:c>
      <s:c r="H37" s="137">
        <s:f>IF(AND(G37&lt;&gt;"",G37&lt;&gt;0),D37/G37,"")</s:f>
        <s:v>8593</s:v>
      </s:c>
      <s:c r="I37" s="148"/>
      <s:c r="J37" s="391">
        <s:f>IF(AND(G37&lt;&gt;"",G37&lt;&gt;0),E37/G37,"")</s:f>
        <s:v>1</s:v>
      </s:c>
      <s:c r="K37" s="355"/>
      <s:c r="L37" s="355"/>
      <s:c r="M37" s="355"/>
      <s:c r="N37" s="355"/>
      <s:c r="O37" s="355"/>
      <s:c r="P37" s="139"/>
      <s:c r="Q37" s="139"/>
      <s:c r="R37" s="137"/>
      <s:c r="S37" s="137"/>
      <s:c r="T37" s="140" t="str">
        <s:f>IF(AND(I37&lt;&gt;"",I37&lt;&gt;0),G37/I37,"")</s:f>
        <s:v/>
      </s:c>
      <s:c r="U37" s="383">
        <s:f>D37/V37</s:f>
        <s:v>0.24570532323244457</s:v>
      </s:c>
      <s:c r="V37" s="142">
        <s:f>$I$8*AB37*AC37/SUMPRODUCT($AC$25:$AC$55,$AB$25:$AB$55)</s:f>
        <s:v>34972.78726790451</s:v>
      </s:c>
      <s:c r="W37" s="349">
        <s:f>$I$9*AB37*AC37/SUMPRODUCT($AC$25:$AC$55,$AB$25:$AB$55)</s:f>
        <s:v>4.8171883289124668</s:v>
      </s:c>
      <s:c r="X37" s="143">
        <s:f>IF($I$12="","",W37/$I$12)</s:f>
        <s:v>2.6180371352785143</s:v>
      </s:c>
      <s:c r="Y37" s="142">
        <s:f>IF(AC37&lt;&gt;"",IF(D37&lt;&gt;"",D37,($I$8-SUM($Y$25:Y36))*AB37*AC37/SUMPRODUCT($AC37:$AC$55,$AB37:$AB$55)),"")</s:f>
        <s:v>8593</s:v>
      </s:c>
      <s:c r="Z37" s="143">
        <s:f>IF(AC37&lt;&gt;"",IF(E37&lt;&gt;"",E37,($I$9-SUM($Z$25:Z36))*AB37*AC37/SUMPRODUCT($AC37:$AC$55,$AB37:$AB$55)),"")</s:f>
        <s:v>1</s:v>
      </s:c>
      <s:c r="AA37" s="143">
        <s:f>IF(AC37&lt;&gt;"",IF($I$12&lt;&gt;"",IF(G37&lt;&gt;"",G37,($I$9/$I$12-SUM($AA$25:AA36))*AB37*AC37/SUMPRODUCT($AC37:$AC$55,$AB37:$AB$55)),""),"")</s:f>
        <s:v>1</s:v>
      </s:c>
      <s:c r="AB37" s="379">
        <s:v>1</s:v>
      </s:c>
      <s:c r="AC37" s="379">
        <s:v>1</s:v>
      </s:c>
      <s:c r="AD37" s="145"/>
      <s:c r="AE37" s="145"/>
      <s:c r="AF37" s="160"/>
      <s:c r="AG37" s="2"/>
      <s:c r="AH37" s="2"/>
      <s:c r="AI37" s="2"/>
      <s:c r="AJ37" s="2"/>
      <s:c r="AK37" s="2"/>
      <s:c r="AL37" s="2"/>
      <s:c r="AM37" s="2"/>
    </s:row>
    <s:row r="38">
      <s:c r="A38" s="340">
        <s:v>14</s:v>
      </s:c>
      <s:c r="B38" s="393"/>
      <s:c r="C38" s="394"/>
      <s:c r="D38" s="347"/>
      <s:c r="E38" s="148"/>
      <s:c r="F38" s="137" t="str">
        <s:f>IF(AND(E38&lt;&gt;"",E38&lt;&gt;0),D38/E38,"")</s:f>
        <s:v/>
      </s:c>
      <s:c r="G38" s="148"/>
      <s:c r="H38" s="174" t="str">
        <s:f>IF(AND(G38&lt;&gt;"",G38&lt;&gt;0),D38/G38,"")</s:f>
        <s:v/>
      </s:c>
      <s:c r="I38" s="148"/>
      <s:c r="J38" s="391" t="str">
        <s:f>IF(AND(G38&lt;&gt;"",G38&lt;&gt;0),E38/G38,"")</s:f>
        <s:v/>
      </s:c>
      <s:c r="K38" s="355"/>
      <s:c r="L38" s="355"/>
      <s:c r="M38" s="355"/>
      <s:c r="N38" s="355"/>
      <s:c r="O38" s="355"/>
      <s:c r="P38" s="139"/>
      <s:c r="Q38" s="139"/>
      <s:c r="R38" s="137"/>
      <s:c r="S38" s="137"/>
      <s:c r="T38" s="140" t="str">
        <s:f>IF(AND(I38&lt;&gt;"",I38&lt;&gt;0),G38/I38,"")</s:f>
        <s:v/>
      </s:c>
      <s:c r="U38" s="383" t="e">
        <s:f>D38/V38</s:f>
        <s:v>#DIV/0!</s:v>
      </s:c>
      <s:c r="V38" s="142">
        <s:f>$I$8*AB38*AC38/SUMPRODUCT($AC$25:$AC$46,$AB$25:$AB$46)</s:f>
        <s:v>0</s:v>
      </s:c>
      <s:c r="W38" s="143">
        <s:f>$I$9*AB38*AC38/SUMPRODUCT($AC$25:$AC$46,$AB$25:$AB$46)</s:f>
        <s:v>0</s:v>
      </s:c>
      <s:c r="X38" s="143">
        <s:f>IF($I$12="","",W38/$I$12)</s:f>
        <s:v>0</s:v>
      </s:c>
      <s:c r="Y38" s="142" t="str">
        <s:f>IF(AC38&lt;&gt;"",IF(D38&lt;&gt;"",D38,($I$8-SUM($Y$25:Y37))*AB38*AC38/SUMPRODUCT($AC38:$AC$55,$AB38:$AB$55)),"")</s:f>
        <s:v/>
      </s:c>
      <s:c r="Z38" s="143" t="str">
        <s:f>IF(AC38&lt;&gt;"",IF(E38&lt;&gt;"",E38,($I$9-SUM($Z$25:Z37))*AB38*AC38/SUMPRODUCT($AC38:$AC$55,$AB38:$AB$55)),"")</s:f>
        <s:v/>
      </s:c>
      <s:c r="AA38" s="143" t="str">
        <s:f>IF(AC38&lt;&gt;"",IF($I$12&lt;&gt;"",IF(G38&lt;&gt;"",G38,($I$9/$I$12-SUM($AA$25:AA37))*AB38*AC38/SUMPRODUCT($AC38:$AC$55,$AB38:$AB$55)),""),"")</s:f>
        <s:v/>
      </s:c>
      <s:c r="AB38" s="379"/>
      <s:c r="AC38" s="379"/>
      <s:c r="AD38" s="353"/>
      <s:c r="AE38" s="353"/>
    </s:row>
    <s:row r="39">
      <s:c r="A39" s="340">
        <s:v>15</s:v>
      </s:c>
      <s:c r="B39" s="393"/>
      <s:c r="C39" s="396"/>
      <s:c r="D39" s="397"/>
      <s:c r="E39" s="344"/>
      <s:c r="F39" s="346" t="str">
        <s:f>IF(AND(E39&lt;&gt;"",E39&lt;&gt;0),D39/E39,"")</s:f>
        <s:v/>
      </s:c>
      <s:c r="G39" s="344"/>
      <s:c r="H39" s="346" t="str">
        <s:f>IF(AND(G39&lt;&gt;"",G39&lt;&gt;0),D39/G39,"")</s:f>
        <s:v/>
      </s:c>
      <s:c r="I39" s="344"/>
      <s:c r="J39" s="391" t="str">
        <s:f>IF(AND(G39&lt;&gt;"",G39&lt;&gt;0),E39/G39,"")</s:f>
        <s:v/>
      </s:c>
      <s:c r="K39" s="355"/>
      <s:c r="L39" s="355"/>
      <s:c r="M39" s="355"/>
      <s:c r="N39" s="355"/>
      <s:c r="O39" s="355"/>
      <s:c r="P39" s="139"/>
      <s:c r="Q39" s="139"/>
      <s:c r="R39" s="137"/>
      <s:c r="S39" s="137"/>
      <s:c r="T39" s="140" t="str">
        <s:f>IF(AND(I39&lt;&gt;"",I39&lt;&gt;0),G39/I39,"")</s:f>
        <s:v/>
      </s:c>
      <s:c r="U39" s="383" t="e">
        <s:f>D39/V39</s:f>
        <s:v>#DIV/0!</s:v>
      </s:c>
      <s:c r="V39" s="142">
        <s:f>$I$8*AB39*AC39/SUMPRODUCT($AC$25:$AC$46,$AB$25:$AB$46)</s:f>
        <s:v>0</s:v>
      </s:c>
      <s:c r="W39" s="143">
        <s:f>$I$9*AB39*AC39/SUMPRODUCT($AC$25:$AC$46,$AB$25:$AB$46)</s:f>
        <s:v>0</s:v>
      </s:c>
      <s:c r="X39" s="143">
        <s:f>IF($I$12="","",W39/$I$12)</s:f>
        <s:v>0</s:v>
      </s:c>
      <s:c r="Y39" s="142" t="str">
        <s:f>IF(AC39&lt;&gt;"",IF(D39&lt;&gt;"",D39,($I$8-SUM($Y$25:Y38))*AB39*AC39/SUMPRODUCT($AC39:$AC$55,$AB39:$AB$55)),"")</s:f>
        <s:v/>
      </s:c>
      <s:c r="Z39" s="143" t="str">
        <s:f>IF(AC39&lt;&gt;"",IF(E39&lt;&gt;"",E39,($I$9-SUM($Z$25:Z38))*AB39*AC39/SUMPRODUCT($AC39:$AC$55,$AB39:$AB$55)),"")</s:f>
        <s:v/>
      </s:c>
      <s:c r="AA39" s="143" t="str">
        <s:f>IF(AC39&lt;&gt;"",IF($I$12&lt;&gt;"",IF(G39&lt;&gt;"",G39,($I$9/$I$12-SUM($AA$25:AA38))*AB39*AC39/SUMPRODUCT($AC39:$AC$55,$AB39:$AB$55)),""),"")</s:f>
        <s:v/>
      </s:c>
      <s:c r="AB39" s="379"/>
      <s:c r="AC39" s="379"/>
      <s:c r="AD39" s="353"/>
      <s:c r="AE39" s="353"/>
      <s:c r="AF39" s="356"/>
    </s:row>
    <s:row r="40">
      <s:c r="A40" s="340">
        <s:v>16</s:v>
      </s:c>
      <s:c r="B40" s="393"/>
      <s:c r="C40" s="135"/>
      <s:c r="D40" s="398"/>
      <s:c r="E40" s="355"/>
      <s:c r="F40" s="355" t="str">
        <s:f>IF(AND(E40&lt;&gt;"",E40&lt;&gt;0),D40/E40,"")</s:f>
        <s:v/>
      </s:c>
      <s:c r="G40" s="355"/>
      <s:c r="H40" s="355" t="str">
        <s:f>IF(AND(G40&lt;&gt;"",G40&lt;&gt;0),D40/G40,"")</s:f>
        <s:v/>
      </s:c>
      <s:c r="I40" s="355"/>
      <s:c r="J40" s="399" t="str">
        <s:f>IF(AND(G40&lt;&gt;"",G40&lt;&gt;0),E40/G40,"")</s:f>
        <s:v/>
      </s:c>
      <s:c r="K40" s="355"/>
      <s:c r="L40" s="355"/>
      <s:c r="M40" s="355"/>
      <s:c r="N40" s="355"/>
      <s:c r="O40" s="355"/>
      <s:c r="P40" s="139"/>
      <s:c r="Q40" s="139"/>
      <s:c r="R40" s="137"/>
      <s:c r="S40" s="137"/>
      <s:c r="T40" s="140" t="str">
        <s:f>IF(AND(I40&lt;&gt;"",I40&lt;&gt;0),G40/I40,"")</s:f>
        <s:v/>
      </s:c>
      <s:c r="U40" s="383" t="e">
        <s:f>D40/V40</s:f>
        <s:v>#DIV/0!</s:v>
      </s:c>
      <s:c r="V40" s="142">
        <s:f>$I$8*AB40*AC40/SUMPRODUCT($AC$25:$AC$46,$AB$25:$AB$46)</s:f>
        <s:v>0</s:v>
      </s:c>
      <s:c r="W40" s="143">
        <s:f>$I$9*AB40*AC40/SUMPRODUCT($AC$25:$AC$46,$AB$25:$AB$46)</s:f>
        <s:v>0</s:v>
      </s:c>
      <s:c r="X40" s="143">
        <s:f>IF($I$12="","",W40/$I$12)</s:f>
        <s:v>0</s:v>
      </s:c>
      <s:c r="Y40" s="142" t="str">
        <s:f>IF(AC40&lt;&gt;"",IF(D40&lt;&gt;"",D40,($I$8-SUM($Y$25:Y39))*AB40*AC40/SUMPRODUCT($AC40:$AC$55,$AB40:$AB$55)),"")</s:f>
        <s:v/>
      </s:c>
      <s:c r="Z40" s="143" t="str">
        <s:f>IF(AC40&lt;&gt;"",IF(E40&lt;&gt;"",E40,($I$9-SUM($Z$25:Z39))*AB40*AC40/SUMPRODUCT($AC40:$AC$55,$AB40:$AB$55)),"")</s:f>
        <s:v/>
      </s:c>
      <s:c r="AA40" s="143" t="str">
        <s:f>IF(AC40&lt;&gt;"",IF($I$12&lt;&gt;"",IF(G40&lt;&gt;"",G40,($I$9/$I$12-SUM($AA$25:AA39))*AB40*AC40/SUMPRODUCT($AC40:$AC$55,$AB40:$AB$55)),""),"")</s:f>
        <s:v/>
      </s:c>
      <s:c r="AB40" s="379"/>
      <s:c r="AC40" s="379"/>
      <s:c r="AD40" s="353"/>
      <s:c r="AE40" s="353"/>
      <s:c r="AF40" s="356"/>
    </s:row>
    <s:row r="41">
      <s:c r="A41" s="340">
        <s:v>17</s:v>
      </s:c>
      <s:c r="B41" s="400"/>
      <s:c r="C41" s="401"/>
      <s:c r="D41" s="402"/>
      <s:c r="E41" s="355"/>
      <s:c r="F41" s="355" t="str">
        <s:f>IF(AND(E41&lt;&gt;"",E41&lt;&gt;0),D41/E41,"")</s:f>
        <s:v/>
      </s:c>
      <s:c r="G41" s="355"/>
      <s:c r="H41" s="355" t="str">
        <s:f>IF(AND(G41&lt;&gt;"",G41&lt;&gt;0),D41/G41,"")</s:f>
        <s:v/>
      </s:c>
      <s:c r="I41" s="355"/>
      <s:c r="J41" s="399" t="str">
        <s:f>IF(AND(G41&lt;&gt;"",G41&lt;&gt;0),E41/G41,"")</s:f>
        <s:v/>
      </s:c>
      <s:c r="K41" s="355"/>
      <s:c r="L41" s="355"/>
      <s:c r="M41" s="355"/>
      <s:c r="N41" s="355"/>
      <s:c r="O41" s="355"/>
      <s:c r="P41" s="139"/>
      <s:c r="Q41" s="139"/>
      <s:c r="R41" s="137"/>
      <s:c r="S41" s="137"/>
      <s:c r="T41" s="140" t="str">
        <s:f>IF(AND(I41&lt;&gt;"",I41&lt;&gt;0),G41/I41,"")</s:f>
        <s:v/>
      </s:c>
      <s:c r="U41" s="383" t="e">
        <s:f>D41/V41</s:f>
        <s:v>#DIV/0!</s:v>
      </s:c>
      <s:c r="V41" s="142">
        <s:f>$I$8*AB41*AC41/SUMPRODUCT($AC$25:$AC$46,$AB$25:$AB$46)</s:f>
        <s:v>0</s:v>
      </s:c>
      <s:c r="W41" s="143">
        <s:f>$I$9*AB41*AC41/SUMPRODUCT($AC$25:$AC$46,$AB$25:$AB$46)</s:f>
        <s:v>0</s:v>
      </s:c>
      <s:c r="X41" s="143">
        <s:f>IF($I$12="","",W41/$I$12)</s:f>
        <s:v>0</s:v>
      </s:c>
      <s:c r="Y41" s="142" t="str">
        <s:f>IF(AC41&lt;&gt;"",IF(D41&lt;&gt;"",D41,($I$8-SUM($Y$25:Y40))*AB41*AC41/SUMPRODUCT($AC41:$AC$55,$AB41:$AB$55)),"")</s:f>
        <s:v/>
      </s:c>
      <s:c r="Z41" s="143" t="str">
        <s:f>IF(AC41&lt;&gt;"",IF(E41&lt;&gt;"",E41,($I$9-SUM($Z$25:Z40))*AB41*AC41/SUMPRODUCT($AC41:$AC$55,$AB41:$AB$55)),"")</s:f>
        <s:v/>
      </s:c>
      <s:c r="AA41" s="143" t="str">
        <s:f>IF(AC41&lt;&gt;"",IF($I$12&lt;&gt;"",IF(G41&lt;&gt;"",G41,($I$9/$I$12-SUM($AA$25:AA40))*AB41*AC41/SUMPRODUCT($AC41:$AC$55,$AB41:$AB$55)),""),"")</s:f>
        <s:v/>
      </s:c>
      <s:c r="AB41" s="379"/>
      <s:c r="AC41" s="379"/>
      <s:c r="AD41" s="353"/>
      <s:c r="AE41" s="353"/>
      <s:c r="AF41" s="356"/>
    </s:row>
    <s:row r="42">
      <s:c r="A42" s="340">
        <s:v>18</s:v>
      </s:c>
      <s:c r="B42" s="400"/>
      <s:c r="C42" s="403"/>
      <s:c r="D42" s="402"/>
      <s:c r="E42" s="355"/>
      <s:c r="F42" s="355" t="str">
        <s:f>IF(AND(E42&lt;&gt;"",E42&lt;&gt;0),D42/E42,"")</s:f>
        <s:v/>
      </s:c>
      <s:c r="G42" s="355"/>
      <s:c r="H42" s="355" t="str">
        <s:f>IF(AND(G42&lt;&gt;"",G42&lt;&gt;0),D42/G42,"")</s:f>
        <s:v/>
      </s:c>
      <s:c r="I42" s="355"/>
      <s:c r="J42" s="399" t="str">
        <s:f>IF(AND(G42&lt;&gt;"",G42&lt;&gt;0),E42/G42,"")</s:f>
        <s:v/>
      </s:c>
      <s:c r="K42" s="355"/>
      <s:c r="L42" s="355"/>
      <s:c r="M42" s="355"/>
      <s:c r="N42" s="355"/>
      <s:c r="O42" s="355"/>
      <s:c r="P42" s="139"/>
      <s:c r="Q42" s="139"/>
      <s:c r="R42" s="137"/>
      <s:c r="S42" s="137"/>
      <s:c r="T42" s="140" t="str">
        <s:f>IF(AND(I42&lt;&gt;"",I42&lt;&gt;0),G42/I42,"")</s:f>
        <s:v/>
      </s:c>
      <s:c r="U42" s="383" t="e">
        <s:f>D42/V42</s:f>
        <s:v>#DIV/0!</s:v>
      </s:c>
      <s:c r="V42" s="142">
        <s:f>$I$8*AB42*AC42/SUMPRODUCT($AC$25:$AC$46,$AB$25:$AB$46)</s:f>
        <s:v>0</s:v>
      </s:c>
      <s:c r="W42" s="143">
        <s:f>$I$9*AB42*AC42/SUMPRODUCT($AC$25:$AC$46,$AB$25:$AB$46)</s:f>
        <s:v>0</s:v>
      </s:c>
      <s:c r="X42" s="143">
        <s:f>IF($I$12="","",W42/$I$12)</s:f>
        <s:v>0</s:v>
      </s:c>
      <s:c r="Y42" s="142" t="str">
        <s:f>IF(AC42&lt;&gt;"",IF(D42&lt;&gt;"",D42,($I$8-SUM($Y$25:Y41))*AB42*AC42/SUMPRODUCT($AC42:$AC$55,$AB42:$AB$55)),"")</s:f>
        <s:v/>
      </s:c>
      <s:c r="Z42" s="143" t="str">
        <s:f>IF(AC42&lt;&gt;"",IF(E42&lt;&gt;"",E42,($I$9-SUM($Z$25:Z41))*AB42*AC42/SUMPRODUCT($AC42:$AC$55,$AB42:$AB$55)),"")</s:f>
        <s:v/>
      </s:c>
      <s:c r="AA42" s="143" t="str">
        <s:f>IF(AC42&lt;&gt;"",IF($I$12&lt;&gt;"",IF(G42&lt;&gt;"",G42,($I$9/$I$12-SUM($AA$25:AA41))*AB42*AC42/SUMPRODUCT($AC42:$AC$55,$AB42:$AB$55)),""),"")</s:f>
        <s:v/>
      </s:c>
      <s:c r="AB42" s="379"/>
      <s:c r="AC42" s="379"/>
      <s:c r="AD42" s="353"/>
      <s:c r="AE42" s="353"/>
      <s:c r="AF42" s="356"/>
    </s:row>
    <s:row r="43">
      <s:c r="A43" s="340">
        <s:v>19</s:v>
      </s:c>
      <s:c r="B43" s="400"/>
      <s:c r="C43" s="181"/>
      <s:c r="D43" s="404"/>
      <s:c r="E43" s="355"/>
      <s:c r="F43" s="355" t="str">
        <s:f>IF(AND(E43&lt;&gt;"",E43&lt;&gt;0),D43/E43,"")</s:f>
        <s:v/>
      </s:c>
      <s:c r="G43" s="355"/>
      <s:c r="H43" s="355" t="str">
        <s:f>IF(AND(G43&lt;&gt;"",G43&lt;&gt;0),D43/G43,"")</s:f>
        <s:v/>
      </s:c>
      <s:c r="I43" s="355"/>
      <s:c r="J43" s="399" t="str">
        <s:f>IF(AND(G43&lt;&gt;"",G43&lt;&gt;0),E43/G43,"")</s:f>
        <s:v/>
      </s:c>
      <s:c r="K43" s="355"/>
      <s:c r="L43" s="355"/>
      <s:c r="M43" s="355"/>
      <s:c r="N43" s="355"/>
      <s:c r="O43" s="355"/>
      <s:c r="P43" s="139"/>
      <s:c r="Q43" s="139"/>
      <s:c r="R43" s="137"/>
      <s:c r="S43" s="137"/>
      <s:c r="T43" s="140" t="str">
        <s:f>IF(AND(I43&lt;&gt;"",I43&lt;&gt;0),G43/I43,"")</s:f>
        <s:v/>
      </s:c>
      <s:c r="U43" s="383" t="e">
        <s:f>D43/V43</s:f>
        <s:v>#DIV/0!</s:v>
      </s:c>
      <s:c r="V43" s="142">
        <s:f>$I$8*AB43*AC43/SUMPRODUCT($AC$25:$AC$46,$AB$25:$AB$46)</s:f>
        <s:v>0</s:v>
      </s:c>
      <s:c r="W43" s="143">
        <s:f>$I$9*AB43*AC43/SUMPRODUCT($AC$25:$AC$46,$AB$25:$AB$46)</s:f>
        <s:v>0</s:v>
      </s:c>
      <s:c r="X43" s="143">
        <s:f>IF($I$12="","",W43/$I$12)</s:f>
        <s:v>0</s:v>
      </s:c>
      <s:c r="Y43" s="142" t="str">
        <s:f>IF(AC43&lt;&gt;"",IF(D43&lt;&gt;"",D43,($I$8-SUM($Y$25:Y42))*AB43*AC43/SUMPRODUCT($AC43:$AC$55,$AB43:$AB$55)),"")</s:f>
        <s:v/>
      </s:c>
      <s:c r="Z43" s="143" t="str">
        <s:f>IF(AC43&lt;&gt;"",IF(E43&lt;&gt;"",E43,($I$9-SUM($Z$25:Z42))*AB43*AC43/SUMPRODUCT($AC43:$AC$46,$AB43:$AB$46)),"")</s:f>
        <s:v/>
      </s:c>
      <s:c r="AA43" s="143" t="str">
        <s:f>IF(AC43&lt;&gt;"",IF($I$12&lt;&gt;"",IF(G43&lt;&gt;"",G43,($I$9/$I$12-SUM($AA$25:AA42))*AB43*AC43/SUMPRODUCT($AC43:$AC$46,$AB43:$AB$46)),""),"")</s:f>
        <s:v/>
      </s:c>
      <s:c r="AB43" s="379"/>
      <s:c r="AC43" s="379"/>
      <s:c r="AD43" s="353"/>
      <s:c r="AE43" s="353"/>
      <s:c r="AF43" s="356"/>
    </s:row>
    <s:row r="44">
      <s:c r="A44" s="405"/>
      <s:c r="B44" s="400"/>
      <s:c r="C44" s="135"/>
      <s:c r="D44" s="357"/>
      <s:c r="E44" s="406"/>
      <s:c r="F44" s="148" t="str">
        <s:f>IF(AND(E44&lt;&gt;"",E44&lt;&gt;0),D44/E44,"")</s:f>
        <s:v/>
      </s:c>
      <s:c r="G44" s="406"/>
      <s:c r="H44" s="148" t="str">
        <s:f>IF(AND(G44&lt;&gt;"",G44&lt;&gt;0),D44/G44,"")</s:f>
        <s:v/>
      </s:c>
      <s:c r="I44" s="406"/>
      <s:c r="J44" s="138" t="str">
        <s:f>IF(AND(G44&lt;&gt;"",G44&lt;&gt;0),E44/G44,"")</s:f>
        <s:v/>
      </s:c>
      <s:c r="K44" s="148"/>
      <s:c r="L44" s="148"/>
      <s:c r="M44" s="148"/>
      <s:c r="N44" s="148"/>
      <s:c r="O44" s="148"/>
      <s:c r="P44" s="139"/>
      <s:c r="Q44" s="139"/>
      <s:c r="R44" s="137"/>
      <s:c r="S44" s="137"/>
      <s:c r="T44" s="140" t="str">
        <s:f>IF(AND(I44&lt;&gt;"",I44&lt;&gt;0),G44/I44,"")</s:f>
        <s:v/>
      </s:c>
      <s:c r="U44" s="383" t="e">
        <s:f>D44/V44</s:f>
        <s:v>#DIV/0!</s:v>
      </s:c>
      <s:c r="V44" s="142">
        <s:f>$I$8*AB44*AC44/SUMPRODUCT($AC$25:$AC$46,$AB$25:$AB$46)</s:f>
        <s:v>0</s:v>
      </s:c>
      <s:c r="W44" s="143">
        <s:f>$I$9*AB44*AC44/SUMPRODUCT($AC$25:$AC$46,$AB$25:$AB$46)</s:f>
        <s:v>0</s:v>
      </s:c>
      <s:c r="X44" s="143">
        <s:f>IF($I$12="","",W44/$I$12)</s:f>
        <s:v>0</s:v>
      </s:c>
      <s:c r="Y44" s="142" t="str">
        <s:f>IF(AC44&lt;&gt;"",IF(D44&lt;&gt;"",D44,($I$8-SUM($Y$25:Y43))*AB44*AC44/SUMPRODUCT($AC44:$AC$46,$AB44:$AB$46)),"")</s:f>
        <s:v/>
      </s:c>
      <s:c r="Z44" s="143" t="str">
        <s:f>IF(AC44&lt;&gt;"",IF(E44&lt;&gt;"",E44,($I$9-SUM($Z$25:Z43))*AB44*AC44/SUMPRODUCT($AC44:$AC$46,$AB44:$AB$46)),"")</s:f>
        <s:v/>
      </s:c>
      <s:c r="AA44" s="143" t="str">
        <s:f>IF(AC44&lt;&gt;"",IF($I$12&lt;&gt;"",IF(G44&lt;&gt;"",G44,($I$9/$I$12-SUM($AA$25:AA43))*AB44*AC44/SUMPRODUCT($AC44:$AC$46,$AB44:$AB$46)),""),"")</s:f>
        <s:v/>
      </s:c>
      <s:c r="AB44" s="379"/>
      <s:c r="AC44" s="379"/>
      <s:c r="AD44" s="353"/>
      <s:c r="AE44" s="353"/>
      <s:c r="AF44" s="356"/>
    </s:row>
    <s:row r="45">
      <s:c r="A45" s="340"/>
      <s:c r="B45" s="134">
        <s:v>46080</s:v>
      </s:c>
      <s:c r="C45" s="135" t="s">
        <s:v>64</s:v>
      </s:c>
      <s:c r="D45" s="357">
        <s:v>3245</s:v>
      </s:c>
      <s:c r="E45" s="358">
        <s:v>1</s:v>
      </s:c>
      <s:c r="F45" s="137"/>
      <s:c r="G45" s="358">
        <s:v>1</s:v>
      </s:c>
      <s:c r="H45" s="137"/>
      <s:c r="I45" s="358"/>
      <s:c r="J45" s="138">
        <s:f>IF(AND(G45&lt;&gt;"",G45&lt;&gt;0),E45/G45,"")</s:f>
        <s:v>1</s:v>
      </s:c>
      <s:c r="K45" s="137"/>
      <s:c r="L45" s="137"/>
      <s:c r="M45" s="137"/>
      <s:c r="N45" s="137"/>
      <s:c r="O45" s="137"/>
      <s:c r="P45" s="139"/>
      <s:c r="Q45" s="139"/>
      <s:c r="R45" s="137"/>
      <s:c r="S45" s="137"/>
      <s:c r="T45" s="140" t="str">
        <s:f>IF(AND(I45&lt;&gt;"",I45&lt;&gt;0),G45/I45,"")</s:f>
        <s:v/>
      </s:c>
      <s:c r="U45" s="383" t="e">
        <s:f>D45/V45</s:f>
        <s:v>#DIV/0!</s:v>
      </s:c>
      <s:c r="V45" s="142">
        <s:f>$I$8*AB45*AC45/SUMPRODUCT($AC$25:$AC$46,$AB$25:$AB$46)</s:f>
        <s:v>0</s:v>
      </s:c>
      <s:c r="W45" s="143">
        <s:f>$I$9*AB45*AC45/SUMPRODUCT($AC$25:$AC$46,$AB$25:$AB$46)</s:f>
        <s:v>0</s:v>
      </s:c>
      <s:c r="X45" s="143">
        <s:f>IF($I$12="","",W45/$I$12)</s:f>
        <s:v>0</s:v>
      </s:c>
      <s:c r="Y45" s="142" t="str">
        <s:f>IF(AC45&lt;&gt;"",IF(D45&lt;&gt;"",D45,($I$8-SUM($Y$25:Y44))*AB45*AC45/SUMPRODUCT($AC45:$AC$46,$AB45:$AB$46)),"")</s:f>
        <s:v/>
      </s:c>
      <s:c r="Z45" s="143" t="str">
        <s:f>IF(AC45&lt;&gt;"",IF(E45&lt;&gt;"",E45,($I$9-SUM($Z$25:Z44))*AB45*AC45/SUMPRODUCT($AC45:$AC$46,$AB45:$AB$46)),"")</s:f>
        <s:v/>
      </s:c>
      <s:c r="AA45" s="143" t="str">
        <s:f>IF(AC45&lt;&gt;"",IF($I$12&lt;&gt;"",IF(G45&lt;&gt;"",G45,($I$9/$I$12-SUM($AA$25:AA44))*AB45*AC45/SUMPRODUCT($AC45:$AC$46,$AB45:$AB$46)),""),"")</s:f>
        <s:v/>
      </s:c>
      <s:c r="AB45" s="379"/>
      <s:c r="AC45" s="379"/>
      <s:c r="AD45" s="353"/>
      <s:c r="AE45" s="353"/>
      <s:c r="AF45" s="356"/>
    </s:row>
    <s:row r="46">
      <s:c r="A46" s="407"/>
      <s:c r="B46" s="134"/>
      <s:c r="C46" s="408"/>
      <s:c r="D46" s="409"/>
      <s:c r="E46" s="410"/>
      <s:c r="F46" s="411" t="str">
        <s:f>IF(AND(E46&lt;&gt;"",E46&lt;&gt;0),D46/E46,"")</s:f>
        <s:v/>
      </s:c>
      <s:c r="G46" s="410"/>
      <s:c r="H46" s="411" t="str">
        <s:f>IF(AND(G46&lt;&gt;"",G46&lt;&gt;0),D46/G46,"")</s:f>
        <s:v/>
      </s:c>
      <s:c r="I46" s="412"/>
      <s:c r="J46" s="413" t="str">
        <s:f>IF(AND(G46&lt;&gt;"",G46&lt;&gt;0),E46/G46,"")</s:f>
        <s:v/>
      </s:c>
      <s:c r="K46" s="411"/>
      <s:c r="L46" s="411"/>
      <s:c r="M46" s="411"/>
      <s:c r="N46" s="411"/>
      <s:c r="O46" s="411"/>
      <s:c r="P46" s="137"/>
      <s:c r="Q46" s="137"/>
      <s:c r="R46" s="137"/>
      <s:c r="S46" s="137"/>
      <s:c r="T46" s="140" t="str">
        <s:f>IF(AND(I46&lt;&gt;"",I46&lt;&gt;0),G46/I46,"")</s:f>
        <s:v/>
      </s:c>
      <s:c r="U46" s="383" t="e">
        <s:f>D46/V46</s:f>
        <s:v>#DIV/0!</s:v>
      </s:c>
      <s:c r="V46" s="414">
        <s:f>$I$8*AB46*AC46/SUMPRODUCT($AC$25:$AC$46,$AB$25:$AB$46)</s:f>
        <s:v>0</s:v>
      </s:c>
      <s:c r="W46" s="415">
        <s:f>$I$9*AB46*AC46/SUMPRODUCT($AC$25:$AC$46,$AB$25:$AB$46)</s:f>
        <s:v>0</s:v>
      </s:c>
      <s:c r="X46" s="415">
        <s:f>IF($I$12="","",W46/$I$12)</s:f>
        <s:v>0</s:v>
      </s:c>
      <s:c r="Y46" s="414" t="str">
        <s:f>IF(AC46&lt;&gt;"",IF(D46&lt;&gt;"",D46,($I$8-SUM($Y$25:Y45))*AB46*AC46/SUMPRODUCT($AC46:$AC$46,$AB46:$AB$46)),"")</s:f>
        <s:v/>
      </s:c>
      <s:c r="Z46" s="415" t="str">
        <s:f>IF(AC46&lt;&gt;"",IF(E46&lt;&gt;"",E46,($I$9-SUM($Z$25:Z39))*AB46*AC46/SUMPRODUCT($AC46:$AC$46,$AB46:$AB$46)),"")</s:f>
        <s:v/>
      </s:c>
      <s:c r="AA46" s="415" t="str">
        <s:f>IF(AC46&lt;&gt;"",IF($I$12&lt;&gt;"",IF(G46&lt;&gt;"",G46,($I$9/$I$12-SUM($AA$25:AA39))*AB46*AC46/SUMPRODUCT($AC46:$AC$46,$AB46:$AB$46)),""),"")</s:f>
        <s:v/>
      </s:c>
      <s:c r="AB46" s="416"/>
      <s:c r="AC46" s="416"/>
      <s:c r="AD46" s="417"/>
      <s:c r="AE46" s="418"/>
    </s:row>
    <s:row r="47">
      <s:c r="B47" s="419"/>
      <s:c r="C47" s="181"/>
      <s:c r="D47" s="342"/>
      <s:c r="E47" s="148"/>
      <s:c r="F47" s="174" t="str">
        <s:f>IF(AND(E47&lt;&gt;"",E47&lt;&gt;0),D47/E47,"")</s:f>
        <s:v/>
      </s:c>
      <s:c r="G47" s="148"/>
      <s:c r="H47" s="174" t="str">
        <s:f>IF(AND(G47&lt;&gt;"",G47&lt;&gt;0),D47/G47,"")</s:f>
        <s:v/>
      </s:c>
      <s:c r="I47" s="420"/>
      <s:c r="J47" s="138" t="str">
        <s:f>IF(AND(G47&lt;&gt;"",G47&lt;&gt;0),E47/G47,"")</s:f>
        <s:v/>
      </s:c>
      <s:c r="K47" s="137"/>
      <s:c r="L47" s="137"/>
      <s:c r="M47" s="137"/>
      <s:c r="N47" s="137"/>
      <s:c r="O47" s="137"/>
      <s:c r="P47" s="137"/>
      <s:c r="Q47" s="137"/>
      <s:c r="R47" s="137"/>
      <s:c r="S47" s="137"/>
      <s:c r="T47" s="140" t="str">
        <s:f>IF(AND(I47&lt;&gt;"",I47&lt;&gt;0),G47/I47,"")</s:f>
        <s:v/>
      </s:c>
      <s:c r="U47" s="383" t="e">
        <s:f>D47/V47</s:f>
        <s:v>#DIV/0!</s:v>
      </s:c>
      <s:c r="V47" s="142">
        <s:f>$I$8*AB47*AC47/SUMPRODUCT($AC$25:$AC$46,$AB$25:$AB$46)</s:f>
        <s:v>0</s:v>
      </s:c>
      <s:c r="W47" s="143">
        <s:f>$I$9*AB47*AC47/SUMPRODUCT($AC$25:$AC$46,$AB$25:$AB$46)</s:f>
        <s:v>0</s:v>
      </s:c>
      <s:c r="X47" s="143">
        <s:f>IF($I$12="","",W47/$I$12)</s:f>
        <s:v>0</s:v>
      </s:c>
      <s:c r="Y47" s="142" t="str">
        <s:f>IF(AC47&lt;&gt;"",IF(D47&lt;&gt;"",D47,($I$8-SUM($Y$25:Y46))*AB47*AC47/SUMPRODUCT($AC$46:$AC47,$AB$46:$AB47)),"")</s:f>
        <s:v/>
      </s:c>
      <s:c r="Z47" s="143" t="str">
        <s:f>IF(AC47&lt;&gt;"",IF(E47&lt;&gt;"",E47,($I$9-SUM($Z$25:Z40))*AB47*AC47/SUMPRODUCT($AC$46:$AC47,$AB$46:$AB47)),"")</s:f>
        <s:v/>
      </s:c>
      <s:c r="AA47" s="143" t="str">
        <s:f>IF(AC47&lt;&gt;"",IF($I$12&lt;&gt;"",IF(G47&lt;&gt;"",G47,($I$9/$I$12-SUM($AA$25:AA40))*AB47*AC47/SUMPRODUCT($AC$46:$AC47,$AB$46:$AB47)),""),"")</s:f>
        <s:v/>
      </s:c>
      <s:c r="AB47" s="379"/>
      <s:c r="AC47" s="379"/>
      <s:c r="AD47" s="353"/>
      <s:c r="AE47" s="353"/>
    </s:row>
    <s:row r="48">
      <s:c r="B48" s="134"/>
      <s:c r="C48" s="387"/>
      <s:c r="D48" s="363">
        <s:f>SUM(D25:D47)</s:f>
        <s:v>248592</s:v>
      </s:c>
      <s:c r="E48" s="363">
        <s:f>SUM(E25:E47)</s:f>
        <s:v>33</s:v>
      </s:c>
      <s:c r="F48" s="363">
        <s:f>IF(AND(E48&lt;&gt;"",E48&lt;&gt;0),D48/E48,"")</s:f>
        <s:v>7533.090909090909</s:v>
      </s:c>
      <s:c r="G48" s="363">
        <s:f>SUM(G25:G47)</s:f>
        <s:v>23</s:v>
      </s:c>
      <s:c r="H48" s="363">
        <s:f>IF(AND(G48&lt;&gt;"",G48&lt;&gt;0),D48/G48,"")</s:f>
        <s:v>10808.347826086956</s:v>
      </s:c>
      <s:c r="I48" s="363">
        <s:f>SUM(I25:I47)*0.8</s:f>
        <s:v>168</s:v>
      </s:c>
      <s:c r="J48" s="364">
        <s:f>IF(AND(G48&lt;&gt;"",G48&lt;&gt;0),E48/G48,"")</s:f>
        <s:v>1.4347826086956521</s:v>
      </s:c>
      <s:c r="K48" s="363">
        <s:f>SUM(K25:K47)</s:f>
        <s:v>0</s:v>
      </s:c>
      <s:c r="L48" s="363">
        <s:f>SUM(L25:L47)</s:f>
        <s:v>15902</s:v>
      </s:c>
      <s:c r="M48" s="363">
        <s:f>SUM(M25:M47)</s:f>
        <s:v>38575</s:v>
      </s:c>
      <s:c r="N48" s="363">
        <s:f>SUM(N25:N47)</s:f>
        <s:v>0</s:v>
      </s:c>
      <s:c r="O48" s="363">
        <s:f>SUM(O25:O47)</s:f>
        <s:v>0</s:v>
      </s:c>
      <s:c r="P48" s="363">
        <s:f>SUM(P25:P47)</s:f>
        <s:v>0</s:v>
      </s:c>
      <s:c r="Q48" s="363">
        <s:f>SUM(Q25:Q47)</s:f>
        <s:v>17382</s:v>
      </s:c>
      <s:c r="R48" s="363">
        <s:f>SUM(R25:R47)</s:f>
        <s:v>0</s:v>
      </s:c>
      <s:c r="S48" s="363">
        <s:f>SUM(S25:S47)</s:f>
        <s:v>1647</s:v>
      </s:c>
      <s:c r="T48" s="178">
        <s:f>IF(AND(I48&lt;&gt;"",I48&lt;&gt;0),G48/I48,"")</s:f>
        <s:v>0.13690476190476192</s:v>
      </s:c>
      <s:c r="U48" s="365">
        <s:f>D48/V48</s:f>
        <s:v>0.5730415866063574</s:v>
      </s:c>
      <s:c r="V48" s="366">
        <s:f>SUM(V25:V47)</s:f>
        <s:v>433811.44721485401</s:v>
      </s:c>
      <s:c r="W48" s="366">
        <s:f>SUM(W25:W47)</s:f>
        <s:v>61.806259946949588</s:v>
      </s:c>
      <s:c r="X48" s="366">
        <s:f>SUM(X25:X47)</s:f>
        <s:v>33.416445623342163</s:v>
      </s:c>
      <s:c r="Y48" s="366">
        <s:f>SUM(Y25:Y47)</s:f>
        <s:v>239409</s:v>
      </s:c>
      <s:c r="Z48" s="366">
        <s:f>SUM(Z25:Z47)</s:f>
        <s:v>32</s:v>
      </s:c>
      <s:c r="AA48" s="366">
        <s:f>SUM(AA25:AA47)</s:f>
        <s:v>23</s:v>
      </s:c>
      <s:c r="AB48" s="367"/>
      <s:c r="AC48" s="367"/>
    </s:row>
    <s:row r="49">
      <s:c r="B49" s="387" t="s">
        <s:v>72</s:v>
      </s:c>
      <s:c r="C49" s="182"/>
      <s:c r="D49" s="183">
        <s:f>SUMIF(D25:D47,"",V25:V47)+D48</s:f>
        <s:v>248592</s:v>
      </s:c>
      <s:c r="E49" s="184"/>
      <s:c r="F49" s="182"/>
      <s:c r="G49" s="182"/>
      <s:c r="H49" s="185"/>
      <s:c r="I49" s="186"/>
      <s:c r="J49" s="185"/>
      <s:c r="O49" s="187"/>
      <s:c r="P49" s="184"/>
      <s:c r="Q49" s="184"/>
      <s:c r="R49" s="184"/>
      <s:c r="S49" s="184"/>
      <s:c r="T49" s="187"/>
      <s:c r="U49" s="187"/>
      <s:c r="V49" s="187"/>
      <s:c r="W49" s="188"/>
    </s:row>
    <s:row r="50">
      <s:c r="B50" s="181"/>
      <s:c r="D50" s="190"/>
      <s:c r="R50" s="184"/>
      <s:c r="S50" s="184"/>
    </s:row>
    <s:row r="52">
      <s:c r="D52" s="190"/>
    </s:row>
    <s:row r="53">
      <s:c r="D53" s="190"/>
    </s:row>
  </s:sheetData>
  <s:pageMargins left="0.7" right="0.7" top="0.75" bottom="0.75" header="0.3" footer="0.3"/>
</s:worksheet>
</file>

<file path=xl/worksheets/sheet8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800-000000000000}">
  <s:dimension ref="A1:IZ53"/>
  <s:sheetViews>
    <s:sheetView tabSelected="0" topLeftCell="A21" workbookViewId="0">
      <s:selection activeCell="M42" sqref="M42"/>
    </s:sheetView>
  </s:sheetViews>
  <s:sheetFormatPr baseColWidth="10" defaultColWidth="10" defaultRowHeight="15"/>
  <s:sheetData>
    <s:row r="1" ht="36">
      <s:c r="B1" s="3">
        <s:f ca="1">TODAY()-1</s:f>
        <s:v>46171</s:v>
      </s:c>
      <s:c r="C1" s="3"/>
      <s:c r="D1" s="4"/>
      <s:c r="E1" s="4"/>
      <s:c r="F1" s="5"/>
      <s:c r="G1" s="5"/>
      <s:c r="H1" s="5"/>
      <s:c r="I1" s="5"/>
      <s:c r="J1" s="6"/>
      <s:c r="K1" s="6"/>
      <s:c r="L1" s="6"/>
      <s:c r="M1" s="6"/>
      <s:c r="N1" s="6"/>
      <s:c r="O1" s="6"/>
      <s:c r="P1" s="6"/>
      <s:c r="Q1" s="6"/>
      <s:c r="R1" s="6"/>
      <s:c r="S1" s="6"/>
      <s:c r="T1" s="6"/>
      <s:c r="U1" s="6"/>
      <s:c r="V1" s="7"/>
      <s:c r="W1" s="7"/>
      <s:c r="X1" s="7"/>
      <s:c r="Y1" s="7"/>
      <s:c r="Z1" s="5"/>
      <s:c r="AA1" s="5"/>
      <s:c r="AB1" s="5"/>
    </s:row>
    <s:row r="2" ht="36">
      <s:c r="B2" s="8" t="s">
        <s:v>89</s:v>
      </s:c>
      <s:c r="C2" s="8"/>
      <s:c r="D2" s="4"/>
      <s:c r="E2" s="4"/>
      <s:c r="F2" s="5"/>
      <s:c r="G2" s="5"/>
      <s:c r="H2" s="5"/>
      <s:c r="I2" s="5"/>
      <s:c r="J2" s="421" t="s">
        <s:v>1</s:v>
      </s:c>
      <s:c r="K2" s="421"/>
      <s:c r="L2" s="421"/>
      <s:c r="M2" s="421"/>
      <s:c r="N2" s="9"/>
      <s:c r="O2" s="9"/>
      <s:c r="P2" s="9"/>
      <s:c r="Q2" s="9"/>
      <s:c r="R2" s="9"/>
      <s:c r="S2" s="9"/>
      <s:c r="T2" s="9"/>
      <s:c r="U2" s="9"/>
      <s:c r="V2" s="7"/>
      <s:c r="W2" s="7"/>
      <s:c r="X2" s="7"/>
      <s:c r="Y2" s="7"/>
      <s:c r="Z2" s="5"/>
      <s:c r="AA2" s="5"/>
      <s:c r="AB2" s="5"/>
    </s:row>
    <s:row r="3" ht="36">
      <s:c r="B3" s="10" t="s">
        <s:v>2</s:v>
      </s:c>
      <s:c r="C3" s="4"/>
      <s:c r="D3" s="4"/>
      <s:c r="E3" s="4"/>
      <s:c r="F3" s="5"/>
      <s:c r="G3" s="5"/>
      <s:c r="H3" s="5"/>
      <s:c r="I3" s="5"/>
      <s:c r="J3" s="305">
        <s:f>График!B24</s:f>
        <s:v>0</s:v>
      </s:c>
      <s:c r="K3" s="306"/>
      <s:c r="L3" s="306"/>
      <s:c r="M3" s="307"/>
      <s:c r="N3" s="9"/>
      <s:c r="O3" s="9"/>
      <s:c r="P3" s="9"/>
      <s:c r="Q3" s="9"/>
      <s:c r="R3" s="9"/>
      <s:c r="S3" s="9"/>
      <s:c r="T3" s="6"/>
      <s:c r="U3" s="14"/>
      <s:c r="V3" s="7"/>
      <s:c r="W3" s="7"/>
      <s:c r="X3" s="7"/>
      <s:c r="Y3" s="7"/>
      <s:c r="Z3" s="5"/>
      <s:c r="AA3" s="5"/>
      <s:c r="AB3" s="5"/>
    </s:row>
    <s:row r="4" ht="36">
      <s:c r="B4" s="4"/>
      <s:c r="C4" s="308">
        <s:f>I8-D48</s:f>
        <s:v>-7420</s:v>
      </s:c>
      <s:c r="D4" s="308"/>
      <s:c r="E4" s="309">
        <s:f>IF(I8&lt;&gt;0,C4/I8,0)</s:f>
        <s:v>0</s:v>
      </s:c>
      <s:c r="F4" s="5"/>
      <s:c r="G4" s="5"/>
      <s:c r="H4" s="5"/>
      <s:c r="I4" s="5"/>
      <s:c r="J4" s="310"/>
      <s:c r="K4" s="311"/>
      <s:c r="L4" s="311"/>
      <s:c r="M4" s="312"/>
      <s:c r="N4" s="9"/>
      <s:c r="O4" s="9"/>
      <s:c r="P4" s="9"/>
      <s:c r="Q4" s="9"/>
      <s:c r="R4" s="9"/>
      <s:c r="S4" s="9"/>
      <s:c r="T4" s="5"/>
      <s:c r="U4" s="5"/>
      <s:c r="V4" s="7"/>
      <s:c r="W4" s="7"/>
      <s:c r="X4" s="7"/>
      <s:c r="Y4" s="7"/>
      <s:c r="Z4" s="5"/>
      <s:c r="AA4" s="5"/>
      <s:c r="AB4" s="5"/>
    </s:row>
    <s:row r="5">
      <s:c r="B5" s="5"/>
      <s:c r="C5" s="5"/>
      <s:c r="D5" s="5"/>
      <s:c r="E5" s="5"/>
      <s:c r="F5" s="5"/>
      <s:c r="G5" s="5"/>
      <s:c r="H5" s="5"/>
      <s:c r="I5" s="5"/>
      <s:c r="J5" s="22"/>
      <s:c r="K5" s="22"/>
      <s:c r="L5" s="22"/>
      <s:c r="M5" s="22"/>
      <s:c r="N5" s="22"/>
      <s:c r="O5" s="22"/>
      <s:c r="P5" s="22"/>
      <s:c r="Q5" s="22"/>
      <s:c r="R5" s="22"/>
      <s:c r="S5" s="22"/>
      <s:c r="T5" s="5"/>
      <s:c r="U5" s="5"/>
      <s:c r="V5" s="5"/>
      <s:c r="W5" s="5"/>
      <s:c r="X5" s="5"/>
      <s:c r="Y5" s="5"/>
      <s:c r="Z5" s="5"/>
      <s:c r="AA5" s="5"/>
      <s:c r="AB5" s="5"/>
    </s:row>
    <s:row r="6" ht="16">
      <s:c r="B6" s="23"/>
      <s:c r="C6" s="5"/>
      <s:c r="D6" s="5"/>
      <s:c r="E6" s="5"/>
      <s:c r="F6" s="25" t="s">
        <s:v>4</s:v>
      </s:c>
      <s:c r="G6" s="26"/>
      <s:c r="H6" s="26"/>
      <s:c r="I6" s="26"/>
      <s:c r="J6" s="26"/>
      <s:c r="K6" s="26"/>
      <s:c r="L6" s="26"/>
      <s:c r="M6" s="26"/>
      <s:c r="N6" s="26"/>
      <s:c r="O6" s="26"/>
      <s:c r="P6" s="26"/>
      <s:c r="Q6" s="27"/>
      <s:c r="R6" s="9"/>
      <s:c r="S6" s="22"/>
      <s:c r="T6" s="5"/>
      <s:c r="U6" s="5"/>
      <s:c r="V6" s="5"/>
      <s:c r="W6" s="28"/>
      <s:c r="X6" s="28"/>
      <s:c r="Y6" s="5"/>
      <s:c r="Z6" s="5"/>
      <s:c r="AA6" s="5"/>
      <s:c r="AB6" s="5"/>
    </s:row>
    <s:row r="7" ht="60">
      <s:c r="B7" s="23"/>
      <s:c r="C7" s="5"/>
      <s:c r="D7" s="5"/>
      <s:c r="E7" s="5"/>
      <s:c r="F7" s="422" t="s">
        <s:v>5</s:v>
      </s:c>
      <s:c r="G7" s="422"/>
      <s:c r="H7" s="422"/>
      <s:c r="I7" s="369" t="s">
        <s:v>6</s:v>
      </s:c>
      <s:c r="J7" s="370" t="s">
        <s:v>7</s:v>
      </s:c>
      <s:c r="K7" s="371" t="s">
        <s:v>8</s:v>
      </s:c>
      <s:c r="L7" s="372" t="s">
        <s:v>9</s:v>
      </s:c>
      <s:c r="M7" s="372" t="s">
        <s:v>10</s:v>
      </s:c>
      <s:c r="N7" s="373" t="s">
        <s:v>11</s:v>
      </s:c>
      <s:c r="O7" s="36" t="s">
        <s:v>12</s:v>
      </s:c>
      <s:c r="P7" s="375" t="s">
        <s:v>13</s:v>
      </s:c>
      <s:c r="Q7" s="423"/>
      <s:c r="R7" s="22"/>
      <s:c r="S7" s="22"/>
      <s:c r="T7" s="28"/>
      <s:c r="U7" s="5"/>
      <s:c r="V7" s="5"/>
      <s:c r="W7" s="5"/>
      <s:c r="X7" s="5"/>
    </s:row>
    <s:row r="8">
      <s:c r="B8" s="23"/>
      <s:c r="C8" s="5"/>
      <s:c r="D8" s="5"/>
      <s:c r="E8" s="5"/>
      <s:c r="F8" s="59" t="s">
        <s:v>14</s:v>
      </s:c>
      <s:c r="G8" s="59"/>
      <s:c r="H8" s="59"/>
      <s:c r="I8" s="424">
        <s:f>Центрум!I8/График!AJ29*График!AJ24</s:f>
        <s:v>0</s:v>
      </s:c>
      <s:c r="J8" s="41">
        <s:f>D48</s:f>
        <s:v>7420</s:v>
      </s:c>
      <s:c r="K8" s="315" t="str">
        <s:f>IF(AND(I8&lt;&gt;"",I8&lt;&gt;0,J8&lt;&gt;""),J8/I8,"")</s:f>
        <s:v/>
      </s:c>
      <s:c r="L8" s="43" t="e">
        <s:f>IF(SUMIF($D$25:$D$47,"&gt;=0",$U$25:$U$47)&lt;&gt;0,I8*D48/SUMIF($D$25:$D$47,"&gt;=0",$U$25:$U$47),0)</s:f>
        <s:v>#DIV/0!</s:v>
      </s:c>
      <s:c r="M8" s="316" t="e">
        <s:f>L8/I8</s:f>
        <s:v>#DIV/0!</s:v>
      </s:c>
      <s:c r="N8" s="45" t="str">
        <s:f>IF(AND(J8&lt;&gt;0,J8&lt;&gt;"",I8&lt;&gt;0,I8&lt;&gt;""),L8-I8,"")</s:f>
        <s:v/>
      </s:c>
      <s:c r="O8" s="46"/>
      <s:c r="P8" s="47" t="e">
        <s:f>IF(AND(O8&lt;&gt;"",O8&lt;&gt;0,L8&lt;&gt;"",L8&lt;&gt;0),-O8+L8,"")</s:f>
        <s:v>#DIV/0!</s:v>
      </s:c>
      <s:c r="Q8" s="48" t="e">
        <s:f>IF(AND(P8&lt;&gt;"",P8&lt;&gt;0,O8&lt;&gt;0,O8&lt;&gt;""),P8/O8,"")</s:f>
        <s:v>#DIV/0!</s:v>
      </s:c>
      <s:c r="R8" s="22"/>
      <s:c r="S8" s="28"/>
      <s:c r="T8" s="28"/>
      <s:c r="U8" s="5"/>
      <s:c r="V8" s="5"/>
      <s:c r="W8" s="5"/>
      <s:c r="X8" s="5"/>
    </s:row>
    <s:row r="9">
      <s:c r="B9" s="23"/>
      <s:c r="C9" s="5"/>
      <s:c r="D9" s="5"/>
      <s:c r="E9" s="5"/>
      <s:c r="F9" s="49" t="s">
        <s:v>15</s:v>
      </s:c>
      <s:c r="G9" s="49"/>
      <s:c r="H9" s="49"/>
      <s:c r="I9" s="50">
        <s:f>I8/I11</s:f>
        <s:v>0</s:v>
      </s:c>
      <s:c r="J9" s="51">
        <s:f>E48</s:f>
        <s:v>1</s:v>
      </s:c>
      <s:c r="K9" s="317" t="str">
        <s:f>IF(AND(I9&lt;&gt;"",I9&lt;&gt;0,J9&lt;&gt;""),J9/I9,"")</s:f>
        <s:v/>
      </s:c>
      <s:c r="L9" s="79" t="e">
        <s:f>IF(SUMIF($E$25:$E$47,"&gt;=0",$V$25:$V$47)&lt;&gt;0,I9*E48/SUMIF($E$25:$E$47,"&gt;=0",$V$25:$V$47),0)</s:f>
        <s:v>#DIV/0!</s:v>
      </s:c>
      <s:c r="M9" s="318" t="e">
        <s:f>IF(AND(I9&lt;&gt;"",I9&lt;&gt;0,L9&lt;&gt;"",L9&lt;&gt;0),L9/I9,"")</s:f>
        <s:v>#DIV/0!</s:v>
      </s:c>
      <s:c r="N9" s="55" t="str">
        <s:f>IF(AND(J9&lt;&gt;0,J9&lt;&gt;"",I9&lt;&gt;0,I9&lt;&gt;""),L9-I9,"")</s:f>
        <s:v/>
      </s:c>
      <s:c r="O9" s="56"/>
      <s:c r="P9" s="57" t="e">
        <s:f>IF(AND(O9&lt;&gt;"",O9&lt;&gt;0,L9&lt;&gt;"",L9&lt;&gt;0),-O9+L9,"")</s:f>
        <s:v>#DIV/0!</s:v>
      </s:c>
      <s:c r="Q9" s="58" t="e">
        <s:f>IF(AND(P9&lt;&gt;"",P9&lt;&gt;0,O9&lt;&gt;0,O9&lt;&gt;""),P9/O9,"")</s:f>
        <s:v>#DIV/0!</s:v>
      </s:c>
      <s:c r="R9" s="22"/>
      <s:c r="S9" s="28"/>
      <s:c r="T9" s="28"/>
      <s:c r="U9" s="5"/>
      <s:c r="V9" s="5"/>
      <s:c r="W9" s="5"/>
      <s:c r="X9" s="5"/>
    </s:row>
    <s:row r="10">
      <s:c r="B10" s="23"/>
      <s:c r="C10" s="5"/>
      <s:c r="D10" s="5"/>
      <s:c r="E10" s="5"/>
      <s:c r="F10" s="59" t="s">
        <s:v>16</s:v>
      </s:c>
      <s:c r="G10" s="59"/>
      <s:c r="H10" s="59"/>
      <s:c r="I10" s="60">
        <s:f>I11*I12</s:f>
        <s:v>13358.400000000001</s:v>
      </s:c>
      <s:c r="J10" s="61">
        <s:f>H48</s:f>
        <s:v>7420</s:v>
      </s:c>
      <s:c r="K10" s="319">
        <s:f>IF(AND(I10&lt;&gt;"",I10&lt;&gt;0,J10&lt;&gt;""),J10/I10,"")</s:f>
        <s:v>0.55545574320277868</s:v>
      </s:c>
      <s:c r="L10" s="79">
        <s:f>J10</s:f>
        <s:v>7420</s:v>
      </s:c>
      <s:c r="M10" s="320">
        <s:f>IF(AND(I10&lt;&gt;"",I10&lt;&gt;0,L10&lt;&gt;"",L10&lt;&gt;0),L10/I10,"")</s:f>
        <s:v>0.55545574320277868</s:v>
      </s:c>
      <s:c r="N10" s="64">
        <s:f>IF(AND(J10&lt;&gt;0,J10&lt;&gt;"",I10&lt;&gt;0,I10&lt;&gt;""),L10-I10,"")</s:f>
        <s:v>-5938.4000000000015</s:v>
      </s:c>
      <s:c r="O10" s="65">
        <s:f>O11*O12</s:f>
        <s:v>0</s:v>
      </s:c>
      <s:c r="P10" s="66" t="str">
        <s:f>IF(AND(O10&lt;&gt;"",O10&lt;&gt;0,L10&lt;&gt;"",L10&lt;&gt;0),-O10+L10,"")</s:f>
        <s:v/>
      </s:c>
      <s:c r="Q10" s="67" t="str">
        <s:f>IF(AND(P10&lt;&gt;"",P10&lt;&gt;0,O10&lt;&gt;0,O10&lt;&gt;""),P10/O10,"")</s:f>
        <s:v/>
      </s:c>
      <s:c r="R10" s="22"/>
      <s:c r="S10" s="28"/>
      <s:c r="T10" s="28"/>
      <s:c r="U10" s="5"/>
      <s:c r="V10" s="5"/>
      <s:c r="W10" s="5"/>
      <s:c r="X10" s="5"/>
    </s:row>
    <s:row r="11">
      <s:c r="B11" s="23"/>
      <s:c r="C11" s="5"/>
      <s:c r="D11" s="5"/>
      <s:c r="E11" s="5"/>
      <s:c r="F11" s="49" t="s">
        <s:v>17</s:v>
      </s:c>
      <s:c r="G11" s="49"/>
      <s:c r="H11" s="49"/>
      <s:c r="I11" s="68">
        <s:f>Центрум!I11</s:f>
        <s:v>7260</s:v>
      </s:c>
      <s:c r="J11" s="51">
        <s:f>F48</s:f>
        <s:v>7420</s:v>
      </s:c>
      <s:c r="K11" s="317">
        <s:f>IF(AND(I11&lt;&gt;"",I11&lt;&gt;0,J11&lt;&gt;""),J11/I11,"")</s:f>
        <s:v>1.0220385674931129</s:v>
      </s:c>
      <s:c r="L11" s="79" t="e">
        <s:f>IF(L9&gt;0,L8/L9,"")</s:f>
        <s:v>#DIV/0!</s:v>
      </s:c>
      <s:c r="M11" s="318" t="e">
        <s:f>IF(AND(I11&lt;&gt;"",I11&lt;&gt;0,L11&lt;&gt;"",L11&lt;&gt;0),L11/I11,"")</s:f>
        <s:v>#DIV/0!</s:v>
      </s:c>
      <s:c r="N11" s="55" t="e">
        <s:f>IF(AND(J11&lt;&gt;0,J11&lt;&gt;"",I11&lt;&gt;0,I11&lt;&gt;""),L11-I11,"")</s:f>
        <s:v>#DIV/0!</s:v>
      </s:c>
      <s:c r="O11" s="69"/>
      <s:c r="P11" s="57" t="e">
        <s:f>IF(AND(O11&lt;&gt;"",O11&lt;&gt;0,L11&lt;&gt;"",L11&lt;&gt;0),-O11+L11,"")</s:f>
        <s:v>#DIV/0!</s:v>
      </s:c>
      <s:c r="Q11" s="58" t="e">
        <s:f>IF(AND(P11&lt;&gt;"",P11&lt;&gt;0,O11&lt;&gt;0,O11&lt;&gt;""),P11/O11,"")</s:f>
        <s:v>#DIV/0!</s:v>
      </s:c>
      <s:c r="R11" s="22"/>
      <s:c r="S11" s="28"/>
      <s:c r="T11" s="5"/>
      <s:c r="U11" s="5"/>
      <s:c r="V11" s="5"/>
      <s:c r="W11" s="5"/>
      <s:c r="X11" s="5"/>
    </s:row>
    <s:row r="12">
      <s:c r="B12" s="23"/>
      <s:c r="C12" s="5"/>
      <s:c r="D12" s="5"/>
      <s:c r="E12" s="5"/>
      <s:c r="F12" s="49" t="s">
        <s:v>18</s:v>
      </s:c>
      <s:c r="G12" s="49"/>
      <s:c r="H12" s="49"/>
      <s:c r="I12" s="70">
        <s:f>Центрум!I12</s:f>
        <s:v>1.84</s:v>
      </s:c>
      <s:c r="J12" s="71">
        <s:f>J48</s:f>
        <s:v>1</s:v>
      </s:c>
      <s:c r="K12" s="317">
        <s:f>IF(AND(I12&lt;&gt;"",I12&lt;&gt;0,J12&lt;&gt;""),J12/I12,"")</s:f>
        <s:v>0.54347826086956519</s:v>
      </s:c>
      <s:c r="L12" s="425">
        <s:f>J12</s:f>
        <s:v>1</s:v>
      </s:c>
      <s:c r="M12" s="318">
        <s:f>IF(AND(I12&lt;&gt;"",I12&lt;&gt;0,L12&lt;&gt;"",L12&lt;&gt;0),L12/I12,"")</s:f>
        <s:v>0.54347826086956519</s:v>
      </s:c>
      <s:c r="N12" s="73">
        <s:f>IF(AND(J12&lt;&gt;0,J12&lt;&gt;"",I12&lt;&gt;0,I12&lt;&gt;""),L12-I12,"")</s:f>
        <s:v>-0.84000000000000008</s:v>
      </s:c>
      <s:c r="O12" s="74"/>
      <s:c r="P12" s="57" t="str">
        <s:f>IF(AND(O12&lt;&gt;"",O12&lt;&gt;0,L12&lt;&gt;"",L12&lt;&gt;0),-O12+L12,"")</s:f>
        <s:v/>
      </s:c>
      <s:c r="Q12" s="58" t="str">
        <s:f>IF(AND(P12&lt;&gt;"",P12&lt;&gt;0,O12&lt;&gt;0,O12&lt;&gt;""),P12/O12,"")</s:f>
        <s:v/>
      </s:c>
      <s:c r="R12" s="22"/>
      <s:c r="S12" s="28"/>
      <s:c r="T12" s="5"/>
      <s:c r="U12" s="5"/>
      <s:c r="V12" s="5"/>
      <s:c r="W12" s="5"/>
      <s:c r="X12" s="5"/>
    </s:row>
    <s:row r="13">
      <s:c r="B13" s="23"/>
      <s:c r="C13" s="5"/>
      <s:c r="D13" s="5"/>
      <s:c r="E13" s="5"/>
      <s:c r="F13" s="49" t="s">
        <s:v>19</s:v>
      </s:c>
      <s:c r="G13" s="49"/>
      <s:c r="H13" s="49"/>
      <s:c r="I13" s="50">
        <s:f>IF(I12&lt;&gt;0,I9/I12,"")</s:f>
        <s:v>0</s:v>
      </s:c>
      <s:c r="J13" s="51">
        <s:f>G48</s:f>
        <s:v>1</s:v>
      </s:c>
      <s:c r="K13" s="317" t="str">
        <s:f>IF(AND(I13&lt;&gt;"",I13&lt;&gt;0,J13&lt;&gt;""),J13/I13,"")</s:f>
        <s:v/>
      </s:c>
      <s:c r="L13" s="79" t="e">
        <s:f>IF(SUMIF($G$25:$G$47,"&gt;=0",$W$25:$W$47)&lt;&gt;0,I13*G48/SUMIF($G$25:$G$47,"&gt;=0",$W$25:$W$47),"")</s:f>
        <s:v>#DIV/0!</s:v>
      </s:c>
      <s:c r="M13" s="318" t="e">
        <s:f>IF(AND(I13&lt;&gt;"",I13&lt;&gt;0,L13&lt;&gt;"",L13&lt;&gt;0),L13/I13,"")</s:f>
        <s:v>#DIV/0!</s:v>
      </s:c>
      <s:c r="N13" s="73" t="str">
        <s:f>IF(AND(J13&lt;&gt;0,J13&lt;&gt;"",I13&lt;&gt;0,I13&lt;&gt;""),L13-I13,"")</s:f>
        <s:v/>
      </s:c>
      <s:c r="O13" s="75"/>
      <s:c r="P13" s="57" t="e">
        <s:f>IF(AND(O13&lt;&gt;"",O13&lt;&gt;0,L13&lt;&gt;"",L13&lt;&gt;0),-O13+L13,"")</s:f>
        <s:v>#DIV/0!</s:v>
      </s:c>
      <s:c r="Q13" s="58" t="e">
        <s:f>IF(AND(P13&lt;&gt;"",P13&lt;&gt;0,O13&lt;&gt;0,O13&lt;&gt;""),P13/O13,"")</s:f>
        <s:v>#DIV/0!</s:v>
      </s:c>
      <s:c r="R13" s="22"/>
      <s:c r="S13" s="28"/>
      <s:c r="T13" s="5"/>
      <s:c r="U13" s="5"/>
      <s:c r="V13" s="5"/>
      <s:c r="W13" s="5"/>
      <s:c r="X13" s="5"/>
    </s:row>
    <s:row r="14">
      <s:c r="B14" s="23"/>
      <s:c r="C14" s="5"/>
      <s:c r="D14" s="5"/>
      <s:c r="E14" s="5"/>
      <s:c r="F14" s="49" t="s">
        <s:v>85</s:v>
      </s:c>
      <s:c r="G14" s="49"/>
      <s:c r="H14" s="49"/>
      <s:c r="I14" s="68">
        <s:f>График!AI24</s:f>
        <s:v>0</s:v>
      </s:c>
      <s:c r="J14" s="76"/>
      <s:c r="K14" s="317" t="str">
        <s:f>IF(AND(I14&lt;&gt;"",I14&lt;&gt;0,J14&lt;&gt;""),J14/I14,"")</s:f>
        <s:v/>
      </s:c>
      <s:c r="L14" s="79" t="e">
        <s:f>IF(SUMIF($D$25:$D$47,"&gt;=0",$U$25:$U$47),I48*I8/SUMIF($D$25:$D$47,"&gt;=0",$U$25:$U$47),"")</s:f>
        <s:v>#DIV/0!</s:v>
      </s:c>
      <s:c r="M14" s="318" t="e">
        <s:f>IF(AND(I14&lt;&gt;"",I14&lt;&gt;0,L14&lt;&gt;"",L14&lt;&gt;0),L14/I14,"")</s:f>
        <s:v>#DIV/0!</s:v>
      </s:c>
      <s:c r="N14" s="55" t="str">
        <s:f>IF(AND(J14&lt;&gt;0,J14&lt;&gt;"",I14&lt;&gt;0,I14&lt;&gt;""),L14-I14,"")</s:f>
        <s:v/>
      </s:c>
      <s:c r="O14" s="75"/>
      <s:c r="P14" s="57" t="e">
        <s:f>IF(AND(O14&lt;&gt;"",O14&lt;&gt;0,L14&lt;&gt;"",L14&lt;&gt;0),-O14+L14,"")</s:f>
        <s:v>#DIV/0!</s:v>
      </s:c>
      <s:c r="Q14" s="58" t="e">
        <s:f>IF(AND(P14&lt;&gt;"",P14&lt;&gt;0,O14&lt;&gt;0,O14&lt;&gt;""),P14/O14,"")</s:f>
        <s:v>#DIV/0!</s:v>
      </s:c>
      <s:c r="R14" s="22"/>
      <s:c r="S14" s="28"/>
      <s:c r="T14" s="77"/>
      <s:c r="U14" s="5"/>
      <s:c r="V14" s="5"/>
      <s:c r="W14" s="5"/>
      <s:c r="X14" s="5"/>
    </s:row>
    <s:row r="15">
      <s:c r="B15" s="23"/>
      <s:c r="C15" s="5"/>
      <s:c r="D15" s="5"/>
      <s:c r="E15" s="5"/>
      <s:c r="F15" s="49" t="s">
        <s:v>21</s:v>
      </s:c>
      <s:c r="G15" s="49"/>
      <s:c r="H15" s="49"/>
      <s:c r="I15" s="321">
        <s:f>Центрум!I15</s:f>
        <s:v>66792.000000000015</s:v>
      </s:c>
      <s:c r="J15" s="85" t="e">
        <s:f>J8/J14</s:f>
        <s:v>#DIV/0!</s:v>
      </s:c>
      <s:c r="K15" s="322" t="e">
        <s:f>IF(AND(I15&lt;&gt;"",I15&lt;&gt;0,J15&lt;&gt;""),J15/I15,"")</s:f>
        <s:v>#DIV/0!</s:v>
      </s:c>
      <s:c r="L15" s="86" t="e">
        <s:f>J15</s:f>
        <s:v>#DIV/0!</s:v>
      </s:c>
      <s:c r="M15" s="426" t="e">
        <s:f>IF(AND(I15&lt;&gt;"",I15&lt;&gt;0,L15&lt;&gt;"",L15&lt;&gt;0),L15/I15,"")</s:f>
        <s:v>#DIV/0!</s:v>
      </s:c>
      <s:c r="N15" s="55" t="e">
        <s:f>IF(AND(J15&lt;&gt;0,J15&lt;&gt;"",I15&lt;&gt;0,I15&lt;&gt;""),L15-I15,"")</s:f>
        <s:v>#DIV/0!</s:v>
      </s:c>
      <s:c r="O15" s="88"/>
      <s:c r="P15" s="57" t="e">
        <s:f>IF(AND(O15&lt;&gt;"",O15&lt;&gt;0,L15&lt;&gt;"",L15&lt;&gt;0),-O15+L15,"")</s:f>
        <s:v>#DIV/0!</s:v>
      </s:c>
      <s:c r="Q15" s="58" t="e">
        <s:f>IF(AND(P15&lt;&gt;"",P15&lt;&gt;0,O15&lt;&gt;0,O15&lt;&gt;""),P15/O15,"")</s:f>
        <s:v>#DIV/0!</s:v>
      </s:c>
      <s:c r="R15" s="22"/>
      <s:c r="S15" s="22"/>
      <s:c r="T15" s="28"/>
      <s:c r="U15" s="5"/>
      <s:c r="V15" s="5"/>
      <s:c r="W15" s="5"/>
      <s:c r="X15" s="5"/>
    </s:row>
    <s:row r="16" ht="24">
      <s:c r="B16" s="23"/>
      <s:c r="C16" s="5"/>
      <s:c r="D16" s="5"/>
      <s:c r="E16" s="5"/>
      <s:c r="F16" s="49" t="s">
        <s:v>22</s:v>
      </s:c>
      <s:c r="G16" s="49"/>
      <s:c r="H16" s="49"/>
      <s:c r="I16" s="321"/>
      <s:c r="J16" s="85">
        <s:f>J8-I15*J14</s:f>
        <s:v>7420</s:v>
      </s:c>
      <s:c r="K16" s="322" t="str">
        <s:f>IF(AND(I16&lt;&gt;"",I16&lt;&gt;0,J16&lt;&gt;""),J16/I16,"")</s:f>
        <s:v/>
      </s:c>
      <s:c r="L16" s="86">
        <s:f>J16</s:f>
        <s:v>7420</s:v>
      </s:c>
      <s:c r="M16" s="323" t="str">
        <s:f>IF(AND(I16&lt;&gt;"",I16&lt;&gt;0,L16&lt;&gt;"",L16&lt;&gt;0),L16/I16,"")</s:f>
        <s:v/>
      </s:c>
      <s:c r="N16" s="55" t="str">
        <s:f>IF(AND(J16&lt;&gt;0,J16&lt;&gt;"",I16&lt;&gt;0,I16&lt;&gt;""),L16-I16,"")</s:f>
        <s:v/>
      </s:c>
      <s:c r="O16" s="88"/>
      <s:c r="P16" s="57" t="str">
        <s:f>IF(AND(O16&lt;&gt;"",O16&lt;&gt;0,L16&lt;&gt;"",L16&lt;&gt;0),-O16+L16,"")</s:f>
        <s:v/>
      </s:c>
      <s:c r="Q16" s="58" t="str">
        <s:f>IF(AND(P16&lt;&gt;"",P16&lt;&gt;0,O16&lt;&gt;0,O16&lt;&gt;""),P16/O16,"")</s:f>
        <s:v/>
      </s:c>
      <s:c r="R16" s="22"/>
      <s:c r="S16" s="28"/>
      <s:c r="T16" s="324" t="s">
        <s:v>23</s:v>
      </s:c>
      <s:c r="U16" s="5"/>
      <s:c r="V16" s="5"/>
      <s:c r="W16" s="5"/>
      <s:c r="X16" s="5"/>
    </s:row>
    <s:row r="17">
      <s:c r="B17" s="23"/>
      <s:c r="C17" s="5"/>
      <s:c r="D17" s="5"/>
      <s:c r="E17" s="5"/>
      <s:c r="F17" s="49" t="s">
        <s:v>24</s:v>
      </s:c>
      <s:c r="G17" s="49"/>
      <s:c r="H17" s="49"/>
      <s:c r="I17" s="321">
        <s:f>Центрум!I17/График!AJ29*График!AJ24</s:f>
        <s:v>0</s:v>
      </s:c>
      <s:c r="J17" s="85">
        <s:f>I48</s:f>
        <s:v>0</s:v>
      </s:c>
      <s:c r="K17" s="322" t="str">
        <s:f>IF(AND(I17&lt;&gt;"",I17&lt;&gt;0,J17&lt;&gt;""),J17/I17,"")</s:f>
        <s:v/>
      </s:c>
      <s:c r="L17" s="86" t="e">
        <s:f>J17/J14*I14</s:f>
        <s:v>#DIV/0!</s:v>
      </s:c>
      <s:c r="M17" s="323" t="e">
        <s:f>IF(AND(I17&lt;&gt;"",I17&lt;&gt;0,L17&lt;&gt;"",L17&lt;&gt;0),L17/I17,"")</s:f>
        <s:v>#DIV/0!</s:v>
      </s:c>
      <s:c r="N17" s="55" t="str">
        <s:f>IF(AND(J17&lt;&gt;0,J17&lt;&gt;"",I17&lt;&gt;0,I17&lt;&gt;""),L17-I17,"")</s:f>
        <s:v/>
      </s:c>
      <s:c r="O17" s="88"/>
      <s:c r="P17" s="57" t="e">
        <s:f>IF(AND(O17&lt;&gt;"",O17&lt;&gt;0,L17&lt;&gt;"",L17&lt;&gt;0),-O17+L17,"")</s:f>
        <s:v>#DIV/0!</s:v>
      </s:c>
      <s:c r="Q17" s="58" t="e">
        <s:f>IF(AND(P17&lt;&gt;"",P17&lt;&gt;0,O17&lt;&gt;0,O17&lt;&gt;""),P17/O17,"")</s:f>
        <s:v>#DIV/0!</s:v>
      </s:c>
      <s:c r="R17" s="22"/>
      <s:c r="S17" s="28"/>
      <s:c r="T17" s="324"/>
      <s:c r="U17" s="5"/>
      <s:c r="V17" s="5"/>
      <s:c r="W17" s="5"/>
      <s:c r="X17" s="5"/>
    </s:row>
    <s:row r="18">
      <s:c r="B18" s="23"/>
      <s:c r="C18" s="5"/>
      <s:c r="D18" s="5"/>
      <s:c r="E18" s="5"/>
      <s:c r="F18" s="49"/>
      <s:c r="G18" s="49"/>
      <s:c r="H18" s="49"/>
      <s:c r="I18" s="84"/>
      <s:c r="J18" s="85"/>
      <s:c r="K18" s="322" t="str">
        <s:f>IF(AND(I18&lt;&gt;"",I18&lt;&gt;0,J18&lt;&gt;""),J18/I18,"")</s:f>
        <s:v/>
      </s:c>
      <s:c r="L18" s="86">
        <s:f>J18</s:f>
        <s:v>0</s:v>
      </s:c>
      <s:c r="M18" s="323" t="str">
        <s:f>IF(AND(I18&lt;&gt;"",I18&lt;&gt;0,L18&lt;&gt;"",L18&lt;&gt;0),L18/I18,"")</s:f>
        <s:v/>
      </s:c>
      <s:c r="N18" s="55" t="str">
        <s:f>IF(AND(J18&lt;&gt;0,J18&lt;&gt;"",I18&lt;&gt;0,I18&lt;&gt;""),L18-I18,"")</s:f>
        <s:v/>
      </s:c>
      <s:c r="O18" s="325">
        <s:v>0</s:v>
      </s:c>
      <s:c r="P18" s="57" t="str">
        <s:f>IF(AND(O18&lt;&gt;"",O18&lt;&gt;0,L18&lt;&gt;"",L18&lt;&gt;0),-O18+L18,"")</s:f>
        <s:v/>
      </s:c>
      <s:c r="Q18" s="58" t="str">
        <s:f>IF(AND(P18&lt;&gt;"",P18&lt;&gt;0,O18&lt;&gt;0,O18&lt;&gt;""),P18/O18,"")</s:f>
        <s:v/>
      </s:c>
      <s:c r="R18" s="22"/>
      <s:c r="S18" s="28"/>
      <s:c r="T18" s="83"/>
      <s:c r="U18" s="5"/>
      <s:c r="V18" s="5"/>
      <s:c r="W18" s="5"/>
      <s:c r="X18" s="5"/>
    </s:row>
    <s:row r="19">
      <s:c r="B19" s="23"/>
      <s:c r="C19" s="5"/>
      <s:c r="D19" s="5"/>
      <s:c r="E19" s="5"/>
      <s:c r="F19" s="49"/>
      <s:c r="G19" s="49"/>
      <s:c r="H19" s="49"/>
      <s:c r="I19" s="84"/>
      <s:c r="J19" s="85">
        <s:f>Q48</s:f>
        <s:v>0</s:v>
      </s:c>
      <s:c r="K19" s="322" t="str">
        <s:f>IF(AND(I19&lt;&gt;"",I19&lt;&gt;0,J19&lt;&gt;""),J19/I19,"")</s:f>
        <s:v/>
      </s:c>
      <s:c r="L19" s="86">
        <s:f>J19</s:f>
        <s:v>0</s:v>
      </s:c>
      <s:c r="M19" s="323" t="str">
        <s:f>IF(AND(I19&lt;&gt;"",I19&lt;&gt;0,L19&lt;&gt;"",L19&lt;&gt;0),L19/I19,"")</s:f>
        <s:v/>
      </s:c>
      <s:c r="N19" s="55" t="str">
        <s:f>IF(AND(J19&lt;&gt;0,J19&lt;&gt;"",I19&lt;&gt;0,I19&lt;&gt;""),L19-I19,"")</s:f>
        <s:v/>
      </s:c>
      <s:c r="O19" s="88">
        <s:v>0</s:v>
      </s:c>
      <s:c r="P19" s="57" t="str">
        <s:f>IF(AND(O19&lt;&gt;"",O19&lt;&gt;0,L19&lt;&gt;"",L19&lt;&gt;0),-O19+L19,"")</s:f>
        <s:v/>
      </s:c>
      <s:c r="Q19" s="58" t="str">
        <s:f>IF(AND(P19&lt;&gt;"",P19&lt;&gt;0,O19&lt;&gt;0,O19&lt;&gt;""),P19/O19,"")</s:f>
        <s:v/>
      </s:c>
      <s:c r="R19" s="22"/>
      <s:c r="S19" s="28"/>
      <s:c r="T19" s="52" t="e">
        <s:f>T18/I16</s:f>
        <s:v>#DIV/0!</s:v>
      </s:c>
      <s:c r="U19" s="5"/>
      <s:c r="V19" s="5"/>
      <s:c r="W19" s="5"/>
      <s:c r="X19" s="5"/>
    </s:row>
    <s:row r="20">
      <s:c r="B20" s="23"/>
      <s:c r="C20" s="5"/>
      <s:c r="D20" s="5"/>
      <s:c r="E20" s="5"/>
      <s:c r="F20" s="89" t="s">
        <s:v>90</s:v>
      </s:c>
      <s:c r="G20" s="89"/>
      <s:c r="H20" s="89"/>
      <s:c r="I20" s="326">
        <s:f>Центрум!I20</s:f>
        <s:v>0.1</s:v>
      </s:c>
      <s:c r="J20" s="327" t="str">
        <s:f>S48</s:f>
        <s:v/>
      </s:c>
      <s:c r="K20" s="91" t="e">
        <s:f>J20/I20</s:f>
        <s:v>#VALUE!</s:v>
      </s:c>
      <s:c r="L20" s="92">
        <s:f>IF(AND(K8&lt;&gt;0,I14&lt;&gt;0,I48&lt;&gt;0),(I48*S48+(I48/K8-I48)*I20)/(I48/K8),0)</s:f>
        <s:v>0</s:v>
      </s:c>
      <s:c r="M20" s="328" t="str">
        <s:f>IF(AND(I20&lt;&gt;"",I20&lt;&gt;0,L20&lt;&gt;"",L20&lt;&gt;0),L20/I20,"")</s:f>
        <s:v/>
      </s:c>
      <s:c r="N20" s="94" t="str">
        <s:f>IF(AND(J20&lt;&gt;0,J20&lt;&gt;"",I20&lt;&gt;0,I20&lt;&gt;""),L20-I20,"")</s:f>
        <s:v/>
      </s:c>
      <s:c r="O20" s="95"/>
      <s:c r="P20" s="96" t="str">
        <s:f>IF(AND(O20&lt;&gt;"",O20&lt;&gt;0,L20&lt;&gt;"",L20&lt;&gt;0),-O20+L20,"")</s:f>
        <s:v/>
      </s:c>
      <s:c r="Q20" s="97" t="str">
        <s:f>IF(AND(P20&lt;&gt;"",P20&lt;&gt;0,O20&lt;&gt;0,O20&lt;&gt;""),P20/O20,"")</s:f>
        <s:v/>
      </s:c>
      <s:c r="R20" s="22"/>
      <s:c r="S20" s="28"/>
      <s:c r="T20" s="28"/>
      <s:c r="U20" s="5"/>
      <s:c r="V20" s="5"/>
      <s:c r="W20" s="5"/>
      <s:c r="X20" s="5"/>
    </s:row>
    <s:row r="21">
      <s:c r="B21" s="23"/>
      <s:c r="C21" s="5"/>
      <s:c r="D21" s="5"/>
      <s:c r="E21" s="5"/>
      <s:c r="F21" s="5"/>
      <s:c r="G21" s="5"/>
      <s:c r="H21" s="5"/>
      <s:c r="I21" s="5"/>
      <s:c r="J21" s="5"/>
      <s:c r="K21" s="5"/>
      <s:c r="L21" s="5"/>
      <s:c r="M21" s="5"/>
      <s:c r="N21" s="5"/>
      <s:c r="O21" s="5"/>
      <s:c r="P21" s="5"/>
      <s:c r="Q21" s="5"/>
      <s:c r="R21" s="5"/>
      <s:c r="S21" s="5"/>
      <s:c r="T21" s="5"/>
      <s:c r="U21" s="5"/>
      <s:c r="V21" s="5"/>
      <s:c r="W21" s="28"/>
      <s:c r="X21" s="28"/>
      <s:c r="Y21" s="5"/>
      <s:c r="Z21" s="5"/>
      <s:c r="AA21" s="5"/>
      <s:c r="AB21" s="5"/>
    </s:row>
    <s:row r="22" ht="36">
      <s:c r="B22" s="329" t="s">
        <s:v>26</s:v>
      </s:c>
      <s:c r="C22" s="329"/>
      <s:c r="D22" s="329"/>
      <s:c r="E22" s="329"/>
      <s:c r="F22" s="329"/>
      <s:c r="G22" s="329"/>
      <s:c r="H22" s="329"/>
      <s:c r="I22" s="329"/>
      <s:c r="J22" s="329"/>
      <s:c r="K22" s="329"/>
      <s:c r="L22" s="329"/>
      <s:c r="M22" s="329"/>
      <s:c r="N22" s="329"/>
      <s:c r="O22" s="329"/>
      <s:c r="P22" s="388"/>
      <s:c r="Q22" s="329"/>
      <s:c r="R22" s="329"/>
      <s:c r="S22" s="329"/>
      <s:c r="T22" s="330" t="s">
        <s:v>47</s:v>
      </s:c>
      <s:c r="U22" s="329" t="s">
        <s:v>27</s:v>
      </s:c>
      <s:c r="V22" s="329"/>
      <s:c r="W22" s="329"/>
      <s:c r="X22" s="329"/>
      <s:c r="Y22" s="329"/>
      <s:c r="Z22" s="329"/>
      <s:c r="AA22" s="329"/>
      <s:c r="AB22" s="329"/>
    </s:row>
    <s:row r="23" ht="36">
      <s:c r="B23" s="330" t="s">
        <s:v>29</s:v>
      </s:c>
      <s:c r="C23" s="330" t="s">
        <s:v>30</s:v>
      </s:c>
      <s:c r="D23" s="330" t="s">
        <s:v>31</s:v>
      </s:c>
      <s:c r="E23" s="330" t="s">
        <s:v>32</s:v>
      </s:c>
      <s:c r="F23" s="330" t="s">
        <s:v>33</s:v>
      </s:c>
      <s:c r="G23" s="330" t="s">
        <s:v>34</s:v>
      </s:c>
      <s:c r="H23" s="330" t="s">
        <s:v>35</s:v>
      </s:c>
      <s:c r="I23" s="330" t="s">
        <s:v>24</s:v>
      </s:c>
      <s:c r="J23" s="330" t="s">
        <s:v>36</s:v>
      </s:c>
      <s:c r="K23" s="331" t="s">
        <s:v>37</s:v>
      </s:c>
      <s:c r="L23" s="105" t="s">
        <s:v>38</s:v>
      </s:c>
      <s:c r="M23" s="331" t="s">
        <s:v>39</s:v>
      </s:c>
      <s:c r="N23" s="105" t="s">
        <s:v>40</s:v>
      </s:c>
      <s:c r="O23" s="331" t="s">
        <s:v>41</s:v>
      </s:c>
      <s:c r="P23" s="427" t="s">
        <s:v>42</s:v>
      </s:c>
      <s:c r="Q23" s="105" t="s">
        <s:v>43</s:v>
      </s:c>
      <s:c r="R23" s="105" t="s">
        <s:v>44</s:v>
      </s:c>
      <s:c r="S23" s="330" t="s">
        <s:v>46</s:v>
      </s:c>
      <s:c r="T23" s="330"/>
      <s:c r="U23" s="330" t="s">
        <s:v>48</s:v>
      </s:c>
      <s:c r="V23" s="330" t="s">
        <s:v>49</s:v>
      </s:c>
      <s:c r="W23" s="330" t="s">
        <s:v>50</s:v>
      </s:c>
      <s:c r="X23" s="330" t="s">
        <s:v>51</s:v>
      </s:c>
      <s:c r="Y23" s="330" t="s">
        <s:v>52</s:v>
      </s:c>
      <s:c r="Z23" s="330" t="s">
        <s:v>53</s:v>
      </s:c>
      <s:c r="AA23" s="332" t="s">
        <s:v>54</s:v>
      </s:c>
      <s:c r="AB23" s="332" t="s">
        <s:v>55</s:v>
      </s:c>
      <s:c r="AC23" s="190"/>
    </s:row>
    <s:row r="24">
      <s:c r="A24" s="333"/>
      <s:c r="B24" s="334">
        <s:v>1</s:v>
      </s:c>
      <s:c r="C24" s="336">
        <s:v>2</s:v>
      </s:c>
      <s:c r="D24" s="336">
        <s:v>3</s:v>
      </s:c>
      <s:c r="E24" s="336" t="s">
        <s:v>91</s:v>
      </s:c>
      <s:c r="F24" s="335">
        <s:v>5</s:v>
      </s:c>
      <s:c r="G24" s="336">
        <s:v>6</s:v>
      </s:c>
      <s:c r="H24" s="335">
        <s:v>7</s:v>
      </s:c>
      <s:c r="I24" s="336">
        <s:v>8</s:v>
      </s:c>
      <s:c r="J24" s="336">
        <s:v>9</s:v>
      </s:c>
      <s:c r="K24" s="113">
        <s:v>10</s:v>
      </s:c>
      <s:c r="L24" s="113">
        <s:v>11</s:v>
      </s:c>
      <s:c r="M24" s="113">
        <s:v>12</s:v>
      </s:c>
      <s:c r="N24" s="113">
        <s:v>13</s:v>
      </s:c>
      <s:c r="O24" s="114">
        <s:v>14</s:v>
      </s:c>
      <s:c r="P24" s="428">
        <s:v>15</s:v>
      </s:c>
      <s:c r="Q24" s="429">
        <s:v>16</s:v>
      </s:c>
      <s:c r="R24" s="114">
        <s:v>17</s:v>
      </s:c>
      <s:c r="S24" s="428">
        <s:v>18</s:v>
      </s:c>
      <s:c r="T24" s="330"/>
      <s:c r="U24" s="337">
        <s:v>1</s:v>
      </s:c>
      <s:c r="V24" s="337">
        <s:v>2</s:v>
      </s:c>
      <s:c r="W24" s="337">
        <s:v>3</s:v>
      </s:c>
      <s:c r="X24" s="337">
        <s:v>4</s:v>
      </s:c>
      <s:c r="Y24" s="337">
        <s:v>5</s:v>
      </s:c>
      <s:c r="Z24" s="337">
        <s:v>6</s:v>
      </s:c>
      <s:c r="AA24" s="337">
        <s:v>10</s:v>
      </s:c>
      <s:c r="AB24" s="337">
        <s:v>11</s:v>
      </s:c>
    </s:row>
    <s:row r="25">
      <s:c r="A25" s="338">
        <s:v>1</s:v>
      </s:c>
      <s:c r="B25" s="134"/>
      <s:c r="C25" s="181"/>
      <s:c r="D25" s="342"/>
      <s:c r="E25" s="148"/>
      <s:c r="F25" s="137"/>
      <s:c r="G25" s="148"/>
      <s:c r="H25" s="137"/>
      <s:c r="I25" s="148"/>
      <s:c r="J25" s="138" t="str">
        <s:f>IF(AND(G25&lt;&gt;"",G25&lt;&gt;0),E25/G25,"")</s:f>
        <s:v/>
      </s:c>
      <s:c r="K25" s="136"/>
      <s:c r="L25" s="136"/>
      <s:c r="M25" s="136"/>
      <s:c r="N25" s="136"/>
      <s:c r="O25" s="430"/>
      <s:c r="P25" s="431"/>
      <s:c r="Q25" s="136"/>
      <s:c r="R25" s="136"/>
      <s:c r="S25" s="140" t="str">
        <s:f>IF(AND(I25&lt;&gt;"",I25&lt;&gt;0),G25/I25,"")</s:f>
        <s:v/>
      </s:c>
      <s:c r="T25" s="141" t="e">
        <s:f>D25/U25</s:f>
        <s:v>#DIV/0!</s:v>
      </s:c>
      <s:c r="U25" s="142" t="e">
        <s:f>$I$8*AA25*AB25/SUMPRODUCT($AB$25:$AB$55,$AA$25:$AA$55)</s:f>
        <s:v>#DIV/0!</s:v>
      </s:c>
      <s:c r="V25" s="143" t="e">
        <s:f>$I$9*AA25*AB25/SUMPRODUCT($AB$25:$AB$55,$AA$25:$AA$55)</s:f>
        <s:v>#DIV/0!</s:v>
      </s:c>
      <s:c r="W25" s="143" t="e">
        <s:f>IF($I$12="","",V25/$I$12)</s:f>
        <s:v>#DIV/0!</s:v>
      </s:c>
      <s:c r="X25" s="142" t="str">
        <s:f>IF(AB25&lt;&gt;"",IF(D25&lt;&gt;"",D25,($I$8-SUM($X24:X$25))*AA25*AB25/SUMPRODUCT($AB25:$AB$55,$AA25:$AA$55)),"")</s:f>
        <s:v/>
      </s:c>
      <s:c r="Y25" s="143" t="str">
        <s:f>IF(AB25&lt;&gt;"",IF(E25&lt;&gt;"",E25,($I$9-SUM($Y24:Y$25))*AA25*AB25/SUMPRODUCT($AB25:$AB$55,$AA25:$AA$55)),"")</s:f>
        <s:v/>
      </s:c>
      <s:c r="Z25" s="143" t="str">
        <s:f>IF(AB25&lt;&gt;"",IF($I$12&lt;&gt;"",IF(G25&lt;&gt;"",G25,($I$9/$I$12-SUM($Z24:Z$25))*AA25*AB25/SUMPRODUCT($AB25:$AB$55,$AA25:$AA$55)),""),"")</s:f>
        <s:v/>
      </s:c>
      <s:c r="AA25" s="379"/>
      <s:c r="AB25" s="379"/>
      <s:c r="AC25" s="145"/>
      <s:c r="AD25" s="145"/>
      <s:c r="AE25" s="160"/>
      <s:c r="AF25" s="2"/>
      <s:c r="AG25" s="2"/>
      <s:c r="AH25" s="2"/>
      <s:c r="AI25" s="2"/>
      <s:c r="AJ25" s="2"/>
      <s:c r="AK25" s="2"/>
      <s:c r="AL25" s="2"/>
    </s:row>
    <s:row r="26">
      <s:c r="A26" s="338">
        <s:v>2</s:v>
      </s:c>
      <s:c r="B26" s="134"/>
      <s:c r="C26" s="135"/>
      <s:c r="D26" s="342"/>
      <s:c r="E26" s="148"/>
      <s:c r="F26" s="174"/>
      <s:c r="G26" s="148"/>
      <s:c r="H26" s="174"/>
      <s:c r="I26" s="148"/>
      <s:c r="J26" s="138" t="str">
        <s:f>IF(AND(G26&lt;&gt;"",G26&lt;&gt;0),E26/G26,"")</s:f>
        <s:v/>
      </s:c>
      <s:c r="K26" s="136"/>
      <s:c r="L26" s="136"/>
      <s:c r="M26" s="136"/>
      <s:c r="N26" s="136"/>
      <s:c r="O26" s="430"/>
      <s:c r="P26" s="431"/>
      <s:c r="Q26" s="136"/>
      <s:c r="R26" s="136"/>
      <s:c r="S26" s="140" t="str">
        <s:f>IF(AND(I26&lt;&gt;"",I26&lt;&gt;0),G26/I26,"")</s:f>
        <s:v/>
      </s:c>
      <s:c r="T26" s="141" t="e">
        <s:f>D26/U26</s:f>
        <s:v>#DIV/0!</s:v>
      </s:c>
      <s:c r="U26" s="142" t="e">
        <s:f>$I$8*AA26*AB26/SUMPRODUCT($AB$25:$AB$55,$AA$25:$AA$55)</s:f>
        <s:v>#DIV/0!</s:v>
      </s:c>
      <s:c r="V26" s="143" t="e">
        <s:f>$I$9*AA26*AB26/SUMPRODUCT($AB$25:$AB$55,$AA$25:$AA$55)</s:f>
        <s:v>#DIV/0!</s:v>
      </s:c>
      <s:c r="W26" s="143" t="e">
        <s:f>IF($I$12="","",V26/$I$12)</s:f>
        <s:v>#DIV/0!</s:v>
      </s:c>
      <s:c r="X26" s="142" t="str">
        <s:f>IF(AB26&lt;&gt;"",IF(D26&lt;&gt;"",D26,($I$8-SUM($X$25:X25))*AA26*AB26/SUMPRODUCT($AB26:$AB$55,$AA26:$AA$55)),"")</s:f>
        <s:v/>
      </s:c>
      <s:c r="Y26" s="143" t="str">
        <s:f>IF(AB26&lt;&gt;"",IF(E26&lt;&gt;"",E26,($I$9-SUM($Y$25:Y25))*AA26*AB26/SUMPRODUCT($AB26:$AB$55,$AA26:$AA$55)),"")</s:f>
        <s:v/>
      </s:c>
      <s:c r="Z26" s="143" t="str">
        <s:f>IF(AB26&lt;&gt;"",IF($I$12&lt;&gt;"",IF(G26&lt;&gt;"",G26,($I$9/$I$12-SUM($Z$25:Z25))*AA26*AB26/SUMPRODUCT($AB26:$AB$55,$AA26:$AA$55)),""),"")</s:f>
        <s:v/>
      </s:c>
      <s:c r="AA26" s="379"/>
      <s:c r="AB26" s="379"/>
      <s:c r="AC26" s="145"/>
      <s:c r="AD26" s="145"/>
      <s:c r="AE26" s="2"/>
      <s:c r="AF26" s="2"/>
      <s:c r="AG26" s="2"/>
      <s:c r="AH26" s="2"/>
      <s:c r="AI26" s="2"/>
      <s:c r="AJ26" s="2"/>
      <s:c r="AK26" s="2"/>
      <s:c r="AL26" s="2"/>
      <s:c r="AM26" s="2"/>
      <s:c r="AN26" s="2"/>
      <s:c r="AO26" s="2"/>
      <s:c r="AP26" s="2"/>
      <s:c r="AQ26" s="2"/>
      <s:c r="AR26" s="2"/>
      <s:c r="AS26" s="2"/>
      <s:c r="AT26" s="2"/>
      <s:c r="AU26" s="2"/>
      <s:c r="AV26" s="2"/>
      <s:c r="AW26" s="2"/>
      <s:c r="AX26" s="2"/>
      <s:c r="AY26" s="2"/>
      <s:c r="AZ26" s="2"/>
      <s:c r="BA26" s="2"/>
      <s:c r="BB26" s="2"/>
      <s:c r="BC26" s="2"/>
      <s:c r="BD26" s="2"/>
      <s:c r="BE26" s="2"/>
      <s:c r="BF26" s="2"/>
      <s:c r="BG26" s="2"/>
      <s:c r="BH26" s="2"/>
      <s:c r="BI26" s="2"/>
      <s:c r="BJ26" s="2"/>
      <s:c r="BK26" s="2"/>
      <s:c r="BL26" s="2"/>
      <s:c r="BM26" s="2"/>
      <s:c r="BN26" s="2"/>
      <s:c r="BO26" s="2"/>
      <s:c r="BP26" s="2"/>
      <s:c r="BQ26" s="2"/>
      <s:c r="BR26" s="2"/>
      <s:c r="BS26" s="2"/>
      <s:c r="BT26" s="2"/>
      <s:c r="BU26" s="2"/>
      <s:c r="BV26" s="2"/>
      <s:c r="BW26" s="2"/>
      <s:c r="BX26" s="2"/>
      <s:c r="BY26" s="2"/>
      <s:c r="BZ26" s="2"/>
      <s:c r="CA26" s="2"/>
      <s:c r="CB26" s="2"/>
      <s:c r="CC26" s="2"/>
      <s:c r="CD26" s="2"/>
      <s:c r="CE26" s="2"/>
      <s:c r="CF26" s="2"/>
      <s:c r="CG26" s="2"/>
      <s:c r="CH26" s="2"/>
      <s:c r="CI26" s="2"/>
      <s:c r="CJ26" s="2"/>
      <s:c r="CK26" s="2"/>
      <s:c r="CL26" s="2"/>
      <s:c r="CM26" s="2"/>
      <s:c r="CN26" s="2"/>
      <s:c r="CO26" s="2"/>
      <s:c r="CP26" s="2"/>
      <s:c r="CQ26" s="2"/>
      <s:c r="CR26" s="2"/>
      <s:c r="CS26" s="2"/>
      <s:c r="CT26" s="2"/>
      <s:c r="CU26" s="2"/>
      <s:c r="CV26" s="2"/>
      <s:c r="CW26" s="2"/>
      <s:c r="CX26" s="2"/>
      <s:c r="CY26" s="2"/>
      <s:c r="CZ26" s="2"/>
      <s:c r="DA26" s="2"/>
      <s:c r="DB26" s="2"/>
      <s:c r="DC26" s="2"/>
      <s:c r="DD26" s="2"/>
      <s:c r="DE26" s="2"/>
      <s:c r="DF26" s="2"/>
      <s:c r="DG26" s="2"/>
      <s:c r="DH26" s="2"/>
      <s:c r="DI26" s="2"/>
      <s:c r="DJ26" s="2"/>
      <s:c r="DK26" s="2"/>
      <s:c r="DL26" s="2"/>
      <s:c r="DM26" s="2"/>
      <s:c r="DN26" s="2"/>
      <s:c r="DO26" s="2"/>
      <s:c r="DP26" s="2"/>
      <s:c r="DQ26" s="2"/>
      <s:c r="DR26" s="2"/>
      <s:c r="DS26" s="2"/>
      <s:c r="DT26" s="2"/>
      <s:c r="DU26" s="2"/>
      <s:c r="DV26" s="2"/>
      <s:c r="DW26" s="2"/>
      <s:c r="DX26" s="2"/>
      <s:c r="DY26" s="2"/>
      <s:c r="DZ26" s="2"/>
      <s:c r="EA26" s="2"/>
      <s:c r="EB26" s="2"/>
      <s:c r="EC26" s="2"/>
      <s:c r="ED26" s="2"/>
      <s:c r="EE26" s="2"/>
      <s:c r="EF26" s="2"/>
      <s:c r="EG26" s="2"/>
      <s:c r="EH26" s="2"/>
      <s:c r="EI26" s="2"/>
      <s:c r="EJ26" s="2"/>
      <s:c r="EK26" s="2"/>
      <s:c r="EL26" s="2"/>
      <s:c r="EM26" s="2"/>
      <s:c r="EN26" s="2"/>
      <s:c r="EO26" s="2"/>
      <s:c r="EP26" s="2"/>
      <s:c r="EQ26" s="2"/>
      <s:c r="ER26" s="2"/>
      <s:c r="ES26" s="2"/>
      <s:c r="ET26" s="2"/>
      <s:c r="EU26" s="2"/>
      <s:c r="EV26" s="2"/>
      <s:c r="EW26" s="2"/>
      <s:c r="EX26" s="2"/>
      <s:c r="EY26" s="2"/>
      <s:c r="EZ26" s="2"/>
      <s:c r="FA26" s="2"/>
      <s:c r="FB26" s="2"/>
      <s:c r="FC26" s="2"/>
      <s:c r="FD26" s="2"/>
      <s:c r="FE26" s="2"/>
      <s:c r="FF26" s="2"/>
      <s:c r="FG26" s="2"/>
      <s:c r="FH26" s="2"/>
      <s:c r="FI26" s="2"/>
      <s:c r="FJ26" s="2"/>
      <s:c r="FK26" s="2"/>
      <s:c r="FL26" s="2"/>
      <s:c r="FM26" s="2"/>
      <s:c r="FN26" s="2"/>
      <s:c r="FO26" s="2"/>
      <s:c r="FP26" s="2"/>
      <s:c r="FQ26" s="2"/>
      <s:c r="FR26" s="2"/>
      <s:c r="FS26" s="2"/>
      <s:c r="FT26" s="2"/>
      <s:c r="FU26" s="2"/>
      <s:c r="FV26" s="2"/>
      <s:c r="FW26" s="2"/>
      <s:c r="FX26" s="2"/>
      <s:c r="FY26" s="2"/>
      <s:c r="FZ26" s="2"/>
      <s:c r="GA26" s="2"/>
      <s:c r="GB26" s="2"/>
      <s:c r="GC26" s="2"/>
      <s:c r="GD26" s="2"/>
      <s:c r="GE26" s="2"/>
      <s:c r="GF26" s="2"/>
      <s:c r="GG26" s="2"/>
      <s:c r="GH26" s="2"/>
      <s:c r="GI26" s="2"/>
      <s:c r="GJ26" s="2"/>
      <s:c r="GK26" s="2"/>
      <s:c r="GL26" s="2"/>
      <s:c r="GM26" s="2"/>
      <s:c r="GN26" s="2"/>
      <s:c r="GO26" s="2"/>
      <s:c r="GP26" s="2"/>
      <s:c r="GQ26" s="2"/>
      <s:c r="GR26" s="2"/>
      <s:c r="GS26" s="2"/>
      <s:c r="GT26" s="2"/>
      <s:c r="GU26" s="2"/>
      <s:c r="GV26" s="2"/>
      <s:c r="GW26" s="2"/>
      <s:c r="GX26" s="2"/>
      <s:c r="GY26" s="2"/>
      <s:c r="GZ26" s="2"/>
      <s:c r="HA26" s="2"/>
      <s:c r="HB26" s="2"/>
      <s:c r="HC26" s="2"/>
      <s:c r="HD26" s="2"/>
      <s:c r="HE26" s="2"/>
      <s:c r="HF26" s="2"/>
      <s:c r="HG26" s="2"/>
      <s:c r="HH26" s="2"/>
      <s:c r="HI26" s="2"/>
      <s:c r="HJ26" s="2"/>
      <s:c r="HK26" s="2"/>
      <s:c r="HL26" s="2"/>
      <s:c r="HM26" s="2"/>
      <s:c r="HN26" s="2"/>
      <s:c r="HO26" s="2"/>
      <s:c r="HP26" s="2"/>
      <s:c r="HQ26" s="2"/>
      <s:c r="HR26" s="2"/>
      <s:c r="HS26" s="2"/>
      <s:c r="HT26" s="2"/>
      <s:c r="HU26" s="2"/>
      <s:c r="HV26" s="2"/>
      <s:c r="HW26" s="2"/>
      <s:c r="HX26" s="2"/>
      <s:c r="HY26" s="2"/>
      <s:c r="HZ26" s="2"/>
      <s:c r="IA26" s="2"/>
      <s:c r="IB26" s="2"/>
      <s:c r="IC26" s="2"/>
      <s:c r="ID26" s="2"/>
      <s:c r="IE26" s="2"/>
      <s:c r="IF26" s="2"/>
      <s:c r="IG26" s="2"/>
      <s:c r="IH26" s="2"/>
      <s:c r="II26" s="2"/>
      <s:c r="IJ26" s="2"/>
      <s:c r="IK26" s="2"/>
      <s:c r="IL26" s="2"/>
      <s:c r="IM26" s="2"/>
      <s:c r="IN26" s="2"/>
      <s:c r="IO26" s="2"/>
      <s:c r="IP26" s="2"/>
      <s:c r="IQ26" s="2"/>
      <s:c r="IR26" s="2"/>
      <s:c r="IS26" s="2"/>
      <s:c r="IT26" s="2"/>
      <s:c r="IU26" s="2"/>
      <s:c r="IV26" s="2"/>
      <s:c r="IW26" s="2"/>
      <s:c r="IX26" s="2"/>
      <s:c r="IY26" s="2"/>
      <s:c r="IZ26" s="2"/>
    </s:row>
    <s:row r="27">
      <s:c r="A27" s="338">
        <s:v>3</s:v>
      </s:c>
      <s:c r="B27" s="134"/>
      <s:c r="C27" s="135"/>
      <s:c r="D27" s="342"/>
      <s:c r="E27" s="148">
        <s:v>0</s:v>
      </s:c>
      <s:c r="F27" s="137"/>
      <s:c r="G27" s="148">
        <s:v>0</s:v>
      </s:c>
      <s:c r="H27" s="137"/>
      <s:c r="I27" s="148"/>
      <s:c r="J27" s="138" t="str">
        <s:f>IF(AND(G27&lt;&gt;"",G27&lt;&gt;0),E27/G27,"")</s:f>
        <s:v/>
      </s:c>
      <s:c r="K27" s="136"/>
      <s:c r="L27" s="136"/>
      <s:c r="M27" s="136"/>
      <s:c r="N27" s="136"/>
      <s:c r="O27" s="430"/>
      <s:c r="P27" s="431"/>
      <s:c r="Q27" s="136"/>
      <s:c r="R27" s="136"/>
      <s:c r="S27" s="140" t="str">
        <s:f>IF(AND(I27&lt;&gt;"",I27&lt;&gt;0),G27/I27,"")</s:f>
        <s:v/>
      </s:c>
      <s:c r="T27" s="141" t="e">
        <s:f>D27/U27</s:f>
        <s:v>#DIV/0!</s:v>
      </s:c>
      <s:c r="U27" s="142" t="e">
        <s:f>$I$8*AA27*AB27/SUMPRODUCT($AB$25:$AB$55,$AA$25:$AA$55)</s:f>
        <s:v>#DIV/0!</s:v>
      </s:c>
      <s:c r="V27" s="143" t="e">
        <s:f>$I$9*AA27*AB27/SUMPRODUCT($AB$25:$AB$55,$AA$25:$AA$55)</s:f>
        <s:v>#DIV/0!</s:v>
      </s:c>
      <s:c r="W27" s="143" t="e">
        <s:f>IF($I$12="","",V27/$I$12)</s:f>
        <s:v>#DIV/0!</s:v>
      </s:c>
      <s:c r="X27" s="142" t="str">
        <s:f>IF(AB27&lt;&gt;"",IF(D27&lt;&gt;"",D27,($I$8-SUM($X$25:X26))*AA27*AB27/SUMPRODUCT($AB27:$AB$55,$AA27:$AA$55)),"")</s:f>
        <s:v/>
      </s:c>
      <s:c r="Y27" s="143" t="str">
        <s:f>IF(AB27&lt;&gt;"",IF(E27&lt;&gt;"",E27,($I$9-SUM($Y$25:Y26))*AA27*AB27/SUMPRODUCT($AB27:$AB$55,$AA27:$AA$55)),"")</s:f>
        <s:v/>
      </s:c>
      <s:c r="Z27" s="143" t="str">
        <s:f>IF(AB27&lt;&gt;"",IF($I$12&lt;&gt;"",IF(G27&lt;&gt;"",G27,($I$9/$I$12-SUM($Z$25:Z26))*AA27*AB27/SUMPRODUCT($AB27:$AB$55,$AA27:$AA$55)),""),"")</s:f>
        <s:v/>
      </s:c>
      <s:c r="AA27" s="379"/>
      <s:c r="AB27" s="379"/>
      <s:c r="AC27" s="145"/>
      <s:c r="AD27" s="145"/>
      <s:c r="AE27" s="2"/>
      <s:c r="AF27" s="2"/>
      <s:c r="AG27" s="2"/>
      <s:c r="AH27" s="2"/>
      <s:c r="AI27" s="2"/>
      <s:c r="AJ27" s="2"/>
      <s:c r="AK27" s="2"/>
      <s:c r="AL27" s="2"/>
    </s:row>
    <s:row r="28">
      <s:c r="A28" s="340">
        <s:v>4</s:v>
      </s:c>
      <s:c r="B28" s="134"/>
      <s:c r="C28" s="181"/>
      <s:c r="D28" s="342"/>
      <s:c r="E28" s="148"/>
      <s:c r="F28" s="174"/>
      <s:c r="G28" s="148"/>
      <s:c r="H28" s="174"/>
      <s:c r="I28" s="148"/>
      <s:c r="J28" s="138" t="str">
        <s:f>IF(AND(G28&lt;&gt;"",G28&lt;&gt;0),E28/G28,"")</s:f>
        <s:v/>
      </s:c>
      <s:c r="K28" s="137"/>
      <s:c r="L28" s="137"/>
      <s:c r="M28" s="137"/>
      <s:c r="N28" s="137"/>
      <s:c r="O28" s="432"/>
      <s:c r="P28" s="433"/>
      <s:c r="Q28" s="139"/>
      <s:c r="R28" s="136"/>
      <s:c r="S28" s="140" t="str">
        <s:f>IF(AND(I28&lt;&gt;"",I28&lt;&gt;0),G28/I28,"")</s:f>
        <s:v/>
      </s:c>
      <s:c r="T28" s="141" t="e">
        <s:f>D28/U28</s:f>
        <s:v>#DIV/0!</s:v>
      </s:c>
      <s:c r="U28" s="142" t="e">
        <s:f>$I$8*AA28*AB28/SUMPRODUCT($AB$25:$AB$55,$AA$25:$AA$55)</s:f>
        <s:v>#DIV/0!</s:v>
      </s:c>
      <s:c r="V28" s="143" t="e">
        <s:f>$I$9*AA28*AB28/SUMPRODUCT($AB$25:$AB$55,$AA$25:$AA$55)</s:f>
        <s:v>#DIV/0!</s:v>
      </s:c>
      <s:c r="W28" s="143" t="e">
        <s:f>IF($I$12="","",V28/$I$12)</s:f>
        <s:v>#DIV/0!</s:v>
      </s:c>
      <s:c r="X28" s="142" t="str">
        <s:f>IF(AB28&lt;&gt;"",IF(D28&lt;&gt;"",D28,($I$8-SUM($X$25:X27))*AA28*AB28/SUMPRODUCT($AB28:$AB$55,$AA28:$AA$55)),"")</s:f>
        <s:v/>
      </s:c>
      <s:c r="Y28" s="143" t="str">
        <s:f>IF(AB28&lt;&gt;"",IF(E27&lt;&gt;"",E27,($I$9-SUM($Y$25:Y27))*AA28*AB28/SUMPRODUCT($AB28:$AB$55,$AA28:$AA$55)),"")</s:f>
        <s:v/>
      </s:c>
      <s:c r="Z28" s="143" t="str">
        <s:f>IF(AB28&lt;&gt;"",IF($I$12&lt;&gt;"",IF(G28&lt;&gt;"",G28,($I$9/$I$12-SUM($Z$25:Z27))*AA28*AB28/SUMPRODUCT($AB28:$AB$55,$AA28:$AA$55)),""),"")</s:f>
        <s:v/>
      </s:c>
      <s:c r="AA28" s="379"/>
      <s:c r="AB28" s="379"/>
      <s:c r="AC28" s="145"/>
      <s:c r="AD28" s="145"/>
      <s:c r="AE28" s="2"/>
      <s:c r="AF28" s="2"/>
      <s:c r="AG28" s="2"/>
      <s:c r="AH28" s="2"/>
      <s:c r="AI28" s="2"/>
      <s:c r="AJ28" s="2"/>
      <s:c r="AK28" s="2"/>
      <s:c r="AL28" s="2"/>
    </s:row>
    <s:row r="29">
      <s:c r="A29" s="338">
        <s:v>5</s:v>
      </s:c>
      <s:c r="B29" s="134"/>
      <s:c r="C29" s="135"/>
      <s:c r="D29" s="342"/>
      <s:c r="E29" s="148"/>
      <s:c r="F29" s="137"/>
      <s:c r="G29" s="148"/>
      <s:c r="H29" s="137"/>
      <s:c r="I29" s="148"/>
      <s:c r="J29" s="138" t="str">
        <s:f>IF(AND(G29&lt;&gt;"",G29&lt;&gt;0),E29/G29,"")</s:f>
        <s:v/>
      </s:c>
      <s:c r="K29" s="136"/>
      <s:c r="L29" s="136"/>
      <s:c r="M29" s="136"/>
      <s:c r="N29" s="136"/>
      <s:c r="O29" s="430"/>
      <s:c r="P29" s="431"/>
      <s:c r="Q29" s="136"/>
      <s:c r="R29" s="136"/>
      <s:c r="S29" s="140" t="str">
        <s:f>IF(AND(I29&lt;&gt;"",I29&lt;&gt;0),G29/I29,"")</s:f>
        <s:v/>
      </s:c>
      <s:c r="T29" s="141" t="e">
        <s:f>D29/U29</s:f>
        <s:v>#DIV/0!</s:v>
      </s:c>
      <s:c r="U29" s="142" t="e">
        <s:f>$I$8*AA29*AB29/SUMPRODUCT($AB$25:$AB$55,$AA$25:$AA$55)</s:f>
        <s:v>#DIV/0!</s:v>
      </s:c>
      <s:c r="V29" s="143" t="e">
        <s:f>$I$9*AA29*AB29/SUMPRODUCT($AB$25:$AB$55,$AA$25:$AA$55)</s:f>
        <s:v>#DIV/0!</s:v>
      </s:c>
      <s:c r="W29" s="143" t="e">
        <s:f>IF($I$12="","",V29/$I$12)</s:f>
        <s:v>#DIV/0!</s:v>
      </s:c>
      <s:c r="X29" s="142" t="str">
        <s:f>IF(AB29&lt;&gt;"",IF(D29&lt;&gt;"",D29,($I$8-SUM($X$25:X28))*AA29*AB29/SUMPRODUCT($AB29:$AB$55,$AA29:$AA$55)),"")</s:f>
        <s:v/>
      </s:c>
      <s:c r="Y29" s="143" t="str">
        <s:f>IF(AB29&lt;&gt;"",IF(E29&lt;&gt;"",E29,($I$9-SUM($Y$25:Y28))*AA29*AB29/SUMPRODUCT($AB29:$AB$55,$AA29:$AA$55)),"")</s:f>
        <s:v/>
      </s:c>
      <s:c r="Z29" s="143" t="str">
        <s:f>IF(AB29&lt;&gt;"",IF($I$12&lt;&gt;"",IF(G29&lt;&gt;"",G29,($I$9/$I$12-SUM($Z$25:Z28))*AA29*AB29/SUMPRODUCT($AB29:$AB$55,$AA29:$AA$55)),""),"")</s:f>
        <s:v/>
      </s:c>
      <s:c r="AA29" s="379"/>
      <s:c r="AB29" s="379"/>
      <s:c r="AC29" s="145"/>
      <s:c r="AD29" s="145"/>
      <s:c r="AE29" s="2"/>
      <s:c r="AF29" s="2"/>
      <s:c r="AG29" s="2"/>
      <s:c r="AH29" s="2"/>
      <s:c r="AI29" s="2"/>
      <s:c r="AJ29" s="2"/>
      <s:c r="AK29" s="2"/>
      <s:c r="AL29" s="2"/>
    </s:row>
    <s:row r="30">
      <s:c r="A30" s="338"/>
      <s:c r="B30" s="134"/>
      <s:c r="C30" s="181"/>
      <s:c r="D30" s="342"/>
      <s:c r="E30" s="148"/>
      <s:c r="F30" s="174"/>
      <s:c r="G30" s="148"/>
      <s:c r="H30" s="174"/>
      <s:c r="I30" s="148"/>
      <s:c r="J30" s="138" t="str">
        <s:f>IF(AND(G30&lt;&gt;"",G30&lt;&gt;0),E30/G30,"")</s:f>
        <s:v/>
      </s:c>
      <s:c r="K30" s="136"/>
      <s:c r="L30" s="136"/>
      <s:c r="M30" s="136"/>
      <s:c r="N30" s="136"/>
      <s:c r="O30" s="174"/>
      <s:c r="P30" s="434"/>
      <s:c r="Q30" s="136"/>
      <s:c r="R30" s="136"/>
      <s:c r="S30" s="140" t="str">
        <s:f>IF(AND(I30&lt;&gt;"",I30&lt;&gt;0),G30/I30,"")</s:f>
        <s:v/>
      </s:c>
      <s:c r="T30" s="141" t="e">
        <s:f>D30/U30</s:f>
        <s:v>#DIV/0!</s:v>
      </s:c>
      <s:c r="U30" s="142" t="e">
        <s:f>$I$8*AA30*AB30/SUMPRODUCT($AB$25:$AB$55,$AA$25:$AA$55)</s:f>
        <s:v>#DIV/0!</s:v>
      </s:c>
      <s:c r="V30" s="143" t="e">
        <s:f>$I$9*AA30*AB30/SUMPRODUCT($AB$25:$AB$55,$AA$25:$AA$55)</s:f>
        <s:v>#DIV/0!</s:v>
      </s:c>
      <s:c r="W30" s="143" t="e">
        <s:f>IF($I$12="","",V30/$I$12)</s:f>
        <s:v>#DIV/0!</s:v>
      </s:c>
      <s:c r="X30" s="142" t="str">
        <s:f>IF(AB30&lt;&gt;"",IF(D30&lt;&gt;"",D30,($I$8-SUM($X$25:X29))*AA30*AB30/SUMPRODUCT($AB30:$AB$55,$AA30:$AA$55)),"")</s:f>
        <s:v/>
      </s:c>
      <s:c r="Y30" s="143" t="str">
        <s:f>IF(AB30&lt;&gt;"",IF(E30&lt;&gt;"",E30,($I$9-SUM($Y$25:Y29))*AA30*AB30/SUMPRODUCT($AB30:$AB$55,$AA30:$AA$55)),"")</s:f>
        <s:v/>
      </s:c>
      <s:c r="Z30" s="143" t="str">
        <s:f>IF(AB30&lt;&gt;"",IF($I$12&lt;&gt;"",IF(G30&lt;&gt;"",G30,($I$9/$I$12-SUM($Z$25:Z29))*AA30*AB30/SUMPRODUCT($AB30:$AB$55,$AA30:$AA$55)),""),"")</s:f>
        <s:v/>
      </s:c>
      <s:c r="AA30" s="379"/>
      <s:c r="AB30" s="379"/>
      <s:c r="AC30" s="145"/>
      <s:c r="AD30" s="145"/>
      <s:c r="AE30" s="160"/>
      <s:c r="AF30" s="2"/>
      <s:c r="AG30" s="2"/>
      <s:c r="AH30" s="2"/>
      <s:c r="AI30" s="2"/>
      <s:c r="AJ30" s="2"/>
      <s:c r="AK30" s="2"/>
      <s:c r="AL30" s="2"/>
    </s:row>
    <s:row r="31">
      <s:c r="A31" s="435"/>
      <s:c r="B31" s="436"/>
      <s:c r="C31" s="392"/>
      <s:c r="D31" s="345"/>
      <s:c r="E31" s="344"/>
      <s:c r="F31" s="346"/>
      <s:c r="G31" s="344"/>
      <s:c r="H31" s="346"/>
      <s:c r="I31" s="344"/>
      <s:c r="J31" s="345" t="str">
        <s:f>IF(AND(G31&lt;&gt;"",G31&lt;&gt;0),E31/G31,"")</s:f>
        <s:v/>
      </s:c>
      <s:c r="K31" s="390"/>
      <s:c r="L31" s="390"/>
      <s:c r="M31" s="390"/>
      <s:c r="N31" s="174"/>
      <s:c r="O31" s="437"/>
      <s:c r="P31" s="437"/>
      <s:c r="Q31" s="390"/>
      <s:c r="R31" s="136"/>
      <s:c r="S31" s="438" t="str">
        <s:f>IF(AND(I31&lt;&gt;"",I31&lt;&gt;0),G31/I31,"")</s:f>
        <s:v/>
      </s:c>
      <s:c r="T31" s="439" t="e">
        <s:f>D31/U31</s:f>
        <s:v>#DIV/0!</s:v>
      </s:c>
      <s:c r="U31" s="440" t="e">
        <s:f>$I$8*AA31*AB31/SUMPRODUCT($AB$25:$AB$55,$AA$25:$AA$55)</s:f>
        <s:v>#DIV/0!</s:v>
      </s:c>
      <s:c r="V31" s="441" t="e">
        <s:f>$I$9*AA31*AB31/SUMPRODUCT($AB$25:$AB$55,$AA$25:$AA$55)</s:f>
        <s:v>#DIV/0!</s:v>
      </s:c>
      <s:c r="W31" s="441" t="e">
        <s:f>IF($I$12="","",V31/$I$12)</s:f>
        <s:v>#DIV/0!</s:v>
      </s:c>
      <s:c r="X31" s="440" t="str">
        <s:f>IF(AB31&lt;&gt;"",IF(D31&lt;&gt;"",D31,($I$8-SUM($X$25:X30))*AA31*AB31/SUMPRODUCT($AB31:$AB$55,$AA31:$AA$55)),"")</s:f>
        <s:v/>
      </s:c>
      <s:c r="Y31" s="441" t="str">
        <s:f>IF(AB31&lt;&gt;"",IF(E31&lt;&gt;"",E31,($I$9-SUM($Y$25:Y30))*AA31*AB31/SUMPRODUCT($AB31:$AB$55,$AA31:$AA$55)),"")</s:f>
        <s:v/>
      </s:c>
      <s:c r="Z31" s="441" t="str">
        <s:f>IF(AB31&lt;&gt;"",IF($I$12&lt;&gt;"",IF(G31&lt;&gt;"",G31,($I$9/$I$12-SUM($Z$25:Z30))*AA31*AB31/SUMPRODUCT($AB31:$AB$55,$AA31:$AA$55)),""),"")</s:f>
        <s:v/>
      </s:c>
      <s:c r="AA31" s="442"/>
      <s:c r="AB31" s="442"/>
      <s:c r="AC31" s="145"/>
      <s:c r="AD31" s="145"/>
      <s:c r="AE31" s="160"/>
      <s:c r="AF31" s="2"/>
      <s:c r="AG31" s="2"/>
      <s:c r="AH31" s="2"/>
      <s:c r="AI31" s="2"/>
      <s:c r="AJ31" s="2"/>
      <s:c r="AK31" s="2"/>
      <s:c r="AL31" s="2"/>
    </s:row>
    <s:row r="32">
      <s:c r="A32" s="340"/>
      <s:c r="B32" s="134"/>
      <s:c r="C32" s="135"/>
      <s:c r="D32" s="138"/>
      <s:c r="E32" s="137"/>
      <s:c r="F32" s="137"/>
      <s:c r="G32" s="137"/>
      <s:c r="H32" s="137"/>
      <s:c r="I32" s="137"/>
      <s:c r="J32" s="138" t="str">
        <s:f>IF(AND(G32&lt;&gt;"",G32&lt;&gt;0),E32/G32,"")</s:f>
        <s:v/>
      </s:c>
      <s:c r="K32" s="137"/>
      <s:c r="L32" s="137"/>
      <s:c r="M32" s="137"/>
      <s:c r="N32" s="137"/>
      <s:c r="O32" s="137"/>
      <s:c r="P32" s="137"/>
      <s:c r="Q32" s="137"/>
      <s:c r="R32" s="346"/>
      <s:c r="S32" s="140" t="str">
        <s:f>IF(AND(I32&lt;&gt;"",I32&lt;&gt;0),G32/I32,"")</s:f>
        <s:v/>
      </s:c>
      <s:c r="T32" s="141" t="e">
        <s:f>D32/U32</s:f>
        <s:v>#DIV/0!</s:v>
      </s:c>
      <s:c r="U32" s="142" t="e">
        <s:f>$I$8*AA32*AB32/SUMPRODUCT($AB$25:$AB$55,$AA$25:$AA$55)</s:f>
        <s:v>#DIV/0!</s:v>
      </s:c>
      <s:c r="V32" s="143" t="e">
        <s:f>$I$9*AA32*AB32/SUMPRODUCT($AB$25:$AB$55,$AA$25:$AA$55)</s:f>
        <s:v>#DIV/0!</s:v>
      </s:c>
      <s:c r="W32" s="143" t="e">
        <s:f>IF($I$12="","",V32/$I$12)</s:f>
        <s:v>#DIV/0!</s:v>
      </s:c>
      <s:c r="X32" s="142" t="str">
        <s:f>IF(AB32&lt;&gt;"",IF(D32&lt;&gt;"",D32,($I$8-SUM($X$25:X31))*AA32*AB32/SUMPRODUCT($AB32:$AB$55,$AA32:$AA$55)),"")</s:f>
        <s:v/>
      </s:c>
      <s:c r="Y32" s="143" t="str">
        <s:f>IF(AB32&lt;&gt;"",IF(E32&lt;&gt;"",E32,($I$9-SUM($Y$25:Y31))*AA32*AB32/SUMPRODUCT($AB32:$AB$55,$AA32:$AA$55)),"")</s:f>
        <s:v/>
      </s:c>
      <s:c r="Z32" s="143" t="str">
        <s:f>IF(AB32&lt;&gt;"",IF($I$12&lt;&gt;"",IF(G32&lt;&gt;"",G32,($I$9/$I$12-SUM($Z$25:Z31))*AA32*AB32/SUMPRODUCT($AB32:$AB$55,$AA32:$AA$55)),""),"")</s:f>
        <s:v/>
      </s:c>
      <s:c r="AA32" s="379"/>
      <s:c r="AB32" s="379"/>
      <s:c r="AC32" s="145"/>
      <s:c r="AD32" s="145"/>
      <s:c r="AE32" s="2"/>
      <s:c r="AF32" s="2"/>
      <s:c r="AG32" s="2"/>
      <s:c r="AH32" s="2"/>
      <s:c r="AI32" s="2"/>
      <s:c r="AJ32" s="2"/>
      <s:c r="AK32" s="2"/>
      <s:c r="AL32" s="2"/>
    </s:row>
    <s:row r="33">
      <s:c r="A33" s="338"/>
      <s:c r="B33" s="443"/>
      <s:c r="C33" s="444"/>
      <s:c r="D33" s="342"/>
      <s:c r="E33" s="148"/>
      <s:c r="F33" s="148"/>
      <s:c r="G33" s="148"/>
      <s:c r="H33" s="148"/>
      <s:c r="I33" s="148"/>
      <s:c r="J33" s="342" t="str">
        <s:f>IF(AND(G33&lt;&gt;"",G33&lt;&gt;0),E33/G33,"")</s:f>
        <s:v/>
      </s:c>
      <s:c r="K33" s="174"/>
      <s:c r="L33" s="445"/>
      <s:c r="M33" s="445"/>
      <s:c r="N33" s="445"/>
      <s:c r="O33" s="445"/>
      <s:c r="P33" s="445"/>
      <s:c r="Q33" s="174"/>
      <s:c r="R33" s="137"/>
      <s:c r="S33" s="446" t="str">
        <s:f>IF(AND(I33&lt;&gt;"",I33&lt;&gt;0),G33/I33,"")</s:f>
        <s:v/>
      </s:c>
      <s:c r="T33" s="348" t="e">
        <s:f>D33/U33</s:f>
        <s:v>#DIV/0!</s:v>
      </s:c>
      <s:c r="U33" s="447" t="e">
        <s:f>$I$8*AA33*AB33/SUMPRODUCT($AB$25:$AB$55,$AA$25:$AA$55)</s:f>
        <s:v>#DIV/0!</s:v>
      </s:c>
      <s:c r="V33" s="349" t="e">
        <s:f>$I$9*AA33*AB33/SUMPRODUCT($AB$25:$AB$55,$AA$25:$AA$55)</s:f>
        <s:v>#DIV/0!</s:v>
      </s:c>
      <s:c r="W33" s="448" t="e">
        <s:f>IF($I$12="","",V33/$I$12)</s:f>
        <s:v>#DIV/0!</s:v>
      </s:c>
      <s:c r="X33" s="351" t="str">
        <s:f>IF(AB33&lt;&gt;"",IF(D33&lt;&gt;"",D33,($I$8-SUM($X$25:X32))*AA33*AB33/SUMPRODUCT($AB33:$AB$55,$AA33:$AA$55)),"")</s:f>
        <s:v/>
      </s:c>
      <s:c r="Y33" s="448" t="str">
        <s:f>IF(AB33&lt;&gt;"",IF(E33&lt;&gt;"",E33,($I$9-SUM($Y$25:Y32))*AA33*AB33/SUMPRODUCT($AB33:$AB$55,$AA33:$AA$55)),"")</s:f>
        <s:v/>
      </s:c>
      <s:c r="Z33" s="349" t="str">
        <s:f>IF(AB33&lt;&gt;"",IF($I$12&lt;&gt;"",IF(G33&lt;&gt;"",G33,($I$9/$I$12-SUM($Z$25:Z32))*AA33*AB33/SUMPRODUCT($AB33:$AB$55,$AA33:$AA$55)),""),"")</s:f>
        <s:v/>
      </s:c>
      <s:c r="AA33" s="449"/>
      <s:c r="AB33" s="449"/>
      <s:c r="AC33" s="145"/>
      <s:c r="AD33" s="145"/>
      <s:c r="AE33" s="2"/>
      <s:c r="AF33" s="2"/>
      <s:c r="AG33" s="2"/>
      <s:c r="AH33" s="2"/>
      <s:c r="AI33" s="2"/>
      <s:c r="AJ33" s="2"/>
      <s:c r="AK33" s="2"/>
      <s:c r="AL33" s="2"/>
    </s:row>
    <s:row r="34">
      <s:c r="A34" s="340"/>
      <s:c r="B34" s="134"/>
      <s:c r="C34" s="135"/>
      <s:c r="D34" s="347"/>
      <s:c r="E34" s="148"/>
      <s:c r="F34" s="174"/>
      <s:c r="G34" s="148"/>
      <s:c r="H34" s="174"/>
      <s:c r="I34" s="148"/>
      <s:c r="J34" s="347" t="str">
        <s:f>IF(AND(G34&lt;&gt;"",G34&lt;&gt;0),E34/G34,"")</s:f>
        <s:v/>
      </s:c>
      <s:c r="K34" s="432"/>
      <s:c r="L34" s="355"/>
      <s:c r="M34" s="355"/>
      <s:c r="N34" s="355"/>
      <s:c r="O34" s="355"/>
      <s:c r="P34" s="355"/>
      <s:c r="Q34" s="139"/>
      <s:c r="R34" s="137"/>
      <s:c r="S34" s="438" t="str">
        <s:f>IF(AND(I34&lt;&gt;"",I34&lt;&gt;0),G34/I34,"")</s:f>
        <s:v/>
      </s:c>
      <s:c r="T34" s="141" t="e">
        <s:f>D34/U34</s:f>
        <s:v>#DIV/0!</s:v>
      </s:c>
      <s:c r="U34" s="351" t="e">
        <s:f>$I$8*AA34*AB34/SUMPRODUCT($AB$25:$AB$55,$AA$25:$AA$55)</s:f>
        <s:v>#DIV/0!</s:v>
      </s:c>
      <s:c r="V34" s="143" t="e">
        <s:f>$I$9*AA34*AB34/SUMPRODUCT($AB$25:$AB$55,$AA$25:$AA$55)</s:f>
        <s:v>#DIV/0!</s:v>
      </s:c>
      <s:c r="W34" s="349" t="e">
        <s:f>IF($I$12="","",V34/$I$12)</s:f>
        <s:v>#DIV/0!</s:v>
      </s:c>
      <s:c r="X34" s="142" t="str">
        <s:f>IF(AB34&lt;&gt;"",IF(D34&lt;&gt;"",D34,($I$8-SUM($X$25:X33))*AA34*AB34/SUMPRODUCT($AB34:$AB$55,$AA34:$AA$55)),"")</s:f>
        <s:v/>
      </s:c>
      <s:c r="Y34" s="349" t="str">
        <s:f>IF(AB34&lt;&gt;"",IF(E34&lt;&gt;"",E34,($I$9-SUM($Y$25:Y33))*AA34*AB34/SUMPRODUCT($AB34:$AB$55,$AA34:$AA$55)),"")</s:f>
        <s:v/>
      </s:c>
      <s:c r="Z34" s="143" t="str">
        <s:f>IF(AB34&lt;&gt;"",IF($I$12&lt;&gt;"",IF(G34&lt;&gt;"",G34,($I$9/$I$12-SUM($Z$25:Z33))*AA34*AB34/SUMPRODUCT($AB34:$AB$55,$AA34:$AA$55)),""),"")</s:f>
        <s:v/>
      </s:c>
      <s:c r="AA34" s="379"/>
      <s:c r="AB34" s="379"/>
      <s:c r="AC34" s="145"/>
      <s:c r="AD34" s="145"/>
      <s:c r="AE34" s="160"/>
      <s:c r="AF34" s="2"/>
      <s:c r="AG34" s="2"/>
      <s:c r="AH34" s="2"/>
      <s:c r="AI34" s="2"/>
      <s:c r="AJ34" s="2"/>
      <s:c r="AK34" s="2"/>
      <s:c r="AL34" s="2"/>
    </s:row>
    <s:row r="35">
      <s:c r="A35" s="338"/>
      <s:c r="B35" s="134"/>
      <s:c r="C35" s="175"/>
      <s:c r="D35" s="138"/>
      <s:c r="E35" s="136"/>
      <s:c r="F35" s="137"/>
      <s:c r="G35" s="136"/>
      <s:c r="H35" s="137"/>
      <s:c r="I35" s="136"/>
      <s:c r="J35" s="138" t="str">
        <s:f>IF(AND(G35&lt;&gt;"",G35&lt;&gt;0),E35/G35,"")</s:f>
        <s:v/>
      </s:c>
      <s:c r="K35" s="136"/>
      <s:c r="L35" s="136"/>
      <s:c r="M35" s="136"/>
      <s:c r="N35" s="430"/>
      <s:c r="O35" s="355"/>
      <s:c r="P35" s="355"/>
      <s:c r="Q35" s="139"/>
      <s:c r="R35" s="137"/>
      <s:c r="S35" s="438" t="str">
        <s:f>IF(AND(I35&lt;&gt;"",I35&lt;&gt;0),G35/I35,"")</s:f>
        <s:v/>
      </s:c>
      <s:c r="T35" s="141" t="e">
        <s:f>D35/U35</s:f>
        <s:v>#DIV/0!</s:v>
      </s:c>
      <s:c r="U35" s="142" t="e">
        <s:f>$I$8*AA35*AB35/SUMPRODUCT($AB$25:$AB$55,$AA$25:$AA$55)</s:f>
        <s:v>#DIV/0!</s:v>
      </s:c>
      <s:c r="V35" s="143" t="e">
        <s:f>$I$9*AA35*AB35/SUMPRODUCT($AB$25:$AB$55,$AA$25:$AA$55)</s:f>
        <s:v>#DIV/0!</s:v>
      </s:c>
      <s:c r="W35" s="143" t="e">
        <s:f>IF($I$12="","",V35/$I$12)</s:f>
        <s:v>#DIV/0!</s:v>
      </s:c>
      <s:c r="X35" s="142" t="str">
        <s:f>IF(AB35&lt;&gt;"",IF(D35&lt;&gt;"",D35,($I$8-SUM($X$25:X34))*AA35*AB35/SUMPRODUCT($AB35:$AB$55,$AA35:$AA$55)),"")</s:f>
        <s:v/>
      </s:c>
      <s:c r="Y35" s="143" t="str">
        <s:f>IF(AB34&lt;&gt;"",IF(E34&lt;&gt;"",E34,($I$9-SUM($Y$25:Y33))*AA34*AB34/SUMPRODUCT($AB34:$AB$55,$AA34:$AA$55)),"")</s:f>
        <s:v/>
      </s:c>
      <s:c r="Z35" s="143" t="str">
        <s:f>IF(AB34&lt;&gt;"",IF($I$12&lt;&gt;"",IF(G34&lt;&gt;"",G34,($I$9/$I$12-SUM($Z$25:Z33))*AA34*AB34/SUMPRODUCT($AB34:$AB$55,$AA34:$AA$55)),""),"")</s:f>
        <s:v/>
      </s:c>
      <s:c r="AA35" s="154"/>
      <s:c r="AB35" s="154"/>
      <s:c r="AC35" s="145"/>
      <s:c r="AD35" s="145"/>
      <s:c r="AE35" s="160"/>
      <s:c r="AF35" s="2"/>
      <s:c r="AG35" s="2"/>
      <s:c r="AH35" s="2"/>
      <s:c r="AI35" s="2"/>
      <s:c r="AJ35" s="2"/>
      <s:c r="AK35" s="2"/>
      <s:c r="AL35" s="2"/>
    </s:row>
    <s:row r="36">
      <s:c r="A36" s="340"/>
      <s:c r="B36" s="134"/>
      <s:c r="C36" s="175"/>
      <s:c r="D36" s="138"/>
      <s:c r="E36" s="137"/>
      <s:c r="F36" s="137"/>
      <s:c r="G36" s="137"/>
      <s:c r="H36" s="137"/>
      <s:c r="I36" s="137"/>
      <s:c r="J36" s="138" t="str">
        <s:f>IF(AND(G36&lt;&gt;"",G36&lt;&gt;0),E36/G36,"")</s:f>
        <s:v/>
      </s:c>
      <s:c r="K36" s="432"/>
      <s:c r="L36" s="355"/>
      <s:c r="M36" s="355"/>
      <s:c r="N36" s="355"/>
      <s:c r="O36" s="355"/>
      <s:c r="P36" s="355"/>
      <s:c r="Q36" s="139"/>
      <s:c r="R36" s="137"/>
      <s:c r="S36" s="438" t="str">
        <s:f>IF(AND(I36&lt;&gt;"",I36&lt;&gt;0),G36/I36,"")</s:f>
        <s:v/>
      </s:c>
      <s:c r="T36" s="141" t="e">
        <s:f>D36/U36</s:f>
        <s:v>#DIV/0!</s:v>
      </s:c>
      <s:c r="U36" s="142" t="e">
        <s:f>$I$8*AA36*AB36/SUMPRODUCT($AB$25:$AB$55,$AA$25:$AA$55)</s:f>
        <s:v>#DIV/0!</s:v>
      </s:c>
      <s:c r="V36" s="143" t="e">
        <s:f>$I$9*AA36*AB36/SUMPRODUCT($AB$25:$AB$55,$AA$25:$AA$55)</s:f>
        <s:v>#DIV/0!</s:v>
      </s:c>
      <s:c r="W36" s="143" t="e">
        <s:f>IF($I$12="","",V36/$I$12)</s:f>
        <s:v>#DIV/0!</s:v>
      </s:c>
      <s:c r="X36" s="142" t="str">
        <s:f>IF(AB36&lt;&gt;"",IF(D36&lt;&gt;"",D36,($I$8-SUM($X$25:X35))*AA36*AB36/SUMPRODUCT($AB36:$AB$55,$AA36:$AA$55)),"")</s:f>
        <s:v/>
      </s:c>
      <s:c r="Y36" s="143" t="str">
        <s:f>IF(AB36&lt;&gt;"",IF(E36&lt;&gt;"",E36,($I$9-SUM($Y$25:Y35))*AA36*AB36/SUMPRODUCT($AB36:$AB$55,$AA36:$AA$55)),"")</s:f>
        <s:v/>
      </s:c>
      <s:c r="Z36" s="143" t="str">
        <s:f>IF(AB36&lt;&gt;"",IF($I$12&lt;&gt;"",IF(G36&lt;&gt;"",G36,($I$9/$I$12-SUM($Z$25:Z35))*AA36*AB36/SUMPRODUCT($AB36:$AB$55,$AA36:$AA$55)),""),"")</s:f>
        <s:v/>
      </s:c>
      <s:c r="AA36" s="154"/>
      <s:c r="AB36" s="154"/>
      <s:c r="AC36" s="145"/>
      <s:c r="AD36" s="145"/>
      <s:c r="AE36" s="160"/>
      <s:c r="AF36" s="2"/>
      <s:c r="AG36" s="2"/>
      <s:c r="AH36" s="2"/>
      <s:c r="AI36" s="2"/>
      <s:c r="AJ36" s="2"/>
      <s:c r="AK36" s="2"/>
      <s:c r="AL36" s="2"/>
    </s:row>
    <s:row r="37">
      <s:c r="A37" s="340"/>
      <s:c r="B37" s="134"/>
      <s:c r="C37" s="175"/>
      <s:c r="D37" s="138"/>
      <s:c r="E37" s="174"/>
      <s:c r="F37" s="137"/>
      <s:c r="G37" s="174"/>
      <s:c r="H37" s="137"/>
      <s:c r="I37" s="174"/>
      <s:c r="J37" s="138" t="str">
        <s:f>IF(AND(G37&lt;&gt;"",G37&lt;&gt;0),E37/G37,"")</s:f>
        <s:v/>
      </s:c>
      <s:c r="K37" s="174"/>
      <s:c r="L37" s="355"/>
      <s:c r="M37" s="355"/>
      <s:c r="N37" s="355"/>
      <s:c r="O37" s="355"/>
      <s:c r="P37" s="355"/>
      <s:c r="Q37" s="174"/>
      <s:c r="R37" s="137"/>
      <s:c r="S37" s="438" t="str">
        <s:f>IF(AND(I37&lt;&gt;"",I37&lt;&gt;0),G37/I37,"")</s:f>
        <s:v/>
      </s:c>
      <s:c r="T37" s="348" t="e">
        <s:f>D37/U37</s:f>
        <s:v>#DIV/0!</s:v>
      </s:c>
      <s:c r="U37" s="142" t="e">
        <s:f>$I$8*AA37*AB37/SUMPRODUCT($AB$25:$AB$55,$AA$25:$AA$55)</s:f>
        <s:v>#DIV/0!</s:v>
      </s:c>
      <s:c r="V37" s="349" t="e">
        <s:f>$I$9*AA37*AB37/SUMPRODUCT($AB$25:$AB$55,$AA$25:$AA$55)</s:f>
        <s:v>#DIV/0!</s:v>
      </s:c>
      <s:c r="W37" s="143" t="e">
        <s:f>IF($I$12="","",V37/$I$12)</s:f>
        <s:v>#DIV/0!</s:v>
      </s:c>
      <s:c r="X37" s="351" t="str">
        <s:f>IF(AB37&lt;&gt;"",IF(D37&lt;&gt;"",D37,($I$8-SUM($X$25:X36))*AA37*AB37/SUMPRODUCT($AB37:$AB$55,$AA37:$AA$55)),"")</s:f>
        <s:v/>
      </s:c>
      <s:c r="Y37" s="143" t="str">
        <s:f>IF(AB37&lt;&gt;"",IF(E37&lt;&gt;"",E37,($I$9-SUM($Y$25:Y36))*AA37*AB37/SUMPRODUCT($AB37:$AB$55,$AA37:$AA$55)),"")</s:f>
        <s:v/>
      </s:c>
      <s:c r="Z37" s="349" t="str">
        <s:f>IF(AB37&lt;&gt;"",IF($I$12&lt;&gt;"",IF(G37&lt;&gt;"",G37,($I$9/$I$12-SUM($Z$25:Z36))*AA37*AB37/SUMPRODUCT($AB37:$AB$55,$AA37:$AA$55)),""),"")</s:f>
        <s:v/>
      </s:c>
      <s:c r="AA37" s="154"/>
      <s:c r="AB37" s="154"/>
      <s:c r="AC37" s="145"/>
      <s:c r="AD37" s="145"/>
      <s:c r="AE37" s="160"/>
      <s:c r="AF37" s="2"/>
      <s:c r="AG37" s="2"/>
      <s:c r="AH37" s="2"/>
      <s:c r="AI37" s="2"/>
      <s:c r="AJ37" s="2"/>
      <s:c r="AK37" s="2"/>
      <s:c r="AL37" s="2"/>
    </s:row>
    <s:row r="38">
      <s:c r="A38" s="450"/>
      <s:c r="B38" s="134"/>
      <s:c r="C38" s="175"/>
      <s:c r="D38" s="357"/>
      <s:c r="E38" s="358"/>
      <s:c r="F38" s="137"/>
      <s:c r="G38" s="358"/>
      <s:c r="H38" s="137"/>
      <s:c r="I38" s="358"/>
      <s:c r="J38" s="138" t="str">
        <s:f>IF(AND(G38&lt;&gt;"",G38&lt;&gt;0),E38/G38,"")</s:f>
        <s:v/>
      </s:c>
      <s:c r="K38" s="432"/>
      <s:c r="L38" s="355"/>
      <s:c r="M38" s="355"/>
      <s:c r="N38" s="355"/>
      <s:c r="O38" s="355"/>
      <s:c r="P38" s="355"/>
      <s:c r="Q38" s="139"/>
      <s:c r="R38" s="137"/>
      <s:c r="S38" s="438" t="str">
        <s:f>IF(AND(I38&lt;&gt;"",I38&lt;&gt;0),G38/I38,"")</s:f>
        <s:v/>
      </s:c>
      <s:c r="T38" s="384" t="e">
        <s:f>D38/U38</s:f>
        <s:v>#DIV/0!</s:v>
      </s:c>
      <s:c r="U38" s="142" t="e">
        <s:f>$I$8*AA38*AB38/SUMPRODUCT($AB$25:$AB$46,$AA$25:$AA$46)</s:f>
        <s:v>#DIV/0!</s:v>
      </s:c>
      <s:c r="V38" s="143" t="e">
        <s:f>$I$9*AA38*AB38/SUMPRODUCT($AB$25:$AB$46,$AA$25:$AA$46)</s:f>
        <s:v>#DIV/0!</s:v>
      </s:c>
      <s:c r="W38" s="143" t="e">
        <s:f>IF($I$12="","",V38/$I$12)</s:f>
        <s:v>#DIV/0!</s:v>
      </s:c>
      <s:c r="X38" s="142" t="str">
        <s:f>IF(AB38&lt;&gt;"",IF(D38&lt;&gt;"",D38,($I$8-SUM($X$25:X37))*AA38*AB38/SUMPRODUCT($AB38:$AB$55,$AA38:$AA$55)),"")</s:f>
        <s:v/>
      </s:c>
      <s:c r="Y38" s="143" t="str">
        <s:f>IF(AB38&lt;&gt;"",IF(E38&lt;&gt;"",E38,($I$9-SUM($Y$25:Y37))*AA38*AB38/SUMPRODUCT($AB38:$AB$55,$AA38:$AA$55)),"")</s:f>
        <s:v/>
      </s:c>
      <s:c r="Z38" s="143" t="str">
        <s:f>IF(AB38&lt;&gt;"",IF($I$12&lt;&gt;"",IF(G38&lt;&gt;"",G38,($I$9/$I$12-SUM($Z$25:Z37))*AA38*AB38/SUMPRODUCT($AB38:$AB$55,$AA38:$AA$55)),""),"")</s:f>
        <s:v/>
      </s:c>
      <s:c r="AA38" s="154"/>
      <s:c r="AB38" s="154"/>
      <s:c r="AC38" s="353"/>
      <s:c r="AD38" s="353"/>
    </s:row>
    <s:row r="39">
      <s:c r="B39" s="134"/>
      <s:c r="C39" s="175"/>
      <s:c r="D39" s="357"/>
      <s:c r="E39" s="358"/>
      <s:c r="F39" s="137"/>
      <s:c r="G39" s="358"/>
      <s:c r="H39" s="137"/>
      <s:c r="I39" s="358"/>
      <s:c r="J39" s="138" t="str">
        <s:f>IF(AND(G39&lt;&gt;"",G39&lt;&gt;0),E39/G39,"")</s:f>
        <s:v/>
      </s:c>
      <s:c r="K39" s="137"/>
      <s:c r="L39" s="148"/>
      <s:c r="M39" s="148"/>
      <s:c r="N39" s="354"/>
      <s:c r="O39" s="355"/>
      <s:c r="P39" s="355"/>
      <s:c r="Q39" s="139"/>
      <s:c r="R39" s="137"/>
      <s:c r="S39" s="438" t="str">
        <s:f>IF(AND(I39&lt;&gt;"",I39&lt;&gt;0),G39/I39,"")</s:f>
        <s:v/>
      </s:c>
      <s:c r="T39" s="384" t="e">
        <s:f>D39/U39</s:f>
        <s:v>#DIV/0!</s:v>
      </s:c>
      <s:c r="U39" s="142" t="e">
        <s:f>$I$8*AA39*AB39/SUMPRODUCT($AB$25:$AB$46,$AA$25:$AA$46)</s:f>
        <s:v>#DIV/0!</s:v>
      </s:c>
      <s:c r="V39" s="143" t="e">
        <s:f>$I$9*AA39*AB39/SUMPRODUCT($AB$25:$AB$46,$AA$25:$AA$46)</s:f>
        <s:v>#DIV/0!</s:v>
      </s:c>
      <s:c r="W39" s="143" t="e">
        <s:f>IF($I$12="","",V39/$I$12)</s:f>
        <s:v>#DIV/0!</s:v>
      </s:c>
      <s:c r="X39" s="142" t="str">
        <s:f>IF(AB39&lt;&gt;"",IF(D39&lt;&gt;"",D39,($I$8-SUM($X$25:X38))*AA39*AB39/SUMPRODUCT($AB39:$AB$47,$AA39:$AA$47)),"")</s:f>
        <s:v/>
      </s:c>
      <s:c r="Y39" s="143" t="str">
        <s:f>IF(AB39&lt;&gt;"",IF(E39&lt;&gt;"",E39,($I$9-SUM($Y$25:Y38))*AA39*AB39/SUMPRODUCT($AB39:$AB$55,$AA39:$AA$55)),"")</s:f>
        <s:v/>
      </s:c>
      <s:c r="Z39" s="143" t="str">
        <s:f>IF(AB39&lt;&gt;"",IF($I$12&lt;&gt;"",IF(G39&lt;&gt;"",G39,($I$9/$I$12-SUM($Z$25:Z38))*AA39*AB39/SUMPRODUCT($AB39:$AB$55,$AA39:$AA$55)),""),"")</s:f>
        <s:v/>
      </s:c>
      <s:c r="AA39" s="154"/>
      <s:c r="AB39" s="154"/>
      <s:c r="AC39" s="353"/>
      <s:c r="AD39" s="353"/>
      <s:c r="AE39" s="356"/>
    </s:row>
    <s:row r="40">
      <s:c r="B40" s="134"/>
      <s:c r="C40" s="175"/>
      <s:c r="D40" s="357"/>
      <s:c r="E40" s="358"/>
      <s:c r="F40" s="137"/>
      <s:c r="G40" s="358"/>
      <s:c r="H40" s="137"/>
      <s:c r="I40" s="358"/>
      <s:c r="J40" s="138" t="str">
        <s:f>IF(AND(G40&lt;&gt;"",G40&lt;&gt;0),E40/G40,"")</s:f>
        <s:v/>
      </s:c>
      <s:c r="K40" s="137"/>
      <s:c r="L40" s="137"/>
      <s:c r="M40" s="137"/>
      <s:c r="N40" s="432"/>
      <s:c r="O40" s="355"/>
      <s:c r="P40" s="355"/>
      <s:c r="Q40" s="139"/>
      <s:c r="R40" s="137"/>
      <s:c r="S40" s="438" t="str">
        <s:f>IF(AND(I40&lt;&gt;"",I40&lt;&gt;0),G40/I40,"")</s:f>
        <s:v/>
      </s:c>
      <s:c r="T40" s="384" t="e">
        <s:f>D40/U40</s:f>
        <s:v>#DIV/0!</s:v>
      </s:c>
      <s:c r="U40" s="142" t="e">
        <s:f>$I$8*AA40*AB40/SUMPRODUCT($AB$25:$AB$46,$AA$25:$AA$46)</s:f>
        <s:v>#DIV/0!</s:v>
      </s:c>
      <s:c r="V40" s="143" t="e">
        <s:f>$I$9*AA40*AB40/SUMPRODUCT($AB$25:$AB$46,$AA$25:$AA$46)</s:f>
        <s:v>#DIV/0!</s:v>
      </s:c>
      <s:c r="W40" s="143" t="e">
        <s:f>IF($I$12="","",V40/$I$12)</s:f>
        <s:v>#DIV/0!</s:v>
      </s:c>
      <s:c r="X40" s="142" t="str">
        <s:f>IF(AB40&lt;&gt;"",IF(D40&lt;&gt;"",D40,($I$8-SUM($X$25:X39))*AA40*AB40/SUMPRODUCT($AB40:$AB$46,$AA40:$AA$46)),"")</s:f>
        <s:v/>
      </s:c>
      <s:c r="Y40" s="143" t="str">
        <s:f>IF(AB40&lt;&gt;"",IF(E40&lt;&gt;"",E40,($I$9-SUM($Y$25:Y39))*AA40*AB40/SUMPRODUCT($AB40:$AB$46,$AA40:$AA$46)),"")</s:f>
        <s:v/>
      </s:c>
      <s:c r="Z40" s="143" t="str">
        <s:f>IF(AB40&lt;&gt;"",IF($I$12&lt;&gt;"",IF(G40&lt;&gt;"",G40,($I$9/$I$12-SUM($Z$25:Z39))*AA40*AB40/SUMPRODUCT($AB40:$AB$55,$AA40:$AA$55)),""),"")</s:f>
        <s:v/>
      </s:c>
      <s:c r="AA40" s="154"/>
      <s:c r="AB40" s="154"/>
      <s:c r="AC40" s="353"/>
      <s:c r="AD40" s="353"/>
      <s:c r="AE40" s="356"/>
    </s:row>
    <s:row r="41">
      <s:c r="B41" s="451">
        <s:v>46079</s:v>
      </s:c>
      <s:c r="C41" s="135" t="s">
        <s:v>63</s:v>
      </s:c>
      <s:c r="D41" s="357">
        <s:v>7420</s:v>
      </s:c>
      <s:c r="E41" s="358">
        <s:v>1</s:v>
      </s:c>
      <s:c r="F41" s="137">
        <s:f>IF(AND(E41&lt;&gt;"",E41&lt;&gt;0),D41/E41,"")</s:f>
        <s:v>7420</s:v>
      </s:c>
      <s:c r="G41" s="358">
        <s:v>1</s:v>
      </s:c>
      <s:c r="H41" s="137">
        <s:f>IF(AND(G41&lt;&gt;"",G41&lt;&gt;0),D41/G41,"")</s:f>
        <s:v>7420</s:v>
      </s:c>
      <s:c r="I41" s="358"/>
      <s:c r="J41" s="138">
        <s:f>IF(AND(G41&lt;&gt;"",G41&lt;&gt;0),E41/G41,"")</s:f>
        <s:v>1</s:v>
      </s:c>
      <s:c r="K41" s="137"/>
      <s:c r="L41" s="137"/>
      <s:c r="M41" s="137"/>
      <s:c r="N41" s="432"/>
      <s:c r="O41" s="355"/>
      <s:c r="P41" s="355"/>
      <s:c r="Q41" s="139"/>
      <s:c r="R41" s="137"/>
      <s:c r="S41" s="438" t="str">
        <s:f>IF(AND(I41&lt;&gt;"",I41&lt;&gt;0),G41/I41,"")</s:f>
        <s:v/>
      </s:c>
      <s:c r="T41" s="384" t="e">
        <s:f>D41/U41</s:f>
        <s:v>#DIV/0!</s:v>
      </s:c>
      <s:c r="U41" s="142" t="e">
        <s:f>$I$8*AA41*AB41/SUMPRODUCT($AB$25:$AB$46,$AA$25:$AA$46)</s:f>
        <s:v>#DIV/0!</s:v>
      </s:c>
      <s:c r="V41" s="143" t="e">
        <s:f>$I$9*AA41*AB41/SUMPRODUCT($AB$25:$AB$46,$AA$25:$AA$46)</s:f>
        <s:v>#DIV/0!</s:v>
      </s:c>
      <s:c r="W41" s="143" t="e">
        <s:f>IF($I$12="","",V41/$I$12)</s:f>
        <s:v>#DIV/0!</s:v>
      </s:c>
      <s:c r="X41" s="142" t="str">
        <s:f>IF(AB41&lt;&gt;"",IF(D41&lt;&gt;"",D41,($I$8-SUM($X$25:X40))*AA41*AB41/SUMPRODUCT($AB41:$AB$46,$AA41:$AA$46)),"")</s:f>
        <s:v/>
      </s:c>
      <s:c r="Y41" s="143" t="str">
        <s:f>IF(AB41&lt;&gt;"",IF(E41&lt;&gt;"",E41,($I$9-SUM($Y$25:Y40))*AA41*AB41/SUMPRODUCT($AB41:$AB$46,$AA41:$AA$46)),"")</s:f>
        <s:v/>
      </s:c>
      <s:c r="Z41" s="143" t="str">
        <s:f>IF(AB41&lt;&gt;"",IF($I$12&lt;&gt;"",IF(G41&lt;&gt;"",G41,($I$9/$I$12-SUM($Z$25:Z40))*AA41*AB41/SUMPRODUCT($AB41:$AB$55,$AA41:$AA$55)),""),"")</s:f>
        <s:v/>
      </s:c>
      <s:c r="AA41" s="385"/>
      <s:c r="AB41" s="385"/>
      <s:c r="AC41" s="353"/>
      <s:c r="AD41" s="353"/>
      <s:c r="AE41" s="356"/>
    </s:row>
    <s:row r="42">
      <s:c r="B42" s="134"/>
      <s:c r="C42" s="135"/>
      <s:c r="D42" s="357"/>
      <s:c r="E42" s="358"/>
      <s:c r="F42" s="137" t="str">
        <s:f>IF(AND(E42&lt;&gt;"",E42&lt;&gt;0),D42/E42,"")</s:f>
        <s:v/>
      </s:c>
      <s:c r="G42" s="358"/>
      <s:c r="H42" s="137" t="str">
        <s:f>IF(AND(G42&lt;&gt;"",G42&lt;&gt;0),D42/G42,"")</s:f>
        <s:v/>
      </s:c>
      <s:c r="I42" s="358"/>
      <s:c r="J42" s="138" t="str">
        <s:f>IF(AND(G42&lt;&gt;"",G42&lt;&gt;0),E42/G42,"")</s:f>
        <s:v/>
      </s:c>
      <s:c r="K42" s="137"/>
      <s:c r="L42" s="137"/>
      <s:c r="M42" s="137"/>
      <s:c r="N42" s="432"/>
      <s:c r="O42" s="355"/>
      <s:c r="P42" s="355"/>
      <s:c r="Q42" s="139"/>
      <s:c r="R42" s="137"/>
      <s:c r="S42" s="438" t="str">
        <s:f>IF(AND(I42&lt;&gt;"",I42&lt;&gt;0),G42/I42,"")</s:f>
        <s:v/>
      </s:c>
      <s:c r="T42" s="384" t="e">
        <s:f>D42/U42</s:f>
        <s:v>#DIV/0!</s:v>
      </s:c>
      <s:c r="U42" s="142" t="e">
        <s:f>$I$8*AA42*AB42/SUMPRODUCT($AB$25:$AB$46,$AA$25:$AA$46)</s:f>
        <s:v>#DIV/0!</s:v>
      </s:c>
      <s:c r="V42" s="143" t="e">
        <s:f>$I$9*AA42*AB42/SUMPRODUCT($AB$25:$AB$46,$AA$25:$AA$46)</s:f>
        <s:v>#DIV/0!</s:v>
      </s:c>
      <s:c r="W42" s="143" t="e">
        <s:f>IF($I$12="","",V42/$I$12)</s:f>
        <s:v>#DIV/0!</s:v>
      </s:c>
      <s:c r="X42" s="142" t="str">
        <s:f>IF(AB42&lt;&gt;"",IF(D42&lt;&gt;"",D42,($I$8-SUM($X$25:X41))*AA42*AB42/SUMPRODUCT($AB42:$AB$46,$AA42:$AA$46)),"")</s:f>
        <s:v/>
      </s:c>
      <s:c r="Y42" s="143" t="str">
        <s:f>IF(AB42&lt;&gt;"",IF(E42&lt;&gt;"",E42,($I$9-SUM($Y$25:Y41))*AA42*AB42/SUMPRODUCT($AB42:$AB$46,$AA42:$AA$46)),"")</s:f>
        <s:v/>
      </s:c>
      <s:c r="Z42" s="143" t="str">
        <s:f>IF(AB42&lt;&gt;"",IF($I$12&lt;&gt;"",IF(G42&lt;&gt;"",G42,($I$9/$I$12-SUM($Z$25:Z41))*AA42*AB42/SUMPRODUCT($AB42:$AB$46,$AA42:$AA$46)),""),"")</s:f>
        <s:v/>
      </s:c>
      <s:c r="AA42" s="385"/>
      <s:c r="AB42" s="385"/>
      <s:c r="AC42" s="353"/>
      <s:c r="AD42" s="353"/>
      <s:c r="AE42" s="356"/>
    </s:row>
    <s:row r="43">
      <s:c r="B43" s="134"/>
      <s:c r="C43" s="135"/>
      <s:c r="D43" s="357"/>
      <s:c r="E43" s="358"/>
      <s:c r="F43" s="137" t="str">
        <s:f>IF(AND(E43&lt;&gt;"",E43&lt;&gt;0),D43/E43,"")</s:f>
        <s:v/>
      </s:c>
      <s:c r="G43" s="358"/>
      <s:c r="H43" s="137" t="str">
        <s:f>IF(AND(G43&lt;&gt;"",G43&lt;&gt;0),D43/G43,"")</s:f>
        <s:v/>
      </s:c>
      <s:c r="I43" s="358"/>
      <s:c r="J43" s="138" t="str">
        <s:f>IF(AND(G43&lt;&gt;"",G43&lt;&gt;0),E43/G43,"")</s:f>
        <s:v/>
      </s:c>
      <s:c r="K43" s="137"/>
      <s:c r="L43" s="137"/>
      <s:c r="M43" s="137"/>
      <s:c r="N43" s="137"/>
      <s:c r="O43" s="354"/>
      <s:c r="P43" s="445"/>
      <s:c r="Q43" s="139"/>
      <s:c r="R43" s="137"/>
      <s:c r="S43" s="438" t="str">
        <s:f>IF(AND(I43&lt;&gt;"",I43&lt;&gt;0),G43/I43,"")</s:f>
        <s:v/>
      </s:c>
      <s:c r="T43" s="384" t="e">
        <s:f>D43/U43</s:f>
        <s:v>#DIV/0!</s:v>
      </s:c>
      <s:c r="U43" s="142" t="e">
        <s:f>$I$8*AA43*AB43/SUMPRODUCT($AB$25:$AB$46,$AA$25:$AA$46)</s:f>
        <s:v>#DIV/0!</s:v>
      </s:c>
      <s:c r="V43" s="143" t="e">
        <s:f>$I$9*AA43*AB43/SUMPRODUCT($AB$25:$AB$46,$AA$25:$AA$46)</s:f>
        <s:v>#DIV/0!</s:v>
      </s:c>
      <s:c r="W43" s="143" t="e">
        <s:f>IF($I$12="","",V43/$I$12)</s:f>
        <s:v>#DIV/0!</s:v>
      </s:c>
      <s:c r="X43" s="142" t="str">
        <s:f>IF(AB43&lt;&gt;"",IF(D43&lt;&gt;"",D43,($I$8-SUM($X$25:X42))*AA43*AB43/SUMPRODUCT($AB43:$AB$46,$AA43:$AA$46)),"")</s:f>
        <s:v/>
      </s:c>
      <s:c r="Y43" s="143" t="str">
        <s:f>IF(AB43&lt;&gt;"",IF(E43&lt;&gt;"",E43,($I$9-SUM($Y$25:Y42))*AA43*AB43/SUMPRODUCT($AB43:$AB$46,$AA43:$AA$46)),"")</s:f>
        <s:v/>
      </s:c>
      <s:c r="Z43" s="143" t="str">
        <s:f>IF(AB43&lt;&gt;"",IF($I$12&lt;&gt;"",IF(G43&lt;&gt;"",G43,($I$9/$I$12-SUM($Z$25:Z42))*AA43*AB43/SUMPRODUCT($AB43:$AB$46,$AA43:$AA$46)),""),"")</s:f>
        <s:v/>
      </s:c>
      <s:c r="AA43" s="385"/>
      <s:c r="AB43" s="385"/>
      <s:c r="AC43" s="353"/>
      <s:c r="AD43" s="353"/>
      <s:c r="AE43" s="356"/>
    </s:row>
    <s:row r="44">
      <s:c r="B44" s="134"/>
      <s:c r="C44" s="135"/>
      <s:c r="D44" s="357"/>
      <s:c r="E44" s="358"/>
      <s:c r="F44" s="137" t="str">
        <s:f>IF(AND(E44&lt;&gt;"",E44&lt;&gt;0),D44/E44,"")</s:f>
        <s:v/>
      </s:c>
      <s:c r="G44" s="358"/>
      <s:c r="H44" s="137" t="str">
        <s:f>IF(AND(G44&lt;&gt;"",G44&lt;&gt;0),D44/G44,"")</s:f>
        <s:v/>
      </s:c>
      <s:c r="I44" s="358"/>
      <s:c r="J44" s="138" t="str">
        <s:f>IF(AND(G44&lt;&gt;"",G44&lt;&gt;0),E44/G44,"")</s:f>
        <s:v/>
      </s:c>
      <s:c r="K44" s="137"/>
      <s:c r="L44" s="137"/>
      <s:c r="M44" s="137"/>
      <s:c r="N44" s="137"/>
      <s:c r="O44" s="137"/>
      <s:c r="P44" s="148"/>
      <s:c r="Q44" s="137"/>
      <s:c r="R44" s="137"/>
      <s:c r="S44" s="438" t="str">
        <s:f>IF(AND(I44&lt;&gt;"",I44&lt;&gt;0),G44/I44,"")</s:f>
        <s:v/>
      </s:c>
      <s:c r="T44" s="384" t="e">
        <s:f>D44/U44</s:f>
        <s:v>#DIV/0!</s:v>
      </s:c>
      <s:c r="U44" s="142" t="e">
        <s:f>$I$8*AA44*AB44/SUMPRODUCT($AB$25:$AB$46,$AA$25:$AA$46)</s:f>
        <s:v>#DIV/0!</s:v>
      </s:c>
      <s:c r="V44" s="143" t="e">
        <s:f>$I$9*AA44*AB44/SUMPRODUCT($AB$25:$AB$46,$AA$25:$AA$46)</s:f>
        <s:v>#DIV/0!</s:v>
      </s:c>
      <s:c r="W44" s="143" t="e">
        <s:f>IF($I$12="","",V44/$I$12)</s:f>
        <s:v>#DIV/0!</s:v>
      </s:c>
      <s:c r="X44" s="142" t="str">
        <s:f>IF(AB44&lt;&gt;"",IF(D44&lt;&gt;"",D44,($I$8-SUM($X$25:X43))*AA44*AB44/SUMPRODUCT($AB44:$AB$46,$AA44:$AA$46)),"")</s:f>
        <s:v/>
      </s:c>
      <s:c r="Y44" s="143" t="str">
        <s:f>IF(AB44&lt;&gt;"",IF(E44&lt;&gt;"",E44,($I$9-SUM($Y$25:Y43))*AA44*AB44/SUMPRODUCT($AB44:$AB$46,$AA44:$AA$46)),"")</s:f>
        <s:v/>
      </s:c>
      <s:c r="Z44" s="143" t="str">
        <s:f>IF(AB44&lt;&gt;"",IF($I$12&lt;&gt;"",IF(G44&lt;&gt;"",G44,($I$9/$I$12-SUM($Z$25:Z43))*AA44*AB44/SUMPRODUCT($AB44:$AB$46,$AA44:$AA$46)),""),"")</s:f>
        <s:v/>
      </s:c>
      <s:c r="AA44" s="385"/>
      <s:c r="AB44" s="385"/>
      <s:c r="AC44" s="353"/>
      <s:c r="AD44" s="353"/>
      <s:c r="AE44" s="356"/>
    </s:row>
    <s:row r="45">
      <s:c r="B45" s="134"/>
      <s:c r="C45" s="181"/>
      <s:c r="D45" s="357"/>
      <s:c r="E45" s="358"/>
      <s:c r="F45" s="137" t="str">
        <s:f>IF(AND(E45&lt;&gt;"",E45&lt;&gt;0),D45/E45,"")</s:f>
        <s:v/>
      </s:c>
      <s:c r="G45" s="358"/>
      <s:c r="H45" s="137" t="str">
        <s:f>IF(AND(G45&lt;&gt;"",G45&lt;&gt;0),D45/G45,"")</s:f>
        <s:v/>
      </s:c>
      <s:c r="I45" s="358"/>
      <s:c r="J45" s="138" t="str">
        <s:f>IF(AND(G45&lt;&gt;"",G45&lt;&gt;0),E45/G45,"")</s:f>
        <s:v/>
      </s:c>
      <s:c r="K45" s="137"/>
      <s:c r="L45" s="137"/>
      <s:c r="M45" s="137"/>
      <s:c r="N45" s="137"/>
      <s:c r="O45" s="137"/>
      <s:c r="P45" s="137"/>
      <s:c r="Q45" s="137"/>
      <s:c r="R45" s="137"/>
      <s:c r="S45" s="438" t="str">
        <s:f>IF(AND(I45&lt;&gt;"",I45&lt;&gt;0),G45/I45,"")</s:f>
        <s:v/>
      </s:c>
      <s:c r="T45" s="384" t="e">
        <s:f>D45/U45</s:f>
        <s:v>#DIV/0!</s:v>
      </s:c>
      <s:c r="U45" s="142" t="e">
        <s:f>$I$8*AA45*AB45/SUMPRODUCT($AB$25:$AB$46,$AA$25:$AA$46)</s:f>
        <s:v>#DIV/0!</s:v>
      </s:c>
      <s:c r="V45" s="143" t="e">
        <s:f>$I$9*AA45*AB45/SUMPRODUCT($AB$25:$AB$46,$AA$25:$AA$46)</s:f>
        <s:v>#DIV/0!</s:v>
      </s:c>
      <s:c r="W45" s="143" t="e">
        <s:f>IF($I$12="","",V45/$I$12)</s:f>
        <s:v>#DIV/0!</s:v>
      </s:c>
      <s:c r="X45" s="142" t="str">
        <s:f>IF(AB45&lt;&gt;"",IF(D45&lt;&gt;"",D45,($I$8-SUM($X$25:X44))*AA45*AB45/SUMPRODUCT($AB45:$AB$46,$AA45:$AA$46)),"")</s:f>
        <s:v/>
      </s:c>
      <s:c r="Y45" s="143" t="str">
        <s:f>IF(AB45&lt;&gt;"",IF(E45&lt;&gt;"",E45,($I$9-SUM($Y$25:Y44))*AA45*AB45/SUMPRODUCT($AB45:$AB$46,$AA45:$AA$46)),"")</s:f>
        <s:v/>
      </s:c>
      <s:c r="Z45" s="143" t="str">
        <s:f>IF(AB45&lt;&gt;"",IF($I$12&lt;&gt;"",IF(G45&lt;&gt;"",G45,($I$9/$I$12-SUM($Z$25:Z44))*AA45*AB45/SUMPRODUCT($AB45:$AB$46,$AA45:$AA$46)),""),"")</s:f>
        <s:v/>
      </s:c>
      <s:c r="AA45" s="385"/>
      <s:c r="AB45" s="385"/>
      <s:c r="AC45" s="353"/>
      <s:c r="AD45" s="353"/>
      <s:c r="AE45" s="356"/>
    </s:row>
    <s:row r="46">
      <s:c r="B46" s="134"/>
      <s:c r="C46" s="135"/>
      <s:c r="D46" s="342"/>
      <s:c r="E46" s="148"/>
      <s:c r="F46" s="174"/>
      <s:c r="G46" s="148"/>
      <s:c r="H46" s="174"/>
      <s:c r="I46" s="148"/>
      <s:c r="J46" s="138" t="str">
        <s:f>IF(AND(G46&lt;&gt;"",G46&lt;&gt;0),E46/G46,"")</s:f>
        <s:v/>
      </s:c>
      <s:c r="K46" s="137"/>
      <s:c r="L46" s="137"/>
      <s:c r="M46" s="137"/>
      <s:c r="N46" s="137"/>
      <s:c r="O46" s="137"/>
      <s:c r="P46" s="137"/>
      <s:c r="Q46" s="137"/>
      <s:c r="R46" s="137"/>
      <s:c r="S46" s="438" t="str">
        <s:f>IF(AND(I46&lt;&gt;"",I46&lt;&gt;0),G46/I46,"")</s:f>
        <s:v/>
      </s:c>
      <s:c r="T46" s="384" t="e">
        <s:f>D46/U46</s:f>
        <s:v>#DIV/0!</s:v>
      </s:c>
      <s:c r="U46" s="142" t="e">
        <s:f>$I$8*AA46*AB46/SUMPRODUCT($AB$25:$AB$46,$AA$25:$AA$46)</s:f>
        <s:v>#DIV/0!</s:v>
      </s:c>
      <s:c r="V46" s="143" t="e">
        <s:f>$I$9*AA46*AB46/SUMPRODUCT($AB$25:$AB$46,$AA$25:$AA$46)</s:f>
        <s:v>#DIV/0!</s:v>
      </s:c>
      <s:c r="W46" s="143" t="e">
        <s:f>IF($I$12="","",V46/$I$12)</s:f>
        <s:v>#DIV/0!</s:v>
      </s:c>
      <s:c r="X46" s="142" t="str">
        <s:f>IF(AB46&lt;&gt;"",IF(D46&lt;&gt;"",D46,($I$8-SUM($X$25:X45))*AA46*AB46/SUMPRODUCT($AB46:$AB$46,$AA46:$AA$46)),"")</s:f>
        <s:v/>
      </s:c>
      <s:c r="Y46" s="143" t="str">
        <s:f>IF(AB46&lt;&gt;"",IF(E46&lt;&gt;"",E46,($I$9-SUM($Y$25:Y39))*AA46*AB46/SUMPRODUCT($AB46:$AB$46,$AA46:$AA$46)),"")</s:f>
        <s:v/>
      </s:c>
      <s:c r="Z46" s="143" t="str">
        <s:f>IF(AB46&lt;&gt;"",IF($I$12&lt;&gt;"",IF(G46&lt;&gt;"",G46,($I$9/$I$12-SUM($Z$25:Z39))*AA46*AB46/SUMPRODUCT($AB46:$AB$46,$AA46:$AA$46)),""),"")</s:f>
        <s:v/>
      </s:c>
      <s:c r="AA46" s="385"/>
      <s:c r="AB46" s="385"/>
      <s:c r="AC46" s="353"/>
      <s:c r="AD46" s="360"/>
    </s:row>
    <s:row r="47">
      <s:c r="B47" s="134"/>
      <s:c r="C47" s="181"/>
      <s:c r="D47" s="342"/>
      <s:c r="E47" s="148"/>
      <s:c r="F47" s="137"/>
      <s:c r="G47" s="148"/>
      <s:c r="H47" s="137"/>
      <s:c r="I47" s="148"/>
      <s:c r="J47" s="138" t="str">
        <s:f>IF(AND(G47&lt;&gt;"",G47&lt;&gt;0),E47/G47,"")</s:f>
        <s:v/>
      </s:c>
      <s:c r="K47" s="137"/>
      <s:c r="L47" s="137"/>
      <s:c r="M47" s="137"/>
      <s:c r="N47" s="137"/>
      <s:c r="O47" s="137"/>
      <s:c r="P47" s="137"/>
      <s:c r="Q47" s="137"/>
      <s:c r="R47" s="137"/>
      <s:c r="S47" s="438" t="str">
        <s:f>IF(AND(I47&lt;&gt;"",I47&lt;&gt;0),G47/I47,"")</s:f>
        <s:v/>
      </s:c>
      <s:c r="T47" s="384" t="e">
        <s:f>D47/U47</s:f>
        <s:v>#DIV/0!</s:v>
      </s:c>
      <s:c r="U47" s="142" t="e">
        <s:f>$I$8*AA47*AB47/SUMPRODUCT($AB$25:$AB$46,$AA$25:$AA$46)</s:f>
        <s:v>#DIV/0!</s:v>
      </s:c>
      <s:c r="V47" s="143" t="e">
        <s:f>$I$9*AA47*AB47/SUMPRODUCT($AB$25:$AB$46,$AA$25:$AA$46)</s:f>
        <s:v>#DIV/0!</s:v>
      </s:c>
      <s:c r="W47" s="143" t="e">
        <s:f>IF($I$12="","",V47/$I$12)</s:f>
        <s:v>#DIV/0!</s:v>
      </s:c>
      <s:c r="X47" s="142" t="str">
        <s:f>IF(AB47&lt;&gt;"",IF(D47&lt;&gt;"",D47,($I$8-SUM($X$25:X46))*AA47*AB47/SUMPRODUCT($AB$47:$AB47,$AA$47:$AA47)),"")</s:f>
        <s:v/>
      </s:c>
      <s:c r="Y47" s="143" t="str">
        <s:f>IF(AB47&lt;&gt;"",IF(E47&lt;&gt;"",E47,($I$9-SUM(#REF!))*AA47*AB47/SUMPRODUCT($AB$47:$AB47,$AA$47:$AA47)),"")</s:f>
        <s:v/>
      </s:c>
      <s:c r="Z47" s="143" t="str">
        <s:f>IF(AB47&lt;&gt;"",IF($I$12&lt;&gt;"",IF(G47&lt;&gt;"",G47,($I$9/$I$12-SUM(#REF!))*AA47*AB47/SUMPRODUCT($AB$47:$AB47,$AA$47:$AA47)),""),"")</s:f>
        <s:v/>
      </s:c>
      <s:c r="AA47" s="385"/>
      <s:c r="AB47" s="385"/>
      <s:c r="AC47" s="353"/>
      <s:c r="AD47" s="353"/>
    </s:row>
    <s:row r="48">
      <s:c r="B48" s="387" t="s">
        <s:v>72</s:v>
      </s:c>
      <s:c r="C48" s="387"/>
      <s:c r="D48" s="363">
        <s:f>SUM(D25:D47)</s:f>
        <s:v>7420</s:v>
      </s:c>
      <s:c r="E48" s="363">
        <s:f>SUM(E25:E47)</s:f>
        <s:v>1</s:v>
      </s:c>
      <s:c r="F48" s="452">
        <s:f>IF(AND(E48&lt;&gt;"",E48&lt;&gt;0),D48/E48,"")</s:f>
        <s:v>7420</s:v>
      </s:c>
      <s:c r="G48" s="363">
        <s:f>SUM(G25:G47)</s:f>
        <s:v>1</s:v>
      </s:c>
      <s:c r="H48" s="452">
        <s:f>IF(AND(G48&lt;&gt;"",G48&lt;&gt;0),D48/G48,"")</s:f>
        <s:v>7420</s:v>
      </s:c>
      <s:c r="I48" s="363">
        <s:f>SUM(I25:I47)*0.8</s:f>
        <s:v>0</s:v>
      </s:c>
      <s:c r="J48" s="364">
        <s:f>IF(AND(G48&lt;&gt;"",G48&lt;&gt;0),E48/G48,"")</s:f>
        <s:v>1</s:v>
      </s:c>
      <s:c r="K48" s="363">
        <s:f>SUM(K25:K47)</s:f>
        <s:v>0</s:v>
      </s:c>
      <s:c r="L48" s="363">
        <s:f>SUM(L25:L47)</s:f>
        <s:v>0</s:v>
      </s:c>
      <s:c r="M48" s="363">
        <s:f>SUM(M25:M47)</s:f>
        <s:v>0</s:v>
      </s:c>
      <s:c r="N48" s="363">
        <s:f>SUM(N25:N47)</s:f>
        <s:v>0</s:v>
      </s:c>
      <s:c r="O48" s="363">
        <s:f>SUM(O25:O47)</s:f>
        <s:v>0</s:v>
      </s:c>
      <s:c r="P48" s="363">
        <s:f>SUM(P25:P47)</s:f>
        <s:v>0</s:v>
      </s:c>
      <s:c r="Q48" s="363">
        <s:f>SUM(Q25:Q47)</s:f>
        <s:v>0</s:v>
      </s:c>
      <s:c r="R48" s="363">
        <s:f>SUM(R25:R47)</s:f>
        <s:v>0</s:v>
      </s:c>
      <s:c r="S48" s="178" t="str">
        <s:f>IF(AND(I48&lt;&gt;"",I48&lt;&gt;0),G48/I48,"")</s:f>
        <s:v/>
      </s:c>
      <s:c r="T48" s="365" t="e">
        <s:f>D48/U48</s:f>
        <s:v>#DIV/0!</s:v>
      </s:c>
      <s:c r="U48" s="366" t="e">
        <s:f>SUM(U25:U47)</s:f>
        <s:v>#DIV/0!</s:v>
      </s:c>
      <s:c r="V48" s="366" t="e">
        <s:f>SUM(V25:V47)</s:f>
        <s:v>#DIV/0!</s:v>
      </s:c>
      <s:c r="W48" s="366" t="e">
        <s:f>SUM(W25:W47)</s:f>
        <s:v>#DIV/0!</s:v>
      </s:c>
      <s:c r="X48" s="366">
        <s:f>SUM(X25:X47)</s:f>
        <s:v>0</s:v>
      </s:c>
      <s:c r="Y48" s="366">
        <s:f>SUM(Y25:Y47)</s:f>
        <s:v>0</s:v>
      </s:c>
      <s:c r="Z48" s="366">
        <s:f>SUM(Z25:Z47)</s:f>
        <s:v>0</s:v>
      </s:c>
      <s:c r="AA48" s="367"/>
      <s:c r="AB48" s="367"/>
    </s:row>
    <s:row r="49">
      <s:c r="B49" s="181"/>
      <s:c r="C49" s="182"/>
      <s:c r="D49" s="183" t="e">
        <s:f>SUMIF(D25:D47,"",U25:U47)+D48</s:f>
        <s:v>#DIV/0!</s:v>
      </s:c>
      <s:c r="E49" s="184"/>
      <s:c r="F49" s="182"/>
      <s:c r="G49" s="182"/>
      <s:c r="H49" s="185"/>
      <s:c r="I49" s="186"/>
      <s:c r="J49" s="185"/>
      <s:c r="O49" s="187"/>
      <s:c r="P49" s="187"/>
      <s:c r="Q49" s="184"/>
      <s:c r="R49" s="184"/>
      <s:c r="S49" s="187"/>
      <s:c r="T49" s="187"/>
      <s:c r="U49" s="187"/>
      <s:c r="V49" s="188"/>
    </s:row>
    <s:row r="50">
      <s:c r="D50" s="190"/>
      <s:c r="R50" s="184"/>
    </s:row>
    <s:row r="52">
      <s:c r="D52" s="190"/>
    </s:row>
    <s:row r="53">
      <s:c r="D53" s="190"/>
    </s:row>
  </s:sheetData>
  <s:pageMargins left="0.7" right="0.7" top="0.75" bottom="0.75" header="0.3" footer="0.3"/>
</s:worksheet>
</file>

<file path=xl/worksheets/sheet9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900-000000000000}">
  <s:dimension ref="A1:AM54"/>
  <s:sheetViews>
    <s:sheetView tabSelected="0" topLeftCell="A4" workbookViewId="0"/>
  </s:sheetViews>
  <s:sheetFormatPr baseColWidth="10" defaultColWidth="10" defaultRowHeight="15"/>
  <s:sheetData>
    <s:row r="1" ht="36">
      <s:c r="B1" s="3">
        <s:f ca="1">TODAY()-1</s:f>
        <s:v>46171</s:v>
      </s:c>
      <s:c r="C1" s="3"/>
      <s:c r="D1" s="4"/>
      <s:c r="E1" s="4"/>
      <s:c r="F1" s="5"/>
      <s:c r="G1" s="5"/>
      <s:c r="H1" s="5"/>
      <s:c r="I1" s="5"/>
      <s:c r="J1" s="6"/>
      <s:c r="K1" s="6"/>
      <s:c r="L1" s="6"/>
      <s:c r="M1" s="6"/>
      <s:c r="N1" s="6"/>
      <s:c r="O1" s="6"/>
      <s:c r="P1" s="6"/>
      <s:c r="Q1" s="6"/>
      <s:c r="R1" s="6"/>
      <s:c r="S1" s="6"/>
      <s:c r="T1" s="6"/>
      <s:c r="U1" s="6"/>
      <s:c r="V1" s="6"/>
      <s:c r="W1" s="7"/>
      <s:c r="X1" s="7"/>
      <s:c r="Y1" s="7"/>
      <s:c r="Z1" s="7"/>
      <s:c r="AA1" s="5"/>
      <s:c r="AB1" s="5"/>
      <s:c r="AC1" s="5"/>
    </s:row>
    <s:row r="2" ht="36">
      <s:c r="B2" s="8" t="s">
        <s:v>89</s:v>
      </s:c>
      <s:c r="C2" s="8"/>
      <s:c r="D2" s="4"/>
      <s:c r="E2" s="4"/>
      <s:c r="F2" s="5"/>
      <s:c r="G2" s="5"/>
      <s:c r="H2" s="5"/>
      <s:c r="I2" s="5"/>
      <s:c r="J2" s="304" t="s">
        <s:v>1</s:v>
      </s:c>
      <s:c r="K2" s="304"/>
      <s:c r="L2" s="304"/>
      <s:c r="M2" s="304"/>
      <s:c r="N2" s="304"/>
      <s:c r="O2" s="9"/>
      <s:c r="P2" s="9"/>
      <s:c r="Q2" s="9"/>
      <s:c r="R2" s="9"/>
      <s:c r="S2" s="9"/>
      <s:c r="T2" s="9"/>
      <s:c r="U2" s="9"/>
      <s:c r="V2" s="9"/>
      <s:c r="W2" s="7"/>
      <s:c r="X2" s="7"/>
      <s:c r="Y2" s="7"/>
      <s:c r="Z2" s="7"/>
      <s:c r="AA2" s="5"/>
      <s:c r="AB2" s="5"/>
      <s:c r="AC2" s="5"/>
    </s:row>
    <s:row r="3" ht="36">
      <s:c r="B3" s="10" t="s">
        <s:v>2</s:v>
      </s:c>
      <s:c r="C3" s="4"/>
      <s:c r="D3" s="4"/>
      <s:c r="E3" s="4"/>
      <s:c r="F3" s="5"/>
      <s:c r="G3" s="5"/>
      <s:c r="H3" s="5"/>
      <s:c r="I3" s="5"/>
      <s:c r="J3" s="305" t="str">
        <s:f>График!B26</s:f>
        <s:v>Козлова Валерия</s:v>
      </s:c>
      <s:c r="K3" s="306"/>
      <s:c r="L3" s="306"/>
      <s:c r="M3" s="306"/>
      <s:c r="N3" s="307"/>
      <s:c r="O3" s="9"/>
      <s:c r="P3" s="9"/>
      <s:c r="Q3" s="9"/>
      <s:c r="R3" s="9"/>
      <s:c r="S3" s="9"/>
      <s:c r="T3" s="9"/>
      <s:c r="U3" s="6"/>
      <s:c r="V3" s="14"/>
      <s:c r="W3" s="7"/>
      <s:c r="X3" s="7"/>
      <s:c r="Y3" s="7"/>
      <s:c r="Z3" s="7"/>
      <s:c r="AA3" s="5"/>
      <s:c r="AB3" s="5"/>
      <s:c r="AC3" s="5"/>
    </s:row>
    <s:row r="4" ht="36">
      <s:c r="B4" s="4"/>
      <s:c r="C4" s="308">
        <s:f>I8-D49</s:f>
        <s:v>182641.9862068966</s:v>
      </s:c>
      <s:c r="D4" s="308"/>
      <s:c r="E4" s="309">
        <s:f>IF(I8&lt;&gt;0,C4/I8,0)</s:f>
        <s:v>0.73562318796136372</s:v>
      </s:c>
      <s:c r="F4" s="5"/>
      <s:c r="G4" s="5"/>
      <s:c r="H4" s="5"/>
      <s:c r="I4" s="5"/>
      <s:c r="J4" s="310"/>
      <s:c r="K4" s="311"/>
      <s:c r="L4" s="311"/>
      <s:c r="M4" s="311"/>
      <s:c r="N4" s="312"/>
      <s:c r="O4" s="9"/>
      <s:c r="P4" s="9"/>
      <s:c r="Q4" s="9"/>
      <s:c r="R4" s="9"/>
      <s:c r="S4" s="9"/>
      <s:c r="T4" s="9"/>
      <s:c r="U4" s="5"/>
      <s:c r="V4" s="5"/>
      <s:c r="W4" s="7"/>
      <s:c r="X4" s="7"/>
      <s:c r="Y4" s="7"/>
      <s:c r="Z4" s="7"/>
      <s:c r="AA4" s="5"/>
      <s:c r="AB4" s="5"/>
      <s:c r="AC4" s="5"/>
    </s:row>
    <s:row r="5">
      <s:c r="B5" s="5"/>
      <s:c r="C5" s="5"/>
      <s:c r="D5" s="5"/>
      <s:c r="E5" s="5"/>
      <s:c r="F5" s="5"/>
      <s:c r="G5" s="5"/>
      <s:c r="H5" s="5"/>
      <s:c r="I5" s="5"/>
      <s:c r="J5" s="22"/>
      <s:c r="K5" s="22"/>
      <s:c r="L5" s="22"/>
      <s:c r="M5" s="22"/>
      <s:c r="N5" s="22"/>
      <s:c r="O5" s="22"/>
      <s:c r="P5" s="22"/>
      <s:c r="Q5" s="22"/>
      <s:c r="R5" s="22"/>
      <s:c r="S5" s="22"/>
      <s:c r="T5" s="22"/>
      <s:c r="U5" s="5"/>
      <s:c r="V5" s="5"/>
      <s:c r="W5" s="5"/>
      <s:c r="X5" s="5"/>
      <s:c r="Y5" s="5"/>
      <s:c r="Z5" s="5"/>
      <s:c r="AA5" s="5"/>
      <s:c r="AB5" s="5"/>
      <s:c r="AC5" s="5"/>
    </s:row>
    <s:row r="6" ht="16">
      <s:c r="B6" s="23"/>
      <s:c r="C6" s="5"/>
      <s:c r="D6" s="5"/>
      <s:c r="E6" s="5"/>
      <s:c r="F6" s="25" t="s">
        <s:v>4</s:v>
      </s:c>
      <s:c r="G6" s="26"/>
      <s:c r="H6" s="26"/>
      <s:c r="I6" s="26"/>
      <s:c r="J6" s="26"/>
      <s:c r="K6" s="26"/>
      <s:c r="L6" s="26"/>
      <s:c r="M6" s="26"/>
      <s:c r="N6" s="26"/>
      <s:c r="O6" s="26"/>
      <s:c r="P6" s="26"/>
      <s:c r="Q6" s="27"/>
      <s:c r="R6" s="22"/>
      <s:c r="S6" s="22"/>
      <s:c r="T6" s="22"/>
      <s:c r="U6" s="5"/>
      <s:c r="V6" s="5"/>
      <s:c r="W6" s="5"/>
      <s:c r="X6" s="28"/>
      <s:c r="Y6" s="28"/>
      <s:c r="Z6" s="5"/>
      <s:c r="AA6" s="5"/>
      <s:c r="AB6" s="5"/>
      <s:c r="AC6" s="5"/>
    </s:row>
    <s:row r="7" ht="60">
      <s:c r="B7" s="23"/>
      <s:c r="C7" s="5"/>
      <s:c r="D7" s="5"/>
      <s:c r="E7" s="29"/>
      <s:c r="F7" s="313" t="s">
        <s:v>5</s:v>
      </s:c>
      <s:c r="G7" s="313"/>
      <s:c r="H7" s="313"/>
      <s:c r="I7" s="31" t="s">
        <s:v>6</s:v>
      </s:c>
      <s:c r="J7" s="32" t="s">
        <s:v>7</s:v>
      </s:c>
      <s:c r="K7" s="33" t="s">
        <s:v>8</s:v>
      </s:c>
      <s:c r="L7" s="34" t="s">
        <s:v>9</s:v>
      </s:c>
      <s:c r="M7" s="34" t="s">
        <s:v>10</s:v>
      </s:c>
      <s:c r="N7" s="35" t="s">
        <s:v>11</s:v>
      </s:c>
      <s:c r="O7" s="36" t="s">
        <s:v>12</s:v>
      </s:c>
      <s:c r="P7" s="37" t="s">
        <s:v>13</s:v>
      </s:c>
      <s:c r="Q7" s="38"/>
      <s:c r="R7" s="22"/>
      <s:c r="S7" s="22"/>
      <s:c r="T7" s="22"/>
      <s:c r="U7" s="5"/>
      <s:c r="V7" s="5"/>
      <s:c r="W7" s="5"/>
      <s:c r="X7" s="5"/>
      <s:c r="Y7" s="5"/>
      <s:c r="Z7" s="5"/>
    </s:row>
    <s:row r="8">
      <s:c r="B8" s="23"/>
      <s:c r="C8" s="5"/>
      <s:c r="D8" s="5"/>
      <s:c r="E8" s="5"/>
      <s:c r="F8" s="59" t="s">
        <s:v>14</s:v>
      </s:c>
      <s:c r="G8" s="59"/>
      <s:c r="H8" s="59"/>
      <s:c r="I8" s="314">
        <s:f>Центрум!I8/График!AJ29*График!AJ26</s:f>
        <s:v>248281.9862068966</s:v>
      </s:c>
      <s:c r="J8" s="41">
        <s:f>D49</s:f>
        <s:v>65640</s:v>
      </s:c>
      <s:c r="K8" s="315">
        <s:f>IF(AND(I8&lt;&gt;"",I8&lt;&gt;0,J8&lt;&gt;""),J8/I8,"")</s:f>
        <s:v>0.26437681203863633</s:v>
      </s:c>
      <s:c r="L8" s="43">
        <s:f>IF(SUMIF($D$25:$D$47,"&gt;=0",$V$25:$V$47)&lt;&gt;0,I8*D49/SUMIF($D$25:$D$47,"&gt;=0",$V$25:$V$47),0)</s:f>
        <s:v>76567.923584671866</s:v>
      </s:c>
      <s:c r="M8" s="316">
        <s:f>L8/I8</s:f>
        <s:v>0.3083909741275665</s:v>
      </s:c>
      <s:c r="N8" s="45">
        <s:f>IF(AND(J8&lt;&gt;0,J8&lt;&gt;"",I8&lt;&gt;0,I8&lt;&gt;""),L8-I8,"")</s:f>
        <s:v>-171714.06262222474</s:v>
      </s:c>
      <s:c r="O8" s="46"/>
      <s:c r="P8" s="47" t="str">
        <s:f>IF(AND(O8&lt;&gt;"",O8&lt;&gt;0,L8&lt;&gt;"",L8&lt;&gt;0),-O8+L8,"")</s:f>
        <s:v/>
      </s:c>
      <s:c r="Q8" s="48" t="str">
        <s:f>IF(AND(P8&lt;&gt;"",P8&lt;&gt;0,O8&lt;&gt;0,O8&lt;&gt;""),P8/O8,"")</s:f>
        <s:v/>
      </s:c>
      <s:c r="R8" s="22"/>
      <s:c r="S8" s="22"/>
      <s:c r="T8" s="22"/>
      <s:c r="U8" s="28"/>
      <s:c r="V8" s="5"/>
      <s:c r="W8" s="5"/>
      <s:c r="X8" s="5"/>
      <s:c r="Y8" s="5"/>
    </s:row>
    <s:row r="9">
      <s:c r="B9" s="23"/>
      <s:c r="C9" s="5"/>
      <s:c r="D9" s="5"/>
      <s:c r="E9" s="5"/>
      <s:c r="F9" s="49" t="s">
        <s:v>15</s:v>
      </s:c>
      <s:c r="G9" s="49"/>
      <s:c r="H9" s="49"/>
      <s:c r="I9" s="50">
        <s:f>I8/I11</s:f>
        <s:v>34.198620689655179</s:v>
      </s:c>
      <s:c r="J9" s="51">
        <s:f>E49</s:f>
        <s:v>8</s:v>
      </s:c>
      <s:c r="K9" s="317">
        <s:f>IF(AND(I9&lt;&gt;"",I9&lt;&gt;0,J9&lt;&gt;""),J9/I9,"")</s:f>
        <s:v>0.23392756312010965</s:v>
      </s:c>
      <s:c r="L9" s="79">
        <s:f>IF(SUMIF($E$25:$E$47,"&gt;=0",$W$25:$W$47)&lt;&gt;0,I9*E49/SUMIF($E$25:$E$47,"&gt;=0",$W$25:$W$47),0)</s:f>
        <s:v>9.3318614972177798</s:v>
      </s:c>
      <s:c r="M9" s="318">
        <s:f>IF(AND(I9&lt;&gt;"",I9&lt;&gt;0,L9&lt;&gt;"",L9&lt;&gt;0),L9/I9,"")</s:f>
        <s:v>0.27287245242731667</s:v>
      </s:c>
      <s:c r="N9" s="55">
        <s:f>IF(AND(J9&lt;&gt;0,J9&lt;&gt;"",I9&lt;&gt;0,I9&lt;&gt;""),L9-I9,"")</s:f>
        <s:v>-24.866759192437399</s:v>
      </s:c>
      <s:c r="O9" s="56" t="e">
        <s:f>O8/O11</s:f>
        <s:v>#DIV/0!</s:v>
      </s:c>
      <s:c r="P9" s="57" t="e">
        <s:f>IF(AND(O9&lt;&gt;"",O9&lt;&gt;0,L9&lt;&gt;"",L9&lt;&gt;0),-O9+L9,"")</s:f>
        <s:v>#DIV/0!</s:v>
      </s:c>
      <s:c r="Q9" s="58" t="e">
        <s:f>IF(AND(P9&lt;&gt;"",P9&lt;&gt;0,O9&lt;&gt;0,O9&lt;&gt;""),P9/O9,"")</s:f>
        <s:v>#DIV/0!</s:v>
      </s:c>
      <s:c r="R9" s="22"/>
      <s:c r="S9" s="22"/>
      <s:c r="T9" s="22"/>
      <s:c r="U9" s="28"/>
      <s:c r="V9" s="5"/>
      <s:c r="W9" s="5"/>
      <s:c r="X9" s="5"/>
      <s:c r="Y9" s="5"/>
    </s:row>
    <s:row r="10">
      <s:c r="B10" s="23"/>
      <s:c r="C10" s="5"/>
      <s:c r="D10" s="5"/>
      <s:c r="E10" s="5"/>
      <s:c r="F10" s="59" t="s">
        <s:v>16</s:v>
      </s:c>
      <s:c r="G10" s="59"/>
      <s:c r="H10" s="59"/>
      <s:c r="I10" s="60">
        <s:f>I11*I12</s:f>
        <s:v>13358.400000000001</s:v>
      </s:c>
      <s:c r="J10" s="61">
        <s:f>H49</s:f>
        <s:v>10940</s:v>
      </s:c>
      <s:c r="K10" s="319">
        <s:f>IF(AND(I10&lt;&gt;"",I10&lt;&gt;0,J10&lt;&gt;""),J10/I10,"")</s:f>
        <s:v>0.81896035453347693</s:v>
      </s:c>
      <s:c r="L10" s="79">
        <s:f>J10</s:f>
        <s:v>10940</s:v>
      </s:c>
      <s:c r="M10" s="320">
        <s:f>IF(AND(I10&lt;&gt;"",I10&lt;&gt;0,L10&lt;&gt;"",L10&lt;&gt;0),L10/I10,"")</s:f>
        <s:v>0.81896035453347693</s:v>
      </s:c>
      <s:c r="N10" s="64">
        <s:f>IF(AND(J10&lt;&gt;0,J10&lt;&gt;"",I10&lt;&gt;0,I10&lt;&gt;""),L10-I10,"")</s:f>
        <s:v>-2418.4000000000015</s:v>
      </s:c>
      <s:c r="O10" s="65">
        <s:f>O11*O12</s:f>
        <s:v>0</s:v>
      </s:c>
      <s:c r="P10" s="66" t="str">
        <s:f>IF(AND(O10&lt;&gt;"",O10&lt;&gt;0,L10&lt;&gt;"",L10&lt;&gt;0),-O10+L10,"")</s:f>
        <s:v/>
      </s:c>
      <s:c r="Q10" s="67" t="str">
        <s:f>IF(AND(P10&lt;&gt;"",P10&lt;&gt;0,O10&lt;&gt;0,O10&lt;&gt;""),P10/O10,"")</s:f>
        <s:v/>
      </s:c>
      <s:c r="R10" s="22"/>
      <s:c r="S10" s="22"/>
      <s:c r="T10" s="22"/>
      <s:c r="U10" s="28"/>
      <s:c r="V10" s="5"/>
      <s:c r="W10" s="5"/>
      <s:c r="X10" s="5"/>
      <s:c r="Y10" s="5"/>
    </s:row>
    <s:row r="11">
      <s:c r="B11" s="23"/>
      <s:c r="C11" s="5"/>
      <s:c r="D11" s="5"/>
      <s:c r="E11" s="5"/>
      <s:c r="F11" s="49" t="s">
        <s:v>17</s:v>
      </s:c>
      <s:c r="G11" s="49"/>
      <s:c r="H11" s="49"/>
      <s:c r="I11" s="68">
        <s:f>Центрум!I11</s:f>
        <s:v>7260</s:v>
      </s:c>
      <s:c r="J11" s="51">
        <s:f>F49</s:f>
        <s:v>8205</s:v>
      </s:c>
      <s:c r="K11" s="317">
        <s:f>IF(AND(I11&lt;&gt;"",I11&lt;&gt;0,J11&lt;&gt;""),J11/I11,"")</s:f>
        <s:v>1.1301652892561984</s:v>
      </s:c>
      <s:c r="L11" s="79">
        <s:f>J11</s:f>
        <s:v>8205</s:v>
      </s:c>
      <s:c r="M11" s="318">
        <s:f>IF(AND(I11&lt;&gt;"",I11&lt;&gt;0,L11&lt;&gt;"",L11&lt;&gt;0),L11/I11,"")</s:f>
        <s:v>1.1301652892561984</s:v>
      </s:c>
      <s:c r="N11" s="55">
        <s:f>IF(AND(J11&lt;&gt;0,J11&lt;&gt;"",I11&lt;&gt;0,I11&lt;&gt;""),L11-I11,"")</s:f>
        <s:v>945</s:v>
      </s:c>
      <s:c r="O11" s="69"/>
      <s:c r="P11" s="57" t="str">
        <s:f>IF(AND(O11&lt;&gt;"",O11&lt;&gt;0,L11&lt;&gt;"",L11&lt;&gt;0),-O11+L11,"")</s:f>
        <s:v/>
      </s:c>
      <s:c r="Q11" s="58" t="str">
        <s:f>IF(AND(P11&lt;&gt;"",P11&lt;&gt;0,O11&lt;&gt;0,O11&lt;&gt;""),P11/O11,"")</s:f>
        <s:v/>
      </s:c>
      <s:c r="R11" s="22"/>
      <s:c r="S11" s="22"/>
      <s:c r="T11" s="22"/>
      <s:c r="U11" s="5"/>
      <s:c r="V11" s="5"/>
      <s:c r="W11" s="5"/>
      <s:c r="X11" s="5"/>
      <s:c r="Y11" s="5"/>
    </s:row>
    <s:row r="12">
      <s:c r="B12" s="23"/>
      <s:c r="C12" s="5"/>
      <s:c r="D12" s="5"/>
      <s:c r="E12" s="5"/>
      <s:c r="F12" s="49" t="s">
        <s:v>18</s:v>
      </s:c>
      <s:c r="G12" s="49"/>
      <s:c r="H12" s="49"/>
      <s:c r="I12" s="70">
        <s:f>Центрум!I12</s:f>
        <s:v>1.84</s:v>
      </s:c>
      <s:c r="J12" s="71">
        <s:f>J49</s:f>
        <s:v>1.3333333333333333</s:v>
      </s:c>
      <s:c r="K12" s="317">
        <s:f>IF(AND(I12&lt;&gt;"",I12&lt;&gt;0,J12&lt;&gt;""),J12/I12,"")</s:f>
        <s:v>0.72463768115942018</s:v>
      </s:c>
      <s:c r="L12" s="79">
        <s:f>J12</s:f>
        <s:v>1.3333333333333333</s:v>
      </s:c>
      <s:c r="M12" s="318">
        <s:f>IF(AND(I12&lt;&gt;"",I12&lt;&gt;0,L12&lt;&gt;"",L12&lt;&gt;0),L12/I12,"")</s:f>
        <s:v>0.72463768115942018</s:v>
      </s:c>
      <s:c r="N12" s="73">
        <s:f>IF(AND(J12&lt;&gt;0,J12&lt;&gt;"",I12&lt;&gt;0,I12&lt;&gt;""),L12-I12,"")</s:f>
        <s:v>-0.50666666666666682</s:v>
      </s:c>
      <s:c r="O12" s="74"/>
      <s:c r="P12" s="57" t="str">
        <s:f>IF(AND(O12&lt;&gt;"",O12&lt;&gt;0,L12&lt;&gt;"",L12&lt;&gt;0),-O12+L12,"")</s:f>
        <s:v/>
      </s:c>
      <s:c r="Q12" s="58" t="str">
        <s:f>IF(AND(P12&lt;&gt;"",P12&lt;&gt;0,O12&lt;&gt;0,O12&lt;&gt;""),P12/O12,"")</s:f>
        <s:v/>
      </s:c>
      <s:c r="R12" s="22"/>
      <s:c r="S12" s="22"/>
      <s:c r="T12" s="22"/>
      <s:c r="U12" s="5"/>
      <s:c r="V12" s="5"/>
      <s:c r="W12" s="5"/>
      <s:c r="X12" s="5"/>
      <s:c r="Y12" s="5"/>
    </s:row>
    <s:row r="13">
      <s:c r="B13" s="23"/>
      <s:c r="C13" s="5"/>
      <s:c r="D13" s="5"/>
      <s:c r="E13" s="5"/>
      <s:c r="F13" s="49" t="s">
        <s:v>19</s:v>
      </s:c>
      <s:c r="G13" s="49"/>
      <s:c r="H13" s="49"/>
      <s:c r="I13" s="50">
        <s:f>IF(I12&lt;&gt;0,I9/I12,"")</s:f>
        <s:v>18.586206896551726</s:v>
      </s:c>
      <s:c r="J13" s="51">
        <s:f>G49</s:f>
        <s:v>6</s:v>
      </s:c>
      <s:c r="K13" s="317">
        <s:f>IF(AND(I13&lt;&gt;"",I13&lt;&gt;0,J13&lt;&gt;""),J13/I13,"")</s:f>
        <s:v>0.32282003710575136</s:v>
      </s:c>
      <s:c r="L13" s="79">
        <s:f>IF(SUMIF($G$25:$G$47,"&gt;=0",$X$25:$X$47)&lt;&gt;0,I13*G49/SUMIF($G$25:$G$47,"&gt;=0",$X$25:$X$47),"")</s:f>
        <s:v>6.9988961229133348</s:v>
      </s:c>
      <s:c r="M13" s="318">
        <s:f>IF(AND(I13&lt;&gt;"",I13&lt;&gt;0,L13&lt;&gt;"",L13&lt;&gt;0),L13/I13,"")</s:f>
        <s:v>0.37656398434969701</s:v>
      </s:c>
      <s:c r="N13" s="73">
        <s:f>IF(AND(J13&lt;&gt;0,J13&lt;&gt;"",I13&lt;&gt;0,I13&lt;&gt;""),L13-I13,"")</s:f>
        <s:v>-11.587310773638391</s:v>
      </s:c>
      <s:c r="O13" s="75"/>
      <s:c r="P13" s="57" t="str">
        <s:f>IF(AND(O13&lt;&gt;"",O13&lt;&gt;0,L13&lt;&gt;"",L13&lt;&gt;0),-O13+L13,"")</s:f>
        <s:v/>
      </s:c>
      <s:c r="Q13" s="58" t="str">
        <s:f>IF(AND(P13&lt;&gt;"",P13&lt;&gt;0,O13&lt;&gt;0,O13&lt;&gt;""),P13/O13,"")</s:f>
        <s:v/>
      </s:c>
      <s:c r="R13" s="22"/>
      <s:c r="S13" s="22"/>
      <s:c r="T13" s="22"/>
      <s:c r="U13" s="5"/>
      <s:c r="V13" s="5"/>
      <s:c r="W13" s="5"/>
      <s:c r="X13" s="5"/>
      <s:c r="Y13" s="5"/>
    </s:row>
    <s:row r="14">
      <s:c r="B14" s="23"/>
      <s:c r="C14" s="5"/>
      <s:c r="D14" s="5"/>
      <s:c r="E14" s="5"/>
      <s:c r="F14" s="49" t="s">
        <s:v>85</s:v>
      </s:c>
      <s:c r="G14" s="49"/>
      <s:c r="H14" s="49"/>
      <s:c r="I14" s="68">
        <s:f>График!AI26</s:f>
        <s:v>7</s:v>
      </s:c>
      <s:c r="J14" s="76">
        <s:v>7</s:v>
      </s:c>
      <s:c r="K14" s="317">
        <s:f>IF(AND(I14&lt;&gt;"",I14&lt;&gt;0,J14&lt;&gt;""),J14/I14,"")</s:f>
        <s:v>1</s:v>
      </s:c>
      <s:c r="L14" s="79">
        <s:f>IF(SUMIF($D$25:$D$47,"&gt;=0",$V$25:$V$47),I49*I8/SUMIF($D$25:$D$47,"&gt;=0",$V$25:$V$47),"")</s:f>
        <s:v>146.51022550631913</s:v>
      </s:c>
      <s:c r="M14" s="318"/>
      <s:c r="N14" s="55">
        <s:f>IF(AND(J14&lt;&gt;0,J14&lt;&gt;"",I14&lt;&gt;0,I14&lt;&gt;""),L14-I14,"")</s:f>
        <s:v>139.51022550631913</s:v>
      </s:c>
      <s:c r="O14" s="75"/>
      <s:c r="P14" s="57" t="str">
        <s:f>IF(AND(O14&lt;&gt;"",O14&lt;&gt;0,L14&lt;&gt;"",L14&lt;&gt;0),-O14+L14,"")</s:f>
        <s:v/>
      </s:c>
      <s:c r="Q14" s="58" t="str">
        <s:f>IF(AND(P14&lt;&gt;"",P14&lt;&gt;0,O14&lt;&gt;0,O14&lt;&gt;""),P14/O14,"")</s:f>
        <s:v/>
      </s:c>
      <s:c r="R14" s="22"/>
      <s:c r="S14" s="22"/>
      <s:c r="T14" s="22"/>
      <s:c r="U14" s="77"/>
      <s:c r="V14" s="5"/>
      <s:c r="W14" s="5"/>
      <s:c r="X14" s="5"/>
      <s:c r="Y14" s="5"/>
    </s:row>
    <s:row r="15">
      <s:c r="B15" s="23"/>
      <s:c r="C15" s="5"/>
      <s:c r="D15" s="5"/>
      <s:c r="E15" s="5"/>
      <s:c r="F15" s="49" t="s">
        <s:v>21</s:v>
      </s:c>
      <s:c r="G15" s="49"/>
      <s:c r="H15" s="49"/>
      <s:c r="I15" s="321">
        <s:f>Центрум!I15/2</s:f>
        <s:v>33396.000000000007</s:v>
      </s:c>
      <s:c r="J15" s="85">
        <s:f>J8/J14</s:f>
        <s:v>9377.1428571428569</s:v>
      </s:c>
      <s:c r="K15" s="322">
        <s:f>IF(AND(I15&lt;&gt;"",I15&lt;&gt;0,J15&lt;&gt;""),J15/I15,"")</s:f>
        <s:v>0.28078640726862064</s:v>
      </s:c>
      <s:c r="L15" s="86">
        <s:f>J15</s:f>
        <s:v>9377.1428571428569</s:v>
      </s:c>
      <s:c r="M15" s="318">
        <s:f>IF(AND(I15&lt;&gt;"",I15&lt;&gt;0,L15&lt;&gt;"",L15&lt;&gt;0),L15/I15,"")</s:f>
        <s:v>0.28078640726862064</s:v>
      </s:c>
      <s:c r="N15" s="55">
        <s:f>IF(AND(J15&lt;&gt;0,J15&lt;&gt;"",I15&lt;&gt;0,I15&lt;&gt;""),L15-I15,"")</s:f>
        <s:v>-24018.857142857152</s:v>
      </s:c>
      <s:c r="O15" s="88"/>
      <s:c r="P15" s="57" t="str">
        <s:f>IF(AND(O15&lt;&gt;"",O15&lt;&gt;0,L15&lt;&gt;"",L15&lt;&gt;0),-O15+L15,"")</s:f>
        <s:v/>
      </s:c>
      <s:c r="Q15" s="58" t="str">
        <s:f>IF(AND(P15&lt;&gt;"",P15&lt;&gt;0,O15&lt;&gt;0,O15&lt;&gt;""),P15/O15,"")</s:f>
        <s:v/>
      </s:c>
      <s:c r="R15" s="22"/>
      <s:c r="S15" s="22"/>
      <s:c r="T15" s="22"/>
      <s:c r="U15" s="28"/>
      <s:c r="V15" s="5"/>
      <s:c r="W15" s="5"/>
      <s:c r="X15" s="5"/>
      <s:c r="Y15" s="5"/>
    </s:row>
    <s:row r="16" ht="24">
      <s:c r="B16" s="23"/>
      <s:c r="C16" s="5"/>
      <s:c r="D16" s="5"/>
      <s:c r="E16" s="5"/>
      <s:c r="F16" s="49" t="s">
        <s:v>22</s:v>
      </s:c>
      <s:c r="G16" s="49"/>
      <s:c r="H16" s="49"/>
      <s:c r="I16" s="321"/>
      <s:c r="J16" s="85">
        <s:f>J8-I15*J14</s:f>
        <s:v>-168132.00000000006</s:v>
      </s:c>
      <s:c r="K16" s="322" t="str">
        <s:f>IF(AND(I16&lt;&gt;"",I16&lt;&gt;0,J16&lt;&gt;""),J16/I16,"")</s:f>
        <s:v/>
      </s:c>
      <s:c r="L16" s="86">
        <s:f>J16</s:f>
        <s:v>-168132.00000000006</s:v>
      </s:c>
      <s:c r="M16" s="323" t="str">
        <s:f>IF(AND(I16&lt;&gt;"",I16&lt;&gt;0,L16&lt;&gt;"",L16&lt;&gt;0),L16/I16,"")</s:f>
        <s:v/>
      </s:c>
      <s:c r="N16" s="55" t="str">
        <s:f>IF(AND(J16&lt;&gt;0,J16&lt;&gt;"",I16&lt;&gt;0,I16&lt;&gt;""),L16-I16,"")</s:f>
        <s:v/>
      </s:c>
      <s:c r="O16" s="88"/>
      <s:c r="P16" s="57" t="str">
        <s:f>IF(AND(O16&lt;&gt;"",O16&lt;&gt;0,L16&lt;&gt;"",L16&lt;&gt;0),-O16+L16,"")</s:f>
        <s:v/>
      </s:c>
      <s:c r="Q16" s="58" t="str">
        <s:f>IF(AND(P16&lt;&gt;"",P16&lt;&gt;0,O16&lt;&gt;0,O16&lt;&gt;""),P16/O16,"")</s:f>
        <s:v/>
      </s:c>
      <s:c r="R16" s="22"/>
      <s:c r="S16" s="22"/>
      <s:c r="T16" s="22"/>
      <s:c r="U16" s="324" t="s">
        <s:v>23</s:v>
      </s:c>
      <s:c r="V16" s="5"/>
      <s:c r="W16" s="5"/>
      <s:c r="X16" s="5"/>
      <s:c r="Y16" s="5"/>
    </s:row>
    <s:row r="17">
      <s:c r="B17" s="23"/>
      <s:c r="C17" s="5"/>
      <s:c r="D17" s="5"/>
      <s:c r="E17" s="5"/>
      <s:c r="F17" s="49" t="s">
        <s:v>24</s:v>
      </s:c>
      <s:c r="G17" s="49"/>
      <s:c r="H17" s="49"/>
      <s:c r="I17" s="321">
        <s:f>Центрум!I17/График!AJ29*График!AJ26</s:f>
        <s:v>185.86206896551724</s:v>
      </s:c>
      <s:c r="J17" s="85">
        <s:f>I49</s:f>
        <s:v>125.60000000000001</s:v>
      </s:c>
      <s:c r="K17" s="322">
        <s:f>IF(AND(I17&lt;&gt;"",I17&lt;&gt;0,J17&lt;&gt;""),J17/I17,"")</s:f>
        <s:v>0.67576994434137294</s:v>
      </s:c>
      <s:c r="L17" s="86">
        <s:f>J17/J14*I14</s:f>
        <s:v>125.6</s:v>
      </s:c>
      <s:c r="M17" s="323">
        <s:f>IF(AND(I17&lt;&gt;"",I17&lt;&gt;0,L17&lt;&gt;"",L17&lt;&gt;0),L17/I17,"")</s:f>
        <s:v>0.67576994434137294</s:v>
      </s:c>
      <s:c r="N17" s="55">
        <s:f>IF(AND(J17&lt;&gt;0,J17&lt;&gt;"",I17&lt;&gt;0,I17&lt;&gt;""),L17-I17,"")</s:f>
        <s:v>-60.262068965517244</s:v>
      </s:c>
      <s:c r="O17" s="88"/>
      <s:c r="P17" s="57" t="str">
        <s:f>IF(AND(O17&lt;&gt;"",O17&lt;&gt;0,L17&lt;&gt;"",L17&lt;&gt;0),-O17+L17,"")</s:f>
        <s:v/>
      </s:c>
      <s:c r="Q17" s="58" t="str">
        <s:f>IF(AND(P17&lt;&gt;"",P17&lt;&gt;0,O17&lt;&gt;0,O17&lt;&gt;""),P17/O17,"")</s:f>
        <s:v/>
      </s:c>
      <s:c r="R17" s="22"/>
      <s:c r="S17" s="22"/>
      <s:c r="T17" s="22"/>
      <s:c r="U17" s="324"/>
      <s:c r="V17" s="5"/>
      <s:c r="W17" s="5"/>
      <s:c r="X17" s="5"/>
      <s:c r="Y17" s="5"/>
    </s:row>
    <s:row r="18">
      <s:c r="B18" s="23"/>
      <s:c r="C18" s="5"/>
      <s:c r="D18" s="5"/>
      <s:c r="E18" s="5"/>
      <s:c r="F18" s="49"/>
      <s:c r="G18" s="49"/>
      <s:c r="H18" s="49"/>
      <s:c r="I18" s="84"/>
      <s:c r="J18" s="85"/>
      <s:c r="K18" s="322" t="str">
        <s:f>IF(AND(I18&lt;&gt;"",I18&lt;&gt;0,J18&lt;&gt;""),J18/I18,"")</s:f>
        <s:v/>
      </s:c>
      <s:c r="L18" s="86">
        <s:f>J18</s:f>
        <s:v>0</s:v>
      </s:c>
      <s:c r="M18" s="323" t="str">
        <s:f>IF(AND(I18&lt;&gt;"",I18&lt;&gt;0,L18&lt;&gt;"",L18&lt;&gt;0),L18/I18,"")</s:f>
        <s:v/>
      </s:c>
      <s:c r="N18" s="55" t="str">
        <s:f>IF(AND(J18&lt;&gt;0,J18&lt;&gt;"",I18&lt;&gt;0,I18&lt;&gt;""),L18-I18,"")</s:f>
        <s:v/>
      </s:c>
      <s:c r="O18" s="325">
        <s:v>0</s:v>
      </s:c>
      <s:c r="P18" s="57" t="str">
        <s:f>IF(AND(O18&lt;&gt;"",O18&lt;&gt;0,L18&lt;&gt;"",L18&lt;&gt;0),-O18+L18,"")</s:f>
        <s:v/>
      </s:c>
      <s:c r="Q18" s="58" t="str">
        <s:f>IF(AND(P18&lt;&gt;"",P18&lt;&gt;0,O18&lt;&gt;0,O18&lt;&gt;""),P18/O18,"")</s:f>
        <s:v/>
      </s:c>
      <s:c r="R18" s="22"/>
      <s:c r="S18" s="22"/>
      <s:c r="T18" s="22"/>
      <s:c r="U18" s="83"/>
      <s:c r="V18" s="5"/>
      <s:c r="W18" s="5"/>
      <s:c r="X18" s="5"/>
      <s:c r="Y18" s="5"/>
    </s:row>
    <s:row r="19">
      <s:c r="B19" s="23"/>
      <s:c r="C19" s="5"/>
      <s:c r="D19" s="5"/>
      <s:c r="E19" s="5"/>
      <s:c r="F19" s="49"/>
      <s:c r="G19" s="49"/>
      <s:c r="H19" s="49"/>
      <s:c r="I19" s="84"/>
      <s:c r="J19" s="85">
        <s:f>P49</s:f>
        <s:v>0</s:v>
      </s:c>
      <s:c r="K19" s="322" t="str">
        <s:f>IF(AND(I19&lt;&gt;"",I19&lt;&gt;0,J19&lt;&gt;""),J19/I19,"")</s:f>
        <s:v/>
      </s:c>
      <s:c r="L19" s="86">
        <s:f>J19</s:f>
        <s:v>0</s:v>
      </s:c>
      <s:c r="M19" s="323" t="str">
        <s:f>IF(AND(I19&lt;&gt;"",I19&lt;&gt;0,L19&lt;&gt;"",L19&lt;&gt;0),L19/I19,"")</s:f>
        <s:v/>
      </s:c>
      <s:c r="N19" s="55" t="str">
        <s:f>IF(AND(J19&lt;&gt;0,J19&lt;&gt;"",I19&lt;&gt;0,I19&lt;&gt;""),L19-I19,"")</s:f>
        <s:v/>
      </s:c>
      <s:c r="O19" s="88">
        <s:v>0</s:v>
      </s:c>
      <s:c r="P19" s="57" t="str">
        <s:f>IF(AND(O19&lt;&gt;"",O19&lt;&gt;0,L19&lt;&gt;"",L19&lt;&gt;0),-O19+L19,"")</s:f>
        <s:v/>
      </s:c>
      <s:c r="Q19" s="58" t="str">
        <s:f>IF(AND(P19&lt;&gt;"",P19&lt;&gt;0,O19&lt;&gt;0,O19&lt;&gt;""),P19/O19,"")</s:f>
        <s:v/>
      </s:c>
      <s:c r="R19" s="22"/>
      <s:c r="S19" s="22"/>
      <s:c r="T19" s="22"/>
      <s:c r="U19" s="52" t="e">
        <s:f>U18/I16</s:f>
        <s:v>#DIV/0!</s:v>
      </s:c>
      <s:c r="V19" s="5"/>
      <s:c r="W19" s="5"/>
      <s:c r="X19" s="5"/>
      <s:c r="Y19" s="5"/>
    </s:row>
    <s:row r="20">
      <s:c r="B20" s="23"/>
      <s:c r="C20" s="5"/>
      <s:c r="D20" s="5"/>
      <s:c r="E20" s="5"/>
      <s:c r="F20" s="89" t="s">
        <s:v>90</s:v>
      </s:c>
      <s:c r="G20" s="89"/>
      <s:c r="H20" s="89"/>
      <s:c r="I20" s="326">
        <s:f>Центрум!I20</s:f>
        <s:v>0.1</s:v>
      </s:c>
      <s:c r="J20" s="327">
        <s:f>T49</s:f>
        <s:v>4.7770700636942671E-2</s:v>
      </s:c>
      <s:c r="K20" s="91">
        <s:f>J20/I20</s:f>
        <s:v>0.4777070063694267</s:v>
      </s:c>
      <s:c r="L20" s="92">
        <s:f>IF(AND(K8&lt;&gt;0,I14&lt;&gt;0,I49&lt;&gt;0),(I49*T49+(I49/K8-I49)*I20)/(I49/K8),0)</s:f>
        <s:v>8.6191784339383334E-2</s:v>
      </s:c>
      <s:c r="M20" s="328">
        <s:f>IF(AND(I20&lt;&gt;"",I20&lt;&gt;0,L20&lt;&gt;"",L20&lt;&gt;0),L20/I20,"")</s:f>
        <s:v>0.86191784339383326</s:v>
      </s:c>
      <s:c r="N20" s="94">
        <s:f>IF(AND(J20&lt;&gt;0,J20&lt;&gt;"",I20&lt;&gt;0,I20&lt;&gt;""),L20-I20,"")</s:f>
        <s:v>-1.3808215660616671E-2</s:v>
      </s:c>
      <s:c r="O20" s="95"/>
      <s:c r="P20" s="96" t="str">
        <s:f>IF(AND(O20&lt;&gt;"",O20&lt;&gt;0,L20&lt;&gt;"",L20&lt;&gt;0),-O20+L20,"")</s:f>
        <s:v/>
      </s:c>
      <s:c r="Q20" s="97" t="str">
        <s:f>IF(AND(P20&lt;&gt;"",P20&lt;&gt;0,O20&lt;&gt;0,O20&lt;&gt;""),P20/O20,"")</s:f>
        <s:v/>
      </s:c>
      <s:c r="R20" s="22"/>
      <s:c r="S20" s="22"/>
      <s:c r="T20" s="22"/>
      <s:c r="U20" s="28"/>
      <s:c r="V20" s="5"/>
      <s:c r="W20" s="5"/>
      <s:c r="X20" s="5"/>
      <s:c r="Y20" s="5"/>
    </s:row>
    <s:row r="21">
      <s:c r="B21" s="23"/>
      <s:c r="C21" s="5"/>
      <s:c r="D21" s="5"/>
      <s:c r="E21" s="5"/>
      <s:c r="F21" s="5"/>
      <s:c r="G21" s="5"/>
      <s:c r="H21" s="5"/>
      <s:c r="I21" s="5"/>
      <s:c r="J21" s="5"/>
      <s:c r="K21" s="5"/>
      <s:c r="L21" s="5"/>
      <s:c r="M21" s="5"/>
      <s:c r="N21" s="5"/>
      <s:c r="O21" s="5"/>
      <s:c r="P21" s="5"/>
      <s:c r="Q21" s="5"/>
      <s:c r="R21" s="5"/>
      <s:c r="S21" s="5"/>
      <s:c r="T21" s="5"/>
      <s:c r="U21" s="5"/>
      <s:c r="V21" s="5"/>
      <s:c r="W21" s="5"/>
      <s:c r="X21" s="28"/>
      <s:c r="Y21" s="28"/>
      <s:c r="Z21" s="5"/>
      <s:c r="AA21" s="5"/>
      <s:c r="AB21" s="5"/>
      <s:c r="AC21" s="5"/>
    </s:row>
    <s:row r="22" ht="36">
      <s:c r="B22" s="329" t="s">
        <s:v>26</s:v>
      </s:c>
      <s:c r="C22" s="329"/>
      <s:c r="D22" s="329"/>
      <s:c r="E22" s="329"/>
      <s:c r="F22" s="329"/>
      <s:c r="G22" s="329"/>
      <s:c r="H22" s="329"/>
      <s:c r="I22" s="329"/>
      <s:c r="J22" s="329"/>
      <s:c r="K22" s="329"/>
      <s:c r="L22" s="329"/>
      <s:c r="M22" s="329"/>
      <s:c r="N22" s="329"/>
      <s:c r="O22" s="329"/>
      <s:c r="P22" s="329"/>
      <s:c r="Q22" s="329"/>
      <s:c r="R22" s="329"/>
      <s:c r="S22" s="329"/>
      <s:c r="T22" s="329"/>
      <s:c r="U22" s="330" t="s">
        <s:v>47</s:v>
      </s:c>
      <s:c r="V22" s="329" t="s">
        <s:v>27</s:v>
      </s:c>
      <s:c r="W22" s="329"/>
      <s:c r="X22" s="329"/>
      <s:c r="Y22" s="329"/>
      <s:c r="Z22" s="329"/>
      <s:c r="AA22" s="329"/>
      <s:c r="AB22" s="329"/>
      <s:c r="AC22" s="329"/>
    </s:row>
    <s:row r="23" ht="36">
      <s:c r="B23" s="330" t="s">
        <s:v>29</s:v>
      </s:c>
      <s:c r="C23" s="330" t="s">
        <s:v>30</s:v>
      </s:c>
      <s:c r="D23" s="330" t="s">
        <s:v>31</s:v>
      </s:c>
      <s:c r="E23" s="330" t="s">
        <s:v>32</s:v>
      </s:c>
      <s:c r="F23" s="330" t="s">
        <s:v>33</s:v>
      </s:c>
      <s:c r="G23" s="330" t="s">
        <s:v>34</s:v>
      </s:c>
      <s:c r="H23" s="330" t="s">
        <s:v>35</s:v>
      </s:c>
      <s:c r="I23" s="330" t="s">
        <s:v>24</s:v>
      </s:c>
      <s:c r="J23" s="330" t="s">
        <s:v>36</s:v>
      </s:c>
      <s:c r="K23" s="331" t="s">
        <s:v>37</s:v>
      </s:c>
      <s:c r="L23" s="105" t="s">
        <s:v>38</s:v>
      </s:c>
      <s:c r="M23" s="331" t="s">
        <s:v>39</s:v>
      </s:c>
      <s:c r="N23" s="105" t="s">
        <s:v>40</s:v>
      </s:c>
      <s:c r="O23" s="331" t="s">
        <s:v>41</s:v>
      </s:c>
      <s:c r="P23" s="105" t="s">
        <s:v>42</s:v>
      </s:c>
      <s:c r="Q23" s="105" t="s">
        <s:v>43</s:v>
      </s:c>
      <s:c r="R23" s="105" t="s">
        <s:v>44</s:v>
      </s:c>
      <s:c r="S23" s="105" t="s">
        <s:v>45</s:v>
      </s:c>
      <s:c r="T23" s="330" t="s">
        <s:v>46</s:v>
      </s:c>
      <s:c r="U23" s="330"/>
      <s:c r="V23" s="330" t="s">
        <s:v>48</s:v>
      </s:c>
      <s:c r="W23" s="330" t="s">
        <s:v>49</s:v>
      </s:c>
      <s:c r="X23" s="330" t="s">
        <s:v>50</s:v>
      </s:c>
      <s:c r="Y23" s="330" t="s">
        <s:v>51</s:v>
      </s:c>
      <s:c r="Z23" s="330" t="s">
        <s:v>52</s:v>
      </s:c>
      <s:c r="AA23" s="330" t="s">
        <s:v>53</s:v>
      </s:c>
      <s:c r="AB23" s="332" t="s">
        <s:v>54</s:v>
      </s:c>
      <s:c r="AC23" s="332" t="s">
        <s:v>55</s:v>
      </s:c>
      <s:c r="AD23" s="190"/>
    </s:row>
    <s:row r="24">
      <s:c r="A24" s="333"/>
      <s:c r="B24" s="334">
        <s:v>1</s:v>
      </s:c>
      <s:c r="C24" s="335">
        <s:v>2</s:v>
      </s:c>
      <s:c r="D24" s="336">
        <s:v>3</s:v>
      </s:c>
      <s:c r="E24" s="336" t="s">
        <s:v>91</s:v>
      </s:c>
      <s:c r="F24" s="335">
        <s:v>5</s:v>
      </s:c>
      <s:c r="G24" s="336">
        <s:v>6</s:v>
      </s:c>
      <s:c r="H24" s="335">
        <s:v>7</s:v>
      </s:c>
      <s:c r="I24" s="336">
        <s:v>8</s:v>
      </s:c>
      <s:c r="J24" s="336">
        <s:v>9</s:v>
      </s:c>
      <s:c r="K24" s="113">
        <s:v>10</s:v>
      </s:c>
      <s:c r="L24" s="113">
        <s:v>11</s:v>
      </s:c>
      <s:c r="M24" s="113">
        <s:v>12</s:v>
      </s:c>
      <s:c r="N24" s="113">
        <s:v>13</s:v>
      </s:c>
      <s:c r="O24" s="113">
        <s:v>14</s:v>
      </s:c>
      <s:c r="P24" s="113">
        <s:v>15</s:v>
      </s:c>
      <s:c r="Q24" s="113">
        <s:v>16</s:v>
      </s:c>
      <s:c r="R24" s="113">
        <s:v>17</s:v>
      </s:c>
      <s:c r="S24" s="113"/>
      <s:c r="T24" s="113">
        <s:v>18</s:v>
      </s:c>
      <s:c r="U24" s="330"/>
      <s:c r="V24" s="337">
        <s:v>1</s:v>
      </s:c>
      <s:c r="W24" s="337">
        <s:v>2</s:v>
      </s:c>
      <s:c r="X24" s="337">
        <s:v>3</s:v>
      </s:c>
      <s:c r="Y24" s="337">
        <s:v>4</s:v>
      </s:c>
      <s:c r="Z24" s="337">
        <s:v>5</s:v>
      </s:c>
      <s:c r="AA24" s="337">
        <s:v>6</s:v>
      </s:c>
      <s:c r="AB24" s="337">
        <s:v>10</s:v>
      </s:c>
      <s:c r="AC24" s="337">
        <s:v>11</s:v>
      </s:c>
    </s:row>
    <s:row r="25">
      <s:c r="A25" s="338">
        <s:v>1</s:v>
      </s:c>
      <s:c r="B25" s="134">
        <s:v>46054</s:v>
      </s:c>
      <s:c r="C25" s="135" t="s">
        <s:v>57</s:v>
      </s:c>
      <s:c r="D25" s="138">
        <s:v>14786</s:v>
      </s:c>
      <s:c r="E25" s="137">
        <s:v>2</s:v>
      </s:c>
      <s:c r="F25" s="137">
        <s:f>IF(AND(E25&lt;&gt;"",E25&lt;&gt;0),D25/E25,"")</s:f>
        <s:v>7393</s:v>
      </s:c>
      <s:c r="G25" s="137">
        <s:v>2</s:v>
      </s:c>
      <s:c r="H25" s="137">
        <s:f>IF(AND(G25&lt;&gt;"",G25&lt;&gt;0),D25/G25,"")</s:f>
        <s:v>7393</s:v>
      </s:c>
      <s:c r="I25" s="148">
        <s:v>28</s:v>
      </s:c>
      <s:c r="J25" s="138">
        <s:f>IF(AND(G25&lt;&gt;"",G25&lt;&gt;0),E25/G25,"")</s:f>
        <s:v>1</s:v>
      </s:c>
      <s:c r="K25" s="136"/>
      <s:c r="L25" s="136"/>
      <s:c r="M25" s="136"/>
      <s:c r="N25" s="136"/>
      <s:c r="O25" s="136"/>
      <s:c r="P25" s="136"/>
      <s:c r="Q25" s="136"/>
      <s:c r="R25" s="136"/>
      <s:c r="S25" s="136"/>
      <s:c r="T25" s="140">
        <s:f>IF(AND(I25&lt;&gt;"",I25&lt;&gt;0),G25/I25,"")</s:f>
        <s:v>7.1428571428571425E-2</s:v>
      </s:c>
      <s:c r="U25" s="141">
        <s:f>D25/V25</s:f>
        <s:v>440.51541423089333</s:v>
      </s:c>
      <s:c r="V25" s="142">
        <s:f>$I$8*AB25*AC25/SUMPRODUCT($AB$25:$AB$55,$AA$25:$AA$55)</s:f>
        <s:v>33.565227282262619</s:v>
      </s:c>
      <s:c r="W25" s="143">
        <s:f>$I$9*AB25*AC25/SUMPRODUCT($AB$25:$AB$55,$AA$25:$AA$55)</s:f>
        <s:v>4.6233095430113806E-3</s:v>
      </s:c>
      <s:c r="X25" s="143">
        <s:f>IF($I$12="","",W25/$I$12)</s:f>
        <s:v>2.5126682298974895E-3</s:v>
      </s:c>
      <s:c r="Y25" s="142">
        <s:f>IF(AC25&lt;&gt;"",IF(E25&lt;&gt;"",E25,($I$8-SUM($X24:Y$25))*AB25*AC25/SUMPRODUCT($AB25:$AB$48,$AA25:$AA$48)),"")</s:f>
        <s:v>2</s:v>
      </s:c>
      <s:c r="Z25" s="143">
        <s:f>IF(AC25&lt;&gt;"",IF(F25&lt;&gt;"",F25,($I$9-SUM($Y24:Z$25))*AB25*AC25/SUMPRODUCT($AB25:$AB$55,$AA25:$AA$55)),"")</s:f>
        <s:v>7393</s:v>
      </s:c>
      <s:c r="AA25" s="143">
        <s:f>IF(AC25&lt;&gt;"",IF($I$12&lt;&gt;"",IF(H25&lt;&gt;"",H25,($I$9/$I$12-SUM($Z24:AA$25))*AB25*AC25/SUMPRODUCT($AB25:$AB$55,$AA25:$AA$55)),""),"")</s:f>
        <s:v>7393</s:v>
      </s:c>
      <s:c r="AB25" s="379">
        <s:v>1</s:v>
      </s:c>
      <s:c r="AC25" s="379">
        <s:v>1</s:v>
      </s:c>
      <s:c r="AD25" s="145"/>
      <s:c r="AE25" s="145"/>
      <s:c r="AF25" s="160"/>
      <s:c r="AG25" s="2"/>
      <s:c r="AH25" s="2"/>
      <s:c r="AI25" s="2"/>
      <s:c r="AJ25" s="2"/>
      <s:c r="AK25" s="2"/>
      <s:c r="AL25" s="2"/>
      <s:c r="AM25" s="2"/>
    </s:row>
    <s:row r="26">
      <s:c r="A26" s="340">
        <s:v>2</s:v>
      </s:c>
      <s:c r="B26" s="341">
        <s:v>46055</s:v>
      </s:c>
      <s:c r="C26" s="181" t="s">
        <s:v>58</s:v>
      </s:c>
      <s:c r="D26" s="342">
        <s:v>6492</s:v>
      </s:c>
      <s:c r="E26" s="148">
        <s:v>1</s:v>
      </s:c>
      <s:c r="F26" s="174">
        <s:f>IF(AND(E26&lt;&gt;"",E26&lt;&gt;0),D26/E26,"")</s:f>
        <s:v>6492</s:v>
      </s:c>
      <s:c r="G26" s="148">
        <s:v>1</s:v>
      </s:c>
      <s:c r="H26" s="174">
        <s:f>IF(AND(G26&lt;&gt;"",G26&lt;&gt;0),D26/G26,"")</s:f>
        <s:v>6492</s:v>
      </s:c>
      <s:c r="I26" s="148">
        <s:v>17</s:v>
      </s:c>
      <s:c r="J26" s="138">
        <s:f>IF(AND(G26&lt;&gt;"",G26&lt;&gt;0),E26/G26,"")</s:f>
        <s:v>1</s:v>
      </s:c>
      <s:c r="K26" s="136"/>
      <s:c r="L26" s="136"/>
      <s:c r="M26" s="136"/>
      <s:c r="N26" s="136"/>
      <s:c r="O26" s="136"/>
      <s:c r="P26" s="136"/>
      <s:c r="Q26" s="136"/>
      <s:c r="R26" s="136"/>
      <s:c r="S26" s="136"/>
      <s:c r="T26" s="140">
        <s:f>IF(AND(I26&lt;&gt;"",I26&lt;&gt;0),G26/I26,"")</s:f>
        <s:v>5.8823529411764705E-2</s:v>
      </s:c>
      <s:c r="U26" s="141">
        <s:f>D26/V26</s:f>
        <s:v>0.18303381849914366</s:v>
      </s:c>
      <s:c r="V26" s="142">
        <s:f>$I$8*AB26*AC26/SUMPRODUCT($AC$25:$AC$56,$AB$25:$AB$56)</s:f>
        <s:v>35468.855172413801</s:v>
      </s:c>
      <s:c r="W26" s="143">
        <s:f>$I$9*AB26*AC26/SUMPRODUCT($AC$25:$AC$56,$AB$25:$AB$56)</s:f>
        <s:v>4.8855172413793113</s:v>
      </s:c>
      <s:c r="X26" s="143">
        <s:f>IF($I$12="","",W26/$I$12)</s:f>
        <s:v>2.6551724137931036</s:v>
      </s:c>
      <s:c r="Y26" s="142">
        <s:f>IF(AC26&lt;&gt;"",IF(D26&lt;&gt;"",D26,($I$8-SUM($Y$25:Y25))*AB26*AC26/SUMPRODUCT($AC26:$AC$56,$AB26:$AB$56)),"")</s:f>
        <s:v>6492</s:v>
      </s:c>
      <s:c r="Z26" s="143">
        <s:f>IF(AC26&lt;&gt;"",IF(E26&lt;&gt;"",E26,($I$9-SUM($Z$25:Z25))*AB26*AC26/SUMPRODUCT($AC26:$AC$56,$AB26:$AB$56)),"")</s:f>
        <s:v>1</s:v>
      </s:c>
      <s:c r="AA26" s="143">
        <s:f>IF(AC26&lt;&gt;"",IF($I$12&lt;&gt;"",IF(G26&lt;&gt;"",G26,($I$9/$I$12-SUM($AA$25:AA25))*AB26*AC26/SUMPRODUCT($AC26:$AC$56,$AB26:$AB$56)),""),"")</s:f>
        <s:v>1</s:v>
      </s:c>
      <s:c r="AB26" s="339">
        <s:v>1</s:v>
      </s:c>
      <s:c r="AC26" s="339">
        <s:v>1</s:v>
      </s:c>
      <s:c r="AD26" s="145"/>
      <s:c r="AE26" s="149"/>
      <s:c r="AF26" s="2"/>
      <s:c r="AG26" s="2"/>
      <s:c r="AH26" s="2"/>
      <s:c r="AI26" s="2"/>
      <s:c r="AJ26" s="2"/>
      <s:c r="AK26" s="2"/>
      <s:c r="AL26" s="2"/>
      <s:c r="AM26" s="2"/>
    </s:row>
    <s:row r="27">
      <s:c r="A27" s="338">
        <s:v>3</s:v>
      </s:c>
      <s:c r="B27" s="134">
        <s:v>46057</s:v>
      </s:c>
      <s:c r="C27" s="135" t="s">
        <s:v>62</s:v>
      </s:c>
      <s:c r="D27" s="342">
        <s:v>39419</s:v>
      </s:c>
      <s:c r="E27" s="148">
        <s:v>4</s:v>
      </s:c>
      <s:c r="F27" s="137">
        <s:f>IF(AND(E27&lt;&gt;"",E27&lt;&gt;0),D27/E27,"")</s:f>
        <s:v>9854.75</s:v>
      </s:c>
      <s:c r="G27" s="148">
        <s:v>2</s:v>
      </s:c>
      <s:c r="H27" s="137">
        <s:f>IF(AND(G27&lt;&gt;"",G27&lt;&gt;0),D27/G27,"")</s:f>
        <s:v>19709.5</s:v>
      </s:c>
      <s:c r="I27" s="148">
        <s:v>18</s:v>
      </s:c>
      <s:c r="J27" s="138">
        <s:f>IF(AND(G27&lt;&gt;"",G27&lt;&gt;0),E27/G27,"")</s:f>
        <s:v>2</s:v>
      </s:c>
      <s:c r="K27" s="136"/>
      <s:c r="L27" s="136"/>
      <s:c r="M27" s="136"/>
      <s:c r="N27" s="136"/>
      <s:c r="O27" s="136"/>
      <s:c r="P27" s="136"/>
      <s:c r="Q27" s="136"/>
      <s:c r="R27" s="136">
        <s:v>35593</s:v>
      </s:c>
      <s:c r="S27" s="136"/>
      <s:c r="T27" s="140">
        <s:f>IF(AND(I27&lt;&gt;"",I27&lt;&gt;0),G27/I27,"")</s:f>
        <s:v>0.1111111111111111</s:v>
      </s:c>
      <s:c r="U27" s="141">
        <s:f>D27/V27</s:f>
        <s:v>1.1113693917772247</s:v>
      </s:c>
      <s:c r="V27" s="142">
        <s:f>$I$8*AB27*AC27/SUMPRODUCT($AC$25:$AC$56,$AB$25:$AB$56)</s:f>
        <s:v>35468.855172413801</s:v>
      </s:c>
      <s:c r="W27" s="143">
        <s:f>$I$9*AB27*AC27/SUMPRODUCT($AC$25:$AC$56,$AB$25:$AB$56)</s:f>
        <s:v>4.8855172413793113</s:v>
      </s:c>
      <s:c r="X27" s="143">
        <s:f>IF($I$12="","",W27/$I$12)</s:f>
        <s:v>2.6551724137931036</s:v>
      </s:c>
      <s:c r="Y27" s="142">
        <s:f>IF(AC27&lt;&gt;"",IF(D27&lt;&gt;"",D27,($I$8-SUM($Y$25:Y26))*AB27*AC27/SUMPRODUCT($AC27:$AC$56,$AB27:$AB$56)),"")</s:f>
        <s:v>39419</s:v>
      </s:c>
      <s:c r="Z27" s="143">
        <s:f>IF(AC27&lt;&gt;"",IF(E27&lt;&gt;"",E27,($I$9-SUM($Z$25:Z26))*AB27*AC27/SUMPRODUCT($AC27:$AC$56,$AB27:$AB$56)),"")</s:f>
        <s:v>4</s:v>
      </s:c>
      <s:c r="AA27" s="143">
        <s:f>IF(AC27&lt;&gt;"",IF($I$12&lt;&gt;"",IF(G27&lt;&gt;"",G27,($I$9/$I$12-SUM($AA$25:AA26))*AB27*AC27/SUMPRODUCT($AC27:$AC$56,$AB27:$AB$56)),""),"")</s:f>
        <s:v>2</s:v>
      </s:c>
      <s:c r="AB27" s="339">
        <s:v>1</s:v>
      </s:c>
      <s:c r="AC27" s="339">
        <s:v>1</s:v>
      </s:c>
      <s:c r="AD27" s="145"/>
      <s:c r="AE27" s="145"/>
      <s:c r="AF27" s="2"/>
      <s:c r="AG27" s="2"/>
      <s:c r="AH27" s="2"/>
      <s:c r="AI27" s="2"/>
      <s:c r="AJ27" s="2"/>
      <s:c r="AK27" s="2"/>
      <s:c r="AL27" s="2"/>
      <s:c r="AM27" s="2"/>
    </s:row>
    <s:row r="28">
      <s:c r="A28" s="340">
        <s:v>4</s:v>
      </s:c>
      <s:c r="B28" s="134">
        <s:v>46058</s:v>
      </s:c>
      <s:c r="C28" s="181" t="s">
        <s:v>63</s:v>
      </s:c>
      <s:c r="D28" s="342">
        <s:v>4943</s:v>
      </s:c>
      <s:c r="E28" s="148">
        <s:v>1</s:v>
      </s:c>
      <s:c r="F28" s="174">
        <s:f>IF(AND(E28&lt;&gt;"",E28&lt;&gt;0),D28/E28,"")</s:f>
        <s:v>4943</s:v>
      </s:c>
      <s:c r="G28" s="148">
        <s:v>1</s:v>
      </s:c>
      <s:c r="H28" s="174">
        <s:f>IF(AND(G28&lt;&gt;"",G28&lt;&gt;0),D28/G28,"")</s:f>
        <s:v>4943</s:v>
      </s:c>
      <s:c r="I28" s="148">
        <s:v>17</s:v>
      </s:c>
      <s:c r="J28" s="138">
        <s:f>IF(AND(G28&lt;&gt;"",G28&lt;&gt;0),E28/G28,"")</s:f>
        <s:v>1</s:v>
      </s:c>
      <s:c r="K28" s="136"/>
      <s:c r="L28" s="136"/>
      <s:c r="M28" s="136"/>
      <s:c r="N28" s="136"/>
      <s:c r="O28" s="136"/>
      <s:c r="P28" s="136"/>
      <s:c r="Q28" s="136"/>
      <s:c r="R28" s="136"/>
      <s:c r="S28" s="136"/>
      <s:c r="T28" s="140">
        <s:f>IF(AND(I28&lt;&gt;"",I28&lt;&gt;0),G28/I28,"")</s:f>
        <s:v>5.8823529411764705E-2</s:v>
      </s:c>
      <s:c r="U28" s="141">
        <s:f>D28/V28</s:f>
        <s:v>0.1393617013002568</s:v>
      </s:c>
      <s:c r="V28" s="142">
        <s:f>$I$8*AB28*AC28/SUMPRODUCT($AC$25:$AC$56,$AB$25:$AB$56)</s:f>
        <s:v>35468.855172413801</s:v>
      </s:c>
      <s:c r="W28" s="143">
        <s:f>$I$9*AB28*AC28/SUMPRODUCT($AC$25:$AC$56,$AB$25:$AB$56)</s:f>
        <s:v>4.8855172413793113</s:v>
      </s:c>
      <s:c r="X28" s="143">
        <s:f>IF($I$12="","",W28/$I$12)</s:f>
        <s:v>2.6551724137931036</s:v>
      </s:c>
      <s:c r="Y28" s="142">
        <s:f>IF(AC28&lt;&gt;"",IF(D28&lt;&gt;"",D28,($I$8-SUM($Y$25:Y27))*AB28*AC28/SUMPRODUCT($AC28:$AC$56,$AB28:$AB$56)),"")</s:f>
        <s:v>4943</s:v>
      </s:c>
      <s:c r="Z28" s="143">
        <s:f>IF(AC28&lt;&gt;"",IF(E28&lt;&gt;"",E28,($I$9-SUM($Z$25:Z27))*AB28*AC28/SUMPRODUCT($AC28:$AC$56,$AB28:$AB$56)),"")</s:f>
        <s:v>1</s:v>
      </s:c>
      <s:c r="AA28" s="143">
        <s:f>IF(AC28&lt;&gt;"",IF($I$12&lt;&gt;"",IF(G28&lt;&gt;"",G28,($I$9/$I$12-SUM($AA$25:AA27))*AB28*AC28/SUMPRODUCT($AC28:$AC$56,$AB28:$AB$56)),""),"")</s:f>
        <s:v>1</s:v>
      </s:c>
      <s:c r="AB28" s="339">
        <s:v>1</s:v>
      </s:c>
      <s:c r="AC28" s="339">
        <s:v>1</s:v>
      </s:c>
      <s:c r="AD28" s="145"/>
      <s:c r="AE28" s="145"/>
      <s:c r="AF28" s="2"/>
      <s:c r="AG28" s="2"/>
      <s:c r="AH28" s="2"/>
      <s:c r="AI28" s="2"/>
      <s:c r="AJ28" s="2"/>
      <s:c r="AK28" s="2"/>
      <s:c r="AL28" s="2"/>
      <s:c r="AM28" s="2"/>
    </s:row>
    <s:row r="29">
      <s:c r="A29" s="338">
        <s:v>5</s:v>
      </s:c>
      <s:c r="B29" s="134">
        <s:v>46060</s:v>
      </s:c>
      <s:c r="C29" s="135" t="s">
        <s:v>66</s:v>
      </s:c>
      <s:c r="D29" s="342">
        <s:v>0</s:v>
      </s:c>
      <s:c r="E29" s="148">
        <s:v>0</s:v>
      </s:c>
      <s:c r="F29" s="137" t="str">
        <s:f>IF(AND(E29&lt;&gt;"",E29&lt;&gt;0),D29/E29,"")</s:f>
        <s:v/>
      </s:c>
      <s:c r="G29" s="148">
        <s:v>0</s:v>
      </s:c>
      <s:c r="H29" s="137" t="str">
        <s:f>IF(AND(G29&lt;&gt;"",G29&lt;&gt;0),D29/G29,"")</s:f>
        <s:v/>
      </s:c>
      <s:c r="I29" s="148">
        <s:v>28</s:v>
      </s:c>
      <s:c r="J29" s="138" t="str">
        <s:f>IF(AND(G29&lt;&gt;"",G29&lt;&gt;0),E29/G29,"")</s:f>
        <s:v/>
      </s:c>
      <s:c r="K29" s="136"/>
      <s:c r="L29" s="148"/>
      <s:c r="M29" s="148"/>
      <s:c r="N29" s="148"/>
      <s:c r="O29" s="136"/>
      <s:c r="P29" s="136"/>
      <s:c r="Q29" s="136"/>
      <s:c r="R29" s="136"/>
      <s:c r="S29" s="136"/>
      <s:c r="T29" s="140">
        <s:f>IF(AND(I29&lt;&gt;"",I29&lt;&gt;0),G29/I29,"")</s:f>
        <s:v>0</s:v>
      </s:c>
      <s:c r="U29" s="141">
        <s:f>D29/V29</s:f>
        <s:v>0</s:v>
      </s:c>
      <s:c r="V29" s="142">
        <s:f>$I$8*AB29*AC29/SUMPRODUCT($AC$25:$AC$56,$AB$25:$AB$56)</s:f>
        <s:v>35468.855172413801</s:v>
      </s:c>
      <s:c r="W29" s="143">
        <s:f>$I$9*AB29*AC29/SUMPRODUCT($AC$25:$AC$56,$AB$25:$AB$56)</s:f>
        <s:v>4.8855172413793113</s:v>
      </s:c>
      <s:c r="X29" s="143">
        <s:f>IF($I$12="","",W29/$I$12)</s:f>
        <s:v>2.6551724137931036</s:v>
      </s:c>
      <s:c r="Y29" s="142">
        <s:f>IF(AC29&lt;&gt;"",IF(D29&lt;&gt;"",D29,($I$8-SUM($Y$25:Y28))*AB29*AC29/SUMPRODUCT($AC29:$AC$56,$AB29:$AB$56)),"")</s:f>
        <s:v>0</s:v>
      </s:c>
      <s:c r="Z29" s="143">
        <s:f>IF(AC29&lt;&gt;"",IF(E29&lt;&gt;"",E29,($I$9-SUM($Z$25:Z28))*AB29*AC29/SUMPRODUCT($AC29:$AC$56,$AB29:$AB$56)),"")</s:f>
        <s:v>0</s:v>
      </s:c>
      <s:c r="AA29" s="143">
        <s:f>IF(AC29&lt;&gt;"",IF($I$12&lt;&gt;"",IF(G29&lt;&gt;"",G29,($I$9/$I$12-SUM($AA$25:AA28))*AB29*AC29/SUMPRODUCT($AC29:$AC$56,$AB29:$AB$56)),""),"")</s:f>
        <s:v>0</s:v>
      </s:c>
      <s:c r="AB29" s="339">
        <s:v>1</s:v>
      </s:c>
      <s:c r="AC29" s="339">
        <s:v>1</s:v>
      </s:c>
      <s:c r="AD29" s="145"/>
      <s:c r="AE29" s="145"/>
      <s:c r="AF29" s="2"/>
      <s:c r="AG29" s="2"/>
      <s:c r="AH29" s="2"/>
      <s:c r="AI29" s="2"/>
      <s:c r="AJ29" s="2"/>
      <s:c r="AK29" s="2"/>
      <s:c r="AL29" s="2"/>
      <s:c r="AM29" s="2"/>
    </s:row>
    <s:row r="30">
      <s:c r="A30" s="338">
        <s:v>6</s:v>
      </s:c>
      <s:c r="B30" s="134">
        <s:v>46061</s:v>
      </s:c>
      <s:c r="C30" s="181" t="s">
        <s:v>57</s:v>
      </s:c>
      <s:c r="D30" s="342">
        <s:v>0</s:v>
      </s:c>
      <s:c r="E30" s="343">
        <s:v>0</s:v>
      </s:c>
      <s:c r="F30" s="174" t="str">
        <s:f>IF(AND(E30&lt;&gt;"",E30&lt;&gt;0),D30/E30,"")</s:f>
        <s:v/>
      </s:c>
      <s:c r="G30" s="148">
        <s:v>0</s:v>
      </s:c>
      <s:c r="H30" s="174" t="str">
        <s:f>IF(AND(G30&lt;&gt;"",G30&lt;&gt;0),D30/G30,"")</s:f>
        <s:v/>
      </s:c>
      <s:c r="I30" s="148">
        <s:v>30</s:v>
      </s:c>
      <s:c r="J30" s="138" t="str">
        <s:f>IF(AND(G30&lt;&gt;"",G30&lt;&gt;0),E30/G30,"")</s:f>
        <s:v/>
      </s:c>
      <s:c r="K30" s="136"/>
      <s:c r="L30" s="136"/>
      <s:c r="M30" s="136"/>
      <s:c r="N30" s="136"/>
      <s:c r="O30" s="136"/>
      <s:c r="P30" s="136"/>
      <s:c r="Q30" s="136"/>
      <s:c r="R30" s="136"/>
      <s:c r="S30" s="136"/>
      <s:c r="T30" s="140">
        <s:f>IF(AND(I30&lt;&gt;"",I30&lt;&gt;0),G30/I30,"")</s:f>
        <s:v>0</s:v>
      </s:c>
      <s:c r="U30" s="141">
        <s:f>D30/V30</s:f>
        <s:v>0</s:v>
      </s:c>
      <s:c r="V30" s="142">
        <s:f>$I$8*AB30*AC30/SUMPRODUCT($AC$25:$AC$56,$AB$25:$AB$56)</s:f>
        <s:v>35468.855172413801</s:v>
      </s:c>
      <s:c r="W30" s="143">
        <s:f>$I$9*AB30*AC30/SUMPRODUCT($AC$25:$AC$56,$AB$25:$AB$56)</s:f>
        <s:v>4.8855172413793113</s:v>
      </s:c>
      <s:c r="X30" s="143">
        <s:f>IF($I$12="","",W30/$I$12)</s:f>
        <s:v>2.6551724137931036</s:v>
      </s:c>
      <s:c r="Y30" s="142">
        <s:f>IF(AC30&lt;&gt;"",IF(D30&lt;&gt;"",D30,($I$8-SUM($Y$25:Y29))*AB30*AC30/SUMPRODUCT($AC30:$AC$56,$AB30:$AB$56)),"")</s:f>
        <s:v>0</s:v>
      </s:c>
      <s:c r="Z30" s="143">
        <s:f>IF(AC30&lt;&gt;"",IF(E30&lt;&gt;"",E30,($I$9-SUM($Z$25:Z29))*AB30*AC30/SUMPRODUCT($AC30:$AC$56,$AB30:$AB$56)),"")</s:f>
        <s:v>0</s:v>
      </s:c>
      <s:c r="AA30" s="143">
        <s:f>IF(AC30&lt;&gt;"",IF($I$12&lt;&gt;"",IF(G30&lt;&gt;"",G30,($I$9/$I$12-SUM($AA$25:AA29))*AB30*AC30/SUMPRODUCT($AC30:$AC$56,$AB30:$AB$56)),""),"")</s:f>
        <s:v>0</s:v>
      </s:c>
      <s:c r="AB30" s="339">
        <s:v>1</s:v>
      </s:c>
      <s:c r="AC30" s="339">
        <s:v>1</s:v>
      </s:c>
      <s:c r="AD30" s="145"/>
      <s:c r="AE30" s="145"/>
      <s:c r="AF30" s="160"/>
      <s:c r="AG30" s="2"/>
      <s:c r="AH30" s="2"/>
      <s:c r="AI30" s="2"/>
      <s:c r="AJ30" s="2"/>
      <s:c r="AK30" s="2"/>
      <s:c r="AL30" s="2"/>
      <s:c r="AM30" s="2"/>
    </s:row>
    <s:row r="31">
      <s:c r="A31" s="338">
        <s:v>7</s:v>
      </s:c>
      <s:c r="B31" s="134">
        <s:v>46062</s:v>
      </s:c>
      <s:c r="C31" s="135" t="s">
        <s:v>58</s:v>
      </s:c>
      <s:c r="D31" s="342">
        <s:v>0</s:v>
      </s:c>
      <s:c r="E31" s="148">
        <s:v>0</s:v>
      </s:c>
      <s:c r="F31" s="137" t="str">
        <s:f>IF(AND(E31&lt;&gt;"",E31&lt;&gt;0),D31/E31,"")</s:f>
        <s:v/>
      </s:c>
      <s:c r="G31" s="148">
        <s:v>0</s:v>
      </s:c>
      <s:c r="H31" s="137" t="str">
        <s:f>IF(AND(G31&lt;&gt;"",G31&lt;&gt;0),D31/G31,"")</s:f>
        <s:v/>
      </s:c>
      <s:c r="I31" s="148">
        <s:v>19</s:v>
      </s:c>
      <s:c r="J31" s="138" t="str">
        <s:f>IF(AND(G31&lt;&gt;"",G31&lt;&gt;0),E31/G31,"")</s:f>
        <s:v/>
      </s:c>
      <s:c r="K31" s="136"/>
      <s:c r="L31" s="136"/>
      <s:c r="M31" s="136"/>
      <s:c r="N31" s="136"/>
      <s:c r="O31" s="136"/>
      <s:c r="P31" s="136"/>
      <s:c r="Q31" s="136"/>
      <s:c r="R31" s="136"/>
      <s:c r="S31" s="136"/>
      <s:c r="T31" s="140">
        <s:f>IF(AND(I31&lt;&gt;"",I31&lt;&gt;0),G31/I31,"")</s:f>
        <s:v>0</s:v>
      </s:c>
      <s:c r="U31" s="141">
        <s:f>D31/V31</s:f>
        <s:v>0</s:v>
      </s:c>
      <s:c r="V31" s="142">
        <s:f>$I$8*AB31*AC31/SUMPRODUCT($AC$25:$AC$56,$AB$25:$AB$56)</s:f>
        <s:v>35468.855172413801</s:v>
      </s:c>
      <s:c r="W31" s="143">
        <s:f>$I$9*AB31*AC31/SUMPRODUCT($AC$25:$AC$56,$AB$25:$AB$56)</s:f>
        <s:v>4.8855172413793113</s:v>
      </s:c>
      <s:c r="X31" s="143">
        <s:f>IF($I$12="","",W31/$I$12)</s:f>
        <s:v>2.6551724137931036</s:v>
      </s:c>
      <s:c r="Y31" s="142">
        <s:f>IF(AC31&lt;&gt;"",IF(D31&lt;&gt;"",D31,($I$8-SUM($Y$25:Y30))*AB31*AC31/SUMPRODUCT($AC31:$AC$56,$AB31:$AB$56)),"")</s:f>
        <s:v>0</s:v>
      </s:c>
      <s:c r="Z31" s="143">
        <s:f>IF(AC31&lt;&gt;"",IF(E31&lt;&gt;"",E31,($I$9-SUM($Z$25:Z30))*AB31*AC31/SUMPRODUCT($AC31:$AC$56,$AB31:$AB$56)),"")</s:f>
        <s:v>0</s:v>
      </s:c>
      <s:c r="AA31" s="143">
        <s:f>IF(AC31&lt;&gt;"",IF($I$12&lt;&gt;"",IF(G31&lt;&gt;"",G31,($I$9/$I$12-SUM($AA$25:AA30))*AB31*AC31/SUMPRODUCT($AC31:$AC$56,$AB31:$AB$56)),""),"")</s:f>
        <s:v>0</s:v>
      </s:c>
      <s:c r="AB31" s="339">
        <s:v>1</s:v>
      </s:c>
      <s:c r="AC31" s="339">
        <s:v>1</s:v>
      </s:c>
      <s:c r="AD31" s="145"/>
      <s:c r="AE31" s="145"/>
      <s:c r="AF31" s="160"/>
      <s:c r="AG31" s="2"/>
      <s:c r="AH31" s="2"/>
      <s:c r="AI31" s="2"/>
      <s:c r="AJ31" s="2"/>
      <s:c r="AK31" s="2"/>
      <s:c r="AL31" s="2"/>
      <s:c r="AM31" s="2"/>
    </s:row>
    <s:row r="32">
      <s:c r="A32" s="338">
        <s:v>8</s:v>
      </s:c>
      <s:c r="B32" s="134"/>
      <s:c r="C32" s="181"/>
      <s:c r="D32" s="138"/>
      <s:c r="E32" s="148"/>
      <s:c r="F32" s="174" t="str">
        <s:f>IF(AND(E32&lt;&gt;"",E32&lt;&gt;0),D32/E32,"")</s:f>
        <s:v/>
      </s:c>
      <s:c r="G32" s="148"/>
      <s:c r="H32" s="174" t="str">
        <s:f>IF(AND(G32&lt;&gt;"",G32&lt;&gt;0),D32/G32,"")</s:f>
        <s:v/>
      </s:c>
      <s:c r="I32" s="344"/>
      <s:c r="J32" s="345" t="str">
        <s:f>IF(AND(G32&lt;&gt;"",G32&lt;&gt;0),E32/G32,"")</s:f>
        <s:v/>
      </s:c>
      <s:c r="K32" s="346"/>
      <s:c r="L32" s="346"/>
      <s:c r="M32" s="346"/>
      <s:c r="N32" s="346"/>
      <s:c r="O32" s="346"/>
      <s:c r="P32" s="346"/>
      <s:c r="Q32" s="346"/>
      <s:c r="R32" s="346"/>
      <s:c r="S32" s="346"/>
      <s:c r="T32" s="140" t="str">
        <s:f>IF(AND(I32&lt;&gt;"",I32&lt;&gt;0),G32/I32,"")</s:f>
        <s:v/>
      </s:c>
      <s:c r="U32" s="141" t="e">
        <s:f>D32/V32</s:f>
        <s:v>#DIV/0!</s:v>
      </s:c>
      <s:c r="V32" s="142">
        <s:f>$I$8*AB32*AC32/SUMPRODUCT($AC$25:$AC$56,$AB$25:$AB$56)</s:f>
        <s:v>0</s:v>
      </s:c>
      <s:c r="W32" s="143">
        <s:f>$I$9*AB32*AC32/SUMPRODUCT($AC$25:$AC$56,$AB$25:$AB$56)</s:f>
        <s:v>0</s:v>
      </s:c>
      <s:c r="X32" s="143">
        <s:f>IF($I$12="","",W32/$I$12)</s:f>
        <s:v>0</s:v>
      </s:c>
      <s:c r="Y32" s="142" t="str">
        <s:f>IF(AC32&lt;&gt;"",IF(D32&lt;&gt;"",D32,($I$8-SUM($Y$25:Y31))*AB32*AC32/SUMPRODUCT($AC32:$AC$56,$AB32:$AB$56)),"")</s:f>
        <s:v/>
      </s:c>
      <s:c r="Z32" s="143" t="str">
        <s:f>IF(AC32&lt;&gt;"",IF(E32&lt;&gt;"",E32,($I$9-SUM($Z$25:Z31))*AB32*AC32/SUMPRODUCT($AC32:$AC$56,$AB32:$AB$56)),"")</s:f>
        <s:v/>
      </s:c>
      <s:c r="AA32" s="143" t="str">
        <s:f>IF(AC32&lt;&gt;"",IF($I$12&lt;&gt;"",IF(G32&lt;&gt;"",G32,($I$9/$I$12-SUM($AA$25:AA31))*AB32*AC32/SUMPRODUCT($AC32:$AC$56,$AB32:$AB$56)),""),"")</s:f>
        <s:v/>
      </s:c>
      <s:c r="AB32" s="339"/>
      <s:c r="AC32" s="339"/>
      <s:c r="AD32" s="145"/>
      <s:c r="AE32" s="145"/>
      <s:c r="AF32" s="2"/>
      <s:c r="AG32" s="2"/>
      <s:c r="AH32" s="2"/>
      <s:c r="AI32" s="2"/>
      <s:c r="AJ32" s="2"/>
      <s:c r="AK32" s="2"/>
      <s:c r="AL32" s="2"/>
      <s:c r="AM32" s="2"/>
    </s:row>
    <s:row r="33">
      <s:c r="A33" s="338">
        <s:v>9</s:v>
      </s:c>
      <s:c r="B33" s="134"/>
      <s:c r="C33" s="135"/>
      <s:c r="D33" s="347"/>
      <s:c r="E33" s="148"/>
      <s:c r="F33" s="137" t="str">
        <s:f>IF(AND(E33&lt;&gt;"",E33&lt;&gt;0),D33/E33,"")</s:f>
        <s:v/>
      </s:c>
      <s:c r="G33" s="148"/>
      <s:c r="H33" s="137" t="str">
        <s:f>IF(AND(G33&lt;&gt;"",G33&lt;&gt;0),D33/G33,"")</s:f>
        <s:v/>
      </s:c>
      <s:c r="I33" s="137"/>
      <s:c r="J33" s="138" t="str">
        <s:f>IF(AND(G33&lt;&gt;"",G33&lt;&gt;0),E33/G33,"")</s:f>
        <s:v/>
      </s:c>
      <s:c r="K33" s="137"/>
      <s:c r="L33" s="137"/>
      <s:c r="M33" s="137"/>
      <s:c r="N33" s="137"/>
      <s:c r="O33" s="137"/>
      <s:c r="P33" s="137"/>
      <s:c r="Q33" s="137"/>
      <s:c r="R33" s="137"/>
      <s:c r="S33" s="137"/>
      <s:c r="T33" s="140" t="str">
        <s:f>IF(AND(I33&lt;&gt;"",I33&lt;&gt;0),G33/I33,"")</s:f>
        <s:v/>
      </s:c>
      <s:c r="U33" s="348" t="e">
        <s:f>D33/V33</s:f>
        <s:v>#DIV/0!</s:v>
      </s:c>
      <s:c r="V33" s="142">
        <s:f>$I$8*AB33*AC33/SUMPRODUCT($AC$25:$AC$56,$AB$25:$AB$56)</s:f>
        <s:v>0</s:v>
      </s:c>
      <s:c r="W33" s="349">
        <s:f>$I$9*AB33*AC33/SUMPRODUCT($AC$25:$AC$56,$AB$25:$AB$56)</s:f>
        <s:v>0</s:v>
      </s:c>
      <s:c r="X33" s="143">
        <s:f>IF($I$12="","",W33/$I$12)</s:f>
        <s:v>0</s:v>
      </s:c>
      <s:c r="Y33" s="142" t="str">
        <s:f>IF(AC33&lt;&gt;"",IF(D33&lt;&gt;"",D33,($I$8-SUM($Y$25:Y32))*AB33*AC33/SUMPRODUCT($AC33:$AC$56,$AB33:$AB$56)),"")</s:f>
        <s:v/>
      </s:c>
      <s:c r="Z33" s="143" t="str">
        <s:f>IF(AC33&lt;&gt;"",IF(E33&lt;&gt;"",E33,($I$9-SUM($Z$25:Z32))*AB33*AC33/SUMPRODUCT($AC33:$AC$56,$AB33:$AB$56)),"")</s:f>
        <s:v/>
      </s:c>
      <s:c r="AA33" s="349" t="str">
        <s:f>IF(AC33&lt;&gt;"",IF($I$12&lt;&gt;"",IF(G33&lt;&gt;"",G33,($I$9/$I$12-SUM($AA$25:AA32))*AB33*AC33/SUMPRODUCT($AC33:$AC$56,$AB33:$AB$56)),""),"")</s:f>
        <s:v/>
      </s:c>
      <s:c r="AB33" s="339"/>
      <s:c r="AC33" s="339"/>
      <s:c r="AD33" s="145"/>
      <s:c r="AE33" s="145"/>
      <s:c r="AF33" s="2"/>
      <s:c r="AG33" s="2"/>
      <s:c r="AH33" s="2"/>
      <s:c r="AI33" s="2"/>
      <s:c r="AJ33" s="2"/>
      <s:c r="AK33" s="2"/>
      <s:c r="AL33" s="2"/>
      <s:c r="AM33" s="2"/>
    </s:row>
    <s:row r="34">
      <s:c r="A34" s="340">
        <s:v>10</s:v>
      </s:c>
      <s:c r="B34" s="134"/>
      <s:c r="C34" s="135"/>
      <s:c r="D34" s="138"/>
      <s:c r="E34" s="148"/>
      <s:c r="F34" s="344" t="str">
        <s:f>IF(AND(E34&lt;&gt;"",E34&lt;&gt;0),D34/E34,"")</s:f>
        <s:v/>
      </s:c>
      <s:c r="G34" s="148"/>
      <s:c r="H34" s="137" t="str">
        <s:f>IF(AND(G34&lt;&gt;"",G34&lt;&gt;0),D34/G34,"")</s:f>
        <s:v/>
      </s:c>
      <s:c r="I34" s="137"/>
      <s:c r="J34" s="138" t="str">
        <s:f>IF(AND(G34&lt;&gt;"",G34&lt;&gt;0),E34/G34,"")</s:f>
        <s:v/>
      </s:c>
      <s:c r="K34" s="137"/>
      <s:c r="L34" s="137"/>
      <s:c r="M34" s="137"/>
      <s:c r="N34" s="137"/>
      <s:c r="O34" s="137"/>
      <s:c r="P34" s="137"/>
      <s:c r="Q34" s="137"/>
      <s:c r="R34" s="137"/>
      <s:c r="S34" s="174"/>
      <s:c r="T34" s="350" t="str">
        <s:f>IF(AND(I34&lt;&gt;"",I34&lt;&gt;0),G34/I34,"")</s:f>
        <s:v/>
      </s:c>
      <s:c r="U34" s="141" t="e">
        <s:f>D34/V34</s:f>
        <s:v>#DIV/0!</s:v>
      </s:c>
      <s:c r="V34" s="351">
        <s:f>$I$8*AB34*AC34/SUMPRODUCT($AC$25:$AC$56,$AB$25:$AB$56)</s:f>
        <s:v>0</s:v>
      </s:c>
      <s:c r="W34" s="143">
        <s:f>$I$9*AB34*AC34/SUMPRODUCT($AC$25:$AC$56,$AB$25:$AB$56)</s:f>
        <s:v>0</s:v>
      </s:c>
      <s:c r="X34" s="349">
        <s:f>IF($I$12="","",W34/$I$12)</s:f>
        <s:v>0</s:v>
      </s:c>
      <s:c r="Y34" s="142" t="str">
        <s:f>IF(AC34&lt;&gt;"",IF(D34&lt;&gt;"",D34,($I$8-SUM($Y$25:Y33))*AB34*AC34/SUMPRODUCT($AC34:$AC$56,$AB34:$AB$56)),"")</s:f>
        <s:v/>
      </s:c>
      <s:c r="Z34" s="349" t="str">
        <s:f>IF(AC34&lt;&gt;"",IF(E34&lt;&gt;"",E34,($I$9-SUM($Z$25:Z33))*AB34*AC34/SUMPRODUCT($AC34:$AC$56,$AB34:$AB$56)),"")</s:f>
        <s:v/>
      </s:c>
      <s:c r="AA34" s="143" t="str">
        <s:f>IF(AC34&lt;&gt;"",IF($I$12&lt;&gt;"",IF(G34&lt;&gt;"",G34,($I$9/$I$12-SUM($AA$25:AA33))*AB34*AC34/SUMPRODUCT($AC34:$AC$56,$AB34:$AB$56)),""),"")</s:f>
        <s:v/>
      </s:c>
      <s:c r="AB34" s="339"/>
      <s:c r="AC34" s="339"/>
      <s:c r="AD34" s="145"/>
      <s:c r="AE34" s="145"/>
      <s:c r="AF34" s="160"/>
      <s:c r="AG34" s="2"/>
      <s:c r="AH34" s="2"/>
      <s:c r="AI34" s="2"/>
      <s:c r="AJ34" s="2"/>
      <s:c r="AK34" s="2"/>
      <s:c r="AL34" s="2"/>
      <s:c r="AM34" s="2"/>
    </s:row>
    <s:row r="35">
      <s:c r="A35" s="340">
        <s:v>11</s:v>
      </s:c>
      <s:c r="B35" s="134"/>
      <s:c r="C35" s="181"/>
      <s:c r="D35" s="138"/>
      <s:c r="E35" s="148"/>
      <s:c r="F35" s="137" t="str">
        <s:f>IF(AND(E35&lt;&gt;"",E35&lt;&gt;0),D35/E35,"")</s:f>
        <s:v/>
      </s:c>
      <s:c r="G35" s="148"/>
      <s:c r="H35" s="137" t="str">
        <s:f>IF(AND(G35&lt;&gt;"",G35&lt;&gt;0),D35/G35,"")</s:f>
        <s:v/>
      </s:c>
      <s:c r="I35" s="137"/>
      <s:c r="J35" s="138" t="str">
        <s:f>IF(AND(G35&lt;&gt;"",G35&lt;&gt;0),E35/G35,"")</s:f>
        <s:v/>
      </s:c>
      <s:c r="K35" s="137"/>
      <s:c r="L35" s="137"/>
      <s:c r="M35" s="137"/>
      <s:c r="N35" s="137"/>
      <s:c r="O35" s="137"/>
      <s:c r="P35" s="137"/>
      <s:c r="Q35" s="137"/>
      <s:c r="R35" s="137"/>
      <s:c r="S35" s="137"/>
      <s:c r="T35" s="140" t="str">
        <s:f>IF(AND(I35&lt;&gt;"",I35&lt;&gt;0),G35/I35,"")</s:f>
        <s:v/>
      </s:c>
      <s:c r="U35" s="348" t="e">
        <s:f>D35/V35</s:f>
        <s:v>#DIV/0!</s:v>
      </s:c>
      <s:c r="V35" s="142">
        <s:f>$I$8*AB35*AC35/SUMPRODUCT($AC$25:$AC$56,$AB$25:$AB$56)</s:f>
        <s:v>0</s:v>
      </s:c>
      <s:c r="W35" s="349">
        <s:f>$I$9*AB35*AC35/SUMPRODUCT($AC$25:$AC$56,$AB$25:$AB$56)</s:f>
        <s:v>0</s:v>
      </s:c>
      <s:c r="X35" s="143">
        <s:f>IF($I$12="","",W35/$I$12)</s:f>
        <s:v>0</s:v>
      </s:c>
      <s:c r="Y35" s="142" t="str">
        <s:f>IF(AC35&lt;&gt;"",IF(D35&lt;&gt;"",D35,($I$8-SUM($Y$25:Y34))*AB35*AC35/SUMPRODUCT($AC35:$AC$56,$AB35:$AB$56)),"")</s:f>
        <s:v/>
      </s:c>
      <s:c r="Z35" s="143" t="str">
        <s:f>IF(AC35&lt;&gt;"",IF(E35&lt;&gt;"",E35,($I$9-SUM($Z$25:Z34))*AB35*AC35/SUMPRODUCT($AC35:$AC$56,$AB35:$AB$56)),"")</s:f>
        <s:v/>
      </s:c>
      <s:c r="AA35" s="143" t="str">
        <s:f>IF(AC35&lt;&gt;"",IF($I$12&lt;&gt;"",IF(G35&lt;&gt;"",G35,($I$9/$I$12-SUM($AA$25:AA34))*AB35*AC35/SUMPRODUCT($AC35:$AC$56,$AB35:$AB$56)),""),"")</s:f>
        <s:v/>
      </s:c>
      <s:c r="AB35" s="339"/>
      <s:c r="AC35" s="339"/>
      <s:c r="AD35" s="145"/>
      <s:c r="AE35" s="145"/>
      <s:c r="AF35" s="160"/>
      <s:c r="AG35" s="2"/>
      <s:c r="AH35" s="2"/>
      <s:c r="AI35" s="2"/>
      <s:c r="AJ35" s="2"/>
      <s:c r="AK35" s="2"/>
      <s:c r="AL35" s="2"/>
      <s:c r="AM35" s="2"/>
    </s:row>
    <s:row r="36">
      <s:c r="A36" s="340">
        <s:v>12</s:v>
      </s:c>
      <s:c r="B36" s="134"/>
      <s:c r="C36" s="135"/>
      <s:c r="D36" s="347"/>
      <s:c r="E36" s="148"/>
      <s:c r="F36" s="174" t="str">
        <s:f>IF(AND(E36&lt;&gt;"",E36&lt;&gt;0),D36/E36,"")</s:f>
        <s:v/>
      </s:c>
      <s:c r="G36" s="148"/>
      <s:c r="H36" s="137" t="str">
        <s:f>IF(AND(G36&lt;&gt;"",G36&lt;&gt;0),D36/G36,"")</s:f>
        <s:v/>
      </s:c>
      <s:c r="I36" s="137"/>
      <s:c r="J36" s="138" t="str">
        <s:f>IF(AND(G36&lt;&gt;"",G36&lt;&gt;0),E36/G36,"")</s:f>
        <s:v/>
      </s:c>
      <s:c r="K36" s="137"/>
      <s:c r="L36" s="137"/>
      <s:c r="M36" s="137"/>
      <s:c r="N36" s="137"/>
      <s:c r="O36" s="137"/>
      <s:c r="P36" s="137"/>
      <s:c r="Q36" s="137"/>
      <s:c r="R36" s="137"/>
      <s:c r="S36" s="137"/>
      <s:c r="T36" s="140" t="str">
        <s:f>IF(AND(I36&lt;&gt;"",I36&lt;&gt;0),G36/I36,"")</s:f>
        <s:v/>
      </s:c>
      <s:c r="U36" s="141" t="e">
        <s:f>D36/V36</s:f>
        <s:v>#DIV/0!</s:v>
      </s:c>
      <s:c r="V36" s="142">
        <s:f>$I$8*AB36*AC36/SUMPRODUCT($AC$25:$AC$56,$AB$25:$AB$56)</s:f>
        <s:v>0</s:v>
      </s:c>
      <s:c r="W36" s="143">
        <s:f>$I$9*AB36*AC36/SUMPRODUCT($AC$25:$AC$56,$AB$25:$AB$56)</s:f>
        <s:v>0</s:v>
      </s:c>
      <s:c r="X36" s="143">
        <s:f>IF($I$12="","",W36/$I$12)</s:f>
        <s:v>0</s:v>
      </s:c>
      <s:c r="Y36" s="142" t="str">
        <s:f>IF(AC36&lt;&gt;"",IF(D36&lt;&gt;"",D36,($I$8-SUM($Y$25:Y35))*AB36*AC36/SUMPRODUCT($AC36:$AC$56,$AB36:$AB$56)),"")</s:f>
        <s:v/>
      </s:c>
      <s:c r="Z36" s="143" t="str">
        <s:f>IF(AC36&lt;&gt;"",IF(E36&lt;&gt;"",E36,($I$9-SUM($Z$25:Z35))*AB36*AC36/SUMPRODUCT($AC36:$AC$56,$AB36:$AB$56)),"")</s:f>
        <s:v/>
      </s:c>
      <s:c r="AA36" s="143" t="str">
        <s:f>IF(AC36&lt;&gt;"",IF($I$12&lt;&gt;"",IF(G36&lt;&gt;"",G36,($I$9/$I$12-SUM($AA$25:AA35))*AB36*AC36/SUMPRODUCT($AC36:$AC$56,$AB36:$AB$56)),""),"")</s:f>
        <s:v/>
      </s:c>
      <s:c r="AB36" s="339"/>
      <s:c r="AC36" s="339"/>
      <s:c r="AD36" s="145"/>
      <s:c r="AE36" s="145"/>
      <s:c r="AF36" s="160"/>
      <s:c r="AG36" s="2"/>
      <s:c r="AH36" s="2"/>
      <s:c r="AI36" s="2"/>
      <s:c r="AJ36" s="2"/>
      <s:c r="AK36" s="2"/>
      <s:c r="AL36" s="2"/>
      <s:c r="AM36" s="2"/>
    </s:row>
    <s:row r="37">
      <s:c r="A37" s="340">
        <s:v>13</s:v>
      </s:c>
      <s:c r="B37" s="134"/>
      <s:c r="C37" s="175"/>
      <s:c r="D37" s="138"/>
      <s:c r="E37" s="148"/>
      <s:c r="F37" s="137" t="str">
        <s:f>IF(AND(E37&lt;&gt;"",E37&lt;&gt;0),D37/E37,"")</s:f>
        <s:v/>
      </s:c>
      <s:c r="G37" s="148"/>
      <s:c r="H37" s="137" t="str">
        <s:f>IF(AND(G37&lt;&gt;"",G37&lt;&gt;0),D37/G37,"")</s:f>
        <s:v/>
      </s:c>
      <s:c r="I37" s="137"/>
      <s:c r="J37" s="138" t="str">
        <s:f>IF(AND(G37&lt;&gt;"",G37&lt;&gt;0),E37/G37,"")</s:f>
        <s:v/>
      </s:c>
      <s:c r="K37" s="137"/>
      <s:c r="L37" s="137"/>
      <s:c r="M37" s="137"/>
      <s:c r="N37" s="137"/>
      <s:c r="O37" s="137"/>
      <s:c r="P37" s="137"/>
      <s:c r="Q37" s="137"/>
      <s:c r="R37" s="137"/>
      <s:c r="S37" s="137"/>
      <s:c r="T37" s="140" t="str">
        <s:f>IF(AND(I37&lt;&gt;"",I37&lt;&gt;0),G37/I37,"")</s:f>
        <s:v/>
      </s:c>
      <s:c r="U37" s="141" t="e">
        <s:f>D37/V37</s:f>
        <s:v>#DIV/0!</s:v>
      </s:c>
      <s:c r="V37" s="142">
        <s:f>$I$8*AB37*AC37/SUMPRODUCT($AC$25:$AC$56,$AB$25:$AB$56)</s:f>
        <s:v>0</s:v>
      </s:c>
      <s:c r="W37" s="349">
        <s:f>$I$9*AB37*AC37/SUMPRODUCT($AC$25:$AC$56,$AB$25:$AB$56)</s:f>
        <s:v>0</s:v>
      </s:c>
      <s:c r="X37" s="143">
        <s:f>IF($I$12="","",W37/$I$12)</s:f>
        <s:v>0</s:v>
      </s:c>
      <s:c r="Y37" s="142" t="str">
        <s:f>IF(AC37&lt;&gt;"",IF(D37&lt;&gt;"",D37,($I$8-SUM($Y$25:Y36))*AB37*AC37/SUMPRODUCT($AC37:$AC$56,$AB37:$AB$56)),"")</s:f>
        <s:v/>
      </s:c>
      <s:c r="Z37" s="143" t="str">
        <s:f>IF(AC37&lt;&gt;"",IF(E37&lt;&gt;"",E37,($I$9-SUM($Z$25:Z36))*AB37*AC37/SUMPRODUCT($AC37:$AC$56,$AB37:$AB$56)),"")</s:f>
        <s:v/>
      </s:c>
      <s:c r="AA37" s="143" t="str">
        <s:f>IF(AC37&lt;&gt;"",IF($I$12&lt;&gt;"",IF(G37&lt;&gt;"",G37,($I$9/$I$12-SUM($AA$25:AA36))*AB37*AC37/SUMPRODUCT($AC37:$AC$56,$AB37:$AB$56)),""),"")</s:f>
        <s:v/>
      </s:c>
      <s:c r="AB37" s="339"/>
      <s:c r="AC37" s="339"/>
      <s:c r="AD37" s="145"/>
      <s:c r="AE37" s="145"/>
      <s:c r="AF37" s="160"/>
      <s:c r="AG37" s="2"/>
      <s:c r="AH37" s="2"/>
      <s:c r="AI37" s="2"/>
      <s:c r="AJ37" s="2"/>
      <s:c r="AK37" s="2"/>
      <s:c r="AL37" s="2"/>
      <s:c r="AM37" s="2"/>
    </s:row>
    <s:row r="38">
      <s:c r="A38" s="340">
        <s:v>14</s:v>
      </s:c>
      <s:c r="B38" s="134"/>
      <s:c r="C38" s="175"/>
      <s:c r="D38" s="138"/>
      <s:c r="E38" s="148"/>
      <s:c r="F38" s="346" t="str">
        <s:f>IF(AND(E38&lt;&gt;"",E38&lt;&gt;0),D38/E38,"")</s:f>
        <s:v/>
      </s:c>
      <s:c r="G38" s="148"/>
      <s:c r="H38" s="137" t="str">
        <s:f>IF(AND(G38&lt;&gt;"",G38&lt;&gt;0),D38/G38,"")</s:f>
        <s:v/>
      </s:c>
      <s:c r="I38" s="137"/>
      <s:c r="J38" s="138" t="str">
        <s:f>IF(AND(G38&lt;&gt;"",G38&lt;&gt;0),E38/G38,"")</s:f>
        <s:v/>
      </s:c>
      <s:c r="K38" s="137"/>
      <s:c r="L38" s="137"/>
      <s:c r="M38" s="137"/>
      <s:c r="N38" s="137"/>
      <s:c r="O38" s="137"/>
      <s:c r="P38" s="137"/>
      <s:c r="Q38" s="137"/>
      <s:c r="R38" s="137"/>
      <s:c r="S38" s="137"/>
      <s:c r="T38" s="352" t="str">
        <s:f>IF(AND(I38&lt;&gt;"",I38&lt;&gt;0),G38/I38,"")</s:f>
        <s:v/>
      </s:c>
      <s:c r="U38" s="141" t="e">
        <s:f>D38/V38</s:f>
        <s:v>#DIV/0!</s:v>
      </s:c>
      <s:c r="V38" s="142">
        <s:f>$I$8*AB38*AC38/SUMPRODUCT($AC$25:$AC$46,$AB$25:$AB$46)</s:f>
        <s:v>0</s:v>
      </s:c>
      <s:c r="W38" s="143">
        <s:f>$I$9*AB38*AC38/SUMPRODUCT($AC$25:$AC$46,$AB$25:$AB$46)</s:f>
        <s:v>0</s:v>
      </s:c>
      <s:c r="X38" s="143">
        <s:f>IF($I$12="","",W38/$I$12)</s:f>
        <s:v>0</s:v>
      </s:c>
      <s:c r="Y38" s="142" t="str">
        <s:f>IF(AC38&lt;&gt;"",IF(D38&lt;&gt;"",D38,($I$8-SUM($Y$25:Y37))*AB38*AC38/SUMPRODUCT($AC38:$AC$56,$AB38:$AB$56)),"")</s:f>
        <s:v/>
      </s:c>
      <s:c r="Z38" s="143" t="str">
        <s:f>IF(AC38&lt;&gt;"",IF(E38&lt;&gt;"",E38,($I$9-SUM($Z$25:Z37))*AB38*AC38/SUMPRODUCT($AC38:$AC$56,$AB38:$AB$56)),"")</s:f>
        <s:v/>
      </s:c>
      <s:c r="AA38" s="143" t="str">
        <s:f>IF(AC38&lt;&gt;"",IF($I$12&lt;&gt;"",IF(G38&lt;&gt;"",G38,($I$9/$I$12-SUM($AA$25:AA37))*AB38*AC38/SUMPRODUCT($AC38:$AC$56,$AB38:$AB$56)),""),"")</s:f>
        <s:v/>
      </s:c>
      <s:c r="AB38" s="339"/>
      <s:c r="AC38" s="339"/>
      <s:c r="AD38" s="353"/>
      <s:c r="AE38" s="353"/>
    </s:row>
    <s:row r="39">
      <s:c r="A39" s="340">
        <s:v>15</s:v>
      </s:c>
      <s:c r="B39" s="134"/>
      <s:c r="C39" s="135"/>
      <s:c r="D39" s="138"/>
      <s:c r="E39" s="354"/>
      <s:c r="F39" s="355" t="str">
        <s:f>IF(AND(E39&lt;&gt;"",E39&lt;&gt;0),D39/E39,"")</s:f>
        <s:v/>
      </s:c>
      <s:c r="G39" s="136"/>
      <s:c r="H39" s="137" t="str">
        <s:f>IF(AND(G39&lt;&gt;"",G39&lt;&gt;0),D39/G39,"")</s:f>
        <s:v/>
      </s:c>
      <s:c r="I39" s="137"/>
      <s:c r="J39" s="138" t="str">
        <s:f>IF(AND(G39&lt;&gt;"",G39&lt;&gt;0),E39/G39,"")</s:f>
        <s:v/>
      </s:c>
      <s:c r="K39" s="137"/>
      <s:c r="L39" s="137"/>
      <s:c r="M39" s="137"/>
      <s:c r="N39" s="137"/>
      <s:c r="O39" s="137"/>
      <s:c r="P39" s="137"/>
      <s:c r="Q39" s="137"/>
      <s:c r="R39" s="137"/>
      <s:c r="S39" s="137"/>
      <s:c r="T39" s="352" t="str">
        <s:f>IF(AND(I39&lt;&gt;"",I39&lt;&gt;0),G39/I39,"")</s:f>
        <s:v/>
      </s:c>
      <s:c r="U39" s="141" t="e">
        <s:f>D39/V39</s:f>
        <s:v>#DIV/0!</s:v>
      </s:c>
      <s:c r="V39" s="142">
        <s:f>$I$8*AB39*AC39/SUMPRODUCT($AC$25:$AC$46,$AB$25:$AB$46)</s:f>
        <s:v>0</s:v>
      </s:c>
      <s:c r="W39" s="143">
        <s:f>$I$9*AB39*AC39/SUMPRODUCT($AC$25:$AC$46,$AB$25:$AB$46)</s:f>
        <s:v>0</s:v>
      </s:c>
      <s:c r="X39" s="143">
        <s:f>IF($I$12="","",W39/$I$12)</s:f>
        <s:v>0</s:v>
      </s:c>
      <s:c r="Y39" s="142" t="str">
        <s:f>IF(AC39&lt;&gt;"",IF(D39&lt;&gt;"",D39,($I$8-SUM($Y$25:Y38))*AB39*AC39/SUMPRODUCT($AC39:$AC$56,$AB39:$AB$56)),"")</s:f>
        <s:v/>
      </s:c>
      <s:c r="Z39" s="143" t="str">
        <s:f>IF(AC39&lt;&gt;"",IF(E39&lt;&gt;"",E39,($I$9-SUM($Z$25:Z38))*AB39*AC39/SUMPRODUCT($AC39:$AC$56,$AB39:$AB$56)),"")</s:f>
        <s:v/>
      </s:c>
      <s:c r="AA39" s="143" t="str">
        <s:f>IF(AC39&lt;&gt;"",IF($I$12&lt;&gt;"",IF(G39&lt;&gt;"",G39,($I$9/$I$12-SUM($AA$25:AA38))*AB39*AC39/SUMPRODUCT($AC39:$AC$56,$AB39:$AB$56)),""),"")</s:f>
        <s:v/>
      </s:c>
      <s:c r="AB39" s="339"/>
      <s:c r="AC39" s="339"/>
      <s:c r="AD39" s="353"/>
      <s:c r="AE39" s="353"/>
      <s:c r="AF39" s="356"/>
    </s:row>
    <s:row r="40">
      <s:c r="A40" s="340">
        <s:v>16</s:v>
      </s:c>
      <s:c r="B40" s="134"/>
      <s:c r="C40" s="175"/>
      <s:c r="D40" s="138"/>
      <s:c r="E40" s="148"/>
      <s:c r="F40" s="344" t="str">
        <s:f>IF(AND(E40&lt;&gt;"",E40&lt;&gt;0),D40/E40,"")</s:f>
        <s:v/>
      </s:c>
      <s:c r="G40" s="148"/>
      <s:c r="H40" s="137" t="str">
        <s:f>IF(AND(G40&lt;&gt;"",G40&lt;&gt;0),D40/G40,"")</s:f>
        <s:v/>
      </s:c>
      <s:c r="I40" s="137"/>
      <s:c r="J40" s="138" t="str">
        <s:f>IF(AND(G40&lt;&gt;"",G40&lt;&gt;0),E40/G40,"")</s:f>
        <s:v/>
      </s:c>
      <s:c r="K40" s="137"/>
      <s:c r="L40" s="137"/>
      <s:c r="M40" s="137"/>
      <s:c r="N40" s="137"/>
      <s:c r="O40" s="137"/>
      <s:c r="P40" s="137"/>
      <s:c r="Q40" s="137"/>
      <s:c r="R40" s="137"/>
      <s:c r="S40" s="137"/>
      <s:c r="T40" s="352" t="str">
        <s:f>IF(AND(I40&lt;&gt;"",I40&lt;&gt;0),G40/I40,"")</s:f>
        <s:v/>
      </s:c>
      <s:c r="U40" s="141" t="e">
        <s:f>D40/V40</s:f>
        <s:v>#DIV/0!</s:v>
      </s:c>
      <s:c r="V40" s="142">
        <s:f>$I$8*AB40*AC40/SUMPRODUCT($AC$25:$AC$46,$AB$25:$AB$46)</s:f>
        <s:v>0</s:v>
      </s:c>
      <s:c r="W40" s="143">
        <s:f>$I$9*AB40*AC40/SUMPRODUCT($AC$25:$AC$46,$AB$25:$AB$46)</s:f>
        <s:v>0</s:v>
      </s:c>
      <s:c r="X40" s="143">
        <s:f>IF($I$12="","",W40/$I$12)</s:f>
        <s:v>0</s:v>
      </s:c>
      <s:c r="Y40" s="142" t="str">
        <s:f>IF(AC40&lt;&gt;"",IF(D40&lt;&gt;"",D40,($I$8-SUM($Y$25:Y39))*AB40*AC40/SUMPRODUCT($AC40:$AC$56,$AB40:$AB$56)),"")</s:f>
        <s:v/>
      </s:c>
      <s:c r="Z40" s="143" t="str">
        <s:f>IF(AC40&lt;&gt;"",IF(E40&lt;&gt;"",E40,($I$9-SUM($Z$25:Z39))*AB40*AC40/SUMPRODUCT($AC40:$AC$56,$AB40:$AB$56)),"")</s:f>
        <s:v/>
      </s:c>
      <s:c r="AA40" s="143" t="str">
        <s:f>IF(AC40&lt;&gt;"",IF($I$12&lt;&gt;"",IF(G40&lt;&gt;"",G40,($I$9/$I$12-SUM($AA$25:AA39))*AB40*AC40/SUMPRODUCT($AC40:$AC$56,$AB40:$AB$56)),""),"")</s:f>
        <s:v/>
      </s:c>
      <s:c r="AB40" s="339"/>
      <s:c r="AC40" s="339"/>
      <s:c r="AD40" s="353"/>
      <s:c r="AE40" s="353"/>
      <s:c r="AF40" s="356"/>
    </s:row>
    <s:row r="41">
      <s:c r="A41" s="340">
        <s:v>17</s:v>
      </s:c>
      <s:c r="B41" s="134"/>
      <s:c r="C41" s="175"/>
      <s:c r="D41" s="138"/>
      <s:c r="E41" s="148"/>
      <s:c r="F41" s="137" t="str">
        <s:f>IF(AND(E41&lt;&gt;"",E41&lt;&gt;0),D41/E41,"")</s:f>
        <s:v/>
      </s:c>
      <s:c r="G41" s="148"/>
      <s:c r="H41" s="137" t="str">
        <s:f>IF(AND(G41&lt;&gt;"",G41&lt;&gt;0),D41/G41,"")</s:f>
        <s:v/>
      </s:c>
      <s:c r="I41" s="137"/>
      <s:c r="J41" s="138" t="str">
        <s:f>IF(AND(G41&lt;&gt;"",G41&lt;&gt;0),E41/G41,"")</s:f>
        <s:v/>
      </s:c>
      <s:c r="K41" s="137"/>
      <s:c r="L41" s="137"/>
      <s:c r="M41" s="137"/>
      <s:c r="N41" s="137"/>
      <s:c r="O41" s="137"/>
      <s:c r="P41" s="137"/>
      <s:c r="Q41" s="137"/>
      <s:c r="R41" s="137"/>
      <s:c r="S41" s="137"/>
      <s:c r="T41" s="352" t="str">
        <s:f>IF(AND(I41&lt;&gt;"",I41&lt;&gt;0),G41/I41,"")</s:f>
        <s:v/>
      </s:c>
      <s:c r="U41" s="141" t="e">
        <s:f>D41/V41</s:f>
        <s:v>#DIV/0!</s:v>
      </s:c>
      <s:c r="V41" s="142">
        <s:f>$I$8*AB41*AC41/SUMPRODUCT($AC$25:$AC$46,$AB$25:$AB$46)</s:f>
        <s:v>0</s:v>
      </s:c>
      <s:c r="W41" s="143">
        <s:f>$I$9*AB41*AC41/SUMPRODUCT($AC$25:$AC$46,$AB$25:$AB$46)</s:f>
        <s:v>0</s:v>
      </s:c>
      <s:c r="X41" s="143">
        <s:f>IF($I$12="","",W41/$I$12)</s:f>
        <s:v>0</s:v>
      </s:c>
      <s:c r="Y41" s="142" t="str">
        <s:f>IF(AC41&lt;&gt;"",IF(D41&lt;&gt;"",D41,($I$8-SUM($Y$25:Y40))*AB41*AC41/SUMPRODUCT($AC41:$AC$56,$AB41:$AB$56)),"")</s:f>
        <s:v/>
      </s:c>
      <s:c r="Z41" s="143" t="str">
        <s:f>IF(AC41&lt;&gt;"",IF(E41&lt;&gt;"",E41,($I$9-SUM($Z$25:Z40))*AB41*AC41/SUMPRODUCT($AC41:$AC$56,$AB41:$AB$56)),"")</s:f>
        <s:v/>
      </s:c>
      <s:c r="AA41" s="143" t="str">
        <s:f>IF(AC41&lt;&gt;"",IF($I$12&lt;&gt;"",IF(G41&lt;&gt;"",G41,($I$9/$I$12-SUM($AA$25:AA40))*AB41*AC41/SUMPRODUCT($AC41:$AC$56,$AB41:$AB$56)),""),"")</s:f>
        <s:v/>
      </s:c>
      <s:c r="AB41" s="339"/>
      <s:c r="AC41" s="339"/>
      <s:c r="AD41" s="353"/>
      <s:c r="AE41" s="353"/>
      <s:c r="AF41" s="356"/>
    </s:row>
    <s:row r="42">
      <s:c r="A42" s="340">
        <s:v>18</s:v>
      </s:c>
      <s:c r="B42" s="134"/>
      <s:c r="C42" s="175"/>
      <s:c r="D42" s="138"/>
      <s:c r="E42" s="148"/>
      <s:c r="F42" s="137" t="str">
        <s:f>IF(AND(E42&lt;&gt;"",E42&lt;&gt;0),D42/E42,"")</s:f>
        <s:v/>
      </s:c>
      <s:c r="G42" s="148"/>
      <s:c r="H42" s="137" t="str">
        <s:f>IF(AND(G42&lt;&gt;"",G42&lt;&gt;0),D42/G42,"")</s:f>
        <s:v/>
      </s:c>
      <s:c r="I42" s="148"/>
      <s:c r="J42" s="138" t="str">
        <s:f>IF(AND(G42&lt;&gt;"",G42&lt;&gt;0),E42/G42,"")</s:f>
        <s:v/>
      </s:c>
      <s:c r="K42" s="137"/>
      <s:c r="L42" s="137"/>
      <s:c r="M42" s="137"/>
      <s:c r="N42" s="137"/>
      <s:c r="O42" s="137"/>
      <s:c r="P42" s="137"/>
      <s:c r="Q42" s="137"/>
      <s:c r="R42" s="137"/>
      <s:c r="S42" s="137"/>
      <s:c r="T42" s="352" t="str">
        <s:f>IF(AND(I42&lt;&gt;"",I42&lt;&gt;0),G42/I42,"")</s:f>
        <s:v/>
      </s:c>
      <s:c r="U42" s="141" t="e">
        <s:f>D42/V42</s:f>
        <s:v>#DIV/0!</s:v>
      </s:c>
      <s:c r="V42" s="142">
        <s:f>$I$8*AB42*AC42/SUMPRODUCT($AC$25:$AC$46,$AB$25:$AB$46)</s:f>
        <s:v>0</s:v>
      </s:c>
      <s:c r="W42" s="143">
        <s:f>$I$9*AB42*AC42/SUMPRODUCT($AC$25:$AC$46,$AB$25:$AB$46)</s:f>
        <s:v>0</s:v>
      </s:c>
      <s:c r="X42" s="143">
        <s:f>IF($I$12="","",W42/$I$12)</s:f>
        <s:v>0</s:v>
      </s:c>
      <s:c r="Y42" s="142" t="str">
        <s:f>IF(AC42&lt;&gt;"",IF(D42&lt;&gt;"",D42,($I$8-SUM($Y$25:Y41))*AB42*AC42/SUMPRODUCT($AC42:$AC$56,$AB42:$AB$56)),"")</s:f>
        <s:v/>
      </s:c>
      <s:c r="Z42" s="143" t="str">
        <s:f>IF(AC42&lt;&gt;"",IF(E42&lt;&gt;"",E42,($I$9-SUM($Z$25:Z41))*AB42*AC42/SUMPRODUCT($AC42:$AC$56,$AB42:$AB$56)),"")</s:f>
        <s:v/>
      </s:c>
      <s:c r="AA42" s="143" t="str">
        <s:f>IF(AC42&lt;&gt;"",IF($I$12&lt;&gt;"",IF(G42&lt;&gt;"",G42,($I$9/$I$12-SUM($AA$25:AA41))*AB42*AC42/SUMPRODUCT($AC42:$AC$56,$AB42:$AB$56)),""),"")</s:f>
        <s:v/>
      </s:c>
      <s:c r="AB42" s="339"/>
      <s:c r="AC42" s="339"/>
      <s:c r="AD42" s="353"/>
      <s:c r="AE42" s="353"/>
      <s:c r="AF42" s="356"/>
    </s:row>
    <s:row r="43">
      <s:c r="A43" s="340">
        <s:v>19</s:v>
      </s:c>
      <s:c r="B43" s="134"/>
      <s:c r="C43" s="175"/>
      <s:c r="D43" s="357"/>
      <s:c r="E43" s="358"/>
      <s:c r="F43" s="137" t="str">
        <s:f>IF(AND(E43&lt;&gt;"",E43&lt;&gt;0),D43/E43,"")</s:f>
        <s:v/>
      </s:c>
      <s:c r="G43" s="358"/>
      <s:c r="H43" s="137" t="str">
        <s:f>IF(AND(G43&lt;&gt;"",G43&lt;&gt;0),D43/G43,"")</s:f>
        <s:v/>
      </s:c>
      <s:c r="I43" s="358"/>
      <s:c r="J43" s="138" t="str">
        <s:f>IF(AND(G43&lt;&gt;"",G43&lt;&gt;0),E43/G43,"")</s:f>
        <s:v/>
      </s:c>
      <s:c r="K43" s="137"/>
      <s:c r="L43" s="137"/>
      <s:c r="M43" s="137"/>
      <s:c r="N43" s="137"/>
      <s:c r="O43" s="137"/>
      <s:c r="P43" s="137"/>
      <s:c r="Q43" s="137"/>
      <s:c r="R43" s="137"/>
      <s:c r="S43" s="137"/>
      <s:c r="T43" s="352" t="str">
        <s:f>IF(AND(I43&lt;&gt;"",I43&lt;&gt;0),G43/I43,"")</s:f>
        <s:v/>
      </s:c>
      <s:c r="U43" s="141" t="e">
        <s:f>D43/V43</s:f>
        <s:v>#DIV/0!</s:v>
      </s:c>
      <s:c r="V43" s="142">
        <s:f>$I$8*AB43*AC43/SUMPRODUCT($AC$25:$AC$46,$AB$25:$AB$46)</s:f>
        <s:v>0</s:v>
      </s:c>
      <s:c r="W43" s="143">
        <s:f>$I$9*AB43*AC43/SUMPRODUCT($AC$25:$AC$46,$AB$25:$AB$46)</s:f>
        <s:v>0</s:v>
      </s:c>
      <s:c r="X43" s="143">
        <s:f>IF($I$12="","",W43/$I$12)</s:f>
        <s:v>0</s:v>
      </s:c>
      <s:c r="Y43" s="142" t="str">
        <s:f>IF(AC43&lt;&gt;"",IF(D43&lt;&gt;"",D43,($I$8-SUM($Y$25:Y42))*AB43*AC43/SUMPRODUCT($AC43:$AC$56,$AB43:$AB$56)),"")</s:f>
        <s:v/>
      </s:c>
      <s:c r="Z43" s="143" t="str">
        <s:f>IF(AC43&lt;&gt;"",IF(E43&lt;&gt;"",E43,($I$9-SUM($Z$25:Z42))*AB43*AC43/SUMPRODUCT($AC43:$AC$56,$AB43:$AB$56)),"")</s:f>
        <s:v/>
      </s:c>
      <s:c r="AA43" s="143" t="str">
        <s:f>IF(AC43&lt;&gt;"",IF($I$12&lt;&gt;"",IF(G43&lt;&gt;"",G43,($I$9/$I$12-SUM($AA$25:AA42))*AB43*AC43/SUMPRODUCT($AC43:$AC$56,$AB43:$AB$56)),""),"")</s:f>
        <s:v/>
      </s:c>
      <s:c r="AB43" s="339"/>
      <s:c r="AC43" s="339"/>
      <s:c r="AD43" s="353"/>
      <s:c r="AE43" s="353"/>
      <s:c r="AF43" s="356"/>
    </s:row>
    <s:row r="44">
      <s:c r="A44" s="340"/>
      <s:c r="B44" s="134"/>
      <s:c r="C44" s="175"/>
      <s:c r="D44" s="357"/>
      <s:c r="E44" s="358"/>
      <s:c r="F44" s="137" t="str">
        <s:f>IF(AND(E44&lt;&gt;"",E44&lt;&gt;0),D44/E44,"")</s:f>
        <s:v/>
      </s:c>
      <s:c r="G44" s="358"/>
      <s:c r="H44" s="137" t="str">
        <s:f>IF(AND(G44&lt;&gt;"",G44&lt;&gt;0),D44/G44,"")</s:f>
        <s:v/>
      </s:c>
      <s:c r="I44" s="358"/>
      <s:c r="J44" s="138" t="str">
        <s:f>IF(AND(G44&lt;&gt;"",G44&lt;&gt;0),E44/G44,"")</s:f>
        <s:v/>
      </s:c>
      <s:c r="K44" s="137"/>
      <s:c r="L44" s="137"/>
      <s:c r="M44" s="137"/>
      <s:c r="N44" s="137"/>
      <s:c r="O44" s="137"/>
      <s:c r="P44" s="137"/>
      <s:c r="Q44" s="137"/>
      <s:c r="R44" s="137"/>
      <s:c r="S44" s="137"/>
      <s:c r="T44" s="352" t="str">
        <s:f>IF(AND(I44&lt;&gt;"",I44&lt;&gt;0),G44/I44,"")</s:f>
        <s:v/>
      </s:c>
      <s:c r="U44" s="141" t="e">
        <s:f>D44/V44</s:f>
        <s:v>#DIV/0!</s:v>
      </s:c>
      <s:c r="V44" s="142">
        <s:f>$I$8*AB44*AC44/SUMPRODUCT($AC$25:$AC$46,$AB$25:$AB$46)</s:f>
        <s:v>0</s:v>
      </s:c>
      <s:c r="W44" s="143">
        <s:f>$I$9*AB44*AC44/SUMPRODUCT($AC$25:$AC$46,$AB$25:$AB$46)</s:f>
        <s:v>0</s:v>
      </s:c>
      <s:c r="X44" s="143">
        <s:f>IF($I$12="","",W44/$I$12)</s:f>
        <s:v>0</s:v>
      </s:c>
      <s:c r="Y44" s="142" t="str">
        <s:f>IF(AC44&lt;&gt;"",IF(D44&lt;&gt;"",D44,($I$8-SUM($Y$25:Y43))*AB44*AC44/SUMPRODUCT($AC44:$AC$56,$AB44:$AB$56)),"")</s:f>
        <s:v/>
      </s:c>
      <s:c r="Z44" s="143" t="str">
        <s:f>IF(AC44&lt;&gt;"",IF(E44&lt;&gt;"",E44,($I$9-SUM($Z$25:Z43))*AB44*AC44/SUMPRODUCT($AC44:$AC$56,$AB44:$AB$56)),"")</s:f>
        <s:v/>
      </s:c>
      <s:c r="AA44" s="143" t="str">
        <s:f>IF(AC44&lt;&gt;"",IF($I$12&lt;&gt;"",IF(G44&lt;&gt;"",G44,($I$9/$I$12-SUM($AA$25:AA43))*AB44*AC44/SUMPRODUCT($AC44:$AC$56,$AB44:$AB$56)),""),"")</s:f>
        <s:v/>
      </s:c>
      <s:c r="AB44" s="359"/>
      <s:c r="AC44" s="359"/>
      <s:c r="AD44" s="353"/>
      <s:c r="AE44" s="353"/>
      <s:c r="AF44" s="356"/>
    </s:row>
    <s:row r="45">
      <s:c r="A45" s="340"/>
      <s:c r="B45" s="134"/>
      <s:c r="C45" s="175"/>
      <s:c r="D45" s="357"/>
      <s:c r="E45" s="358"/>
      <s:c r="F45" s="137" t="str">
        <s:f>IF(AND(E45&lt;&gt;"",E45&lt;&gt;0),D45/E45,"")</s:f>
        <s:v/>
      </s:c>
      <s:c r="G45" s="358"/>
      <s:c r="H45" s="137" t="str">
        <s:f>IF(AND(G45&lt;&gt;"",G45&lt;&gt;0),D45/G45,"")</s:f>
        <s:v/>
      </s:c>
      <s:c r="I45" s="358"/>
      <s:c r="J45" s="138" t="str">
        <s:f>IF(AND(G45&lt;&gt;"",G45&lt;&gt;0),E45/G45,"")</s:f>
        <s:v/>
      </s:c>
      <s:c r="K45" s="137"/>
      <s:c r="L45" s="137"/>
      <s:c r="M45" s="137"/>
      <s:c r="N45" s="137"/>
      <s:c r="O45" s="137"/>
      <s:c r="P45" s="137"/>
      <s:c r="Q45" s="137"/>
      <s:c r="R45" s="137"/>
      <s:c r="S45" s="137"/>
      <s:c r="T45" s="352" t="str">
        <s:f>IF(AND(I45&lt;&gt;"",I45&lt;&gt;0),G45/I45,"")</s:f>
        <s:v/>
      </s:c>
      <s:c r="U45" s="141" t="e">
        <s:f>D45/V45</s:f>
        <s:v>#DIV/0!</s:v>
      </s:c>
      <s:c r="V45" s="142">
        <s:f>$I$8*AB45*AC45/SUMPRODUCT($AC$25:$AC$46,$AB$25:$AB$46)</s:f>
        <s:v>0</s:v>
      </s:c>
      <s:c r="W45" s="143">
        <s:f>$I$9*AB45*AC45/SUMPRODUCT($AC$25:$AC$46,$AB$25:$AB$46)</s:f>
        <s:v>0</s:v>
      </s:c>
      <s:c r="X45" s="143">
        <s:f>IF($I$12="","",W45/$I$12)</s:f>
        <s:v>0</s:v>
      </s:c>
      <s:c r="Y45" s="142" t="str">
        <s:f>IF(AC45&lt;&gt;"",IF(D45&lt;&gt;"",D45,($I$8-SUM($Y$25:Y44))*AB45*AC45/SUMPRODUCT($AC45:$AC$56,$AB45:$AB$56)),"")</s:f>
        <s:v/>
      </s:c>
      <s:c r="Z45" s="143" t="str">
        <s:f>IF(AC45&lt;&gt;"",IF(E45&lt;&gt;"",E45,($I$9-SUM($Z$25:Z44))*AB45*AC45/SUMPRODUCT($AC45:$AC$56,$AB45:$AB$56)),"")</s:f>
        <s:v/>
      </s:c>
      <s:c r="AA45" s="143" t="str">
        <s:f>IF(AC45&lt;&gt;"",IF($I$12&lt;&gt;"",IF(G45&lt;&gt;"",G45,($I$9/$I$12-SUM($AA$25:AA44))*AB45*AC45/SUMPRODUCT($AC45:$AC$56,$AB45:$AB$56)),""),"")</s:f>
        <s:v/>
      </s:c>
      <s:c r="AB45" s="359"/>
      <s:c r="AC45" s="359"/>
      <s:c r="AD45" s="353"/>
      <s:c r="AE45" s="353"/>
      <s:c r="AF45" s="356"/>
    </s:row>
    <s:row r="46">
      <s:c r="A46" s="340"/>
      <s:c r="B46" s="134"/>
      <s:c r="C46" s="175"/>
      <s:c r="D46" s="342"/>
      <s:c r="E46" s="148"/>
      <s:c r="F46" s="137" t="str">
        <s:f>IF(AND(E46&lt;&gt;"",E46&lt;&gt;0),D46/E46,"")</s:f>
        <s:v/>
      </s:c>
      <s:c r="G46" s="148"/>
      <s:c r="H46" s="137" t="str">
        <s:f>IF(AND(G46&lt;&gt;"",G46&lt;&gt;0),D46/G46,"")</s:f>
        <s:v/>
      </s:c>
      <s:c r="I46" s="148"/>
      <s:c r="J46" s="138" t="str">
        <s:f>IF(AND(G46&lt;&gt;"",G46&lt;&gt;0),E46/G46,"")</s:f>
        <s:v/>
      </s:c>
      <s:c r="K46" s="137"/>
      <s:c r="L46" s="137"/>
      <s:c r="M46" s="137"/>
      <s:c r="N46" s="137"/>
      <s:c r="O46" s="137"/>
      <s:c r="P46" s="137"/>
      <s:c r="Q46" s="137"/>
      <s:c r="R46" s="137"/>
      <s:c r="S46" s="137"/>
      <s:c r="T46" s="352" t="str">
        <s:f>IF(AND(I46&lt;&gt;"",I46&lt;&gt;0),G46/I46,"")</s:f>
        <s:v/>
      </s:c>
      <s:c r="U46" s="141" t="e">
        <s:f>D46/V46</s:f>
        <s:v>#DIV/0!</s:v>
      </s:c>
      <s:c r="V46" s="142">
        <s:f>$I$8*AB46*AC46/SUMPRODUCT($AC$25:$AC$46,$AB$25:$AB$46)</s:f>
        <s:v>0</s:v>
      </s:c>
      <s:c r="W46" s="143">
        <s:f>$I$9*AB46*AC46/SUMPRODUCT($AC$25:$AC$46,$AB$25:$AB$46)</s:f>
        <s:v>0</s:v>
      </s:c>
      <s:c r="X46" s="143">
        <s:f>IF($I$12="","",W46/$I$12)</s:f>
        <s:v>0</s:v>
      </s:c>
      <s:c r="Y46" s="142" t="str">
        <s:f>IF(AC46&lt;&gt;"",IF(D46&lt;&gt;"",D46,($I$8-SUM($Y$25:Y45))*AB46*AC46/SUMPRODUCT($AC46:$AC$56,$AB46:$AB$56)),"")</s:f>
        <s:v/>
      </s:c>
      <s:c r="Z46" s="143" t="str">
        <s:f>IF(AC46&lt;&gt;"",IF(E46&lt;&gt;"",E46,($I$9-SUM($Z$25:Z45))*AB46*AC46/SUMPRODUCT($AC46:$AC$56,$AB46:$AB$56)),"")</s:f>
        <s:v/>
      </s:c>
      <s:c r="AA46" s="143" t="str">
        <s:f>IF(AC46&lt;&gt;"",IF($I$12&lt;&gt;"",IF(G46&lt;&gt;"",G46,($I$9/$I$12-SUM($AA$25:AA45))*AB46*AC46/SUMPRODUCT($AC46:$AC$56,$AB46:$AB$56)),""),"")</s:f>
        <s:v/>
      </s:c>
      <s:c r="AB46" s="359"/>
      <s:c r="AC46" s="359"/>
      <s:c r="AD46" s="353"/>
      <s:c r="AE46" s="360"/>
    </s:row>
    <s:row r="47">
      <s:c r="A47" s="340"/>
      <s:c r="B47" s="134"/>
      <s:c r="C47" s="135"/>
      <s:c r="D47" s="138"/>
      <s:c r="E47" s="137"/>
      <s:c r="F47" s="137" t="str">
        <s:f>IF(AND(E47&lt;&gt;"",E47&lt;&gt;0),D47/E47,"")</s:f>
        <s:v/>
      </s:c>
      <s:c r="G47" s="137"/>
      <s:c r="H47" s="137" t="str">
        <s:f>IF(AND(G47&lt;&gt;"",G47&lt;&gt;0),D47/G47,"")</s:f>
        <s:v/>
      </s:c>
      <s:c r="I47" s="137"/>
      <s:c r="J47" s="138" t="str">
        <s:f>IF(AND(G47&lt;&gt;"",G47&lt;&gt;0),E47/G47,"")</s:f>
        <s:v/>
      </s:c>
      <s:c r="K47" s="137"/>
      <s:c r="L47" s="137"/>
      <s:c r="M47" s="137"/>
      <s:c r="N47" s="137"/>
      <s:c r="O47" s="137"/>
      <s:c r="P47" s="137"/>
      <s:c r="Q47" s="137"/>
      <s:c r="R47" s="137"/>
      <s:c r="S47" s="137"/>
      <s:c r="T47" s="352" t="str">
        <s:f>IF(AND(I47&lt;&gt;"",I47&lt;&gt;0),G47/I47,"")</s:f>
        <s:v/>
      </s:c>
      <s:c r="U47" s="141" t="e">
        <s:f>D47/V47</s:f>
        <s:v>#DIV/0!</s:v>
      </s:c>
      <s:c r="V47" s="142">
        <s:f>$I$8*AB47*AC47/SUMPRODUCT($AC$25:$AC$46,$AB$25:$AB$46)</s:f>
        <s:v>0</s:v>
      </s:c>
      <s:c r="W47" s="143">
        <s:f>$I$9*AB47*AC47/SUMPRODUCT($AC$25:$AC$46,$AB$25:$AB$46)</s:f>
        <s:v>0</s:v>
      </s:c>
      <s:c r="X47" s="143">
        <s:f>IF($I$12="","",W47/$I$12)</s:f>
        <s:v>0</s:v>
      </s:c>
      <s:c r="Y47" s="142" t="str">
        <s:f>IF(AC47&lt;&gt;"",IF(D47&lt;&gt;"",D47,($I$8-SUM($Y$25:Y46))*AB47*AC47/SUMPRODUCT($AC47:$AC$56,$AB47:$AB$56)),"")</s:f>
        <s:v/>
      </s:c>
      <s:c r="Z47" s="143" t="str">
        <s:f>IF(AC47&lt;&gt;"",IF(E47&lt;&gt;"",E47,($I$9-SUM($Z$25:Z46))*AB47*AC47/SUMPRODUCT($AC47:$AC$56,$AB47:$AB$56)),"")</s:f>
        <s:v/>
      </s:c>
      <s:c r="AA47" s="143" t="str">
        <s:f>IF(AC47&lt;&gt;"",IF($I$12&lt;&gt;"",IF(G47&lt;&gt;"",G47,($I$9/$I$12-SUM($AA$25:AA46))*AB47*AC47/SUMPRODUCT($AC47:$AC$56,$AB47:$AB$56)),""),"")</s:f>
        <s:v/>
      </s:c>
      <s:c r="AB47" s="359"/>
      <s:c r="AC47" s="359"/>
      <s:c r="AD47" s="353"/>
      <s:c r="AE47" s="353"/>
    </s:row>
    <s:row r="48">
      <s:c r="A48" s="340"/>
      <s:c r="B48" s="134"/>
      <s:c r="C48" s="135"/>
      <s:c r="D48" s="138"/>
      <s:c r="E48" s="137"/>
      <s:c r="F48" s="137" t="str">
        <s:f>IF(AND(E48&lt;&gt;"",E48&lt;&gt;0),D48/E48,"")</s:f>
        <s:v/>
      </s:c>
      <s:c r="G48" s="137"/>
      <s:c r="H48" s="137" t="str">
        <s:f>IF(AND(G48&lt;&gt;"",G48&lt;&gt;0),D48/G48,"")</s:f>
        <s:v/>
      </s:c>
      <s:c r="I48" s="137"/>
      <s:c r="J48" s="138" t="str">
        <s:f>IF(AND(G48&lt;&gt;"",G48&lt;&gt;0),E48/G48,"")</s:f>
        <s:v/>
      </s:c>
      <s:c r="K48" s="137"/>
      <s:c r="L48" s="137"/>
      <s:c r="M48" s="137"/>
      <s:c r="N48" s="137"/>
      <s:c r="O48" s="137"/>
      <s:c r="P48" s="137"/>
      <s:c r="Q48" s="137"/>
      <s:c r="R48" s="137"/>
      <s:c r="S48" s="137"/>
      <s:c r="T48" s="352" t="str">
        <s:f>IF(AND(I48&lt;&gt;"",I48&lt;&gt;0),G48/I48,"")</s:f>
        <s:v/>
      </s:c>
      <s:c r="U48" s="348" t="e">
        <s:f>D48/V48</s:f>
        <s:v>#DIV/0!</s:v>
      </s:c>
      <s:c r="V48" s="142">
        <s:f>$I$8*AB48*AC48/SUMPRODUCT($AC$25:$AC$46,$AB$25:$AB$46)</s:f>
        <s:v>0</s:v>
      </s:c>
      <s:c r="W48" s="143">
        <s:f>$I$9*AB48*AC48/SUMPRODUCT($AC$25:$AC$46,$AB$25:$AB$46)</s:f>
        <s:v>0</s:v>
      </s:c>
      <s:c r="X48" s="143">
        <s:f>IF($I$12="","",W48/$I$12)</s:f>
        <s:v>0</s:v>
      </s:c>
      <s:c r="Y48" s="142" t="str">
        <s:f>IF(AC48&lt;&gt;"",IF(D48&lt;&gt;"",D48,($I$8-SUM($Y$25:Y47))*AB48*AC48/SUMPRODUCT($AC48:$AC$56,$AB48:$AB$56)),"")</s:f>
        <s:v/>
      </s:c>
      <s:c r="Z48" s="143" t="str">
        <s:f>IF(AC48&lt;&gt;"",IF(E48&lt;&gt;"",E48,($I$9-SUM($Z$25:Z47))*AB48*AC48/SUMPRODUCT($AC48:$AC$56,$AB48:$AB$56)),"")</s:f>
        <s:v/>
      </s:c>
      <s:c r="AA48" s="143" t="str">
        <s:f>IF(AC48&lt;&gt;"",IF($I$12&lt;&gt;"",IF(G48&lt;&gt;"",G48,($I$9/$I$12-SUM($AA$25:AA47))*AB48*AC48/SUMPRODUCT($AC48:$AC$56,$AB48:$AB$56)),""),"")</s:f>
        <s:v/>
      </s:c>
      <s:c r="AB48" s="359"/>
      <s:c r="AC48" s="359"/>
      <s:c r="AD48" s="353"/>
      <s:c r="AE48" s="353"/>
    </s:row>
    <s:row r="49">
      <s:c r="B49" s="361" t="s">
        <s:v>72</s:v>
      </s:c>
      <s:c r="C49" s="362"/>
      <s:c r="D49" s="363">
        <s:f>SUM(D25:D47)</s:f>
        <s:v>65640</s:v>
      </s:c>
      <s:c r="E49" s="363">
        <s:f>SUM(E25:E47)</s:f>
        <s:v>8</s:v>
      </s:c>
      <s:c r="F49" s="363">
        <s:f>IF(AND(E49&lt;&gt;"",E49&lt;&gt;0),D49/E49,"")</s:f>
        <s:v>8205</s:v>
      </s:c>
      <s:c r="G49" s="363">
        <s:f>SUM(G25:G47)</s:f>
        <s:v>6</s:v>
      </s:c>
      <s:c r="H49" s="363">
        <s:f>IF(AND(G49&lt;&gt;"",G49&lt;&gt;0),D49/G49,"")</s:f>
        <s:v>10940</s:v>
      </s:c>
      <s:c r="I49" s="363">
        <s:f>SUM(I25:I47)*0.8</s:f>
        <s:v>125.60000000000001</s:v>
      </s:c>
      <s:c r="J49" s="364">
        <s:f>IF(AND(G49&lt;&gt;"",G49&lt;&gt;0),E49/G49,"")</s:f>
        <s:v>1.3333333333333333</s:v>
      </s:c>
      <s:c r="K49" s="363">
        <s:f>SUM(K25:K48)</s:f>
        <s:v>0</s:v>
      </s:c>
      <s:c r="L49" s="363">
        <s:f>SUM(L25:L48)</s:f>
        <s:v>0</s:v>
      </s:c>
      <s:c r="M49" s="363">
        <s:f>SUM(M25:M48)</s:f>
        <s:v>0</s:v>
      </s:c>
      <s:c r="N49" s="363">
        <s:f>SUM(N25:N48)</s:f>
        <s:v>0</s:v>
      </s:c>
      <s:c r="O49" s="363">
        <s:f>SUM(O25:O48)</s:f>
        <s:v>0</s:v>
      </s:c>
      <s:c r="P49" s="363">
        <s:f>SUM(P25:P48)</s:f>
        <s:v>0</s:v>
      </s:c>
      <s:c r="Q49" s="363">
        <s:f>SUM(Q25:Q48)</s:f>
        <s:v>0</s:v>
      </s:c>
      <s:c r="R49" s="363">
        <s:f>SUM(R25:R48)</s:f>
        <s:v>35593</s:v>
      </s:c>
      <s:c r="S49" s="363">
        <s:f>SUM(S25:S48)</s:f>
        <s:v>0</s:v>
      </s:c>
      <s:c r="T49" s="178">
        <s:f>IF(AND(I49&lt;&gt;"",I49&lt;&gt;0),G49/I49,"")</s:f>
        <s:v>4.7770700636942671E-2</s:v>
      </s:c>
      <s:c r="U49" s="365">
        <s:f>D49/V49</s:f>
        <s:v>0.3083909741275665</s:v>
      </s:c>
      <s:c r="V49" s="366">
        <s:f>SUM(V25:V47)</s:f>
        <s:v>212846.69626176509</s:v>
      </s:c>
      <s:c r="W49" s="366">
        <s:f>SUM(W25:W47)</s:f>
        <s:v>29.317726757818878</s:v>
      </s:c>
      <s:c r="X49" s="366">
        <s:f>SUM(X25:X47)</s:f>
        <s:v>15.933547150988518</s:v>
      </s:c>
      <s:c r="Y49" s="366">
        <s:f>SUM(Y25:Y47)</s:f>
        <s:v>50856</s:v>
      </s:c>
      <s:c r="Z49" s="366">
        <s:f>SUM(Z25:Z47)</s:f>
        <s:v>7399</s:v>
      </s:c>
      <s:c r="AA49" s="366">
        <s:f>SUM(AA25:AA47)</s:f>
        <s:v>7397</s:v>
      </s:c>
      <s:c r="AB49" s="367"/>
      <s:c r="AC49" s="367"/>
    </s:row>
    <s:row r="50">
      <s:c r="B50" s="181"/>
      <s:c r="C50" s="182"/>
      <s:c r="D50" s="183">
        <s:f>SUMIF(D25:D47,"",V25:V47)+D49</s:f>
        <s:v>65640</s:v>
      </s:c>
      <s:c r="E50" s="184"/>
      <s:c r="F50" s="182"/>
      <s:c r="G50" s="182"/>
      <s:c r="H50" s="185"/>
      <s:c r="I50" s="186"/>
      <s:c r="J50" s="185"/>
      <s:c r="O50" s="187"/>
      <s:c r="P50" s="184"/>
      <s:c r="Q50" s="184"/>
      <s:c r="R50" s="184"/>
      <s:c r="S50" s="184"/>
      <s:c r="T50" s="187"/>
      <s:c r="U50" s="187"/>
      <s:c r="V50" s="187"/>
      <s:c r="W50" s="188"/>
    </s:row>
    <s:row r="51">
      <s:c r="D51" s="190"/>
    </s:row>
    <s:row r="53">
      <s:c r="D53" s="190"/>
    </s:row>
    <s:row r="54">
      <s:c r="D54" s="190"/>
    </s:row>
  </s:sheetData>
  <s:pageMargins left="0.7" right="0.7" top="0.75" bottom="0.75" header="0.3" footer="0.3"/>
</s:worksheet>
</file>

<file path=xl/worksheets/sheet10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B00-000000000000}">
  <s:sheetPr>
    <s:tabColor rgb="FFDBDBDB"/>
  </s:sheetPr>
  <s:dimension ref="A1:N27"/>
  <s:sheetViews>
    <s:sheetView tabSelected="0" zoomScale="92" workbookViewId="0">
      <s:selection activeCell="D4" sqref="D4"/>
    </s:sheetView>
  </s:sheetViews>
  <s:sheetFormatPr baseColWidth="10" defaultColWidth="11.5" defaultRowHeight="15"/>
  <s:cols>
    <s:col min="1" max="1" width="1.332" style="1" customWidth="1"/>
    <s:col min="2" max="2" width="11.664" style="1" customWidth="1"/>
    <s:col min="3" max="3" width="16.5" style="1" customWidth="1"/>
    <s:col min="4" max="6" width="11.5" style="1"/>
    <s:col min="7" max="7" width="12.664" style="1" customWidth="1"/>
    <s:col min="8" max="8" width="11.5" style="1" customWidth="1"/>
    <s:col min="9" max="9" width="16.164" style="1" customWidth="1"/>
    <s:col min="10" max="10" width="15" style="1" customWidth="1"/>
    <s:col min="11" max="11" width="14.5" style="1" customWidth="1"/>
    <s:col min="12" max="12" width="15" style="1" customWidth="1"/>
    <s:col min="13" max="13" width="14.832" style="1" customWidth="1"/>
    <s:col min="14" max="14" width="13.664" customWidth="1"/>
  </s:cols>
  <s:sheetData>
    <s:row r="1" spans="1:14" ht="18" customHeight="1">
      <s:c r="A1" s="894" t="str">
        <s:f>График!B1</s:f>
        <s:v>Февраль, 2026</s:v>
      </s:c>
      <s:c r="B1" s="895"/>
      <s:c r="C1" s="895"/>
      <s:c r="D1" s="896"/>
      <s:c r="E1" s="453"/>
      <s:c r="F1" s="454"/>
      <s:c r="G1" s="454"/>
      <s:c r="H1" s="454"/>
      <s:c r="I1" s="454"/>
      <s:c r="J1" s="454"/>
      <s:c r="K1" s="454"/>
      <s:c r="L1" s="454"/>
      <s:c r="M1" s="454"/>
      <s:c r="N1" s="455"/>
    </s:row>
    <s:row r="2" spans="1:14" ht="20" customHeight="1">
      <s:c r="A2" s="897" t="str">
        <s:f>График!B3</s:f>
        <s:v>ул. Севастопольская, 62</s:v>
      </s:c>
      <s:c r="B2" s="898"/>
      <s:c r="C2" s="899"/>
      <s:c r="D2" s="456" t="str">
        <s:f>График!B4</s:f>
        <s:v>GL-0004</s:v>
      </s:c>
      <s:c r="E2" s="859"/>
      <s:c r="F2" s="458"/>
      <s:c r="G2" s="458"/>
      <s:c r="H2" s="458"/>
      <s:c r="I2" s="458"/>
      <s:c r="J2" s="458"/>
      <s:c r="K2" s="862"/>
      <s:c r="L2" s="862"/>
      <s:c r="M2" s="458"/>
      <s:c r="N2" s="864"/>
    </s:row>
    <s:row r="3" spans="1:14" ht="75">
      <s:c r="A3" s="913" t="s">
        <s:v>28</s:v>
      </s:c>
      <s:c r="B3" s="913"/>
      <s:c r="C3" s="913"/>
      <s:c r="D3" s="878" t="s">
        <s:v>92</s:v>
      </s:c>
      <s:c r="E3" s="581" t="s">
        <s:v>93</s:v>
      </s:c>
      <s:c r="F3" s="463" t="s">
        <s:v>94</s:v>
      </s:c>
      <s:c r="G3" s="464" t="s">
        <s:v>95</s:v>
      </s:c>
      <s:c r="H3" s="465" t="s">
        <s:v>96</s:v>
      </s:c>
      <s:c r="I3" s="465" t="s">
        <s:v>97</s:v>
      </s:c>
      <s:c r="J3" s="466" t="s">
        <s:v>98</s:v>
      </s:c>
      <s:c r="K3" s="860" t="s">
        <s:v>75</s:v>
      </s:c>
      <s:c r="L3" s="861" t="s">
        <s:v>99</s:v>
      </s:c>
      <s:c r="M3" s="463" t="s">
        <s:v>100</s:v>
      </s:c>
      <s:c r="N3" s="863" t="s">
        <s:v>101</s:v>
      </s:c>
    </s:row>
    <s:row r="4" spans="1:14" ht="20" customHeight="1">
      <s:c r="A4" s="914" t="str">
        <s:f>График!B27</s:f>
        <s:v>Свидовская София</s:v>
      </s:c>
      <s:c r="B4" s="914"/>
      <s:c r="C4" s="914"/>
      <s:c r="D4" s="879">
        <s:f>6264+15164.58</s:f>
        <s:v>21428.58</s:v>
      </s:c>
      <s:c r="E4" s="585"/>
      <s:c r="F4" s="586">
        <s:f>H8+H9</s:f>
        <s:v>0</s:v>
      </s:c>
      <s:c r="G4" s="587">
        <s:f>D13</s:f>
        <s:v>14100</s:v>
      </s:c>
      <s:c r="H4" s="588">
        <s:f>D20</s:f>
        <s:v>9943.68</s:v>
      </s:c>
      <s:c r="I4" s="588">
        <s:f>M20</s:f>
        <s:v>4106.2068620689652</s:v>
      </s:c>
      <s:c r="J4" s="589">
        <s:f>M13</s:f>
        <s:v>0</s:v>
      </s:c>
      <s:c r="K4" s="590">
        <s:f>H4+J4+G4+F4+I4</s:f>
        <s:v>28149.886862068965</s:v>
      </s:c>
      <s:c r="L4" s="591">
        <s:f>C8+C9+C10+C11</s:f>
        <s:v>3203</s:v>
      </s:c>
      <s:c r="M4" s="586">
        <s:f>K4-L4-D4-E4</s:f>
        <s:v>3518.3068620689628</s:v>
      </s:c>
      <s:c r="N4" s="592"/>
    </s:row>
    <s:row r="5" spans="1:14">
      <s:c r="A5" s="476"/>
      <s:c r="B5" s="477"/>
      <s:c r="C5" s="478"/>
      <s:c r="D5" s="478"/>
      <s:c r="E5" s="478"/>
      <s:c r="F5" s="478"/>
      <s:c r="G5" s="478"/>
      <s:c r="H5" s="478"/>
      <s:c r="I5" s="478"/>
      <s:c r="J5" s="478"/>
      <s:c r="K5" s="479"/>
      <s:c r="L5" s="478"/>
      <s:c r="M5" s="480"/>
      <s:c r="N5" s="481"/>
    </s:row>
    <s:row r="6" spans="1:14">
      <s:c r="A6" s="476"/>
      <s:c r="B6" s="593" t="s">
        <s:v>99</s:v>
      </s:c>
      <s:c r="C6" s="594"/>
      <s:c r="D6" s="594"/>
      <s:c r="E6" s="594"/>
      <s:c r="F6" s="478"/>
      <s:c r="G6" s="477" t="s">
        <s:v>102</s:v>
      </s:c>
      <s:c r="H6" s="478"/>
      <s:c r="I6" s="478"/>
      <s:c r="J6" s="478"/>
      <s:c r="K6" s="478"/>
      <s:c r="L6" s="478"/>
      <s:c r="M6" s="480"/>
      <s:c r="N6" s="481"/>
    </s:row>
    <s:row r="7" spans="1:14" ht="16" customHeight="1">
      <s:c r="A7" s="482"/>
      <s:c r="B7" s="483" t="s">
        <s:v>29</s:v>
      </s:c>
      <s:c r="C7" s="483" t="s">
        <s:v>103</s:v>
      </s:c>
      <s:c r="D7" s="893" t="s">
        <s:v>104</s:v>
      </s:c>
      <s:c r="E7" s="893"/>
      <s:c r="F7" s="657"/>
      <s:c r="G7" s="865" t="s">
        <s:v>29</s:v>
      </s:c>
      <s:c r="H7" s="912" t="s">
        <s:v>103</s:v>
      </s:c>
      <s:c r="I7" s="912"/>
      <s:c r="J7" s="912" t="s">
        <s:v>104</s:v>
      </s:c>
      <s:c r="K7" s="912"/>
      <s:c r="L7" s="484"/>
      <s:c r="M7" s="485"/>
      <s:c r="N7" s="486"/>
    </s:row>
    <s:row r="8" spans="1:14" ht="18" customHeight="1">
      <s:c r="A8" s="487"/>
      <s:c r="B8" s="488">
        <s:v>46081</s:v>
      </s:c>
      <s:c r="C8" s="489">
        <s:f>936+2267</s:f>
        <s:v>3203</s:v>
      </s:c>
      <s:c r="D8" s="889" t="s">
        <s:v>105</s:v>
      </s:c>
      <s:c r="E8" s="889"/>
      <s:c r="F8" s="658"/>
      <s:c r="G8" s="866"/>
      <s:c r="H8" s="909"/>
      <s:c r="I8" s="909"/>
      <s:c r="J8" s="910"/>
      <s:c r="K8" s="910"/>
      <s:c r="L8" s="478"/>
      <s:c r="M8" s="480"/>
      <s:c r="N8" s="481"/>
    </s:row>
    <s:row r="9" spans="1:14" ht="24" customHeight="1">
      <s:c r="A9" s="476"/>
      <s:c r="B9" s="488"/>
      <s:c r="C9" s="489"/>
      <s:c r="D9" s="889"/>
      <s:c r="E9" s="889"/>
      <s:c r="F9" s="478"/>
      <s:c r="G9" s="866"/>
      <s:c r="H9" s="909"/>
      <s:c r="I9" s="909"/>
      <s:c r="J9" s="910"/>
      <s:c r="K9" s="910"/>
      <s:c r="L9" s="478"/>
      <s:c r="M9" s="480"/>
      <s:c r="N9" s="481"/>
    </s:row>
    <s:row r="10" spans="1:14" ht="19" customHeight="1">
      <s:c r="A10" s="491"/>
      <s:c r="B10" s="492"/>
      <s:c r="C10" s="493"/>
      <s:c r="D10" s="911"/>
      <s:c r="E10" s="911"/>
      <s:c r="F10" s="494"/>
      <s:c r="G10" s="478"/>
      <s:c r="H10" s="478"/>
      <s:c r="I10" s="478"/>
      <s:c r="J10" s="478"/>
      <s:c r="K10" s="478"/>
      <s:c r="L10" s="478"/>
      <s:c r="M10" s="480"/>
      <s:c r="N10" s="481"/>
    </s:row>
    <s:row r="11" spans="1:14" ht="29" customHeight="1">
      <s:c r="A11" s="491"/>
      <s:c r="B11" s="495"/>
      <s:c r="C11" s="496"/>
      <s:c r="D11" s="892"/>
      <s:c r="E11" s="892"/>
      <s:c r="F11" s="494"/>
      <s:c r="G11" s="478"/>
      <s:c r="H11" s="478"/>
      <s:c r="I11" s="478"/>
      <s:c r="J11" s="478"/>
      <s:c r="K11" s="478"/>
      <s:c r="L11" s="478"/>
      <s:c r="M11" s="480"/>
      <s:c r="N11" s="481"/>
    </s:row>
    <s:row r="12" spans="1:14">
      <s:c r="A12" s="476"/>
      <s:c r="B12" s="497"/>
      <s:c r="C12" s="498"/>
      <s:c r="D12" s="499"/>
      <s:c r="E12" s="499"/>
      <s:c r="F12" s="478"/>
      <s:c r="G12" s="478"/>
      <s:c r="H12" s="478"/>
      <s:c r="I12" s="478"/>
      <s:c r="J12" s="478"/>
      <s:c r="K12" s="478"/>
      <s:c r="L12" s="478"/>
      <s:c r="M12" s="480"/>
      <s:c r="N12" s="481"/>
    </s:row>
    <s:row r="13" spans="1:14" ht="17" customHeight="1">
      <s:c r="A13" s="500" t="s">
        <s:v>107</s:v>
      </s:c>
      <s:c r="B13" s="501"/>
      <s:c r="C13" s="501"/>
      <s:c r="D13" s="502">
        <s:f>G17+G18</s:f>
        <s:v>14100</s:v>
      </s:c>
      <s:c r="E13" s="503"/>
      <s:c r="F13" s="504"/>
      <s:c r="G13" s="501"/>
      <s:c r="H13" s="501"/>
      <s:c r="I13" s="505" t="s">
        <s:v>108</s:v>
      </s:c>
      <s:c r="J13" s="501"/>
      <s:c r="K13" s="501"/>
      <s:c r="L13" s="501"/>
      <s:c r="M13" s="506">
        <s:f>K17+K18</s:f>
        <s:v>0</s:v>
      </s:c>
      <s:c r="N13" s="507"/>
    </s:row>
    <s:row r="14" spans="1:14">
      <s:c r="A14" s="476"/>
      <s:c r="B14" s="477"/>
      <s:c r="C14" s="478"/>
      <s:c r="D14" s="508"/>
      <s:c r="E14" s="508"/>
      <s:c r="F14" s="478"/>
      <s:c r="G14" s="478"/>
      <s:c r="H14" s="478"/>
      <s:c r="I14" s="478"/>
      <s:c r="J14" s="478"/>
      <s:c r="K14" s="480"/>
      <s:c r="L14" s="480"/>
      <s:c r="M14" s="480"/>
      <s:c r="N14" s="481"/>
    </s:row>
    <s:row r="15" spans="1:14">
      <s:c r="A15" s="509"/>
      <s:c r="B15" s="510" t="s">
        <s:v>107</s:v>
      </s:c>
      <s:c r="C15" s="508"/>
      <s:c r="D15" s="508"/>
      <s:c r="E15" s="508"/>
      <s:c r="F15" s="508"/>
      <s:c r="G15" s="508"/>
      <s:c r="H15" s="508"/>
      <s:c r="I15" s="595" t="s">
        <s:v>98</s:v>
      </s:c>
      <s:c r="J15" s="548"/>
      <s:c r="K15" s="548"/>
      <s:c r="L15" s="513"/>
      <s:c r="M15" s="513"/>
      <s:c r="N15" s="514"/>
    </s:row>
    <s:row r="16" spans="1:14" ht="24">
      <s:c r="A16" s="509"/>
      <s:c r="B16" s="867" t="s">
        <s:v>109</s:v>
      </s:c>
      <s:c r="C16" s="867" t="s">
        <s:v>110</s:v>
      </s:c>
      <s:c r="D16" s="867" t="s">
        <s:v>111</s:v>
      </s:c>
      <s:c r="E16" s="867" t="s">
        <s:v>112</s:v>
      </s:c>
      <s:c r="F16" s="867" t="s">
        <s:v>113</s:v>
      </s:c>
      <s:c r="G16" s="867" t="s">
        <s:v>114</s:v>
      </s:c>
      <s:c r="H16" s="638"/>
      <s:c r="I16" s="515" t="s">
        <s:v>110</s:v>
      </s:c>
      <s:c r="J16" s="515" t="s">
        <s:v>115</s:v>
      </s:c>
      <s:c r="K16" s="515" t="s">
        <s:v>116</s:v>
      </s:c>
      <s:c r="L16" s="513"/>
      <s:c r="M16" s="513"/>
      <s:c r="N16" s="514"/>
    </s:row>
    <s:row r="17" spans="1:14" ht="18" customHeight="1">
      <s:c r="A17" s="476"/>
      <s:c r="B17" s="868">
        <s:f>График!AI27</s:f>
        <s:v>13</s:v>
      </s:c>
      <s:c r="C17" s="869" t="str">
        <s:f>A2</s:f>
        <s:v>ул. Севастопольская, 62</s:v>
      </s:c>
      <s:c r="D17" s="869" t="s">
        <s:v>117</s:v>
      </s:c>
      <s:c r="E17" s="870">
        <s:f>График!AJ27</s:f>
        <s:v>141</s:v>
      </s:c>
      <s:c r="F17" s="871">
        <s:v>100</s:v>
      </s:c>
      <s:c r="G17" s="872">
        <s:f>E17*F17</s:f>
        <s:v>14100</s:v>
      </s:c>
      <s:c r="H17" s="521"/>
      <s:c r="I17" s="517" t="str">
        <s:f>C17</s:f>
        <s:v>ул. Севастопольская, 62</s:v>
      </s:c>
      <s:c r="J17" s="522">
        <s:f>Центрум!K8</s:f>
        <s:v>0.45158263179508235</s:v>
      </s:c>
      <s:c r="K17" s="519"/>
      <s:c r="L17" s="480"/>
      <s:c r="M17" s="480"/>
      <s:c r="N17" s="481"/>
    </s:row>
    <s:row r="18" spans="1:14" ht="18" customHeight="1">
      <s:c r="A18" s="509"/>
      <s:c r="B18" s="867"/>
      <s:c r="C18" s="869"/>
      <s:c r="D18" s="869"/>
      <s:c r="E18" s="873"/>
      <s:c r="F18" s="871"/>
      <s:c r="G18" s="872"/>
      <s:c r="H18" s="638"/>
      <s:c r="I18" s="606"/>
      <s:c r="J18" s="528"/>
      <s:c r="K18" s="519"/>
      <s:c r="L18" s="513"/>
      <s:c r="M18" s="513"/>
      <s:c r="N18" s="514"/>
    </s:row>
    <s:row r="19" spans="1:14">
      <s:c r="A19" s="509"/>
      <s:c r="B19" s="508"/>
      <s:c r="C19" s="538"/>
      <s:c r="D19" s="478"/>
      <s:c r="E19" s="539"/>
      <s:c r="F19" s="539"/>
      <s:c r="G19" s="540"/>
      <s:c r="H19" s="508"/>
      <s:c r="I19" s="508"/>
      <s:c r="J19" s="508"/>
      <s:c r="K19" s="508"/>
      <s:c r="L19" s="513"/>
      <s:c r="M19" s="513"/>
      <s:c r="N19" s="514"/>
    </s:row>
    <s:row r="20" spans="1:14" ht="17" customHeight="1">
      <s:c r="A20" s="500" t="s">
        <s:v>118</s:v>
      </s:c>
      <s:c r="B20" s="501"/>
      <s:c r="C20" s="501"/>
      <s:c r="D20" s="541">
        <s:f>G25+G26</s:f>
        <s:v>9943.68</s:v>
      </s:c>
      <s:c r="E20" s="542"/>
      <s:c r="F20" s="504"/>
      <s:c r="G20" s="504"/>
      <s:c r="H20" s="504"/>
      <s:c r="I20" s="501" t="s">
        <s:v>97</s:v>
      </s:c>
      <s:c r="J20" s="504"/>
      <s:c r="K20" s="504"/>
      <s:c r="L20" s="504"/>
      <s:c r="M20" s="541">
        <s:f>N25+N26</s:f>
        <s:v>4106.2068620689652</s:v>
      </s:c>
      <s:c r="N20" s="507"/>
    </s:row>
    <s:row r="21" spans="1:14">
      <s:c r="A21" s="543"/>
      <s:c r="B21" s="477"/>
      <s:c r="C21" s="480"/>
      <s:c r="D21" s="480"/>
      <s:c r="E21" s="480"/>
      <s:c r="F21" s="480"/>
      <s:c r="G21" s="480"/>
      <s:c r="H21" s="480"/>
      <s:c r="I21" s="480"/>
      <s:c r="J21" s="480"/>
      <s:c r="K21" s="544"/>
      <s:c r="L21" s="182"/>
      <s:c r="M21" s="182"/>
      <s:c r="N21" s="545"/>
    </s:row>
    <s:row r="22" spans="1:14">
      <s:c r="A22" s="543"/>
      <s:c r="B22" s="478"/>
      <s:c r="C22" s="477"/>
      <s:c r="D22" s="480"/>
      <s:c r="E22" s="480"/>
      <s:c r="F22" s="480"/>
      <s:c r="G22" s="480"/>
      <s:c r="H22" s="480"/>
      <s:c r="I22" s="480"/>
      <s:c r="J22" s="480"/>
      <s:c r="K22" s="480"/>
      <s:c r="L22" s="480"/>
      <s:c r="M22" s="480"/>
      <s:c r="N22" s="481"/>
    </s:row>
    <s:row r="23" spans="1:14">
      <s:c r="A23" s="543"/>
      <s:c r="B23" s="477" t="s">
        <s:v>119</s:v>
      </s:c>
      <s:c r="C23" s="480"/>
      <s:c r="D23" s="480"/>
      <s:c r="E23" s="480"/>
      <s:c r="F23" s="480"/>
      <s:c r="G23" s="480"/>
      <s:c r="H23" s="480"/>
      <s:c r="I23" s="477" t="s">
        <s:v>120</s:v>
      </s:c>
      <s:c r="J23" s="477"/>
      <s:c r="K23" s="480"/>
      <s:c r="L23" s="480"/>
      <s:c r="M23" s="480"/>
      <s:c r="N23" s="607"/>
    </s:row>
    <s:row r="24" spans="1:14" ht="36">
      <s:c r="A24" s="530"/>
      <s:c r="B24" s="867" t="s">
        <s:v>28</s:v>
      </s:c>
      <s:c r="C24" s="906" t="s">
        <s:v>110</s:v>
      </s:c>
      <s:c r="D24" s="906"/>
      <s:c r="E24" s="867" t="s">
        <s:v>121</s:v>
      </s:c>
      <s:c r="F24" s="867" t="s">
        <s:v>122</s:v>
      </s:c>
      <s:c r="G24" s="867" t="s">
        <s:v>123</s:v>
      </s:c>
      <s:c r="H24" s="508"/>
      <s:c r="I24" s="515" t="s">
        <s:v>28</s:v>
      </s:c>
      <s:c r="J24" s="515" t="s">
        <s:v>110</s:v>
      </s:c>
      <s:c r="K24" s="515" t="s">
        <s:v>124</s:v>
      </s:c>
      <s:c r="L24" s="515" t="s">
        <s:v>125</s:v>
      </s:c>
      <s:c r="M24" s="515" t="s">
        <s:v>121</s:v>
      </s:c>
      <s:c r="N24" s="609" t="s">
        <s:v>123</s:v>
      </s:c>
    </s:row>
    <s:row r="25" spans="1:14">
      <s:c r="A25" s="543"/>
      <s:c r="B25" s="869" t="str">
        <s:f>A4</s:f>
        <s:v>Свидовская София</s:v>
      </s:c>
      <s:c r="C25" s="907" t="str">
        <s:f>A2</s:f>
        <s:v>ул. Севастопольская, 62</s:v>
      </s:c>
      <s:c r="D25" s="907"/>
      <s:c r="E25" s="874">
        <s:v>0.04</s:v>
      </s:c>
      <s:c r="F25" s="875">
        <s:f>'Свидовская С. А.'!J8</s:f>
        <s:v>248592</s:v>
      </s:c>
      <s:c r="G25" s="876">
        <s:f>F25*E25</s:f>
        <s:v>9943.68</s:v>
      </s:c>
      <s:c r="H25" s="478"/>
      <s:c r="I25" s="556" t="str">
        <s:f>B25</s:f>
        <s:v>Свидовская София</s:v>
      </s:c>
      <s:c r="J25" s="613" t="str">
        <s:f>C25</s:f>
        <s:v>ул. Севастопольская, 62</s:v>
      </s:c>
      <s:c r="K25" s="557">
        <s:f>E17</s:f>
        <s:v>141</s:v>
      </s:c>
      <s:c r="L25" s="614">
        <s:f>График!AJ29</s:f>
        <s:v>580</s:v>
      </s:c>
      <s:c r="M25" s="522">
        <s:v>0.02</s:v>
      </s:c>
      <s:c r="N25" s="561">
        <s:f>Центрум!J8*M25*K25/L25</s:f>
        <s:v>4106.2068620689652</s:v>
      </s:c>
    </s:row>
    <s:row r="26" spans="1:14">
      <s:c r="A26" s="530"/>
      <s:c r="B26" s="869"/>
      <s:c r="C26" s="908"/>
      <s:c r="D26" s="908"/>
      <s:c r="E26" s="874"/>
      <s:c r="F26" s="877"/>
      <s:c r="G26" s="876"/>
      <s:c r="H26" s="508"/>
      <s:c r="I26" s="556"/>
      <s:c r="J26" s="616"/>
      <s:c r="K26" s="566"/>
      <s:c r="L26" s="567"/>
      <s:c r="M26" s="522"/>
      <s:c r="N26" s="561"/>
    </s:row>
    <s:row r="27" spans="1:14">
      <s:c r="A27" s="617"/>
      <s:c r="B27" s="619"/>
      <s:c r="C27" s="619"/>
      <s:c r="D27" s="619"/>
      <s:c r="E27" s="619"/>
      <s:c r="F27" s="619"/>
      <s:c r="G27" s="619"/>
      <s:c r="H27" s="619"/>
      <s:c r="I27" s="620"/>
      <s:c r="J27" s="620"/>
      <s:c r="K27" s="620"/>
      <s:c r="L27" s="620"/>
      <s:c r="M27" s="620"/>
      <s:c r="N27" s="621"/>
    </s:row>
  </s:sheetData>
  <s:mergeCells count="18">
    <s:mergeCell ref="A1:D1"/>
    <s:mergeCell ref="A2:C2"/>
    <s:mergeCell ref="A3:C3"/>
    <s:mergeCell ref="A4:C4"/>
    <s:mergeCell ref="D7:E7"/>
    <s:mergeCell ref="J9:K9"/>
    <s:mergeCell ref="D10:E10"/>
    <s:mergeCell ref="D11:E11"/>
    <s:mergeCell ref="H7:I7"/>
    <s:mergeCell ref="J7:K7"/>
    <s:mergeCell ref="D8:E8"/>
    <s:mergeCell ref="H8:I8"/>
    <s:mergeCell ref="J8:K8"/>
    <s:mergeCell ref="C24:D24"/>
    <s:mergeCell ref="C25:D25"/>
    <s:mergeCell ref="C26:D26"/>
    <s:mergeCell ref="D9:E9"/>
    <s:mergeCell ref="H9:I9"/>
  </s:mergeCells>
  <s:pageMargins left="0.7" right="0.7" top="0.75" bottom="0.75" header="0.3" footer="0.3"/>
  <s:pageSetup paperSize="9" orientation="portrait"/>
</s:worksheet>
</file>

<file path=xl/worksheets/sheet11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C00-000000000000}">
  <s:sheetPr>
    <s:tabColor rgb="FFDBDBDB"/>
  </s:sheetPr>
  <s:dimension ref="A1:N28"/>
  <s:sheetViews>
    <s:sheetView tabSelected="0" zoomScale="83" workbookViewId="0">
      <s:selection activeCell="G13" sqref="G13"/>
    </s:sheetView>
  </s:sheetViews>
  <s:sheetFormatPr baseColWidth="10" defaultColWidth="11.5" defaultRowHeight="15"/>
  <s:cols>
    <s:col min="1" max="1" width="2.5" style="1" customWidth="1"/>
    <s:col min="2" max="2" width="11.664" style="1" customWidth="1"/>
    <s:col min="3" max="3" width="18" style="1" customWidth="1"/>
    <s:col min="4" max="6" width="11.5" style="1"/>
    <s:col min="7" max="7" width="12.664" style="1" customWidth="1"/>
    <s:col min="8" max="8" width="12.832" style="1" customWidth="1"/>
    <s:col min="9" max="10" width="17.164" style="1" customWidth="1"/>
    <s:col min="11" max="11" width="15.832" style="1" customWidth="1"/>
    <s:col min="12" max="12" width="15.164" style="1" customWidth="1"/>
    <s:col min="13" max="13" width="16.164" style="1" customWidth="1"/>
    <s:col min="14" max="14" width="19.664" customWidth="1"/>
  </s:cols>
  <s:sheetData>
    <s:row r="1" spans="1:14" ht="20" customHeight="1">
      <s:c r="A1" s="894" t="str">
        <s:f>График!B1</s:f>
        <s:v>Февраль, 2026</s:v>
      </s:c>
      <s:c r="B1" s="895"/>
      <s:c r="C1" s="895"/>
      <s:c r="D1" s="896"/>
      <s:c r="E1" s="453"/>
      <s:c r="F1" s="454"/>
      <s:c r="G1" s="454"/>
      <s:c r="H1" s="454"/>
      <s:c r="I1" s="454"/>
      <s:c r="J1" s="454"/>
      <s:c r="K1" s="454"/>
      <s:c r="L1" s="454"/>
      <s:c r="M1" s="454"/>
      <s:c r="N1" s="455"/>
    </s:row>
    <s:row r="2" spans="1:14" ht="20" customHeight="1">
      <s:c r="A2" s="897" t="str">
        <s:f>График!B3</s:f>
        <s:v>ул. Севастопольская, 62</s:v>
      </s:c>
      <s:c r="B2" s="898"/>
      <s:c r="C2" s="899"/>
      <s:c r="D2" s="456" t="str">
        <s:f>График!B4</s:f>
        <s:v>GL-0004</s:v>
      </s:c>
      <s:c r="E2" s="578"/>
      <s:c r="F2" s="458"/>
      <s:c r="G2" s="458"/>
      <s:c r="H2" s="458"/>
      <s:c r="I2" s="458"/>
      <s:c r="J2" s="458"/>
      <s:c r="K2" s="458"/>
      <s:c r="L2" s="458"/>
      <s:c r="M2" s="458"/>
      <s:c r="N2" s="579"/>
    </s:row>
    <s:row r="3" spans="1:14" ht="75">
      <s:c r="A3" s="900" t="s">
        <s:v>28</s:v>
      </s:c>
      <s:c r="B3" s="901"/>
      <s:c r="C3" s="902"/>
      <s:c r="D3" s="580" t="s">
        <s:v>92</s:v>
      </s:c>
      <s:c r="E3" s="581" t="s">
        <s:v>93</s:v>
      </s:c>
      <s:c r="F3" s="463" t="s">
        <s:v>94</s:v>
      </s:c>
      <s:c r="G3" s="464" t="s">
        <s:v>95</s:v>
      </s:c>
      <s:c r="H3" s="465" t="s">
        <s:v>96</s:v>
      </s:c>
      <s:c r="I3" s="465" t="s">
        <s:v>97</s:v>
      </s:c>
      <s:c r="J3" s="466" t="s">
        <s:v>98</s:v>
      </s:c>
      <s:c r="K3" s="582" t="s">
        <s:v>75</s:v>
      </s:c>
      <s:c r="L3" s="583" t="s">
        <s:v>99</s:v>
      </s:c>
      <s:c r="M3" s="463" t="s">
        <s:v>100</s:v>
      </s:c>
      <s:c r="N3" s="584" t="s">
        <s:v>101</s:v>
      </s:c>
    </s:row>
    <s:row r="4" spans="1:14" ht="21" customHeight="1">
      <s:c r="A4" s="903" t="str">
        <s:f>График!B25</s:f>
        <s:v>Корж Анастасия</s:v>
      </s:c>
      <s:c r="B4" s="904"/>
      <s:c r="C4" s="905"/>
      <s:c r="D4" s="622">
        <s:f>15660+10714.8</s:f>
        <s:v>26374.799999999999</s:v>
      </s:c>
      <s:c r="E4" s="623"/>
      <s:c r="F4" s="624">
        <s:f>H8+H9</s:f>
        <s:v>0</s:v>
      </s:c>
      <s:c r="G4" s="625">
        <s:f>D13</s:f>
        <s:v>18500</s:v>
      </s:c>
      <s:c r="H4" s="626">
        <s:f>D21</s:f>
        <s:v>12379.800000000001</s:v>
      </s:c>
      <s:c r="I4" s="626">
        <s:f>M21</s:f>
        <s:v>5387.5763793103442</s:v>
      </s:c>
      <s:c r="J4" s="627">
        <s:f>M13</s:f>
        <s:v>0</s:v>
      </s:c>
      <s:c r="K4" s="628">
        <s:f>H4+J4+G4+F4+I4</s:f>
        <s:v>36267.37637931035</s:v>
      </s:c>
      <s:c r="L4" s="629">
        <s:f>C8+C9+C10+C11</s:f>
        <s:v>3941</s:v>
      </s:c>
      <s:c r="M4" s="624">
        <s:f>K4-L4-D4-E4</s:f>
        <s:v>5951.5763793103506</s:v>
      </s:c>
      <s:c r="N4" s="630"/>
    </s:row>
    <s:row r="5" spans="1:14">
      <s:c r="A5" s="631"/>
      <s:c r="B5" s="477"/>
      <s:c r="C5" s="478"/>
      <s:c r="D5" s="478"/>
      <s:c r="E5" s="478"/>
      <s:c r="F5" s="478"/>
      <s:c r="G5" s="478"/>
      <s:c r="H5" s="478"/>
      <s:c r="I5" s="478"/>
      <s:c r="J5" s="478"/>
      <s:c r="K5" s="479"/>
      <s:c r="L5" s="478"/>
      <s:c r="M5" s="480"/>
      <s:c r="N5" s="632"/>
    </s:row>
    <s:row r="6" spans="1:14">
      <s:c r="A6" s="476"/>
      <s:c r="B6" s="477" t="s">
        <s:v>99</s:v>
      </s:c>
      <s:c r="C6" s="478"/>
      <s:c r="D6" s="478"/>
      <s:c r="E6" s="478"/>
      <s:c r="F6" s="478"/>
      <s:c r="G6" s="477" t="s">
        <s:v>102</s:v>
      </s:c>
      <s:c r="H6" s="478"/>
      <s:c r="I6" s="478"/>
      <s:c r="J6" s="478"/>
      <s:c r="K6" s="478"/>
      <s:c r="L6" s="478"/>
      <s:c r="M6" s="480"/>
      <s:c r="N6" s="481"/>
    </s:row>
    <s:row r="7" spans="1:14" ht="17" customHeight="1">
      <s:c r="A7" s="633"/>
      <s:c r="B7" s="483" t="s">
        <s:v>29</s:v>
      </s:c>
      <s:c r="C7" s="483" t="s">
        <s:v>103</s:v>
      </s:c>
      <s:c r="D7" s="893" t="s">
        <s:v>104</s:v>
      </s:c>
      <s:c r="E7" s="893"/>
      <s:c r="F7" s="484"/>
      <s:c r="G7" s="483" t="s">
        <s:v>29</s:v>
      </s:c>
      <s:c r="H7" s="893" t="s">
        <s:v>103</s:v>
      </s:c>
      <s:c r="I7" s="893"/>
      <s:c r="J7" s="893" t="s">
        <s:v>104</s:v>
      </s:c>
      <s:c r="K7" s="893"/>
      <s:c r="L7" s="484"/>
      <s:c r="M7" s="485"/>
      <s:c r="N7" s="486"/>
    </s:row>
    <s:row r="8" spans="1:14" ht="18" customHeight="1">
      <s:c r="A8" s="476"/>
      <s:c r="B8" s="488">
        <s:v>46081</s:v>
      </s:c>
      <s:c r="C8" s="489">
        <s:f>2340+1601</s:f>
        <s:v>3941</s:v>
      </s:c>
      <s:c r="D8" s="889" t="s">
        <s:v>105</s:v>
      </s:c>
      <s:c r="E8" s="889"/>
      <s:c r="F8" s="478"/>
      <s:c r="G8" s="488"/>
      <s:c r="H8" s="890"/>
      <s:c r="I8" s="890"/>
      <s:c r="J8" s="889"/>
      <s:c r="K8" s="889"/>
      <s:c r="L8" s="478"/>
      <s:c r="M8" s="480"/>
      <s:c r="N8" s="481"/>
    </s:row>
    <s:row r="9" spans="1:14" ht="25" customHeight="1">
      <s:c r="A9" s="476"/>
      <s:c r="B9" s="488"/>
      <s:c r="C9" s="489"/>
      <s:c r="D9" s="889"/>
      <s:c r="E9" s="889"/>
      <s:c r="F9" s="478"/>
      <s:c r="G9" s="488"/>
      <s:c r="H9" s="890"/>
      <s:c r="I9" s="890"/>
      <s:c r="J9" s="889"/>
      <s:c r="K9" s="889"/>
      <s:c r="L9" s="478"/>
      <s:c r="M9" s="480"/>
      <s:c r="N9" s="481"/>
    </s:row>
    <s:row r="10" spans="1:14" ht="29" customHeight="1">
      <s:c r="A10" s="491"/>
      <s:c r="B10" s="492"/>
      <s:c r="C10" s="493"/>
      <s:c r="D10" s="891"/>
      <s:c r="E10" s="891"/>
      <s:c r="F10" s="494"/>
      <s:c r="G10" s="478"/>
      <s:c r="H10" s="478"/>
      <s:c r="I10" s="478"/>
      <s:c r="J10" s="478"/>
      <s:c r="K10" s="478"/>
      <s:c r="L10" s="478"/>
      <s:c r="M10" s="480"/>
      <s:c r="N10" s="481"/>
    </s:row>
    <s:row r="11" spans="1:14" ht="29" customHeight="1">
      <s:c r="A11" s="491"/>
      <s:c r="B11" s="495"/>
      <s:c r="C11" s="496"/>
      <s:c r="D11" s="892"/>
      <s:c r="E11" s="892"/>
      <s:c r="F11" s="494"/>
      <s:c r="G11" s="478"/>
      <s:c r="H11" s="478"/>
      <s:c r="I11" s="478"/>
      <s:c r="J11" s="478"/>
      <s:c r="K11" s="478"/>
      <s:c r="L11" s="478"/>
      <s:c r="M11" s="480"/>
      <s:c r="N11" s="481"/>
    </s:row>
    <s:row r="12" spans="1:14">
      <s:c r="A12" s="476"/>
      <s:c r="B12" s="497"/>
      <s:c r="C12" s="498"/>
      <s:c r="D12" s="499"/>
      <s:c r="E12" s="499"/>
      <s:c r="F12" s="478"/>
      <s:c r="G12" s="478"/>
      <s:c r="H12" s="478"/>
      <s:c r="I12" s="478"/>
      <s:c r="J12" s="478"/>
      <s:c r="K12" s="478"/>
      <s:c r="L12" s="478"/>
      <s:c r="M12" s="480"/>
      <s:c r="N12" s="481"/>
    </s:row>
    <s:row r="13" spans="1:14">
      <s:c r="A13" s="500" t="s">
        <s:v>107</s:v>
      </s:c>
      <s:c r="B13" s="501"/>
      <s:c r="C13" s="501"/>
      <s:c r="D13" s="502">
        <s:f>G17+G19+G18</s:f>
        <s:v>18500</s:v>
      </s:c>
      <s:c r="E13" s="503"/>
      <s:c r="F13" s="504"/>
      <s:c r="G13" s="501"/>
      <s:c r="H13" s="501"/>
      <s:c r="I13" s="505" t="s">
        <s:v>108</s:v>
      </s:c>
      <s:c r="J13" s="501"/>
      <s:c r="K13" s="501"/>
      <s:c r="L13" s="501"/>
      <s:c r="M13" s="506">
        <s:f>K17+K19+K18</s:f>
        <s:v>0</s:v>
      </s:c>
      <s:c r="N13" s="507"/>
    </s:row>
    <s:row r="14" spans="1:14">
      <s:c r="A14" s="476"/>
      <s:c r="B14" s="477"/>
      <s:c r="C14" s="478"/>
      <s:c r="D14" s="508"/>
      <s:c r="E14" s="508"/>
      <s:c r="F14" s="478"/>
      <s:c r="G14" s="478"/>
      <s:c r="H14" s="478"/>
      <s:c r="I14" s="478"/>
      <s:c r="J14" s="478"/>
      <s:c r="K14" s="480"/>
      <s:c r="L14" s="480"/>
      <s:c r="M14" s="480"/>
      <s:c r="N14" s="481"/>
    </s:row>
    <s:row r="15" spans="1:14">
      <s:c r="A15" s="509"/>
      <s:c r="B15" s="510" t="s">
        <s:v>107</s:v>
      </s:c>
      <s:c r="C15" s="508"/>
      <s:c r="D15" s="508"/>
      <s:c r="E15" s="508"/>
      <s:c r="F15" s="508"/>
      <s:c r="G15" s="508"/>
      <s:c r="H15" s="508"/>
      <s:c r="I15" s="511" t="s">
        <s:v>98</s:v>
      </s:c>
      <s:c r="J15" s="512"/>
      <s:c r="K15" s="512"/>
      <s:c r="L15" s="513"/>
      <s:c r="M15" s="513"/>
      <s:c r="N15" s="514"/>
    </s:row>
    <s:row r="16" spans="1:14" ht="28" customHeight="1">
      <s:c r="A16" s="509"/>
      <s:c r="B16" s="515" t="s">
        <s:v>109</s:v>
      </s:c>
      <s:c r="C16" s="515" t="s">
        <s:v>110</s:v>
      </s:c>
      <s:c r="D16" s="515" t="s">
        <s:v>111</s:v>
      </s:c>
      <s:c r="E16" s="515" t="s">
        <s:v>112</s:v>
      </s:c>
      <s:c r="F16" s="515" t="s">
        <s:v>113</s:v>
      </s:c>
      <s:c r="G16" s="515" t="s">
        <s:v>114</s:v>
      </s:c>
      <s:c r="H16" s="508"/>
      <s:c r="I16" s="515" t="s">
        <s:v>110</s:v>
      </s:c>
      <s:c r="J16" s="515" t="s">
        <s:v>115</s:v>
      </s:c>
      <s:c r="K16" s="515" t="s">
        <s:v>116</s:v>
      </s:c>
      <s:c r="L16" s="513"/>
      <s:c r="M16" s="513"/>
      <s:c r="N16" s="514"/>
    </s:row>
    <s:row r="17" spans="1:14" ht="21" customHeight="1">
      <s:c r="A17" s="476"/>
      <s:c r="B17" s="516">
        <s:f>График!AI25</s:f>
        <s:v>17</s:v>
      </s:c>
      <s:c r="C17" s="517" t="str">
        <s:f>A2</s:f>
        <s:v>ул. Севастопольская, 62</s:v>
      </s:c>
      <s:c r="D17" s="517" t="s">
        <s:v>117</s:v>
      </s:c>
      <s:c r="E17" s="518">
        <s:f>График!AJ25</s:f>
        <s:v>185</s:v>
      </s:c>
      <s:c r="F17" s="519">
        <s:v>100</s:v>
      </s:c>
      <s:c r="G17" s="634">
        <s:f>E17*F17</s:f>
        <s:v>18500</s:v>
      </s:c>
      <s:c r="H17" s="521"/>
      <s:c r="I17" s="478" t="str">
        <s:f>C17</s:f>
        <s:v>ул. Севастопольская, 62</s:v>
      </s:c>
      <s:c r="J17" s="522">
        <s:f>Центрум!K8</s:f>
        <s:v>0.45158263179508235</s:v>
      </s:c>
      <s:c r="K17" s="519"/>
      <s:c r="L17" s="480"/>
      <s:c r="M17" s="480"/>
      <s:c r="N17" s="481"/>
    </s:row>
    <s:row r="18" spans="1:14" ht="16" customHeight="1">
      <s:c r="A18" s="523"/>
      <s:c r="B18" s="524"/>
      <s:c r="C18" s="517"/>
      <s:c r="D18" s="517"/>
      <s:c r="E18" s="526"/>
      <s:c r="F18" s="519"/>
      <s:c r="G18" s="634"/>
      <s:c r="H18" s="527"/>
      <s:c r="I18" s="490"/>
      <s:c r="J18" s="528"/>
      <s:c r="K18" s="519"/>
      <s:c r="L18" s="512"/>
      <s:c r="M18" s="512"/>
      <s:c r="N18" s="529"/>
    </s:row>
    <s:row r="19" spans="1:14" ht="18" customHeight="1">
      <s:c r="A19" s="509"/>
      <s:c r="B19" s="515"/>
      <s:c r="C19" s="517"/>
      <s:c r="D19" s="517"/>
      <s:c r="E19" s="635"/>
      <s:c r="F19" s="636"/>
      <s:c r="G19" s="637"/>
      <s:c r="H19" s="638"/>
      <s:c r="I19" s="606"/>
      <s:c r="J19" s="528"/>
      <s:c r="K19" s="636"/>
      <s:c r="L19" s="513"/>
      <s:c r="M19" s="513"/>
      <s:c r="N19" s="514"/>
    </s:row>
    <s:row r="20" spans="1:14">
      <s:c r="A20" s="509"/>
      <s:c r="B20" s="508"/>
      <s:c r="C20" s="538"/>
      <s:c r="D20" s="478"/>
      <s:c r="E20" s="539"/>
      <s:c r="F20" s="539"/>
      <s:c r="G20" s="540"/>
      <s:c r="H20" s="508"/>
      <s:c r="I20" s="508"/>
      <s:c r="J20" s="508"/>
      <s:c r="K20" s="508"/>
      <s:c r="L20" s="513"/>
      <s:c r="M20" s="513"/>
      <s:c r="N20" s="514"/>
    </s:row>
    <s:row r="21" spans="1:14" ht="19" customHeight="1">
      <s:c r="A21" s="500" t="s">
        <s:v>118</s:v>
      </s:c>
      <s:c r="B21" s="501"/>
      <s:c r="C21" s="501"/>
      <s:c r="D21" s="541">
        <s:f>G26+G27+G28</s:f>
        <s:v>12379.800000000001</s:v>
      </s:c>
      <s:c r="E21" s="542"/>
      <s:c r="F21" s="504"/>
      <s:c r="G21" s="504"/>
      <s:c r="H21" s="504"/>
      <s:c r="I21" s="501" t="s">
        <s:v>97</s:v>
      </s:c>
      <s:c r="J21" s="504"/>
      <s:c r="K21" s="504"/>
      <s:c r="L21" s="504"/>
      <s:c r="M21" s="541">
        <s:f>N26+N27+N28</s:f>
        <s:v>5387.5763793103442</s:v>
      </s:c>
      <s:c r="N21" s="507"/>
    </s:row>
    <s:row r="22" spans="1:14">
      <s:c r="A22" s="543"/>
      <s:c r="B22" s="477"/>
      <s:c r="C22" s="480"/>
      <s:c r="D22" s="480"/>
      <s:c r="E22" s="480"/>
      <s:c r="F22" s="480"/>
      <s:c r="G22" s="480"/>
      <s:c r="H22" s="480"/>
      <s:c r="I22" s="480"/>
      <s:c r="J22" s="480"/>
      <s:c r="K22" s="544"/>
      <s:c r="L22" s="182"/>
      <s:c r="M22" s="182"/>
      <s:c r="N22" s="545"/>
    </s:row>
    <s:row r="23" spans="1:14">
      <s:c r="A23" s="543"/>
      <s:c r="B23" s="478"/>
      <s:c r="C23" s="477"/>
      <s:c r="D23" s="480"/>
      <s:c r="E23" s="480"/>
      <s:c r="F23" s="480"/>
      <s:c r="G23" s="480"/>
      <s:c r="H23" s="480"/>
      <s:c r="I23" s="480"/>
      <s:c r="J23" s="480"/>
      <s:c r="K23" s="480"/>
      <s:c r="L23" s="480"/>
      <s:c r="M23" s="480"/>
      <s:c r="N23" s="481"/>
    </s:row>
    <s:row r="24" spans="1:14" ht="15" customHeight="1">
      <s:c r="A24" s="546"/>
      <s:c r="B24" s="880" t="s">
        <s:v>119</s:v>
      </s:c>
      <s:c r="C24" s="880"/>
      <s:c r="D24" s="880"/>
      <s:c r="E24" s="548"/>
      <s:c r="F24" s="548"/>
      <s:c r="G24" s="548"/>
      <s:c r="H24" s="512"/>
      <s:c r="I24" s="880" t="s">
        <s:v>120</s:v>
      </s:c>
      <s:c r="J24" s="880"/>
      <s:c r="K24" s="548"/>
      <s:c r="L24" s="548"/>
      <s:c r="M24" s="548"/>
      <s:c r="N24" s="549"/>
    </s:row>
    <s:row r="25" spans="1:14" ht="36">
      <s:c r="A25" s="550"/>
      <s:c r="B25" s="515" t="s">
        <s:v>28</s:v>
      </s:c>
      <s:c r="C25" s="881" t="s">
        <s:v>110</s:v>
      </s:c>
      <s:c r="D25" s="882"/>
      <s:c r="E25" s="515" t="s">
        <s:v>121</s:v>
      </s:c>
      <s:c r="F25" s="515" t="s">
        <s:v>122</s:v>
      </s:c>
      <s:c r="G25" s="551" t="s">
        <s:v>123</s:v>
      </s:c>
      <s:c r="H25" s="508"/>
      <s:c r="I25" s="515" t="s">
        <s:v>28</s:v>
      </s:c>
      <s:c r="J25" s="508" t="s">
        <s:v>110</s:v>
      </s:c>
      <s:c r="K25" s="515" t="s">
        <s:v>124</s:v>
      </s:c>
      <s:c r="L25" s="508" t="s">
        <s:v>125</s:v>
      </s:c>
      <s:c r="M25" s="515" t="s">
        <s:v>121</s:v>
      </s:c>
      <s:c r="N25" s="552" t="s">
        <s:v>123</s:v>
      </s:c>
    </s:row>
    <s:row r="26" spans="1:14" ht="18" customHeight="1">
      <s:c r="A26" s="553"/>
      <s:c r="B26" s="517" t="str">
        <s:f>A4</s:f>
        <s:v>Корж Анастасия</s:v>
      </s:c>
      <s:c r="C26" s="883" t="str">
        <s:f>A2</s:f>
        <s:v>ул. Севастопольская, 62</s:v>
      </s:c>
      <s:c r="D26" s="884"/>
      <s:c r="E26" s="522">
        <s:v>0.04</s:v>
      </s:c>
      <s:c r="F26" s="554">
        <s:f>'Корж А. А.'!J8</s:f>
        <s:v>309495</s:v>
      </s:c>
      <s:c r="G26" s="555">
        <s:f>F26*E26</s:f>
        <s:v>12379.800000000001</s:v>
      </s:c>
      <s:c r="H26" s="499"/>
      <s:c r="I26" s="556" t="str">
        <s:f>B26</s:f>
        <s:v>Корж Анастасия</s:v>
      </s:c>
      <s:c r="J26" s="557" t="str">
        <s:f>C26</s:f>
        <s:v>ул. Севастопольская, 62</s:v>
      </s:c>
      <s:c r="K26" s="558">
        <s:f>E17</s:f>
        <s:v>185</s:v>
      </s:c>
      <s:c r="L26" s="559">
        <s:f>График!AJ29</s:f>
        <s:v>580</s:v>
      </s:c>
      <s:c r="M26" s="560">
        <s:v>0.02</s:v>
      </s:c>
      <s:c r="N26" s="561">
        <s:f>Центрум!J8*M26*K26/L26</s:f>
        <s:v>5387.5763793103442</s:v>
      </s:c>
    </s:row>
    <s:row r="27" spans="1:14" ht="17" customHeight="1">
      <s:c r="A27" s="550"/>
      <s:c r="B27" s="517"/>
      <s:c r="C27" s="885"/>
      <s:c r="D27" s="886"/>
      <s:c r="E27" s="522"/>
      <s:c r="F27" s="562"/>
      <s:c r="G27" s="563"/>
      <s:c r="H27" s="564"/>
      <s:c r="I27" s="556"/>
      <s:c r="J27" s="616"/>
      <s:c r="K27" s="566"/>
      <s:c r="L27" s="567"/>
      <s:c r="M27" s="522"/>
      <s:c r="N27" s="639"/>
    </s:row>
    <s:row r="28" spans="1:14" ht="19" customHeight="1">
      <s:c r="A28" s="640"/>
      <s:c r="B28" s="641"/>
      <s:c r="C28" s="887"/>
      <s:c r="D28" s="888"/>
      <s:c r="E28" s="570"/>
      <s:c r="F28" s="571"/>
      <s:c r="G28" s="572"/>
      <s:c r="H28" s="642"/>
      <s:c r="I28" s="643"/>
      <s:c r="J28" s="644"/>
      <s:c r="K28" s="645"/>
      <s:c r="L28" s="644"/>
      <s:c r="M28" s="646"/>
      <s:c r="N28" s="647"/>
    </s:row>
  </s:sheetData>
  <s:mergeCells count="21">
    <s:mergeCell ref="A1:D1"/>
    <s:mergeCell ref="A2:C2"/>
    <s:mergeCell ref="A3:C3"/>
    <s:mergeCell ref="A4:C4"/>
    <s:mergeCell ref="D7:E7"/>
    <s:mergeCell ref="H7:I7"/>
    <s:mergeCell ref="J7:K7"/>
    <s:mergeCell ref="D8:E8"/>
    <s:mergeCell ref="H8:I8"/>
    <s:mergeCell ref="J8:K8"/>
    <s:mergeCell ref="D9:E9"/>
    <s:mergeCell ref="H9:I9"/>
    <s:mergeCell ref="J9:K9"/>
    <s:mergeCell ref="D10:E10"/>
    <s:mergeCell ref="D11:E11"/>
    <s:mergeCell ref="I24:J24"/>
    <s:mergeCell ref="C25:D25"/>
    <s:mergeCell ref="C26:D26"/>
    <s:mergeCell ref="C27:D27"/>
    <s:mergeCell ref="C28:D28"/>
    <s:mergeCell ref="B24:D24"/>
  </s:mergeCells>
  <s:pageMargins left="0.7" right="0.7" top="0.75" bottom="0.75" header="0.3" footer="0.3"/>
  <s:pageSetup paperSize="9" orientation="portrait"/>
</s:worksheet>
</file>

<file path=xl/worksheets/sheet12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D00-000000000000}">
  <s:sheetPr>
    <s:tabColor rgb="FFDBDBDB"/>
  </s:sheetPr>
  <s:dimension ref="A1:N27"/>
  <s:sheetViews>
    <s:sheetView tabSelected="0" zoomScale="91" workbookViewId="0">
      <s:selection activeCell="Q22" sqref="Q22"/>
    </s:sheetView>
  </s:sheetViews>
  <s:sheetFormatPr baseColWidth="10" defaultColWidth="11.5" defaultRowHeight="15"/>
  <s:cols>
    <s:col min="1" max="1" width="2.164" style="1" customWidth="1"/>
    <s:col min="2" max="2" width="11.664" style="1" customWidth="1"/>
    <s:col min="3" max="3" width="16.5" style="1" customWidth="1"/>
    <s:col min="4" max="4" width="10.832" style="1" customWidth="1"/>
    <s:col min="5" max="6" width="11.5" style="1"/>
    <s:col min="7" max="7" width="12.664" style="1" customWidth="1"/>
    <s:col min="8" max="8" width="11.5" style="1" customWidth="1"/>
    <s:col min="9" max="9" width="16.332" style="1" customWidth="1"/>
    <s:col min="10" max="10" width="17.164" style="1" customWidth="1"/>
    <s:col min="11" max="11" width="14.164" style="1" customWidth="1"/>
    <s:col min="12" max="12" width="13.832" style="1" customWidth="1"/>
    <s:col min="13" max="13" width="15.5" style="1" customWidth="1"/>
    <s:col min="14" max="14" width="15.832" customWidth="1"/>
  </s:cols>
  <s:sheetData>
    <s:row r="1" spans="1:14" ht="22" customHeight="1">
      <s:c r="A1" s="894" t="str">
        <s:f>График!B1</s:f>
        <s:v>Февраль, 2026</s:v>
      </s:c>
      <s:c r="B1" s="895"/>
      <s:c r="C1" s="895"/>
      <s:c r="D1" s="896"/>
      <s:c r="E1" s="453"/>
      <s:c r="F1" s="454"/>
      <s:c r="G1" s="454"/>
      <s:c r="H1" s="454"/>
      <s:c r="I1" s="454"/>
      <s:c r="J1" s="454"/>
      <s:c r="K1" s="454"/>
      <s:c r="L1" s="454"/>
      <s:c r="M1" s="454"/>
      <s:c r="N1" s="455"/>
    </s:row>
    <s:row r="2" spans="1:14" ht="19" customHeight="1">
      <s:c r="A2" s="918" t="str">
        <s:f>График!B3</s:f>
        <s:v>ул. Севастопольская, 62</s:v>
      </s:c>
      <s:c r="B2" s="919"/>
      <s:c r="C2" s="920"/>
      <s:c r="D2" s="648" t="str">
        <s:f>График!B4</s:f>
        <s:v>GL-0004</s:v>
      </s:c>
      <s:c r="E2" s="578"/>
      <s:c r="F2" s="649"/>
      <s:c r="G2" s="649"/>
      <s:c r="H2" s="649"/>
      <s:c r="I2" s="649"/>
      <s:c r="J2" s="649"/>
      <s:c r="K2" s="650"/>
      <s:c r="L2" s="650"/>
      <s:c r="M2" s="649"/>
      <s:c r="N2" s="579"/>
    </s:row>
    <s:row r="3" spans="1:14" ht="75">
      <s:c r="A3" s="921" t="s">
        <s:v>28</s:v>
      </s:c>
      <s:c r="B3" s="921"/>
      <s:c r="C3" s="921"/>
      <s:c r="D3" s="461" t="s">
        <s:v>92</s:v>
      </s:c>
      <s:c r="E3" s="651" t="s">
        <s:v>93</s:v>
      </s:c>
      <s:c r="F3" s="463" t="s">
        <s:v>94</s:v>
      </s:c>
      <s:c r="G3" s="464" t="s">
        <s:v>95</s:v>
      </s:c>
      <s:c r="H3" s="465" t="s">
        <s:v>96</s:v>
      </s:c>
      <s:c r="I3" s="465" t="s">
        <s:v>97</s:v>
      </s:c>
      <s:c r="J3" s="466" t="s">
        <s:v>98</s:v>
      </s:c>
      <s:c r="K3" s="582" t="s">
        <s:v>75</s:v>
      </s:c>
      <s:c r="L3" s="583" t="s">
        <s:v>99</s:v>
      </s:c>
      <s:c r="M3" s="463" t="s">
        <s:v>100</s:v>
      </s:c>
      <s:c r="N3" s="584" t="s">
        <s:v>101</s:v>
      </s:c>
    </s:row>
    <s:row r="4" spans="1:14" ht="19" customHeight="1">
      <s:c r="A4" s="922" t="str">
        <s:f>График!B28</s:f>
        <s:v>Сейтджелилова Алина</s:v>
      </s:c>
      <s:c r="B4" s="922"/>
      <s:c r="C4" s="922"/>
      <s:c r="D4" s="652">
        <s:f>19140+13095.63</s:f>
        <s:v>32235.629999999997</s:v>
      </s:c>
      <s:c r="E4" s="653"/>
      <s:c r="F4" s="624">
        <s:f>H8+H9</s:f>
        <s:v>8445.39</s:v>
      </s:c>
      <s:c r="G4" s="654">
        <s:f>D13</s:f>
        <s:v>17700</s:v>
      </s:c>
      <s:c r="H4" s="655">
        <s:f>D20</s:f>
        <s:v>8535.68</s:v>
      </s:c>
      <s:c r="I4" s="655">
        <s:f>M20</s:f>
        <s:v>5154.6001034482751</s:v>
      </s:c>
      <s:c r="J4" s="656">
        <s:f>M13</s:f>
        <s:v>0</s:v>
      </s:c>
      <s:c r="K4" s="628">
        <s:f>H4+J4+G4+F4+I4</s:f>
        <s:v>39835.670103448276</s:v>
      </s:c>
      <s:c r="L4" s="629">
        <s:f>C8+C9+C10+C11</s:f>
        <s:v>4817</s:v>
      </s:c>
      <s:c r="M4" s="624">
        <s:f>K4-L4-D4-E4</s:f>
        <s:v>2783.0401034482784</s:v>
      </s:c>
      <s:c r="N4" s="630"/>
    </s:row>
    <s:row r="5" spans="1:14">
      <s:c r="A5" s="476"/>
      <s:c r="B5" s="477"/>
      <s:c r="C5" s="478"/>
      <s:c r="D5" s="478"/>
      <s:c r="E5" s="478"/>
      <s:c r="F5" s="478"/>
      <s:c r="G5" s="478"/>
      <s:c r="H5" s="478"/>
      <s:c r="I5" s="478"/>
      <s:c r="J5" s="478"/>
      <s:c r="K5" s="479"/>
      <s:c r="L5" s="478"/>
      <s:c r="M5" s="480"/>
      <s:c r="N5" s="632"/>
    </s:row>
    <s:row r="6" spans="1:14">
      <s:c r="A6" s="476"/>
      <s:c r="B6" s="593" t="s">
        <s:v>99</s:v>
      </s:c>
      <s:c r="C6" s="594"/>
      <s:c r="D6" s="594"/>
      <s:c r="E6" s="594"/>
      <s:c r="F6" s="478"/>
      <s:c r="G6" s="477" t="s">
        <s:v>102</s:v>
      </s:c>
      <s:c r="H6" s="478"/>
      <s:c r="I6" s="478"/>
      <s:c r="J6" s="478"/>
      <s:c r="K6" s="478"/>
      <s:c r="L6" s="478"/>
      <s:c r="M6" s="480"/>
      <s:c r="N6" s="481"/>
    </s:row>
    <s:row r="7" spans="1:14" ht="20" customHeight="1">
      <s:c r="A7" s="482"/>
      <s:c r="B7" s="483" t="s">
        <s:v>29</s:v>
      </s:c>
      <s:c r="C7" s="483" t="s">
        <s:v>103</s:v>
      </s:c>
      <s:c r="D7" s="893" t="s">
        <s:v>104</s:v>
      </s:c>
      <s:c r="E7" s="893"/>
      <s:c r="F7" s="657"/>
      <s:c r="G7" s="483" t="s">
        <s:v>29</s:v>
      </s:c>
      <s:c r="H7" s="893" t="s">
        <s:v>103</s:v>
      </s:c>
      <s:c r="I7" s="893"/>
      <s:c r="J7" s="893" t="s">
        <s:v>104</s:v>
      </s:c>
      <s:c r="K7" s="893"/>
      <s:c r="L7" s="484"/>
      <s:c r="M7" s="485"/>
      <s:c r="N7" s="486"/>
    </s:row>
    <s:row r="8" spans="1:14" ht="24" customHeight="1">
      <s:c r="A8" s="487"/>
      <s:c r="B8" s="488">
        <s:v>46081</s:v>
      </s:c>
      <s:c r="C8" s="489">
        <s:f>2860+1957</s:f>
        <s:v>4817</s:v>
      </s:c>
      <s:c r="D8" s="889" t="s">
        <s:v>105</s:v>
      </s:c>
      <s:c r="E8" s="889"/>
      <s:c r="F8" s="658"/>
      <s:c r="G8" s="488">
        <s:v>46081</s:v>
      </s:c>
      <s:c r="H8" s="890">
        <s:f>Центрум!J8*0.01</s:f>
        <s:v>8445.39</s:v>
      </s:c>
      <s:c r="I8" s="890"/>
      <s:c r="J8" s="889" t="s">
        <s:v>127</s:v>
      </s:c>
      <s:c r="K8" s="889"/>
      <s:c r="L8" s="478"/>
      <s:c r="M8" s="480"/>
      <s:c r="N8" s="481"/>
    </s:row>
    <s:row r="9" spans="1:14" ht="21" customHeight="1">
      <s:c r="A9" s="476"/>
      <s:c r="B9" s="488"/>
      <s:c r="C9" s="489"/>
      <s:c r="D9" s="889"/>
      <s:c r="E9" s="889"/>
      <s:c r="F9" s="478"/>
      <s:c r="G9" s="488">
        <s:v>46081</s:v>
      </s:c>
      <s:c r="H9" s="890">
        <s:v>0</s:v>
      </s:c>
      <s:c r="I9" s="890"/>
      <s:c r="J9" s="889" t="s">
        <s:v>128</s:v>
      </s:c>
      <s:c r="K9" s="889"/>
      <s:c r="L9" s="478"/>
      <s:c r="M9" s="480"/>
      <s:c r="N9" s="481"/>
    </s:row>
    <s:row r="10" spans="1:14" ht="24" customHeight="1">
      <s:c r="A10" s="491"/>
      <s:c r="B10" s="492"/>
      <s:c r="C10" s="493"/>
      <s:c r="D10" s="891"/>
      <s:c r="E10" s="891"/>
      <s:c r="F10" s="494"/>
      <s:c r="G10" s="488"/>
      <s:c r="H10" s="890"/>
      <s:c r="I10" s="890"/>
      <s:c r="J10" s="889"/>
      <s:c r="K10" s="889"/>
      <s:c r="L10" s="478"/>
      <s:c r="M10" s="480"/>
      <s:c r="N10" s="481"/>
    </s:row>
    <s:row r="11" spans="1:14" ht="29" customHeight="1">
      <s:c r="A11" s="491"/>
      <s:c r="B11" s="495"/>
      <s:c r="C11" s="496"/>
      <s:c r="D11" s="892"/>
      <s:c r="E11" s="892"/>
      <s:c r="F11" s="494"/>
      <s:c r="G11" s="478"/>
      <s:c r="H11" s="478"/>
      <s:c r="I11" s="478"/>
      <s:c r="J11" s="478"/>
      <s:c r="K11" s="478"/>
      <s:c r="L11" s="478"/>
      <s:c r="M11" s="480"/>
      <s:c r="N11" s="481"/>
    </s:row>
    <s:row r="12" spans="1:14">
      <s:c r="A12" s="476"/>
      <s:c r="B12" s="497"/>
      <s:c r="C12" s="498"/>
      <s:c r="D12" s="499"/>
      <s:c r="E12" s="499"/>
      <s:c r="F12" s="478"/>
      <s:c r="G12" s="478"/>
      <s:c r="H12" s="478"/>
      <s:c r="I12" s="478"/>
      <s:c r="J12" s="478"/>
      <s:c r="K12" s="478"/>
      <s:c r="L12" s="478"/>
      <s:c r="M12" s="480"/>
      <s:c r="N12" s="481"/>
    </s:row>
    <s:row r="13" spans="1:14" ht="19" customHeight="1">
      <s:c r="A13" s="659" t="s">
        <s:v>107</s:v>
      </s:c>
      <s:c r="B13" s="501"/>
      <s:c r="C13" s="501"/>
      <s:c r="D13" s="502">
        <s:f>G17+G18</s:f>
        <s:v>17700</s:v>
      </s:c>
      <s:c r="E13" s="503"/>
      <s:c r="F13" s="504"/>
      <s:c r="G13" s="501"/>
      <s:c r="H13" s="501"/>
      <s:c r="I13" s="505" t="s">
        <s:v>108</s:v>
      </s:c>
      <s:c r="J13" s="501"/>
      <s:c r="K13" s="501"/>
      <s:c r="L13" s="501"/>
      <s:c r="M13" s="506">
        <s:f>K17+K18</s:f>
        <s:v>0</s:v>
      </s:c>
      <s:c r="N13" s="507"/>
    </s:row>
    <s:row r="14" spans="1:14">
      <s:c r="A14" s="476"/>
      <s:c r="B14" s="477"/>
      <s:c r="C14" s="478"/>
      <s:c r="D14" s="508"/>
      <s:c r="E14" s="508"/>
      <s:c r="F14" s="478"/>
      <s:c r="G14" s="478"/>
      <s:c r="H14" s="478"/>
      <s:c r="I14" s="478"/>
      <s:c r="J14" s="478"/>
      <s:c r="K14" s="480"/>
      <s:c r="L14" s="480"/>
      <s:c r="M14" s="480"/>
      <s:c r="N14" s="481"/>
    </s:row>
    <s:row r="15" spans="1:14">
      <s:c r="A15" s="509"/>
      <s:c r="B15" s="510" t="s">
        <s:v>107</s:v>
      </s:c>
      <s:c r="C15" s="508"/>
      <s:c r="D15" s="508"/>
      <s:c r="E15" s="508"/>
      <s:c r="F15" s="508"/>
      <s:c r="G15" s="508"/>
      <s:c r="H15" s="508"/>
      <s:c r="I15" s="595" t="s">
        <s:v>98</s:v>
      </s:c>
      <s:c r="J15" s="548"/>
      <s:c r="K15" s="548"/>
      <s:c r="L15" s="513"/>
      <s:c r="M15" s="513"/>
      <s:c r="N15" s="514"/>
    </s:row>
    <s:row r="16" spans="1:14" ht="24">
      <s:c r="A16" s="509"/>
      <s:c r="B16" s="515" t="s">
        <s:v>109</s:v>
      </s:c>
      <s:c r="C16" s="515" t="s">
        <s:v>110</s:v>
      </s:c>
      <s:c r="D16" s="515" t="s">
        <s:v>111</s:v>
      </s:c>
      <s:c r="E16" s="515" t="s">
        <s:v>112</s:v>
      </s:c>
      <s:c r="F16" s="515" t="s">
        <s:v>113</s:v>
      </s:c>
      <s:c r="G16" s="515" t="s">
        <s:v>114</s:v>
      </s:c>
      <s:c r="H16" s="638"/>
      <s:c r="I16" s="515" t="s">
        <s:v>110</s:v>
      </s:c>
      <s:c r="J16" s="515" t="s">
        <s:v>115</s:v>
      </s:c>
      <s:c r="K16" s="515" t="s">
        <s:v>116</s:v>
      </s:c>
      <s:c r="L16" s="513"/>
      <s:c r="M16" s="513"/>
      <s:c r="N16" s="514"/>
    </s:row>
    <s:row r="17" spans="1:14" ht="19" customHeight="1">
      <s:c r="A17" s="476"/>
      <s:c r="B17" s="516">
        <s:f>График!AI28</s:f>
        <s:v>20</s:v>
      </s:c>
      <s:c r="C17" s="517" t="str">
        <s:f>A2</s:f>
        <s:v>ул. Севастопольская, 62</s:v>
      </s:c>
      <s:c r="D17" s="517" t="s">
        <s:v>129</s:v>
      </s:c>
      <s:c r="E17" s="518">
        <s:f>График!AJ28</s:f>
        <s:v>177</s:v>
      </s:c>
      <s:c r="F17" s="519">
        <s:v>100</s:v>
      </s:c>
      <s:c r="G17" s="634">
        <s:f>E17*F17</s:f>
        <s:v>17700</s:v>
      </s:c>
      <s:c r="H17" s="521"/>
      <s:c r="I17" s="517" t="str">
        <s:f>C17</s:f>
        <s:v>ул. Севастопольская, 62</s:v>
      </s:c>
      <s:c r="J17" s="522">
        <s:f>Центрум!K8</s:f>
        <s:v>0.45158263179508235</s:v>
      </s:c>
      <s:c r="K17" s="519"/>
      <s:c r="L17" s="480"/>
      <s:c r="M17" s="480"/>
      <s:c r="N17" s="481"/>
    </s:row>
    <s:row r="18" spans="1:14" ht="19" customHeight="1">
      <s:c r="A18" s="509"/>
      <s:c r="B18" s="515"/>
      <s:c r="C18" s="517"/>
      <s:c r="D18" s="517"/>
      <s:c r="E18" s="635"/>
      <s:c r="F18" s="519"/>
      <s:c r="G18" s="634"/>
      <s:c r="H18" s="638"/>
      <s:c r="I18" s="606"/>
      <s:c r="J18" s="528"/>
      <s:c r="K18" s="519"/>
      <s:c r="L18" s="513"/>
      <s:c r="M18" s="513"/>
      <s:c r="N18" s="514"/>
    </s:row>
    <s:row r="19" spans="1:14">
      <s:c r="A19" s="509"/>
      <s:c r="B19" s="508"/>
      <s:c r="C19" s="538"/>
      <s:c r="D19" s="478"/>
      <s:c r="E19" s="539"/>
      <s:c r="F19" s="539"/>
      <s:c r="G19" s="540"/>
      <s:c r="H19" s="508"/>
      <s:c r="I19" s="508"/>
      <s:c r="J19" s="508"/>
      <s:c r="K19" s="508"/>
      <s:c r="L19" s="513"/>
      <s:c r="M19" s="513"/>
      <s:c r="N19" s="514"/>
    </s:row>
    <s:row r="20" spans="1:14" ht="17" customHeight="1">
      <s:c r="A20" s="659" t="s">
        <s:v>118</s:v>
      </s:c>
      <s:c r="B20" s="501"/>
      <s:c r="C20" s="501"/>
      <s:c r="D20" s="541">
        <s:f>G25+G26</s:f>
        <s:v>8535.68</s:v>
      </s:c>
      <s:c r="E20" s="542"/>
      <s:c r="F20" s="504"/>
      <s:c r="G20" s="504"/>
      <s:c r="H20" s="504"/>
      <s:c r="I20" s="660" t="s">
        <s:v>97</s:v>
      </s:c>
      <s:c r="J20" s="504"/>
      <s:c r="K20" s="504"/>
      <s:c r="L20" s="504"/>
      <s:c r="M20" s="541">
        <s:f>N25+N26</s:f>
        <s:v>5154.6001034482751</s:v>
      </s:c>
      <s:c r="N20" s="507"/>
    </s:row>
    <s:row r="21" spans="1:14">
      <s:c r="A21" s="543"/>
      <s:c r="B21" s="477"/>
      <s:c r="C21" s="480"/>
      <s:c r="D21" s="480"/>
      <s:c r="E21" s="480"/>
      <s:c r="F21" s="480"/>
      <s:c r="G21" s="480"/>
      <s:c r="H21" s="480"/>
      <s:c r="I21" s="480"/>
      <s:c r="J21" s="480"/>
      <s:c r="K21" s="544"/>
      <s:c r="L21" s="182"/>
      <s:c r="M21" s="182"/>
      <s:c r="N21" s="545"/>
    </s:row>
    <s:row r="22" spans="1:14">
      <s:c r="A22" s="543"/>
      <s:c r="B22" s="478"/>
      <s:c r="C22" s="477"/>
      <s:c r="D22" s="480"/>
      <s:c r="E22" s="480"/>
      <s:c r="F22" s="480"/>
      <s:c r="G22" s="480"/>
      <s:c r="H22" s="480"/>
      <s:c r="I22" s="480"/>
      <s:c r="J22" s="480"/>
      <s:c r="K22" s="480"/>
      <s:c r="L22" s="480"/>
      <s:c r="M22" s="480"/>
      <s:c r="N22" s="481"/>
    </s:row>
    <s:row r="23" spans="1:14">
      <s:c r="A23" s="543"/>
      <s:c r="B23" s="477" t="s">
        <s:v>119</s:v>
      </s:c>
      <s:c r="C23" s="480"/>
      <s:c r="D23" s="480"/>
      <s:c r="E23" s="480"/>
      <s:c r="F23" s="480"/>
      <s:c r="G23" s="480"/>
      <s:c r="H23" s="480"/>
      <s:c r="I23" s="661" t="s">
        <s:v>120</s:v>
      </s:c>
      <s:c r="J23" s="661"/>
      <s:c r="K23" s="662"/>
      <s:c r="L23" s="662"/>
      <s:c r="M23" s="662"/>
      <s:c r="N23" s="607"/>
    </s:row>
    <s:row r="24" spans="1:14" ht="36">
      <s:c r="A24" s="530"/>
      <s:c r="B24" s="515" t="s">
        <s:v>28</s:v>
      </s:c>
      <s:c r="C24" s="915" t="s">
        <s:v>110</s:v>
      </s:c>
      <s:c r="D24" s="915"/>
      <s:c r="E24" s="515" t="s">
        <s:v>121</s:v>
      </s:c>
      <s:c r="F24" s="515" t="s">
        <s:v>122</s:v>
      </s:c>
      <s:c r="G24" s="515" t="s">
        <s:v>123</s:v>
      </s:c>
      <s:c r="H24" s="638"/>
      <s:c r="I24" s="515" t="s">
        <s:v>28</s:v>
      </s:c>
      <s:c r="J24" s="515" t="s">
        <s:v>110</s:v>
      </s:c>
      <s:c r="K24" s="515" t="s">
        <s:v>124</s:v>
      </s:c>
      <s:c r="L24" s="515" t="s">
        <s:v>125</s:v>
      </s:c>
      <s:c r="M24" s="515" t="s">
        <s:v>121</s:v>
      </s:c>
      <s:c r="N24" s="609" t="s">
        <s:v>123</s:v>
      </s:c>
    </s:row>
    <s:row r="25" spans="1:14" ht="20" customHeight="1">
      <s:c r="A25" s="543"/>
      <s:c r="B25" s="517" t="str">
        <s:f>A4</s:f>
        <s:v>Сейтджелилова Алина</s:v>
      </s:c>
      <s:c r="C25" s="916" t="str">
        <s:f>A2</s:f>
        <s:v>ул. Севастопольская, 62</s:v>
      </s:c>
      <s:c r="D25" s="916"/>
      <s:c r="E25" s="522">
        <s:v>0.04</s:v>
      </s:c>
      <s:c r="F25" s="489">
        <s:f>'Сейтджелилова А.Э.'!J8</s:f>
        <s:v>213392</s:v>
      </s:c>
      <s:c r="G25" s="663">
        <s:f>F25*E25</s:f>
        <s:v>8535.68</s:v>
      </s:c>
      <s:c r="H25" s="664"/>
      <s:c r="I25" s="556" t="str">
        <s:f>B25</s:f>
        <s:v>Сейтджелилова Алина</s:v>
      </s:c>
      <s:c r="J25" s="557" t="str">
        <s:f>C25</s:f>
        <s:v>ул. Севастопольская, 62</s:v>
      </s:c>
      <s:c r="K25" s="557">
        <s:f>E17</s:f>
        <s:v>177</s:v>
      </s:c>
      <s:c r="L25" s="559">
        <s:f>График!AJ29</s:f>
        <s:v>580</s:v>
      </s:c>
      <s:c r="M25" s="522">
        <s:v>0.02</s:v>
      </s:c>
      <s:c r="N25" s="561">
        <s:f>Центрум!J8*M25*K25/L25</s:f>
        <s:v>5154.6001034482751</s:v>
      </s:c>
    </s:row>
    <s:row r="26" spans="1:14" ht="18" customHeight="1">
      <s:c r="A26" s="530"/>
      <s:c r="B26" s="517"/>
      <s:c r="C26" s="917"/>
      <s:c r="D26" s="917"/>
      <s:c r="E26" s="522"/>
      <s:c r="F26" s="562"/>
      <s:c r="G26" s="663"/>
      <s:c r="H26" s="638"/>
      <s:c r="I26" s="556"/>
      <s:c r="J26" s="616"/>
      <s:c r="K26" s="566"/>
      <s:c r="L26" s="567"/>
      <s:c r="M26" s="522"/>
      <s:c r="N26" s="561"/>
    </s:row>
    <s:row r="27" spans="1:14">
      <s:c r="A27" s="617"/>
      <s:c r="B27" s="619"/>
      <s:c r="C27" s="619"/>
      <s:c r="D27" s="619"/>
      <s:c r="E27" s="619"/>
      <s:c r="F27" s="619"/>
      <s:c r="G27" s="619"/>
      <s:c r="H27" s="619"/>
      <s:c r="I27" s="620"/>
      <s:c r="J27" s="620"/>
      <s:c r="K27" s="620"/>
      <s:c r="L27" s="620"/>
      <s:c r="M27" s="620"/>
      <s:c r="N27" s="621"/>
    </s:row>
  </s:sheetData>
  <s:mergeCells count="20">
    <s:mergeCell ref="A1:D1"/>
    <s:mergeCell ref="A2:C2"/>
    <s:mergeCell ref="A3:C3"/>
    <s:mergeCell ref="A4:C4"/>
    <s:mergeCell ref="D7:E7"/>
    <s:mergeCell ref="H7:I7"/>
    <s:mergeCell ref="J7:K7"/>
    <s:mergeCell ref="D8:E8"/>
    <s:mergeCell ref="H8:I8"/>
    <s:mergeCell ref="J8:K8"/>
    <s:mergeCell ref="H9:I9"/>
    <s:mergeCell ref="J9:K9"/>
    <s:mergeCell ref="D10:E10"/>
    <s:mergeCell ref="H10:I10"/>
    <s:mergeCell ref="J10:K10"/>
    <s:mergeCell ref="D11:E11"/>
    <s:mergeCell ref="C24:D24"/>
    <s:mergeCell ref="C25:D25"/>
    <s:mergeCell ref="C26:D26"/>
    <s:mergeCell ref="D9:E9"/>
  </s:mergeCells>
  <s:pageMargins left="0.7" right="0.7" top="0.75" bottom="0.75" header="0.3" footer="0.3"/>
  <s:pageSetup paperSize="9" orientation="portrait"/>
</s:worksheet>
</file>

<file path=xl/worksheets/sheet13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F00-000000000000}">
  <s:sheetPr>
    <s:tabColor rgb="FFDBDBDB"/>
  </s:sheetPr>
  <s:dimension ref="A1:AQ54"/>
  <s:sheetViews>
    <s:sheetView tabSelected="0" topLeftCell="A8" zoomScale="75" workbookViewId="0">
      <s:pane xSplit="2" topLeftCell="E1" activePane="topRight" state="frozen"/>
      <s:selection activeCell="AE28" sqref="AE28"/>
      <s:selection pane="topRight" activeCell="AB33" sqref="AB33"/>
    </s:sheetView>
  </s:sheetViews>
  <s:sheetFormatPr baseColWidth="10" defaultColWidth="11.5" defaultRowHeight="15"/>
  <s:cols>
    <s:col min="1" max="1" width="4.832" style="1" customWidth="1"/>
    <s:col min="2" max="2" width="25.664" style="1" customWidth="1"/>
    <s:col min="3" max="3" width="18" style="1" customWidth="1"/>
    <s:col min="4" max="34" width="7.332" style="1" customWidth="1"/>
    <s:col min="35" max="35" width="4.832" style="1" customWidth="1"/>
    <s:col min="36" max="36" width="11.164" style="1" customWidth="1"/>
    <s:col min="37" max="40" width="6.332" style="1" customWidth="1"/>
    <s:col min="41" max="43" width="11.5" style="1"/>
  </s:cols>
  <s:sheetData>
    <s:row r="1" spans="1:40">
      <s:c r="A1" s="678"/>
      <s:c r="B1" s="679" t="s">
        <s:v>131</s:v>
      </s:c>
      <s:c r="C1" s="680"/>
      <s:c r="D1" s="680"/>
      <s:c r="E1" s="680"/>
      <s:c r="F1" s="680"/>
      <s:c r="G1" s="680"/>
      <s:c r="H1" s="680"/>
      <s:c r="I1" s="680"/>
      <s:c r="J1" s="680"/>
      <s:c r="K1" s="680"/>
      <s:c r="L1" s="680"/>
      <s:c r="M1" s="680"/>
      <s:c r="N1" s="680"/>
      <s:c r="O1" s="680"/>
      <s:c r="P1" s="680"/>
      <s:c r="Q1" s="680"/>
      <s:c r="R1" s="680"/>
      <s:c r="S1" s="680"/>
      <s:c r="T1" s="680"/>
      <s:c r="U1" s="680"/>
      <s:c r="V1" s="680"/>
      <s:c r="W1" s="680"/>
      <s:c r="X1" s="680"/>
      <s:c r="Y1" s="680"/>
      <s:c r="Z1" s="680"/>
      <s:c r="AA1" s="680"/>
      <s:c r="AB1" s="680"/>
      <s:c r="AC1" s="680"/>
      <s:c r="AD1" s="680"/>
      <s:c r="AE1" s="680"/>
      <s:c r="AF1" s="680"/>
      <s:c r="AG1" s="680"/>
      <s:c r="AH1" s="680"/>
      <s:c r="AI1" s="680"/>
      <s:c r="AJ1" s="680"/>
      <s:c r="AK1" s="680"/>
      <s:c r="AL1" s="680"/>
      <s:c r="AM1" s="680"/>
      <s:c r="AN1" s="680"/>
    </s:row>
    <s:row r="2" spans="1:40">
      <s:c r="A2" s="678"/>
      <s:c r="B2" s="681" t="s">
        <s:v>132</s:v>
      </s:c>
      <s:c r="C2" s="682"/>
      <s:c r="D2" s="682"/>
      <s:c r="E2" s="682"/>
      <s:c r="F2" s="682"/>
      <s:c r="G2" s="682"/>
      <s:c r="H2" s="682"/>
      <s:c r="I2" s="682"/>
      <s:c r="J2" s="682"/>
      <s:c r="K2" s="682"/>
      <s:c r="L2" s="682"/>
      <s:c r="M2" s="682"/>
      <s:c r="N2" s="682"/>
      <s:c r="O2" s="682"/>
      <s:c r="P2" s="682"/>
      <s:c r="Q2" s="682"/>
      <s:c r="R2" s="682"/>
      <s:c r="S2" s="682"/>
      <s:c r="T2" s="682"/>
      <s:c r="U2" s="682"/>
      <s:c r="V2" s="682"/>
      <s:c r="W2" s="682"/>
      <s:c r="X2" s="682"/>
      <s:c r="Y2" s="682"/>
      <s:c r="Z2" s="682"/>
      <s:c r="AA2" s="682"/>
      <s:c r="AB2" s="682"/>
      <s:c r="AC2" s="682"/>
      <s:c r="AD2" s="682"/>
      <s:c r="AE2" s="682"/>
      <s:c r="AF2" s="682"/>
      <s:c r="AG2" s="682"/>
      <s:c r="AH2" s="682"/>
      <s:c r="AI2" s="682"/>
      <s:c r="AJ2" s="682"/>
      <s:c r="AK2" s="682"/>
      <s:c r="AL2" s="682"/>
      <s:c r="AM2" s="682"/>
      <s:c r="AN2" s="682"/>
    </s:row>
    <s:row r="3" spans="1:40">
      <s:c r="A3" s="678"/>
      <s:c r="B3" s="681" t="s">
        <s:v>133</s:v>
      </s:c>
      <s:c r="C3" s="682"/>
      <s:c r="D3" s="682"/>
      <s:c r="E3" s="682"/>
      <s:c r="F3" s="682"/>
      <s:c r="G3" s="682"/>
      <s:c r="H3" s="682"/>
      <s:c r="I3" s="682"/>
      <s:c r="J3" s="682"/>
      <s:c r="K3" s="682"/>
      <s:c r="L3" s="682"/>
      <s:c r="M3" s="682"/>
      <s:c r="N3" s="682"/>
      <s:c r="O3" s="682"/>
      <s:c r="P3" s="682"/>
      <s:c r="Q3" s="682"/>
      <s:c r="R3" s="682"/>
      <s:c r="S3" s="682"/>
      <s:c r="T3" s="682"/>
      <s:c r="U3" s="682"/>
      <s:c r="V3" s="682"/>
      <s:c r="W3" s="682"/>
      <s:c r="X3" s="682"/>
      <s:c r="Y3" s="682"/>
      <s:c r="Z3" s="682"/>
      <s:c r="AA3" s="682"/>
      <s:c r="AB3" s="682"/>
      <s:c r="AC3" s="682"/>
      <s:c r="AD3" s="682"/>
      <s:c r="AE3" s="682"/>
      <s:c r="AF3" s="682"/>
      <s:c r="AG3" s="682"/>
      <s:c r="AH3" s="682"/>
      <s:c r="AI3" s="682"/>
      <s:c r="AJ3" s="682"/>
      <s:c r="AK3" s="682"/>
      <s:c r="AL3" s="682"/>
      <s:c r="AM3" s="682"/>
      <s:c r="AN3" s="682"/>
    </s:row>
    <s:row r="4" spans="1:40" ht="19">
      <s:c r="A4" s="678"/>
      <s:c r="B4" s="683" t="s">
        <s:v>134</s:v>
      </s:c>
      <s:c r="C4" s="682"/>
      <s:c r="D4" s="682"/>
      <s:c r="E4" s="682"/>
      <s:c r="F4" s="682"/>
      <s:c r="G4" s="682"/>
      <s:c r="H4" s="682"/>
      <s:c r="I4" s="682"/>
      <s:c r="J4" s="682"/>
      <s:c r="K4" s="682"/>
      <s:c r="L4" s="682"/>
      <s:c r="M4" s="682"/>
      <s:c r="N4" s="682"/>
      <s:c r="O4" s="682"/>
      <s:c r="P4" s="682"/>
      <s:c r="Q4" s="682"/>
      <s:c r="R4" s="682"/>
      <s:c r="S4" s="682"/>
      <s:c r="T4" s="682"/>
      <s:c r="U4" s="682"/>
      <s:c r="V4" s="682"/>
      <s:c r="W4" s="682"/>
      <s:c r="X4" s="682"/>
      <s:c r="Y4" s="682"/>
      <s:c r="Z4" s="682"/>
      <s:c r="AA4" s="682"/>
      <s:c r="AB4" s="682"/>
      <s:c r="AC4" s="682"/>
      <s:c r="AD4" s="682"/>
      <s:c r="AE4" s="682"/>
      <s:c r="AF4" s="682"/>
      <s:c r="AG4" s="682"/>
      <s:c r="AH4" s="682"/>
      <s:c r="AI4" s="682"/>
      <s:c r="AJ4" s="682"/>
      <s:c r="AK4" s="682"/>
      <s:c r="AL4" s="682"/>
      <s:c r="AM4" s="682"/>
      <s:c r="AN4" s="682"/>
    </s:row>
    <s:row r="5" spans="1:40" ht="16">
      <s:c r="A5" s="678"/>
      <s:c r="B5" s="684" t="s">
        <s:v>135</s:v>
      </s:c>
      <s:c r="C5" s="682"/>
      <s:c r="D5" s="682"/>
      <s:c r="E5" s="682"/>
      <s:c r="F5" s="682"/>
      <s:c r="G5" s="682"/>
      <s:c r="H5" s="682"/>
      <s:c r="I5" s="682"/>
      <s:c r="J5" s="682"/>
      <s:c r="K5" s="682"/>
      <s:c r="L5" s="682"/>
      <s:c r="M5" s="682"/>
      <s:c r="N5" s="682"/>
      <s:c r="O5" s="682"/>
      <s:c r="P5" s="682"/>
      <s:c r="Q5" s="682"/>
      <s:c r="R5" s="682"/>
      <s:c r="S5" s="682"/>
      <s:c r="T5" s="682"/>
      <s:c r="U5" s="682"/>
      <s:c r="V5" s="682"/>
      <s:c r="W5" s="682"/>
      <s:c r="X5" s="682"/>
      <s:c r="Y5" s="682"/>
      <s:c r="Z5" s="682"/>
      <s:c r="AA5" s="682"/>
      <s:c r="AB5" s="682"/>
      <s:c r="AC5" s="682"/>
      <s:c r="AD5" s="682"/>
      <s:c r="AE5" s="682"/>
      <s:c r="AF5" s="682"/>
      <s:c r="AG5" s="682"/>
      <s:c r="AH5" s="682"/>
      <s:c r="AI5" s="682"/>
      <s:c r="AJ5" s="923"/>
      <s:c r="AK5" s="924"/>
      <s:c r="AL5" s="925"/>
      <s:c r="AM5" s="926"/>
      <s:c r="AN5" s="927"/>
    </s:row>
    <s:row r="6" spans="1:40" ht="16" customHeight="1">
      <s:c r="A6" s="678"/>
      <s:c r="B6" s="685" t="s">
        <s:v>136</s:v>
      </s:c>
      <s:c r="C6" s="928" t="s">
        <s:v>137</s:v>
      </s:c>
      <s:c r="D6" s="929"/>
      <s:c r="E6" s="929"/>
      <s:c r="F6" s="929"/>
      <s:c r="G6" s="929"/>
      <s:c r="H6" s="929"/>
      <s:c r="I6" s="929"/>
      <s:c r="J6" s="929"/>
      <s:c r="K6" s="929"/>
      <s:c r="L6" s="929"/>
      <s:c r="M6" s="929"/>
      <s:c r="N6" s="929"/>
      <s:c r="O6" s="929"/>
      <s:c r="P6" s="929"/>
      <s:c r="Q6" s="929"/>
      <s:c r="R6" s="929"/>
      <s:c r="S6" s="929"/>
      <s:c r="T6" s="929"/>
      <s:c r="U6" s="929"/>
      <s:c r="V6" s="929"/>
      <s:c r="W6" s="929"/>
      <s:c r="X6" s="929"/>
      <s:c r="Y6" s="929"/>
      <s:c r="Z6" s="929"/>
      <s:c r="AA6" s="929"/>
      <s:c r="AB6" s="929"/>
      <s:c r="AC6" s="929"/>
      <s:c r="AD6" s="929"/>
      <s:c r="AE6" s="929"/>
      <s:c r="AF6" s="929"/>
      <s:c r="AG6" s="929"/>
      <s:c r="AH6" s="929"/>
      <s:c r="AI6" s="929"/>
      <s:c r="AJ6" s="930"/>
      <s:c r="AK6" s="686">
        <s:v>30</s:v>
      </s:c>
      <s:c r="AL6" s="687"/>
      <s:c r="AM6" s="687"/>
      <s:c r="AN6" s="687"/>
    </s:row>
    <s:row r="7" spans="1:40" ht="16" customHeight="1">
      <s:c r="A7" s="688"/>
      <s:c r="B7" s="689"/>
      <s:c r="C7" s="928" t="s">
        <s:v>138</s:v>
      </s:c>
      <s:c r="D7" s="931"/>
      <s:c r="E7" s="931"/>
      <s:c r="F7" s="931"/>
      <s:c r="G7" s="931"/>
      <s:c r="H7" s="931"/>
      <s:c r="I7" s="931"/>
      <s:c r="J7" s="931"/>
      <s:c r="K7" s="931"/>
      <s:c r="L7" s="931"/>
      <s:c r="M7" s="931"/>
      <s:c r="N7" s="931"/>
      <s:c r="O7" s="931"/>
      <s:c r="P7" s="931"/>
      <s:c r="Q7" s="931"/>
      <s:c r="R7" s="931"/>
      <s:c r="S7" s="931"/>
      <s:c r="T7" s="931"/>
      <s:c r="U7" s="931"/>
      <s:c r="V7" s="931"/>
      <s:c r="W7" s="931"/>
      <s:c r="X7" s="931"/>
      <s:c r="Y7" s="931"/>
      <s:c r="Z7" s="931"/>
      <s:c r="AA7" s="931"/>
      <s:c r="AB7" s="931"/>
      <s:c r="AC7" s="931"/>
      <s:c r="AD7" s="931"/>
      <s:c r="AE7" s="931"/>
      <s:c r="AF7" s="931"/>
      <s:c r="AG7" s="931"/>
      <s:c r="AH7" s="931"/>
      <s:c r="AI7" s="929"/>
      <s:c r="AJ7" s="930"/>
      <s:c r="AK7" s="690"/>
      <s:c r="AL7" s="690"/>
      <s:c r="AM7" s="691"/>
      <s:c r="AN7" s="691"/>
    </s:row>
    <s:row r="8" spans="1:40" ht="29" customHeight="1">
      <s:c r="A8" s="692"/>
      <s:c r="B8" s="693"/>
      <s:c r="C8" s="694"/>
      <s:c r="D8" s="695" t="s">
        <s:v>57</s:v>
      </s:c>
      <s:c r="E8" s="695" t="s">
        <s:v>58</s:v>
      </s:c>
      <s:c r="F8" s="695" t="s">
        <s:v>60</s:v>
      </s:c>
      <s:c r="G8" s="695" t="s">
        <s:v>62</s:v>
      </s:c>
      <s:c r="H8" s="695" t="s">
        <s:v>63</s:v>
      </s:c>
      <s:c r="I8" s="695" t="s">
        <s:v>64</s:v>
      </s:c>
      <s:c r="J8" s="695" t="s">
        <s:v>66</s:v>
      </s:c>
      <s:c r="K8" s="695" t="s">
        <s:v>57</s:v>
      </s:c>
      <s:c r="L8" s="695" t="s">
        <s:v>58</s:v>
      </s:c>
      <s:c r="M8" s="696" t="s">
        <s:v>60</s:v>
      </s:c>
      <s:c r="N8" s="697" t="s">
        <s:v>62</s:v>
      </s:c>
      <s:c r="O8" s="698" t="s">
        <s:v>63</s:v>
      </s:c>
      <s:c r="P8" s="695" t="s">
        <s:v>64</s:v>
      </s:c>
      <s:c r="Q8" s="696" t="s">
        <s:v>66</s:v>
      </s:c>
      <s:c r="R8" s="699" t="s">
        <s:v>57</s:v>
      </s:c>
      <s:c r="S8" s="697" t="s">
        <s:v>58</s:v>
      </s:c>
      <s:c r="T8" s="698" t="s">
        <s:v>60</s:v>
      </s:c>
      <s:c r="U8" s="695" t="s">
        <s:v>62</s:v>
      </s:c>
      <s:c r="V8" s="695" t="s">
        <s:v>63</s:v>
      </s:c>
      <s:c r="W8" s="695" t="s">
        <s:v>64</s:v>
      </s:c>
      <s:c r="X8" s="695" t="s">
        <s:v>66</s:v>
      </s:c>
      <s:c r="Y8" s="695" t="s">
        <s:v>57</s:v>
      </s:c>
      <s:c r="Z8" s="695" t="s">
        <s:v>58</s:v>
      </s:c>
      <s:c r="AA8" s="695" t="s">
        <s:v>60</s:v>
      </s:c>
      <s:c r="AB8" s="695" t="s">
        <s:v>62</s:v>
      </s:c>
      <s:c r="AC8" s="695" t="s">
        <s:v>63</s:v>
      </s:c>
      <s:c r="AD8" s="695" t="s">
        <s:v>64</s:v>
      </s:c>
      <s:c r="AE8" s="695" t="s">
        <s:v>66</s:v>
      </s:c>
      <s:c r="AF8" s="695"/>
      <s:c r="AG8" s="695"/>
      <s:c r="AH8" s="695"/>
      <s:c r="AI8" s="700"/>
      <s:c r="AJ8" s="701" t="s">
        <s:v>139</s:v>
      </s:c>
      <s:c r="AK8" s="701" t="s">
        <s:v>140</s:v>
      </s:c>
      <s:c r="AL8" s="932" t="s">
        <s:v>141</s:v>
      </s:c>
      <s:c r="AM8" s="932" t="s">
        <s:v>142</s:v>
      </s:c>
      <s:c r="AN8" s="936" t="s">
        <s:v>143</s:v>
      </s:c>
    </s:row>
    <s:row r="9" spans="1:40">
      <s:c r="A9" s="703"/>
      <s:c r="B9" s="704"/>
      <s:c r="C9" s="705"/>
      <s:c r="D9" s="706"/>
      <s:c r="E9" s="706"/>
      <s:c r="F9" s="706"/>
      <s:c r="G9" s="706"/>
      <s:c r="H9" s="706"/>
      <s:c r="I9" s="706"/>
      <s:c r="J9" s="706"/>
      <s:c r="K9" s="706"/>
      <s:c r="L9" s="706"/>
      <s:c r="M9" s="706"/>
      <s:c r="N9" s="706"/>
      <s:c r="O9" s="706"/>
      <s:c r="P9" s="706"/>
      <s:c r="Q9" s="706"/>
      <s:c r="R9" s="707"/>
      <s:c r="S9" s="708"/>
      <s:c r="T9" s="706"/>
      <s:c r="U9" s="706"/>
      <s:c r="V9" s="706"/>
      <s:c r="W9" s="706"/>
      <s:c r="X9" s="706"/>
      <s:c r="Y9" s="706"/>
      <s:c r="Z9" s="706"/>
      <s:c r="AA9" s="706"/>
      <s:c r="AB9" s="706"/>
      <s:c r="AC9" s="706"/>
      <s:c r="AD9" s="706"/>
      <s:c r="AE9" s="706"/>
      <s:c r="AF9" s="706"/>
      <s:c r="AG9" s="706"/>
      <s:c r="AH9" s="706"/>
      <s:c r="AI9" s="709"/>
      <s:c r="AJ9" s="702"/>
      <s:c r="AK9" s="702"/>
      <s:c r="AL9" s="933"/>
      <s:c r="AM9" s="933"/>
      <s:c r="AN9" s="937"/>
    </s:row>
    <s:row r="10" spans="1:40" ht="23" customHeight="1">
      <s:c r="A10" s="710" t="s">
        <s:v>144</s:v>
      </s:c>
      <s:c r="B10" s="711" t="s">
        <s:v>145</s:v>
      </s:c>
      <s:c r="C10" s="712" t="s">
        <s:v>111</s:v>
      </s:c>
      <s:c r="D10" s="713">
        <s:v>1</s:v>
      </s:c>
      <s:c r="E10" s="713">
        <s:v>2</s:v>
      </s:c>
      <s:c r="F10" s="713">
        <s:v>3</s:v>
      </s:c>
      <s:c r="G10" s="713">
        <s:v>4</s:v>
      </s:c>
      <s:c r="H10" s="713">
        <s:v>5</s:v>
      </s:c>
      <s:c r="I10" s="713">
        <s:v>6</s:v>
      </s:c>
      <s:c r="J10" s="713">
        <s:v>7</s:v>
      </s:c>
      <s:c r="K10" s="713">
        <s:v>8</s:v>
      </s:c>
      <s:c r="L10" s="713">
        <s:v>9</s:v>
      </s:c>
      <s:c r="M10" s="713">
        <s:v>10</s:v>
      </s:c>
      <s:c r="N10" s="713">
        <s:v>11</s:v>
      </s:c>
      <s:c r="O10" s="713">
        <s:v>12</s:v>
      </s:c>
      <s:c r="P10" s="713">
        <s:v>13</s:v>
      </s:c>
      <s:c r="Q10" s="713">
        <s:v>14</s:v>
      </s:c>
      <s:c r="R10" s="714">
        <s:v>15</s:v>
      </s:c>
      <s:c r="S10" s="715">
        <s:v>16</s:v>
      </s:c>
      <s:c r="T10" s="713">
        <s:v>17</s:v>
      </s:c>
      <s:c r="U10" s="713">
        <s:v>18</s:v>
      </s:c>
      <s:c r="V10" s="713">
        <s:v>19</s:v>
      </s:c>
      <s:c r="W10" s="713">
        <s:v>20</s:v>
      </s:c>
      <s:c r="X10" s="713">
        <s:v>21</s:v>
      </s:c>
      <s:c r="Y10" s="713">
        <s:v>22</s:v>
      </s:c>
      <s:c r="Z10" s="713">
        <s:v>23</s:v>
      </s:c>
      <s:c r="AA10" s="713">
        <s:v>24</s:v>
      </s:c>
      <s:c r="AB10" s="713">
        <s:v>25</s:v>
      </s:c>
      <s:c r="AC10" s="713">
        <s:v>26</s:v>
      </s:c>
      <s:c r="AD10" s="713">
        <s:v>27</s:v>
      </s:c>
      <s:c r="AE10" s="713">
        <s:v>28</s:v>
      </s:c>
      <s:c r="AF10" s="713"/>
      <s:c r="AG10" s="713"/>
      <s:c r="AH10" s="713"/>
      <s:c r="AI10" s="716" t="s">
        <s:v>146</s:v>
      </s:c>
      <s:c r="AJ10" s="717"/>
      <s:c r="AK10" s="718"/>
      <s:c r="AL10" s="934"/>
      <s:c r="AM10" s="935"/>
      <s:c r="AN10" s="938"/>
    </s:row>
    <s:row r="11" spans="1:40">
      <s:c r="A11" s="719">
        <s:v>18</s:v>
      </s:c>
      <s:c r="B11" s="720"/>
      <s:c r="C11" s="720"/>
      <s:c r="D11" s="720"/>
      <s:c r="E11" s="720"/>
      <s:c r="F11" s="720"/>
      <s:c r="G11" s="720"/>
      <s:c r="H11" s="720"/>
      <s:c r="I11" s="720"/>
      <s:c r="J11" s="720"/>
      <s:c r="K11" s="720"/>
      <s:c r="L11" s="720"/>
      <s:c r="M11" s="720"/>
      <s:c r="N11" s="720"/>
      <s:c r="O11" s="720"/>
      <s:c r="P11" s="720"/>
      <s:c r="Q11" s="720"/>
      <s:c r="R11" s="721"/>
      <s:c r="S11" s="722"/>
      <s:c r="T11" s="720"/>
      <s:c r="U11" s="720"/>
      <s:c r="V11" s="720"/>
      <s:c r="W11" s="720"/>
      <s:c r="X11" s="720"/>
      <s:c r="Y11" s="720"/>
      <s:c r="Z11" s="723"/>
      <s:c r="AA11" s="723"/>
      <s:c r="AB11" s="723"/>
      <s:c r="AC11" s="723"/>
      <s:c r="AD11" s="723"/>
      <s:c r="AE11" s="723"/>
      <s:c r="AF11" s="720"/>
      <s:c r="AG11" s="720"/>
      <s:c r="AH11" s="724"/>
      <s:c r="AI11" s="725">
        <s:f validation_="true">COUNTIF(D11:AH11,"&gt;0")</s:f>
        <s:v>0</s:v>
      </s:c>
      <s:c r="AJ11" s="726">
        <s:f validation_="true">SUMIF(D11:AH11,"&gt;0")</s:f>
        <s:v>0</s:v>
      </s:c>
      <s:c r="AK11" s="727">
        <s:v>0</s:v>
      </s:c>
      <s:c r="AL11" s="727">
        <s:v>0</s:v>
      </s:c>
      <s:c r="AM11" s="727">
        <s:v>0</s:v>
      </s:c>
      <s:c r="AN11" s="728">
        <s:v>0</s:v>
      </s:c>
    </s:row>
    <s:row r="12" spans="1:40">
      <s:c r="A12" s="729">
        <s:v>17</s:v>
      </s:c>
      <s:c r="B12" s="730"/>
      <s:c r="C12" s="730"/>
      <s:c r="D12" s="730"/>
      <s:c r="E12" s="730"/>
      <s:c r="F12" s="730"/>
      <s:c r="G12" s="730"/>
      <s:c r="H12" s="730"/>
      <s:c r="I12" s="730"/>
      <s:c r="J12" s="730"/>
      <s:c r="K12" s="730"/>
      <s:c r="L12" s="730"/>
      <s:c r="M12" s="730"/>
      <s:c r="N12" s="730"/>
      <s:c r="O12" s="730"/>
      <s:c r="P12" s="730"/>
      <s:c r="Q12" s="730"/>
      <s:c r="R12" s="731"/>
      <s:c r="S12" s="732"/>
      <s:c r="T12" s="730"/>
      <s:c r="U12" s="730"/>
      <s:c r="V12" s="730"/>
      <s:c r="W12" s="730"/>
      <s:c r="X12" s="730"/>
      <s:c r="Y12" s="730"/>
      <s:c r="Z12" s="733"/>
      <s:c r="AA12" s="733"/>
      <s:c r="AB12" s="733"/>
      <s:c r="AC12" s="733"/>
      <s:c r="AD12" s="733"/>
      <s:c r="AE12" s="733"/>
      <s:c r="AF12" s="730"/>
      <s:c r="AG12" s="730"/>
      <s:c r="AH12" s="734"/>
      <s:c r="AI12" s="725">
        <s:f validation_="true">COUNTIF(D12:AH12,"&gt;0")</s:f>
        <s:v>0</s:v>
      </s:c>
      <s:c r="AJ12" s="726">
        <s:f validation_="true">SUMIF(D12:AH12,"&gt;0")</s:f>
        <s:v>0</s:v>
      </s:c>
      <s:c r="AK12" s="735">
        <s:f validation_="true">COUNTIF(D12:AH12,"В")</s:f>
        <s:v>0</s:v>
      </s:c>
      <s:c r="AL12" s="735">
        <s:v>0</s:v>
      </s:c>
      <s:c r="AM12" s="735">
        <s:v>0</s:v>
      </s:c>
      <s:c r="AN12" s="736">
        <s:v>0</s:v>
      </s:c>
    </s:row>
    <s:row r="13" spans="1:40">
      <s:c r="A13" s="729">
        <s:v>16</s:v>
      </s:c>
      <s:c r="B13" s="730"/>
      <s:c r="C13" s="730"/>
      <s:c r="D13" s="730"/>
      <s:c r="E13" s="730"/>
      <s:c r="F13" s="730"/>
      <s:c r="G13" s="730"/>
      <s:c r="H13" s="730"/>
      <s:c r="I13" s="730"/>
      <s:c r="J13" s="730"/>
      <s:c r="K13" s="730"/>
      <s:c r="L13" s="730"/>
      <s:c r="M13" s="730"/>
      <s:c r="N13" s="730"/>
      <s:c r="O13" s="730"/>
      <s:c r="P13" s="730"/>
      <s:c r="Q13" s="730"/>
      <s:c r="R13" s="731"/>
      <s:c r="S13" s="732"/>
      <s:c r="T13" s="730"/>
      <s:c r="U13" s="730"/>
      <s:c r="V13" s="730"/>
      <s:c r="W13" s="730"/>
      <s:c r="X13" s="730"/>
      <s:c r="Y13" s="730"/>
      <s:c r="Z13" s="733"/>
      <s:c r="AA13" s="733"/>
      <s:c r="AB13" s="733"/>
      <s:c r="AC13" s="733"/>
      <s:c r="AD13" s="733"/>
      <s:c r="AE13" s="733"/>
      <s:c r="AF13" s="730"/>
      <s:c r="AG13" s="730"/>
      <s:c r="AH13" s="734"/>
      <s:c r="AI13" s="725">
        <s:f validation_="true">COUNTIF(D13:AH13,"&gt;0")</s:f>
        <s:v>0</s:v>
      </s:c>
      <s:c r="AJ13" s="726">
        <s:f validation_="true">SUMIF(D13:AH13,"&gt;0")</s:f>
        <s:v>0</s:v>
      </s:c>
      <s:c r="AK13" s="735">
        <s:f validation_="true">COUNTIF(D13:AH13,"В")</s:f>
        <s:v>0</s:v>
      </s:c>
      <s:c r="AL13" s="727">
        <s:v>0</s:v>
      </s:c>
      <s:c r="AM13" s="727">
        <s:v>0</s:v>
      </s:c>
      <s:c r="AN13" s="728">
        <s:v>0</s:v>
      </s:c>
    </s:row>
    <s:row r="14" spans="1:40">
      <s:c r="A14" s="729">
        <s:v>15</s:v>
      </s:c>
      <s:c r="B14" s="730"/>
      <s:c r="C14" s="730"/>
      <s:c r="D14" s="730"/>
      <s:c r="E14" s="730"/>
      <s:c r="F14" s="730"/>
      <s:c r="G14" s="730"/>
      <s:c r="H14" s="730"/>
      <s:c r="I14" s="730"/>
      <s:c r="J14" s="730"/>
      <s:c r="K14" s="730"/>
      <s:c r="L14" s="730"/>
      <s:c r="M14" s="730"/>
      <s:c r="N14" s="730"/>
      <s:c r="O14" s="730"/>
      <s:c r="P14" s="730"/>
      <s:c r="Q14" s="730"/>
      <s:c r="R14" s="731"/>
      <s:c r="S14" s="732"/>
      <s:c r="T14" s="730"/>
      <s:c r="U14" s="730"/>
      <s:c r="V14" s="730"/>
      <s:c r="W14" s="730"/>
      <s:c r="X14" s="730"/>
      <s:c r="Y14" s="730"/>
      <s:c r="Z14" s="730"/>
      <s:c r="AA14" s="730"/>
      <s:c r="AB14" s="730"/>
      <s:c r="AC14" s="730"/>
      <s:c r="AD14" s="730"/>
      <s:c r="AE14" s="730"/>
      <s:c r="AF14" s="730"/>
      <s:c r="AG14" s="730"/>
      <s:c r="AH14" s="734"/>
      <s:c r="AI14" s="725">
        <s:f validation_="true">COUNTIF(D14:AH14,"&gt;0")</s:f>
        <s:v>0</s:v>
      </s:c>
      <s:c r="AJ14" s="726">
        <s:f validation_="true">SUMIF(D14:AH14,"&gt;0")</s:f>
        <s:v>0</s:v>
      </s:c>
      <s:c r="AK14" s="735">
        <s:f validation_="true">COUNTIF(D14:AH14,"В")</s:f>
        <s:v>0</s:v>
      </s:c>
      <s:c r="AL14" s="735">
        <s:v>0</s:v>
      </s:c>
      <s:c r="AM14" s="735">
        <s:v>0</s:v>
      </s:c>
      <s:c r="AN14" s="736">
        <s:v>0</s:v>
      </s:c>
    </s:row>
    <s:row r="15" spans="1:40">
      <s:c r="A15" s="729">
        <s:v>14</s:v>
      </s:c>
      <s:c r="B15" s="730"/>
      <s:c r="C15" s="730"/>
      <s:c r="D15" s="730"/>
      <s:c r="E15" s="730"/>
      <s:c r="F15" s="730"/>
      <s:c r="G15" s="730"/>
      <s:c r="H15" s="730"/>
      <s:c r="I15" s="730"/>
      <s:c r="J15" s="730"/>
      <s:c r="K15" s="730"/>
      <s:c r="L15" s="730"/>
      <s:c r="M15" s="730"/>
      <s:c r="N15" s="730"/>
      <s:c r="O15" s="730"/>
      <s:c r="P15" s="730"/>
      <s:c r="Q15" s="730"/>
      <s:c r="R15" s="731"/>
      <s:c r="S15" s="732"/>
      <s:c r="T15" s="730"/>
      <s:c r="U15" s="730"/>
      <s:c r="V15" s="730"/>
      <s:c r="W15" s="730"/>
      <s:c r="X15" s="730"/>
      <s:c r="Y15" s="730"/>
      <s:c r="Z15" s="730"/>
      <s:c r="AA15" s="730"/>
      <s:c r="AB15" s="730"/>
      <s:c r="AC15" s="730"/>
      <s:c r="AD15" s="730"/>
      <s:c r="AE15" s="730"/>
      <s:c r="AF15" s="730"/>
      <s:c r="AG15" s="730"/>
      <s:c r="AH15" s="734"/>
      <s:c r="AI15" s="725">
        <s:f validation_="true">COUNTIF(D15:AH15,"&gt;0")</s:f>
        <s:v>0</s:v>
      </s:c>
      <s:c r="AJ15" s="726">
        <s:f validation_="true">SUMIF(D15:AH15,"&gt;0")</s:f>
        <s:v>0</s:v>
      </s:c>
      <s:c r="AK15" s="735">
        <s:f validation_="true">COUNTIF(D15:AH15,"В")</s:f>
        <s:v>0</s:v>
      </s:c>
      <s:c r="AL15" s="727">
        <s:v>0</s:v>
      </s:c>
      <s:c r="AM15" s="727">
        <s:v>0</s:v>
      </s:c>
      <s:c r="AN15" s="728">
        <s:v>0</s:v>
      </s:c>
    </s:row>
    <s:row r="16" spans="1:40">
      <s:c r="A16" s="729">
        <s:v>13</s:v>
      </s:c>
      <s:c r="B16" s="730"/>
      <s:c r="C16" s="730"/>
      <s:c r="D16" s="730"/>
      <s:c r="E16" s="730"/>
      <s:c r="F16" s="730"/>
      <s:c r="G16" s="730"/>
      <s:c r="H16" s="730"/>
      <s:c r="I16" s="730"/>
      <s:c r="J16" s="730"/>
      <s:c r="K16" s="730"/>
      <s:c r="L16" s="730"/>
      <s:c r="M16" s="730"/>
      <s:c r="N16" s="730"/>
      <s:c r="O16" s="730"/>
      <s:c r="P16" s="730"/>
      <s:c r="Q16" s="730"/>
      <s:c r="R16" s="731"/>
      <s:c r="S16" s="732"/>
      <s:c r="T16" s="730"/>
      <s:c r="U16" s="730"/>
      <s:c r="V16" s="730"/>
      <s:c r="W16" s="730"/>
      <s:c r="X16" s="730"/>
      <s:c r="Y16" s="730"/>
      <s:c r="Z16" s="730"/>
      <s:c r="AA16" s="730"/>
      <s:c r="AB16" s="730"/>
      <s:c r="AC16" s="730"/>
      <s:c r="AD16" s="730"/>
      <s:c r="AE16" s="730"/>
      <s:c r="AF16" s="730"/>
      <s:c r="AG16" s="730"/>
      <s:c r="AH16" s="734"/>
      <s:c r="AI16" s="725">
        <s:f validation_="true">COUNTIF(D16:AH16,"&gt;0")</s:f>
        <s:v>0</s:v>
      </s:c>
      <s:c r="AJ16" s="726">
        <s:f validation_="true">SUMIF(D16:AH16,"&gt;0")</s:f>
        <s:v>0</s:v>
      </s:c>
      <s:c r="AK16" s="735">
        <s:f validation_="true">COUNTIF(D16:AH16,"В")</s:f>
        <s:v>0</s:v>
      </s:c>
      <s:c r="AL16" s="735">
        <s:v>0</s:v>
      </s:c>
      <s:c r="AM16" s="735">
        <s:v>0</s:v>
      </s:c>
      <s:c r="AN16" s="736">
        <s:v>0</s:v>
      </s:c>
    </s:row>
    <s:row r="17" spans="1:40">
      <s:c r="A17" s="729">
        <s:v>12</s:v>
      </s:c>
      <s:c r="B17" s="730"/>
      <s:c r="C17" s="730"/>
      <s:c r="D17" s="730"/>
      <s:c r="E17" s="730"/>
      <s:c r="F17" s="730"/>
      <s:c r="G17" s="730"/>
      <s:c r="H17" s="730"/>
      <s:c r="I17" s="730"/>
      <s:c r="J17" s="730"/>
      <s:c r="K17" s="730"/>
      <s:c r="L17" s="730"/>
      <s:c r="M17" s="730"/>
      <s:c r="N17" s="730"/>
      <s:c r="O17" s="730"/>
      <s:c r="P17" s="730"/>
      <s:c r="Q17" s="730"/>
      <s:c r="R17" s="731"/>
      <s:c r="S17" s="732"/>
      <s:c r="T17" s="730"/>
      <s:c r="U17" s="730"/>
      <s:c r="V17" s="730"/>
      <s:c r="W17" s="730"/>
      <s:c r="X17" s="730"/>
      <s:c r="Y17" s="730"/>
      <s:c r="Z17" s="730"/>
      <s:c r="AA17" s="730"/>
      <s:c r="AB17" s="730"/>
      <s:c r="AC17" s="730"/>
      <s:c r="AD17" s="730"/>
      <s:c r="AE17" s="730"/>
      <s:c r="AF17" s="730"/>
      <s:c r="AG17" s="730"/>
      <s:c r="AH17" s="734"/>
      <s:c r="AI17" s="725">
        <s:f validation_="true">COUNTIF(D17:AH17,"&gt;0")</s:f>
        <s:v>0</s:v>
      </s:c>
      <s:c r="AJ17" s="726">
        <s:f validation_="true">SUMIF(D17:AH17,"&gt;0")</s:f>
        <s:v>0</s:v>
      </s:c>
      <s:c r="AK17" s="735">
        <s:f validation_="true">COUNTIF(D17:AH17,"В")</s:f>
        <s:v>0</s:v>
      </s:c>
      <s:c r="AL17" s="735">
        <s:v>0</s:v>
      </s:c>
      <s:c r="AM17" s="735">
        <s:v>0</s:v>
      </s:c>
      <s:c r="AN17" s="736">
        <s:v>0</s:v>
      </s:c>
    </s:row>
    <s:row r="18" spans="1:40">
      <s:c r="A18" s="729">
        <s:v>11</s:v>
      </s:c>
      <s:c r="B18" s="730"/>
      <s:c r="C18" s="730"/>
      <s:c r="D18" s="730"/>
      <s:c r="E18" s="730"/>
      <s:c r="F18" s="730"/>
      <s:c r="G18" s="730"/>
      <s:c r="H18" s="730"/>
      <s:c r="I18" s="730"/>
      <s:c r="J18" s="730"/>
      <s:c r="K18" s="730"/>
      <s:c r="L18" s="730"/>
      <s:c r="M18" s="730"/>
      <s:c r="N18" s="730"/>
      <s:c r="O18" s="730"/>
      <s:c r="P18" s="730"/>
      <s:c r="Q18" s="730"/>
      <s:c r="R18" s="731"/>
      <s:c r="S18" s="732"/>
      <s:c r="T18" s="730"/>
      <s:c r="U18" s="730"/>
      <s:c r="V18" s="730"/>
      <s:c r="W18" s="730"/>
      <s:c r="X18" s="730"/>
      <s:c r="Y18" s="730"/>
      <s:c r="Z18" s="730"/>
      <s:c r="AA18" s="730"/>
      <s:c r="AB18" s="730"/>
      <s:c r="AC18" s="730"/>
      <s:c r="AD18" s="730"/>
      <s:c r="AE18" s="730"/>
      <s:c r="AF18" s="730"/>
      <s:c r="AG18" s="730"/>
      <s:c r="AH18" s="734"/>
      <s:c r="AI18" s="725">
        <s:f validation_="true">COUNTIF(D18:AH18,"&gt;0")</s:f>
        <s:v>0</s:v>
      </s:c>
      <s:c r="AJ18" s="726">
        <s:f validation_="true">SUMIF(D18:AH18,"&gt;0")</s:f>
        <s:v>0</s:v>
      </s:c>
      <s:c r="AK18" s="735">
        <s:f validation_="true">COUNTIF(D18:AH18,"В")</s:f>
        <s:v>0</s:v>
      </s:c>
      <s:c r="AL18" s="735">
        <s:v>0</s:v>
      </s:c>
      <s:c r="AM18" s="735">
        <s:v>0</s:v>
      </s:c>
      <s:c r="AN18" s="736">
        <s:v>0</s:v>
      </s:c>
    </s:row>
    <s:row r="19" spans="1:40">
      <s:c r="A19" s="729">
        <s:v>10</s:v>
      </s:c>
      <s:c r="B19" s="730"/>
      <s:c r="C19" s="730"/>
      <s:c r="D19" s="730"/>
      <s:c r="E19" s="730"/>
      <s:c r="F19" s="730"/>
      <s:c r="G19" s="730"/>
      <s:c r="H19" s="730"/>
      <s:c r="I19" s="730"/>
      <s:c r="J19" s="730"/>
      <s:c r="K19" s="730"/>
      <s:c r="L19" s="730"/>
      <s:c r="M19" s="730"/>
      <s:c r="N19" s="730"/>
      <s:c r="O19" s="730"/>
      <s:c r="P19" s="730"/>
      <s:c r="Q19" s="730"/>
      <s:c r="R19" s="731"/>
      <s:c r="S19" s="732"/>
      <s:c r="T19" s="737"/>
      <s:c r="U19" s="737"/>
      <s:c r="V19" s="737"/>
      <s:c r="W19" s="737"/>
      <s:c r="X19" s="737"/>
      <s:c r="Y19" s="737"/>
      <s:c r="Z19" s="737"/>
      <s:c r="AA19" s="737"/>
      <s:c r="AB19" s="737"/>
      <s:c r="AC19" s="737"/>
      <s:c r="AD19" s="737"/>
      <s:c r="AE19" s="737"/>
      <s:c r="AF19" s="737"/>
      <s:c r="AG19" s="737"/>
      <s:c r="AH19" s="734"/>
      <s:c r="AI19" s="725">
        <s:f validation_="true">COUNTIF(D19:AH19,"&gt;0")</s:f>
        <s:v>0</s:v>
      </s:c>
      <s:c r="AJ19" s="726">
        <s:f validation_="true">SUMIF(D19:AH19,"&gt;0")</s:f>
        <s:v>0</s:v>
      </s:c>
      <s:c r="AK19" s="735">
        <s:f validation_="true">COUNTIF(D19:AH19,"В")</s:f>
        <s:v>0</s:v>
      </s:c>
      <s:c r="AL19" s="735">
        <s:v>0</s:v>
      </s:c>
      <s:c r="AM19" s="735">
        <s:v>0</s:v>
      </s:c>
      <s:c r="AN19" s="736">
        <s:v>0</s:v>
      </s:c>
    </s:row>
    <s:row r="20" spans="1:40">
      <s:c r="A20" s="729">
        <s:v>9</s:v>
      </s:c>
      <s:c r="B20" s="730"/>
      <s:c r="C20" s="730"/>
      <s:c r="D20" s="730"/>
      <s:c r="E20" s="730"/>
      <s:c r="F20" s="730"/>
      <s:c r="G20" s="730"/>
      <s:c r="H20" s="730"/>
      <s:c r="I20" s="730"/>
      <s:c r="J20" s="730"/>
      <s:c r="K20" s="730"/>
      <s:c r="L20" s="730"/>
      <s:c r="M20" s="730"/>
      <s:c r="N20" s="730"/>
      <s:c r="O20" s="730"/>
      <s:c r="P20" s="730"/>
      <s:c r="Q20" s="730"/>
      <s:c r="R20" s="731"/>
      <s:c r="S20" s="732"/>
      <s:c r="T20" s="737"/>
      <s:c r="U20" s="737"/>
      <s:c r="V20" s="737"/>
      <s:c r="W20" s="737"/>
      <s:c r="X20" s="737"/>
      <s:c r="Y20" s="737"/>
      <s:c r="Z20" s="737"/>
      <s:c r="AA20" s="737"/>
      <s:c r="AB20" s="737"/>
      <s:c r="AC20" s="737"/>
      <s:c r="AD20" s="737"/>
      <s:c r="AE20" s="737"/>
      <s:c r="AF20" s="737"/>
      <s:c r="AG20" s="737"/>
      <s:c r="AH20" s="734"/>
      <s:c r="AI20" s="725">
        <s:f validation_="true">COUNTIF(D20:AH20,"&gt;0")</s:f>
        <s:v>0</s:v>
      </s:c>
      <s:c r="AJ20" s="726">
        <s:f validation_="true">SUMIF(D20:AH20,"&gt;0")</s:f>
        <s:v>0</s:v>
      </s:c>
      <s:c r="AK20" s="735">
        <s:f validation_="true">COUNTIF(D20:AH20,"В")</s:f>
        <s:v>0</s:v>
      </s:c>
      <s:c r="AL20" s="735">
        <s:v>0</s:v>
      </s:c>
      <s:c r="AM20" s="735">
        <s:v>0</s:v>
      </s:c>
      <s:c r="AN20" s="736">
        <s:v>0</s:v>
      </s:c>
    </s:row>
    <s:row r="21" spans="1:40">
      <s:c r="A21" s="729">
        <s:v>8</s:v>
      </s:c>
      <s:c r="B21" s="730"/>
      <s:c r="C21" s="730"/>
      <s:c r="D21" s="730"/>
      <s:c r="E21" s="730"/>
      <s:c r="F21" s="730"/>
      <s:c r="G21" s="730"/>
      <s:c r="H21" s="730"/>
      <s:c r="I21" s="730"/>
      <s:c r="J21" s="730"/>
      <s:c r="K21" s="730"/>
      <s:c r="L21" s="730"/>
      <s:c r="M21" s="730"/>
      <s:c r="N21" s="730"/>
      <s:c r="O21" s="730"/>
      <s:c r="P21" s="730"/>
      <s:c r="Q21" s="730"/>
      <s:c r="R21" s="731"/>
      <s:c r="S21" s="732"/>
      <s:c r="T21" s="737"/>
      <s:c r="U21" s="737"/>
      <s:c r="V21" s="737"/>
      <s:c r="W21" s="737"/>
      <s:c r="X21" s="737"/>
      <s:c r="Y21" s="737"/>
      <s:c r="Z21" s="737"/>
      <s:c r="AA21" s="737"/>
      <s:c r="AB21" s="737"/>
      <s:c r="AC21" s="737"/>
      <s:c r="AD21" s="737"/>
      <s:c r="AE21" s="737"/>
      <s:c r="AF21" s="737"/>
      <s:c r="AG21" s="737"/>
      <s:c r="AH21" s="734"/>
      <s:c r="AI21" s="725">
        <s:f validation_="true">COUNTIF(D21:AH21,"&gt;0")</s:f>
        <s:v>0</s:v>
      </s:c>
      <s:c r="AJ21" s="726">
        <s:f validation_="true">SUMIF(D21:AH21,"&gt;0")</s:f>
        <s:v>0</s:v>
      </s:c>
      <s:c r="AK21" s="735">
        <s:f validation_="true">COUNTIF(D21:AH21,"В")</s:f>
        <s:v>0</s:v>
      </s:c>
      <s:c r="AL21" s="735">
        <s:v>0</s:v>
      </s:c>
      <s:c r="AM21" s="735">
        <s:v>0</s:v>
      </s:c>
      <s:c r="AN21" s="736">
        <s:v>0</s:v>
      </s:c>
    </s:row>
    <s:row r="22" spans="1:40">
      <s:c r="A22" s="729">
        <s:v>7</s:v>
      </s:c>
      <s:c r="B22" s="730"/>
      <s:c r="C22" s="730"/>
      <s:c r="D22" s="730"/>
      <s:c r="E22" s="730"/>
      <s:c r="F22" s="730"/>
      <s:c r="G22" s="730"/>
      <s:c r="H22" s="730"/>
      <s:c r="I22" s="730"/>
      <s:c r="J22" s="730"/>
      <s:c r="K22" s="730"/>
      <s:c r="L22" s="730"/>
      <s:c r="M22" s="730"/>
      <s:c r="N22" s="738"/>
      <s:c r="O22" s="730"/>
      <s:c r="P22" s="730"/>
      <s:c r="Q22" s="730"/>
      <s:c r="R22" s="731"/>
      <s:c r="S22" s="732"/>
      <s:c r="T22" s="737"/>
      <s:c r="U22" s="737"/>
      <s:c r="V22" s="739"/>
      <s:c r="W22" s="737"/>
      <s:c r="X22" s="737"/>
      <s:c r="Y22" s="737"/>
      <s:c r="Z22" s="737"/>
      <s:c r="AA22" s="737"/>
      <s:c r="AB22" s="737"/>
      <s:c r="AC22" s="737"/>
      <s:c r="AD22" s="737"/>
      <s:c r="AE22" s="737"/>
      <s:c r="AF22" s="737"/>
      <s:c r="AG22" s="737"/>
      <s:c r="AH22" s="734"/>
      <s:c r="AI22" s="725">
        <s:f validation_="true">COUNTIF(D22:AH22,"&gt;0")</s:f>
        <s:v>0</s:v>
      </s:c>
      <s:c r="AJ22" s="726">
        <s:f validation_="true">SUMIF(D22:AH22,"&gt;0")</s:f>
        <s:v>0</s:v>
      </s:c>
      <s:c r="AK22" s="735">
        <s:f validation_="true">COUNTIF(D22:AH22,"В")</s:f>
        <s:v>0</s:v>
      </s:c>
      <s:c r="AL22" s="735">
        <s:v>0</s:v>
      </s:c>
      <s:c r="AM22" s="735">
        <s:v>0</s:v>
      </s:c>
      <s:c r="AN22" s="736">
        <s:v>0</s:v>
      </s:c>
    </s:row>
    <s:row r="23" spans="1:40" ht="16">
      <s:c r="A23" s="729">
        <s:v>6</s:v>
      </s:c>
      <s:c r="B23" s="740"/>
      <s:c r="C23" s="740"/>
      <s:c r="D23" s="741"/>
      <s:c r="E23" s="742"/>
      <s:c r="F23" s="742"/>
      <s:c r="G23" s="742"/>
      <s:c r="H23" s="742"/>
      <s:c r="I23" s="742"/>
      <s:c r="J23" s="742"/>
      <s:c r="K23" s="742"/>
      <s:c r="L23" s="742"/>
      <s:c r="M23" s="741"/>
      <s:c r="N23" s="742"/>
      <s:c r="O23" s="742"/>
      <s:c r="P23" s="743"/>
      <s:c r="Q23" s="743"/>
      <s:c r="R23" s="743"/>
      <s:c r="S23" s="743"/>
      <s:c r="T23" s="743"/>
      <s:c r="U23" s="743"/>
      <s:c r="V23" s="743"/>
      <s:c r="W23" s="743"/>
      <s:c r="X23" s="744"/>
      <s:c r="Y23" s="744"/>
      <s:c r="Z23" s="744"/>
      <s:c r="AA23" s="744"/>
      <s:c r="AB23" s="744"/>
      <s:c r="AC23" s="744"/>
      <s:c r="AD23" s="745"/>
      <s:c r="AE23" s="744"/>
      <s:c r="AF23" s="744"/>
      <s:c r="AG23" s="744"/>
      <s:c r="AH23" s="746"/>
      <s:c r="AI23" s="725">
        <s:f validation_="true">COUNTIF(D23:AH23,"&gt;0")</s:f>
        <s:v>0</s:v>
      </s:c>
      <s:c r="AJ23" s="726">
        <s:f validation_="true">SUMIF(D23:AH23,"&gt;0")</s:f>
        <s:v>0</s:v>
      </s:c>
      <s:c r="AK23" s="735">
        <s:f validation_="true">COUNTIF(D23:AH23,"В")</s:f>
        <s:v>0</s:v>
      </s:c>
      <s:c r="AL23" s="735">
        <s:v>0</s:v>
      </s:c>
      <s:c r="AM23" s="735">
        <s:v>0</s:v>
      </s:c>
      <s:c r="AN23" s="736">
        <s:v>0</s:v>
      </s:c>
    </s:row>
    <s:row r="24" spans="1:40" ht="16">
      <s:c r="A24" s="729">
        <s:v>5</s:v>
      </s:c>
      <s:c r="B24" s="747"/>
      <s:c r="C24" s="740"/>
      <s:c r="D24" s="748"/>
      <s:c r="E24" s="748"/>
      <s:c r="F24" s="748"/>
      <s:c r="G24" s="748"/>
      <s:c r="H24" s="748"/>
      <s:c r="I24" s="748"/>
      <s:c r="J24" s="748"/>
      <s:c r="K24" s="748"/>
      <s:c r="L24" s="748"/>
      <s:c r="M24" s="748"/>
      <s:c r="N24" s="748"/>
      <s:c r="O24" s="748"/>
      <s:c r="P24" s="749"/>
      <s:c r="Q24" s="750"/>
      <s:c r="R24" s="750"/>
      <s:c r="S24" s="750"/>
      <s:c r="T24" s="750"/>
      <s:c r="U24" s="744"/>
      <s:c r="V24" s="750"/>
      <s:c r="W24" s="750"/>
      <s:c r="X24" s="750"/>
      <s:c r="Y24" s="750"/>
      <s:c r="Z24" s="750"/>
      <s:c r="AA24" s="744"/>
      <s:c r="AB24" s="750"/>
      <s:c r="AC24" s="744"/>
      <s:c r="AD24" s="744"/>
      <s:c r="AE24" s="750"/>
      <s:c r="AF24" s="751"/>
      <s:c r="AG24" s="751"/>
      <s:c r="AH24" s="752"/>
      <s:c r="AI24" s="753">
        <s:f validation_="true">COUNTIF(D24:AH24,"&gt;0")</s:f>
        <s:v>0</s:v>
      </s:c>
      <s:c r="AJ24" s="726">
        <s:f validation_="true">SUMIF(D24:AH24,"&gt;0")</s:f>
        <s:v>0</s:v>
      </s:c>
      <s:c r="AK24" s="735">
        <s:f validation_="true">COUNTIF(D24:AH24,"В")</s:f>
        <s:v>0</s:v>
      </s:c>
      <s:c r="AL24" s="735">
        <s:v>0</s:v>
      </s:c>
      <s:c r="AM24" s="735">
        <s:v>0</s:v>
      </s:c>
      <s:c r="AN24" s="736">
        <s:v>0</s:v>
      </s:c>
    </s:row>
    <s:row r="25" spans="1:40" ht="16">
      <s:c r="A25" s="729">
        <s:v>4</s:v>
      </s:c>
      <s:c r="B25" s="747" t="s">
        <s:v>79</s:v>
      </s:c>
      <s:c r="C25" s="747" t="s">
        <s:v>117</s:v>
      </s:c>
      <s:c r="D25" s="743" t="s">
        <s:v>91</s:v>
      </s:c>
      <s:c r="E25" s="751" t="s">
        <s:v>91</s:v>
      </s:c>
      <s:c r="F25" s="754">
        <s:v>11</s:v>
      </s:c>
      <s:c r="G25" s="754">
        <s:v>11</s:v>
      </s:c>
      <s:c r="H25" s="754">
        <s:v>11</s:v>
      </s:c>
      <s:c r="I25" s="754">
        <s:v>11</s:v>
      </s:c>
      <s:c r="J25" s="751" t="s">
        <s:v>91</s:v>
      </s:c>
      <s:c r="K25" s="751" t="s">
        <s:v>91</s:v>
      </s:c>
      <s:c r="L25" s="755">
        <s:v>11</s:v>
      </s:c>
      <s:c r="M25" s="743" t="s">
        <s:v>91</s:v>
      </s:c>
      <s:c r="N25" s="743" t="s">
        <s:v>91</s:v>
      </s:c>
      <s:c r="O25" s="755">
        <s:v>11</s:v>
      </s:c>
      <s:c r="P25" s="755">
        <s:v>11</s:v>
      </s:c>
      <s:c r="Q25" s="755">
        <s:v>11</s:v>
      </s:c>
      <s:c r="R25" s="755">
        <s:v>11</s:v>
      </s:c>
      <s:c r="S25" s="756" t="s">
        <s:v>91</s:v>
      </s:c>
      <s:c r="T25" s="756" t="s">
        <s:v>91</s:v>
      </s:c>
      <s:c r="U25" s="757">
        <s:v>11</s:v>
      </s:c>
      <s:c r="V25" s="757">
        <s:v>11</s:v>
      </s:c>
      <s:c r="W25" s="757">
        <s:v>11</s:v>
      </s:c>
      <s:c r="X25" s="757">
        <s:v>9</s:v>
      </s:c>
      <s:c r="Y25" s="756" t="s">
        <s:v>91</s:v>
      </s:c>
      <s:c r="Z25" s="756" t="s">
        <s:v>91</s:v>
      </s:c>
      <s:c r="AA25" s="757">
        <s:v>11</s:v>
      </s:c>
      <s:c r="AB25" s="757">
        <s:v>11</s:v>
      </s:c>
      <s:c r="AC25" s="757">
        <s:v>11</s:v>
      </s:c>
      <s:c r="AD25" s="757">
        <s:v>11</s:v>
      </s:c>
      <s:c r="AE25" s="756" t="s">
        <s:v>91</s:v>
      </s:c>
      <s:c r="AF25" s="743"/>
      <s:c r="AG25" s="743"/>
      <s:c r="AH25" s="743"/>
      <s:c r="AI25" s="753">
        <s:f validation_="true">COUNTIF(D25:AH25,"&gt;0")</s:f>
        <s:v>17</s:v>
      </s:c>
      <s:c r="AJ25" s="726">
        <s:f validation_="true">SUMIF(D25:AH25,"&gt;0")</s:f>
        <s:v>185</s:v>
      </s:c>
      <s:c r="AK25" s="735">
        <s:f validation_="true">COUNTIF(D25:AH25,"В")</s:f>
        <s:v>11</s:v>
      </s:c>
      <s:c r="AL25" s="735">
        <s:v>0</s:v>
      </s:c>
      <s:c r="AM25" s="735">
        <s:v>0</s:v>
      </s:c>
      <s:c r="AN25" s="736">
        <s:v>0</s:v>
      </s:c>
    </s:row>
    <s:row r="26" spans="1:40" ht="16">
      <s:c r="A26" s="729">
        <s:v>3</s:v>
      </s:c>
      <s:c r="B26" s="747" t="s">
        <s:v>80</s:v>
      </s:c>
      <s:c r="C26" s="747" t="s">
        <s:v>117</s:v>
      </s:c>
      <s:c r="D26" s="758">
        <s:v>11</s:v>
      </s:c>
      <s:c r="E26" s="759">
        <s:v>11</s:v>
      </s:c>
      <s:c r="F26" s="760" t="s">
        <s:v>91</s:v>
      </s:c>
      <s:c r="G26" s="761">
        <s:v>11</s:v>
      </s:c>
      <s:c r="H26" s="761">
        <s:v>11</s:v>
      </s:c>
      <s:c r="I26" s="760" t="s">
        <s:v>91</s:v>
      </s:c>
      <s:c r="J26" s="762">
        <s:v>11</s:v>
      </s:c>
      <s:c r="K26" s="762">
        <s:v>11</s:v>
      </s:c>
      <s:c r="L26" s="762">
        <s:v>11</s:v>
      </s:c>
      <s:c r="M26" s="763" t="s">
        <s:v>147</s:v>
      </s:c>
      <s:c r="N26" s="763" t="s">
        <s:v>147</s:v>
      </s:c>
      <s:c r="O26" s="763" t="s">
        <s:v>147</s:v>
      </s:c>
      <s:c r="P26" s="763" t="s">
        <s:v>147</s:v>
      </s:c>
      <s:c r="Q26" s="763" t="s">
        <s:v>147</s:v>
      </s:c>
      <s:c r="R26" s="763" t="s">
        <s:v>147</s:v>
      </s:c>
      <s:c r="S26" s="763" t="s">
        <s:v>147</s:v>
      </s:c>
      <s:c r="T26" s="763" t="s">
        <s:v>147</s:v>
      </s:c>
      <s:c r="U26" s="763" t="s">
        <s:v>147</s:v>
      </s:c>
      <s:c r="V26" s="763" t="s">
        <s:v>147</s:v>
      </s:c>
      <s:c r="W26" s="763" t="s">
        <s:v>147</s:v>
      </s:c>
      <s:c r="X26" s="763" t="s">
        <s:v>147</s:v>
      </s:c>
      <s:c r="Y26" s="763" t="s">
        <s:v>147</s:v>
      </s:c>
      <s:c r="Z26" s="763" t="s">
        <s:v>147</s:v>
      </s:c>
      <s:c r="AA26" s="763" t="s">
        <s:v>147</s:v>
      </s:c>
      <s:c r="AB26" s="763" t="s">
        <s:v>147</s:v>
      </s:c>
      <s:c r="AC26" s="763" t="s">
        <s:v>147</s:v>
      </s:c>
      <s:c r="AD26" s="763" t="s">
        <s:v>147</s:v>
      </s:c>
      <s:c r="AE26" s="763" t="s">
        <s:v>147</s:v>
      </s:c>
      <s:c r="AF26" s="743"/>
      <s:c r="AG26" s="743"/>
      <s:c r="AH26" s="743"/>
      <s:c r="AI26" s="753">
        <s:f validation_="true">COUNTIF(D26:AH26,"&gt;0")</s:f>
        <s:v>7</s:v>
      </s:c>
      <s:c r="AJ26" s="726">
        <s:f validation_="true">SUMIF(D26:AH26,"&gt;0")</s:f>
        <s:v>77</s:v>
      </s:c>
      <s:c r="AK26" s="735">
        <s:f validation_="true">COUNTIF(D26:AH26,"В")</s:f>
        <s:v>2</s:v>
      </s:c>
      <s:c r="AL26" s="735">
        <s:v>0</s:v>
      </s:c>
      <s:c r="AM26" s="735">
        <s:v>0</s:v>
      </s:c>
      <s:c r="AN26" s="736">
        <s:v>0</s:v>
      </s:c>
    </s:row>
    <s:row r="27" spans="1:40" ht="16">
      <s:c r="A27" s="729">
        <s:v>2</s:v>
      </s:c>
      <s:c r="B27" s="747" t="s">
        <s:v>78</s:v>
      </s:c>
      <s:c r="C27" s="740" t="s">
        <s:v>117</s:v>
      </s:c>
      <s:c r="D27" s="764" t="s">
        <s:v>148</s:v>
      </s:c>
      <s:c r="E27" s="764" t="s">
        <s:v>148</s:v>
      </s:c>
      <s:c r="F27" s="764" t="s">
        <s:v>148</s:v>
      </s:c>
      <s:c r="G27" s="764" t="s">
        <s:v>148</s:v>
      </s:c>
      <s:c r="H27" s="764" t="s">
        <s:v>148</s:v>
      </s:c>
      <s:c r="I27" s="764" t="s">
        <s:v>148</s:v>
      </s:c>
      <s:c r="J27" s="764" t="s">
        <s:v>148</s:v>
      </s:c>
      <s:c r="K27" s="764" t="s">
        <s:v>148</s:v>
      </s:c>
      <s:c r="L27" s="764" t="s">
        <s:v>148</s:v>
      </s:c>
      <s:c r="M27" s="757">
        <s:v>11</s:v>
      </s:c>
      <s:c r="N27" s="757">
        <s:v>11</s:v>
      </s:c>
      <s:c r="O27" s="757">
        <s:v>11</s:v>
      </s:c>
      <s:c r="P27" s="757">
        <s:v>9</s:v>
      </s:c>
      <s:c r="Q27" s="765" t="s">
        <s:v>91</s:v>
      </s:c>
      <s:c r="R27" s="743" t="s">
        <s:v>91</s:v>
      </s:c>
      <s:c r="S27" s="766">
        <s:v>11</s:v>
      </s:c>
      <s:c r="T27" s="766">
        <s:v>11</s:v>
      </s:c>
      <s:c r="U27" s="766">
        <s:v>11</s:v>
      </s:c>
      <s:c r="V27" s="766">
        <s:v>11</s:v>
      </s:c>
      <s:c r="W27" s="743" t="s">
        <s:v>91</s:v>
      </s:c>
      <s:c r="X27" s="743" t="s">
        <s:v>91</s:v>
      </s:c>
      <s:c r="Y27" s="755">
        <s:v>11</s:v>
      </s:c>
      <s:c r="Z27" s="755">
        <s:v>11</s:v>
      </s:c>
      <s:c r="AA27" s="755">
        <s:v>11</s:v>
      </s:c>
      <s:c r="AB27" s="755">
        <s:v>11</s:v>
      </s:c>
      <s:c r="AC27" s="743" t="s">
        <s:v>91</s:v>
      </s:c>
      <s:c r="AD27" s="743" t="s">
        <s:v>91</s:v>
      </s:c>
      <s:c r="AE27" s="755">
        <s:v>11</s:v>
      </s:c>
      <s:c r="AF27" s="743"/>
      <s:c r="AG27" s="743"/>
      <s:c r="AH27" s="743"/>
      <s:c r="AI27" s="753">
        <s:f validation_="true">COUNTIF(D27:AH27,"&gt;0")</s:f>
        <s:v>13</s:v>
      </s:c>
      <s:c r="AJ27" s="726">
        <s:f validation_="true">SUMIF(D27:AH27,"&gt;0")</s:f>
        <s:v>141</s:v>
      </s:c>
      <s:c r="AK27" s="735">
        <s:f validation_="true">COUNTIF(D27:AH27,"В")</s:f>
        <s:v>6</s:v>
      </s:c>
      <s:c r="AL27" s="735">
        <s:v>0</s:v>
      </s:c>
      <s:c r="AM27" s="735">
        <s:v>0</s:v>
      </s:c>
      <s:c r="AN27" s="736">
        <s:v>0</s:v>
      </s:c>
    </s:row>
    <s:row r="28" spans="1:40" ht="16">
      <s:c r="A28" s="767">
        <s:v>1</s:v>
      </s:c>
      <s:c r="B28" s="741" t="s">
        <s:v>149</s:v>
      </s:c>
      <s:c r="C28" s="768" t="s">
        <s:v>129</s:v>
      </s:c>
      <s:c r="D28" s="769">
        <s:v>9</s:v>
      </s:c>
      <s:c r="E28" s="769">
        <s:v>9</s:v>
      </s:c>
      <s:c r="F28" s="769">
        <s:v>9</s:v>
      </s:c>
      <s:c r="G28" s="744" t="s">
        <s:v>91</s:v>
      </s:c>
      <s:c r="H28" s="744" t="s">
        <s:v>91</s:v>
      </s:c>
      <s:c r="I28" s="769">
        <s:v>9</s:v>
      </s:c>
      <s:c r="J28" s="769">
        <s:v>9</s:v>
      </s:c>
      <s:c r="K28" s="769">
        <s:v>9</s:v>
      </s:c>
      <s:c r="L28" s="744" t="s">
        <s:v>91</s:v>
      </s:c>
      <s:c r="M28" s="769">
        <s:v>9</s:v>
      </s:c>
      <s:c r="N28" s="770">
        <s:v>9</s:v>
      </s:c>
      <s:c r="O28" s="744" t="s">
        <s:v>91</s:v>
      </s:c>
      <s:c r="P28" s="744" t="s">
        <s:v>91</s:v>
      </s:c>
      <s:c r="Q28" s="769">
        <s:v>9</s:v>
      </s:c>
      <s:c r="R28" s="769">
        <s:v>9</s:v>
      </s:c>
      <s:c r="S28" s="769">
        <s:v>9</s:v>
      </s:c>
      <s:c r="T28" s="769">
        <s:v>9</s:v>
      </s:c>
      <s:c r="U28" s="744" t="s">
        <s:v>91</s:v>
      </s:c>
      <s:c r="V28" s="744" t="s">
        <s:v>91</s:v>
      </s:c>
      <s:c r="W28" s="769">
        <s:v>9</s:v>
      </s:c>
      <s:c r="X28" s="769">
        <s:v>11</s:v>
      </s:c>
      <s:c r="Y28" s="769">
        <s:v>9</s:v>
      </s:c>
      <s:c r="Z28" s="769">
        <s:v>8</s:v>
      </s:c>
      <s:c r="AA28" s="769">
        <s:v>5</s:v>
      </s:c>
      <s:c r="AB28" s="744" t="s">
        <s:v>91</s:v>
      </s:c>
      <s:c r="AC28" s="769">
        <s:v>9</s:v>
      </s:c>
      <s:c r="AD28" s="769">
        <s:v>9</s:v>
      </s:c>
      <s:c r="AE28" s="769">
        <s:v>9</s:v>
      </s:c>
      <s:c r="AF28" s="771"/>
      <s:c r="AG28" s="771"/>
      <s:c r="AH28" s="771"/>
      <s:c r="AI28" s="772">
        <s:f validation_="true">COUNTIF(D28:AH28,"&gt;0")</s:f>
        <s:v>20</s:v>
      </s:c>
      <s:c r="AJ28" s="773">
        <s:f validation_="true">SUMIF(D28:AH28,"&gt;0")</s:f>
        <s:v>177</s:v>
      </s:c>
      <s:c r="AK28" s="774">
        <s:f validation_="true">COUNTIF(D28:AH28,"В")</s:f>
        <s:v>8</s:v>
      </s:c>
      <s:c r="AL28" s="774">
        <s:f>COUNTIF(E28:AI28,"о")</s:f>
        <s:v>0</s:v>
      </s:c>
      <s:c r="AM28" s="774">
        <s:f>COUNTIF(F28:AJ28,"б")</s:f>
        <s:v>0</s:v>
      </s:c>
      <s:c r="AN28" s="775">
        <s:v>0</s:v>
      </s:c>
    </s:row>
    <s:row r="29" spans="1:40" ht="20" customHeight="1">
      <s:c r="A29" s="776"/>
      <s:c r="B29" s="777" t="s">
        <s:v>150</s:v>
      </s:c>
      <s:c r="C29" s="777"/>
      <s:c r="D29" s="777">
        <s:f validation_="true">COUNTIF(D11:D28,"&gt;0")</s:f>
        <s:v>2</s:v>
      </s:c>
      <s:c r="E29" s="777">
        <s:f validation_="true">COUNTIF(E11:E28,"&gt;0")</s:f>
        <s:v>2</s:v>
      </s:c>
      <s:c r="F29" s="777">
        <s:f validation_="true">COUNTIF(F11:F28,"&gt;0")</s:f>
        <s:v>2</s:v>
      </s:c>
      <s:c r="G29" s="777">
        <s:f validation_="true">COUNTIF(G11:G28,"&gt;0")</s:f>
        <s:v>2</s:v>
      </s:c>
      <s:c r="H29" s="777">
        <s:f validation_="true">COUNTIF(H11:H28,"&gt;0")</s:f>
        <s:v>2</s:v>
      </s:c>
      <s:c r="I29" s="777">
        <s:f validation_="true">COUNTIF(I11:I28,"&gt;0")</s:f>
        <s:v>2</s:v>
      </s:c>
      <s:c r="J29" s="777">
        <s:f validation_="true">COUNTIF(J11:J28,"&gt;0")</s:f>
        <s:v>2</s:v>
      </s:c>
      <s:c r="K29" s="777">
        <s:f validation_="true">COUNTIF(K11:K28,"&gt;0")</s:f>
        <s:v>2</s:v>
      </s:c>
      <s:c r="L29" s="777">
        <s:f validation_="true">COUNTIF(L11:L28,"&gt;0")</s:f>
        <s:v>2</s:v>
      </s:c>
      <s:c r="M29" s="777">
        <s:f validation_="true">COUNTIF(M11:M28,"&gt;0")</s:f>
        <s:v>2</s:v>
      </s:c>
      <s:c r="N29" s="777">
        <s:f validation_="true">COUNTIF(N11:N28,"&gt;0")</s:f>
        <s:v>2</s:v>
      </s:c>
      <s:c r="O29" s="777">
        <s:f validation_="true">COUNTIF(O11:O28,"&gt;0")</s:f>
        <s:v>2</s:v>
      </s:c>
      <s:c r="P29" s="777">
        <s:f validation_="true">COUNTIF(P11:P28,"&gt;0")</s:f>
        <s:v>2</s:v>
      </s:c>
      <s:c r="Q29" s="777">
        <s:f validation_="true">COUNTIF(Q11:Q28,"&gt;0")</s:f>
        <s:v>2</s:v>
      </s:c>
      <s:c r="R29" s="778">
        <s:f validation_="true">COUNTIF(R11:R28,"&gt;0")</s:f>
        <s:v>2</s:v>
      </s:c>
      <s:c r="S29" s="779">
        <s:f validation_="true">COUNTIF(S11:S28,"&gt;0")</s:f>
        <s:v>2</s:v>
      </s:c>
      <s:c r="T29" s="777">
        <s:f validation_="true">COUNTIF(T11:T28,"&gt;0")</s:f>
        <s:v>2</s:v>
      </s:c>
      <s:c r="U29" s="777">
        <s:f validation_="true">COUNTIF(U11:U28,"&gt;0")</s:f>
        <s:v>2</s:v>
      </s:c>
      <s:c r="V29" s="777">
        <s:f validation_="true">COUNTIF(V11:V28,"&gt;0")</s:f>
        <s:v>2</s:v>
      </s:c>
      <s:c r="W29" s="777">
        <s:f validation_="true">COUNTIF(W11:W28,"&gt;0")</s:f>
        <s:v>2</s:v>
      </s:c>
      <s:c r="X29" s="777">
        <s:f validation_="true">COUNTIF(X11:X28,"&gt;0")</s:f>
        <s:v>2</s:v>
      </s:c>
      <s:c r="Y29" s="777">
        <s:f validation_="true">COUNTIF(Y11:Y28,"&gt;0")</s:f>
        <s:v>2</s:v>
      </s:c>
      <s:c r="Z29" s="777">
        <s:f validation_="true">COUNTIF(Z11:Z28,"&gt;0")</s:f>
        <s:v>2</s:v>
      </s:c>
      <s:c r="AA29" s="777">
        <s:f validation_="true">COUNTIF(AA11:AA28,"&gt;0")</s:f>
        <s:v>3</s:v>
      </s:c>
      <s:c r="AB29" s="777">
        <s:f validation_="true">COUNTIF(AB11:AB28,"&gt;0")</s:f>
        <s:v>2</s:v>
      </s:c>
      <s:c r="AC29" s="777">
        <s:f validation_="true">COUNTIF(AC11:AC28,"&gt;0")</s:f>
        <s:v>2</s:v>
      </s:c>
      <s:c r="AD29" s="777">
        <s:f validation_="true">COUNTIF(AD11:AD28,"&gt;0")</s:f>
        <s:v>2</s:v>
      </s:c>
      <s:c r="AE29" s="777">
        <s:f validation_="true">COUNTIF(AE11:AE28,"&gt;0")</s:f>
        <s:v>2</s:v>
      </s:c>
      <s:c r="AF29" s="777">
        <s:f validation_="true">COUNTIF(AF11:AF28,"&gt;0")</s:f>
        <s:v>0</s:v>
      </s:c>
      <s:c r="AG29" s="777">
        <s:f validation_="true">COUNTIF(AG11:AG28,"&gt;0")</s:f>
        <s:v>0</s:v>
      </s:c>
      <s:c r="AH29" s="777">
        <s:f validation_="true">COUNTIF(AH11:AH28,"&gt;0")</s:f>
        <s:v>0</s:v>
      </s:c>
      <s:c r="AI29" s="780">
        <s:f validation_="true">SUM(AI11:AI28)</s:f>
        <s:v>57</s:v>
      </s:c>
      <s:c r="AJ29" s="781">
        <s:f validation_="true">SUM(AJ11:AJ28)</s:f>
        <s:v>580</s:v>
      </s:c>
      <s:c r="AK29" s="780">
        <s:f validation_="true">SUM(AK11:AK28)</s:f>
        <s:v>27</s:v>
      </s:c>
      <s:c r="AL29" s="780">
        <s:f validation_="true">SUM(AL11:AL28)</s:f>
        <s:v>0</s:v>
      </s:c>
      <s:c r="AM29" s="780">
        <s:f validation_="true">SUM(AM11:AM28)</s:f>
        <s:v>0</s:v>
      </s:c>
      <s:c r="AN29" s="782">
        <s:f validation_="true">SUM(AN11:AN28)</s:f>
        <s:v>0</s:v>
      </s:c>
    </s:row>
    <s:row r="31" spans="1:40">
      <s:c r="P31" s="1" t="s">
        <s:v>151</s:v>
      </s:c>
    </s:row>
    <s:row r="32" spans="1:40">
      <s:c r="T32" s="1" t="s">
        <s:v>152</s:v>
      </s:c>
    </s:row>
    <s:row r="35" spans="9:18">
      <s:c r="R35" s="193"/>
    </s:row>
    <s:row r="39" spans="9:18">
      <s:c r="I39" s="1" t="s">
        <s:v>153</s:v>
      </s:c>
    </s:row>
    <s:row r="54" spans="17:17">
      <s:c r="Q54" s="1" t="s">
        <s:v>152</s:v>
      </s:c>
    </s:row>
  </s:sheetData>
  <s:mergeCells count="7">
    <s:mergeCell ref="AJ5:AK5"/>
    <s:mergeCell ref="AL5:AN5"/>
    <s:mergeCell ref="C6:AJ6"/>
    <s:mergeCell ref="C7:AJ7"/>
    <s:mergeCell ref="AL8:AL10"/>
    <s:mergeCell ref="AM8:AM10"/>
    <s:mergeCell ref="AN8:AN10"/>
  </s:mergeCells>
  <s:pageMargins left="0.7" right="0.7" top="0.75" bottom="0.75" header="0.3" footer="0.3"/>
  <s:pageSetup paperSize="9" orientation="portrait"/>
</s:worksheet>
</file>

<file path=xl/worksheets/sheet14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E00-000000000000}">
  <s:sheetPr>
    <s:tabColor rgb="FFDBDBDB"/>
  </s:sheetPr>
  <s:dimension ref="A1:N27"/>
  <s:sheetViews>
    <s:sheetView tabSelected="0" zoomScale="93" workbookViewId="0">
      <s:selection activeCell="F25" sqref="F25"/>
    </s:sheetView>
  </s:sheetViews>
  <s:sheetFormatPr baseColWidth="10" defaultColWidth="11.5" defaultRowHeight="15"/>
  <s:cols>
    <s:col min="1" max="1" width="2" style="1" customWidth="1"/>
    <s:col min="2" max="2" width="11" style="1" customWidth="1"/>
    <s:col min="3" max="3" width="16.5" style="1" customWidth="1"/>
    <s:col min="4" max="6" width="11.5" style="1"/>
    <s:col min="7" max="7" width="12.664" style="1" customWidth="1"/>
    <s:col min="8" max="8" width="13.164" style="1" customWidth="1"/>
    <s:col min="9" max="10" width="16.332" style="1" customWidth="1"/>
    <s:col min="11" max="11" width="14.5" style="1" customWidth="1"/>
    <s:col min="12" max="12" width="17.164" style="1" customWidth="1"/>
    <s:col min="13" max="13" width="16.332" style="1" customWidth="1"/>
    <s:col min="14" max="14" width="16.332" customWidth="1"/>
  </s:cols>
  <s:sheetData>
    <s:row r="1" spans="1:14" ht="17" customHeight="1">
      <s:c r="A1" s="894" t="str">
        <s:f>График!B1</s:f>
        <s:v>Февраль, 2026</s:v>
      </s:c>
      <s:c r="B1" s="895"/>
      <s:c r="C1" s="895"/>
      <s:c r="D1" s="896"/>
      <s:c r="E1" s="453"/>
      <s:c r="F1" s="454"/>
      <s:c r="G1" s="454"/>
      <s:c r="H1" s="454"/>
      <s:c r="I1" s="454"/>
      <s:c r="J1" s="454"/>
      <s:c r="K1" s="454"/>
      <s:c r="L1" s="454"/>
      <s:c r="M1" s="454"/>
      <s:c r="N1" s="455"/>
    </s:row>
    <s:row r="2" spans="1:14" ht="19" customHeight="1">
      <s:c r="A2" s="897" t="str">
        <s:f>График!B3</s:f>
        <s:v>ул. Севастопольская, 62</s:v>
      </s:c>
      <s:c r="B2" s="898"/>
      <s:c r="C2" s="899"/>
      <s:c r="D2" s="456" t="str">
        <s:f>График!B4</s:f>
        <s:v>GL-0004</s:v>
      </s:c>
      <s:c r="E2" s="578"/>
      <s:c r="F2" s="458"/>
      <s:c r="G2" s="458"/>
      <s:c r="H2" s="458"/>
      <s:c r="I2" s="458"/>
      <s:c r="J2" s="458"/>
      <s:c r="K2" s="458"/>
      <s:c r="L2" s="458"/>
      <s:c r="M2" s="458"/>
      <s:c r="N2" s="579"/>
    </s:row>
    <s:row r="3" spans="1:14" ht="75">
      <s:c r="A3" s="945" t="s">
        <s:v>28</s:v>
      </s:c>
      <s:c r="B3" s="946"/>
      <s:c r="C3" s="947"/>
      <s:c r="D3" s="665" t="s">
        <s:v>92</s:v>
      </s:c>
      <s:c r="E3" s="666" t="s">
        <s:v>93</s:v>
      </s:c>
      <s:c r="F3" s="667" t="s">
        <s:v>94</s:v>
      </s:c>
      <s:c r="G3" s="464" t="s">
        <s:v>95</s:v>
      </s:c>
      <s:c r="H3" s="465" t="s">
        <s:v>96</s:v>
      </s:c>
      <s:c r="I3" s="465" t="s">
        <s:v>97</s:v>
      </s:c>
      <s:c r="J3" s="466" t="s">
        <s:v>98</s:v>
      </s:c>
      <s:c r="K3" s="668" t="s">
        <s:v>75</s:v>
      </s:c>
      <s:c r="L3" s="669" t="s">
        <s:v>99</s:v>
      </s:c>
      <s:c r="M3" s="670" t="s">
        <s:v>100</s:v>
      </s:c>
      <s:c r="N3" s="671" t="s">
        <s:v>101</s:v>
      </s:c>
    </s:row>
    <s:row r="4" spans="1:14" ht="18" customHeight="1">
      <s:c r="A4" s="948">
        <s:f>График!B24</s:f>
        <s:v>0</s:v>
      </s:c>
      <s:c r="B4" s="949"/>
      <s:c r="C4" s="950"/>
      <s:c r="D4" s="672"/>
      <s:c r="E4" s="673"/>
      <s:c r="F4" s="674">
        <s:f>H8+H9</s:f>
        <s:v>0</s:v>
      </s:c>
      <s:c r="G4" s="625">
        <s:f>D13</s:f>
        <s:v>0</s:v>
      </s:c>
      <s:c r="H4" s="626">
        <s:f>D20</s:f>
        <s:v>88.350000000000009</s:v>
      </s:c>
      <s:c r="I4" s="626">
        <s:f>M20</s:f>
        <s:v>0</s:v>
      </s:c>
      <s:c r="J4" s="627">
        <s:f>M13</s:f>
        <s:v>0</s:v>
      </s:c>
      <s:c r="K4" s="675">
        <s:f>H4+J4+G4+F4+I4</s:f>
        <s:v>88.350000000000009</s:v>
      </s:c>
      <s:c r="L4" s="676">
        <s:f>C8+C9+C10+C11</s:f>
        <s:v>200</s:v>
      </s:c>
      <s:c r="M4" s="674">
        <s:f>K4-L4-D4-E4</s:f>
        <s:v>-111.64999999999999</s:v>
      </s:c>
      <s:c r="N4" s="677"/>
    </s:row>
    <s:row r="5" spans="1:14">
      <s:c r="A5" s="631"/>
      <s:c r="B5" s="477"/>
      <s:c r="C5" s="478"/>
      <s:c r="D5" s="478"/>
      <s:c r="E5" s="478"/>
      <s:c r="F5" s="478"/>
      <s:c r="G5" s="478"/>
      <s:c r="H5" s="478"/>
      <s:c r="I5" s="478"/>
      <s:c r="J5" s="478"/>
      <s:c r="K5" s="479"/>
      <s:c r="L5" s="478"/>
      <s:c r="M5" s="480"/>
      <s:c r="N5" s="632"/>
    </s:row>
    <s:row r="6" spans="1:14">
      <s:c r="A6" s="476"/>
      <s:c r="B6" s="593" t="s">
        <s:v>99</s:v>
      </s:c>
      <s:c r="C6" s="594"/>
      <s:c r="D6" s="594"/>
      <s:c r="E6" s="594"/>
      <s:c r="F6" s="478"/>
      <s:c r="G6" s="477" t="s">
        <s:v>102</s:v>
      </s:c>
      <s:c r="H6" s="478"/>
      <s:c r="I6" s="478"/>
      <s:c r="J6" s="478"/>
      <s:c r="K6" s="478"/>
      <s:c r="L6" s="478"/>
      <s:c r="M6" s="480"/>
      <s:c r="N6" s="481"/>
    </s:row>
    <s:row r="7" spans="1:14" ht="16" customHeight="1">
      <s:c r="A7" s="482"/>
      <s:c r="B7" s="483" t="s">
        <s:v>29</s:v>
      </s:c>
      <s:c r="C7" s="483" t="s">
        <s:v>103</s:v>
      </s:c>
      <s:c r="D7" s="893" t="s">
        <s:v>104</s:v>
      </s:c>
      <s:c r="E7" s="893"/>
      <s:c r="F7" s="657"/>
      <s:c r="G7" s="483" t="s">
        <s:v>29</s:v>
      </s:c>
      <s:c r="H7" s="893" t="s">
        <s:v>103</s:v>
      </s:c>
      <s:c r="I7" s="893"/>
      <s:c r="J7" s="893" t="s">
        <s:v>104</s:v>
      </s:c>
      <s:c r="K7" s="893"/>
      <s:c r="L7" s="484"/>
      <s:c r="M7" s="485"/>
      <s:c r="N7" s="486"/>
    </s:row>
    <s:row r="8" spans="1:14" ht="23" customHeight="1">
      <s:c r="A8" s="487"/>
      <s:c r="B8" s="488">
        <s:v>46031</s:v>
      </s:c>
      <s:c r="C8" s="489">
        <s:v>200</s:v>
      </s:c>
      <s:c r="D8" s="889" t="s">
        <s:v>126</s:v>
      </s:c>
      <s:c r="E8" s="889"/>
      <s:c r="F8" s="658"/>
      <s:c r="G8" s="488">
        <s:v>46053</s:v>
      </s:c>
      <s:c r="H8" s="890">
        <s:f>Центрум!D62*1%/2</s:f>
        <s:v>0</s:v>
      </s:c>
      <s:c r="I8" s="890"/>
      <s:c r="J8" s="889" t="s">
        <s:v>130</s:v>
      </s:c>
      <s:c r="K8" s="889"/>
      <s:c r="L8" s="478"/>
      <s:c r="M8" s="480"/>
      <s:c r="N8" s="481"/>
    </s:row>
    <s:row r="9" spans="1:14" ht="23" customHeight="1">
      <s:c r="A9" s="476"/>
      <s:c r="B9" s="488"/>
      <s:c r="C9" s="489"/>
      <s:c r="D9" s="889"/>
      <s:c r="E9" s="889"/>
      <s:c r="F9" s="478"/>
      <s:c r="G9" s="488"/>
      <s:c r="H9" s="890"/>
      <s:c r="I9" s="890"/>
      <s:c r="J9" s="889"/>
      <s:c r="K9" s="889"/>
      <s:c r="L9" s="478"/>
      <s:c r="M9" s="480"/>
      <s:c r="N9" s="481"/>
    </s:row>
    <s:row r="10" spans="1:14" ht="21" customHeight="1">
      <s:c r="A10" s="491"/>
      <s:c r="B10" s="492"/>
      <s:c r="C10" s="493"/>
      <s:c r="D10" s="891"/>
      <s:c r="E10" s="891"/>
      <s:c r="F10" s="494"/>
      <s:c r="G10" s="478"/>
      <s:c r="H10" s="478"/>
      <s:c r="I10" s="478"/>
      <s:c r="J10" s="478"/>
      <s:c r="K10" s="478"/>
      <s:c r="L10" s="478"/>
      <s:c r="M10" s="480"/>
      <s:c r="N10" s="481"/>
    </s:row>
    <s:row r="11" spans="1:14" ht="16" customHeight="1">
      <s:c r="A11" s="491"/>
      <s:c r="B11" s="495"/>
      <s:c r="C11" s="496"/>
      <s:c r="D11" s="892"/>
      <s:c r="E11" s="892"/>
      <s:c r="F11" s="494"/>
      <s:c r="G11" s="478"/>
      <s:c r="H11" s="478"/>
      <s:c r="I11" s="478"/>
      <s:c r="J11" s="478"/>
      <s:c r="K11" s="478"/>
      <s:c r="L11" s="478"/>
      <s:c r="M11" s="480"/>
      <s:c r="N11" s="481"/>
    </s:row>
    <s:row r="12" spans="1:14">
      <s:c r="A12" s="476"/>
      <s:c r="B12" s="497"/>
      <s:c r="C12" s="498"/>
      <s:c r="D12" s="499"/>
      <s:c r="E12" s="499"/>
      <s:c r="F12" s="478"/>
      <s:c r="G12" s="478"/>
      <s:c r="H12" s="478"/>
      <s:c r="I12" s="478"/>
      <s:c r="J12" s="478"/>
      <s:c r="K12" s="478"/>
      <s:c r="L12" s="478"/>
      <s:c r="M12" s="480"/>
      <s:c r="N12" s="481"/>
    </s:row>
    <s:row r="13" spans="1:14">
      <s:c r="A13" s="500" t="s">
        <s:v>107</s:v>
      </s:c>
      <s:c r="B13" s="501"/>
      <s:c r="C13" s="501"/>
      <s:c r="D13" s="502">
        <s:f>G17+G18</s:f>
        <s:v>0</s:v>
      </s:c>
      <s:c r="E13" s="503"/>
      <s:c r="F13" s="504"/>
      <s:c r="G13" s="501"/>
      <s:c r="H13" s="501"/>
      <s:c r="I13" s="505" t="s">
        <s:v>108</s:v>
      </s:c>
      <s:c r="J13" s="501"/>
      <s:c r="K13" s="501"/>
      <s:c r="L13" s="501"/>
      <s:c r="M13" s="506">
        <s:f>K17+K18</s:f>
        <s:v>0</s:v>
      </s:c>
      <s:c r="N13" s="507"/>
    </s:row>
    <s:row r="14" spans="1:14">
      <s:c r="A14" s="476"/>
      <s:c r="B14" s="477"/>
      <s:c r="C14" s="478"/>
      <s:c r="D14" s="508"/>
      <s:c r="E14" s="508"/>
      <s:c r="F14" s="478"/>
      <s:c r="G14" s="478"/>
      <s:c r="H14" s="478"/>
      <s:c r="I14" s="478"/>
      <s:c r="J14" s="478"/>
      <s:c r="K14" s="480"/>
      <s:c r="L14" s="480"/>
      <s:c r="M14" s="480"/>
      <s:c r="N14" s="481"/>
    </s:row>
    <s:row r="15" spans="1:14">
      <s:c r="A15" s="509"/>
      <s:c r="B15" s="510" t="s">
        <s:v>107</s:v>
      </s:c>
      <s:c r="C15" s="508"/>
      <s:c r="D15" s="508"/>
      <s:c r="E15" s="508"/>
      <s:c r="F15" s="508"/>
      <s:c r="G15" s="508"/>
      <s:c r="H15" s="508"/>
      <s:c r="I15" s="595" t="s">
        <s:v>98</s:v>
      </s:c>
      <s:c r="J15" s="548"/>
      <s:c r="K15" s="548"/>
      <s:c r="L15" s="513"/>
      <s:c r="M15" s="513"/>
      <s:c r="N15" s="514"/>
    </s:row>
    <s:row r="16" spans="1:14" ht="24">
      <s:c r="A16" s="596"/>
      <s:c r="B16" s="597" t="s">
        <s:v>109</s:v>
      </s:c>
      <s:c r="C16" s="597" t="s">
        <s:v>110</s:v>
      </s:c>
      <s:c r="D16" s="597" t="s">
        <s:v>111</s:v>
      </s:c>
      <s:c r="E16" s="597" t="s">
        <s:v>112</s:v>
      </s:c>
      <s:c r="F16" s="597" t="s">
        <s:v>113</s:v>
      </s:c>
      <s:c r="G16" s="597" t="s">
        <s:v>114</s:v>
      </s:c>
      <s:c r="H16" s="598"/>
      <s:c r="I16" s="515" t="s">
        <s:v>110</s:v>
      </s:c>
      <s:c r="J16" s="515" t="s">
        <s:v>115</s:v>
      </s:c>
      <s:c r="K16" s="515" t="s">
        <s:v>116</s:v>
      </s:c>
      <s:c r="L16" s="513"/>
      <s:c r="M16" s="513"/>
      <s:c r="N16" s="514"/>
    </s:row>
    <s:row r="17" spans="1:14">
      <s:c r="A17" s="487"/>
      <s:c r="B17" s="599">
        <s:f>График!AI24</s:f>
        <s:v>0</s:v>
      </s:c>
      <s:c r="C17" s="478" t="str">
        <s:f>A2</s:f>
        <s:v>ул. Севастопольская, 62</s:v>
      </s:c>
      <s:c r="D17" s="600" t="s">
        <s:v>129</s:v>
      </s:c>
      <s:c r="E17" s="601">
        <s:f>График!AJ24</s:f>
        <s:v>0</s:v>
      </s:c>
      <s:c r="F17" s="602">
        <s:v>200</s:v>
      </s:c>
      <s:c r="G17" s="603">
        <s:f>E17*F17</s:f>
        <s:v>0</s:v>
      </s:c>
      <s:c r="H17" s="604"/>
      <s:c r="I17" s="517" t="str">
        <s:f>C17</s:f>
        <s:v>ул. Севастопольская, 62</s:v>
      </s:c>
      <s:c r="J17" s="522">
        <s:f>Центрум!K8</s:f>
        <s:v>0.45158263179508235</s:v>
      </s:c>
      <s:c r="K17" s="519"/>
      <s:c r="L17" s="480"/>
      <s:c r="M17" s="480"/>
      <s:c r="N17" s="481"/>
    </s:row>
    <s:row r="18" spans="1:14">
      <s:c r="A18" s="596"/>
      <s:c r="B18" s="597"/>
      <s:c r="C18" s="600"/>
      <s:c r="D18" s="600"/>
      <s:c r="E18" s="605"/>
      <s:c r="F18" s="602"/>
      <s:c r="G18" s="603"/>
      <s:c r="H18" s="598"/>
      <s:c r="I18" s="606"/>
      <s:c r="J18" s="528"/>
      <s:c r="K18" s="519"/>
      <s:c r="L18" s="513"/>
      <s:c r="M18" s="513"/>
      <s:c r="N18" s="514"/>
    </s:row>
    <s:row r="19" spans="1:14">
      <s:c r="A19" s="509"/>
      <s:c r="B19" s="508"/>
      <s:c r="C19" s="538"/>
      <s:c r="D19" s="478"/>
      <s:c r="E19" s="539"/>
      <s:c r="F19" s="539"/>
      <s:c r="G19" s="540"/>
      <s:c r="H19" s="508"/>
      <s:c r="I19" s="508"/>
      <s:c r="J19" s="508"/>
      <s:c r="K19" s="508"/>
      <s:c r="L19" s="513"/>
      <s:c r="M19" s="513"/>
      <s:c r="N19" s="514"/>
    </s:row>
    <s:row r="20" spans="1:14">
      <s:c r="A20" s="500" t="s">
        <s:v>118</s:v>
      </s:c>
      <s:c r="B20" s="501"/>
      <s:c r="C20" s="501"/>
      <s:c r="D20" s="541">
        <s:f>G25+G26</s:f>
        <s:v>88.350000000000009</s:v>
      </s:c>
      <s:c r="E20" s="542"/>
      <s:c r="F20" s="504"/>
      <s:c r="G20" s="504"/>
      <s:c r="H20" s="504"/>
      <s:c r="I20" s="501" t="s">
        <s:v>97</s:v>
      </s:c>
      <s:c r="J20" s="504"/>
      <s:c r="K20" s="504"/>
      <s:c r="L20" s="504"/>
      <s:c r="M20" s="541">
        <s:f>N25+N26</s:f>
        <s:v>0</s:v>
      </s:c>
      <s:c r="N20" s="507"/>
    </s:row>
    <s:row r="21" spans="1:14">
      <s:c r="A21" s="543"/>
      <s:c r="B21" s="477"/>
      <s:c r="C21" s="480"/>
      <s:c r="D21" s="480"/>
      <s:c r="E21" s="480"/>
      <s:c r="F21" s="480"/>
      <s:c r="G21" s="480"/>
      <s:c r="H21" s="480"/>
      <s:c r="I21" s="480"/>
      <s:c r="J21" s="480"/>
      <s:c r="K21" s="544"/>
      <s:c r="L21" s="182"/>
      <s:c r="M21" s="182"/>
      <s:c r="N21" s="545"/>
    </s:row>
    <s:row r="22" spans="1:14">
      <s:c r="A22" s="543"/>
      <s:c r="B22" s="478"/>
      <s:c r="C22" s="477"/>
      <s:c r="D22" s="480"/>
      <s:c r="E22" s="480"/>
      <s:c r="F22" s="480"/>
      <s:c r="G22" s="480"/>
      <s:c r="H22" s="480"/>
      <s:c r="I22" s="480"/>
      <s:c r="J22" s="480"/>
      <s:c r="K22" s="480"/>
      <s:c r="L22" s="480"/>
      <s:c r="M22" s="480"/>
      <s:c r="N22" s="481"/>
    </s:row>
    <s:row r="23" spans="1:14">
      <s:c r="A23" s="543"/>
      <s:c r="B23" s="477" t="s">
        <s:v>119</s:v>
      </s:c>
      <s:c r="C23" s="480"/>
      <s:c r="D23" s="480"/>
      <s:c r="E23" s="480"/>
      <s:c r="F23" s="480"/>
      <s:c r="G23" s="480"/>
      <s:c r="H23" s="480"/>
      <s:c r="I23" s="477" t="s">
        <s:v>120</s:v>
      </s:c>
      <s:c r="J23" s="477"/>
      <s:c r="K23" s="480"/>
      <s:c r="L23" s="480"/>
      <s:c r="M23" s="480"/>
      <s:c r="N23" s="607"/>
    </s:row>
    <s:row r="24" spans="1:14" ht="36">
      <s:c r="A24" s="608"/>
      <s:c r="B24" s="597" t="s">
        <s:v>28</s:v>
      </s:c>
      <s:c r="C24" s="939" t="s">
        <s:v>110</s:v>
      </s:c>
      <s:c r="D24" s="940"/>
      <s:c r="E24" s="597" t="s">
        <s:v>121</s:v>
      </s:c>
      <s:c r="F24" s="597" t="s">
        <s:v>122</s:v>
      </s:c>
      <s:c r="G24" s="597" t="s">
        <s:v>123</s:v>
      </s:c>
      <s:c r="H24" s="508"/>
      <s:c r="I24" s="515" t="s">
        <s:v>28</s:v>
      </s:c>
      <s:c r="J24" s="515" t="s">
        <s:v>110</s:v>
      </s:c>
      <s:c r="K24" s="515" t="s">
        <s:v>124</s:v>
      </s:c>
      <s:c r="L24" s="515" t="s">
        <s:v>125</s:v>
      </s:c>
      <s:c r="M24" s="515" t="s">
        <s:v>121</s:v>
      </s:c>
      <s:c r="N24" s="609" t="s">
        <s:v>123</s:v>
      </s:c>
    </s:row>
    <s:row r="25" spans="1:14">
      <s:c r="A25" s="610"/>
      <s:c r="B25" s="600">
        <s:f>A4</s:f>
        <s:v>0</s:v>
      </s:c>
      <s:c r="C25" s="941" t="str">
        <s:f>A2</s:f>
        <s:v>ул. Севастопольская, 62</s:v>
      </s:c>
      <s:c r="D25" s="942"/>
      <s:c r="E25" s="611">
        <s:v>0.05</s:v>
      </s:c>
      <s:c r="F25" s="498">
        <s:f>'Доп сотрудник'!J8-5653</s:f>
        <s:v>1767</s:v>
      </s:c>
      <s:c r="G25" s="612">
        <s:f>F25*E25</s:f>
        <s:v>88.350000000000009</s:v>
      </s:c>
      <s:c r="H25" s="478"/>
      <s:c r="I25" s="556">
        <s:f>B25</s:f>
        <s:v>0</s:v>
      </s:c>
      <s:c r="J25" s="613" t="str">
        <s:f>C25</s:f>
        <s:v>ул. Севастопольская, 62</s:v>
      </s:c>
      <s:c r="K25" s="557">
        <s:f>E17</s:f>
        <s:v>0</s:v>
      </s:c>
      <s:c r="L25" s="614">
        <s:f>График!AJ29</s:f>
        <s:v>580</s:v>
      </s:c>
      <s:c r="M25" s="522">
        <s:v>0.02</s:v>
      </s:c>
      <s:c r="N25" s="561">
        <s:f>Центрум!J8*M25*K25/L25</s:f>
        <s:v>0</s:v>
      </s:c>
    </s:row>
    <s:row r="26" spans="1:14">
      <s:c r="A26" s="608"/>
      <s:c r="B26" s="600"/>
      <s:c r="C26" s="943"/>
      <s:c r="D26" s="944"/>
      <s:c r="E26" s="611"/>
      <s:c r="F26" s="615"/>
      <s:c r="G26" s="612"/>
      <s:c r="H26" s="508"/>
      <s:c r="I26" s="556"/>
      <s:c r="J26" s="616"/>
      <s:c r="K26" s="566"/>
      <s:c r="L26" s="567"/>
      <s:c r="M26" s="522"/>
      <s:c r="N26" s="561"/>
    </s:row>
    <s:row r="27" spans="1:14">
      <s:c r="A27" s="617"/>
      <s:c r="B27" s="618"/>
      <s:c r="C27" s="618"/>
      <s:c r="D27" s="618"/>
      <s:c r="E27" s="618"/>
      <s:c r="F27" s="618"/>
      <s:c r="G27" s="618"/>
      <s:c r="H27" s="619"/>
      <s:c r="I27" s="620"/>
      <s:c r="J27" s="620"/>
      <s:c r="K27" s="620"/>
      <s:c r="L27" s="620"/>
      <s:c r="M27" s="620"/>
      <s:c r="N27" s="621"/>
    </s:row>
  </s:sheetData>
  <s:mergeCells count="18">
    <s:mergeCell ref="A1:D1"/>
    <s:mergeCell ref="A2:C2"/>
    <s:mergeCell ref="A3:C3"/>
    <s:mergeCell ref="A4:C4"/>
    <s:mergeCell ref="D7:E7"/>
    <s:mergeCell ref="J9:K9"/>
    <s:mergeCell ref="D10:E10"/>
    <s:mergeCell ref="D11:E11"/>
    <s:mergeCell ref="H7:I7"/>
    <s:mergeCell ref="J7:K7"/>
    <s:mergeCell ref="D8:E8"/>
    <s:mergeCell ref="H8:I8"/>
    <s:mergeCell ref="J8:K8"/>
    <s:mergeCell ref="C24:D24"/>
    <s:mergeCell ref="C25:D25"/>
    <s:mergeCell ref="C26:D26"/>
    <s:mergeCell ref="D9:E9"/>
    <s:mergeCell ref="H9:I9"/>
  </s:mergeCells>
  <s:pageMargins left="0.7" right="0.7" top="0.75" bottom="0.75" header="0.3" footer="0.3"/>
  <s:pageSetup paperSize="9" orientation="portrait"/>
</s:worksheet>
</file>

<file path=xl/worksheets/sheet15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A00-000000000000}">
  <s:sheetPr>
    <s:tabColor rgb="FFDBDBDB"/>
  </s:sheetPr>
  <s:dimension ref="A1:N28"/>
  <s:sheetViews>
    <s:sheetView tabSelected="0" topLeftCell="A14" zoomScale="86" workbookViewId="0">
      <s:selection activeCell="J24" sqref="J24"/>
    </s:sheetView>
  </s:sheetViews>
  <s:sheetFormatPr baseColWidth="10" defaultColWidth="11.5" defaultRowHeight="15"/>
  <s:cols>
    <s:col min="1" max="1" width="2.664" style="1" customWidth="1"/>
    <s:col min="2" max="2" width="11.664" style="1" customWidth="1"/>
    <s:col min="3" max="3" width="17" style="1" customWidth="1"/>
    <s:col min="4" max="6" width="11.5" style="1"/>
    <s:col min="7" max="7" width="12.664" style="1" customWidth="1"/>
    <s:col min="8" max="8" width="12.5" style="1" customWidth="1"/>
    <s:col min="9" max="9" width="17.164" style="1" customWidth="1"/>
    <s:col min="10" max="10" width="15.5" style="1" customWidth="1"/>
    <s:col min="11" max="11" width="15.164" style="1" customWidth="1"/>
    <s:col min="12" max="12" width="15" style="1" customWidth="1"/>
    <s:col min="13" max="13" width="15.832" style="1" customWidth="1"/>
    <s:col min="14" max="14" width="15.832" customWidth="1"/>
  </s:cols>
  <s:sheetData>
    <s:row r="1" spans="1:14" ht="21" customHeight="1">
      <s:c r="A1" s="894" t="str">
        <s:f>График!B1</s:f>
        <s:v>Февраль, 2026</s:v>
      </s:c>
      <s:c r="B1" s="895"/>
      <s:c r="C1" s="895"/>
      <s:c r="D1" s="896"/>
      <s:c r="E1" s="453"/>
      <s:c r="F1" s="454"/>
      <s:c r="G1" s="454"/>
      <s:c r="H1" s="454"/>
      <s:c r="I1" s="454"/>
      <s:c r="J1" s="454"/>
      <s:c r="K1" s="454"/>
      <s:c r="L1" s="454"/>
      <s:c r="M1" s="454"/>
      <s:c r="N1" s="455"/>
    </s:row>
    <s:row r="2" spans="1:14" ht="21" customHeight="1">
      <s:c r="A2" s="897" t="str">
        <s:f>График!B3</s:f>
        <s:v>ул. Севастопольская, 62</s:v>
      </s:c>
      <s:c r="B2" s="898"/>
      <s:c r="C2" s="899"/>
      <s:c r="D2" s="456" t="str">
        <s:f>График!B4</s:f>
        <s:v>GL-0004</s:v>
      </s:c>
      <s:c r="E2" s="457"/>
      <s:c r="F2" s="458"/>
      <s:c r="G2" s="458"/>
      <s:c r="H2" s="458"/>
      <s:c r="I2" s="458"/>
      <s:c r="J2" s="458"/>
      <s:c r="K2" s="459"/>
      <s:c r="L2" s="459"/>
      <s:c r="M2" s="458"/>
      <s:c r="N2" s="460"/>
    </s:row>
    <s:row r="3" spans="1:14" ht="75">
      <s:c r="A3" s="921" t="s">
        <s:v>28</s:v>
      </s:c>
      <s:c r="B3" s="921"/>
      <s:c r="C3" s="921"/>
      <s:c r="D3" s="461" t="s">
        <s:v>92</s:v>
      </s:c>
      <s:c r="E3" s="462" t="s">
        <s:v>93</s:v>
      </s:c>
      <s:c r="F3" s="463" t="s">
        <s:v>94</s:v>
      </s:c>
      <s:c r="G3" s="464" t="s">
        <s:v>95</s:v>
      </s:c>
      <s:c r="H3" s="465" t="s">
        <s:v>96</s:v>
      </s:c>
      <s:c r="I3" s="465" t="s">
        <s:v>97</s:v>
      </s:c>
      <s:c r="J3" s="466" t="s">
        <s:v>98</s:v>
      </s:c>
      <s:c r="K3" s="467" t="s">
        <s:v>75</s:v>
      </s:c>
      <s:c r="L3" s="462" t="s">
        <s:v>99</s:v>
      </s:c>
      <s:c r="M3" s="463" t="s">
        <s:v>100</s:v>
      </s:c>
      <s:c r="N3" s="468" t="s">
        <s:v>101</s:v>
      </s:c>
    </s:row>
    <s:row r="4" spans="1:14" s="469" customFormat="1" ht="20" customHeight="1">
      <s:c r="A4" s="956" t="str">
        <s:f>График!B26</s:f>
        <s:v>Козлова Валерия</s:v>
      </s:c>
      <s:c r="B4" s="956"/>
      <s:c r="C4" s="956"/>
      <s:c r="D4" s="470">
        <s:v>17373.11</s:v>
      </s:c>
      <s:c r="E4" s="471"/>
      <s:c r="F4" s="472">
        <s:f>H8+H9</s:f>
        <s:v>8600.69</s:v>
      </s:c>
      <s:c r="G4" s="473">
        <s:f>D13</s:f>
        <s:v>7700</s:v>
      </s:c>
      <s:c r="H4" s="470">
        <s:f>D21</s:f>
        <s:v>2625.6</s:v>
      </s:c>
      <s:c r="I4" s="470">
        <s:f>M21</s:f>
        <s:v>2242.3966551724134</s:v>
      </s:c>
      <s:c r="J4" s="474">
        <s:f>M13</s:f>
        <s:v>0</s:v>
      </s:c>
      <s:c r="K4" s="475">
        <s:f>H4+J4+G4+F4+I4</s:f>
        <s:v>21168.686655172416</s:v>
      </s:c>
      <s:c r="L4" s="471">
        <s:f>C8+C9</s:f>
        <s:v>2596</s:v>
      </s:c>
      <s:c r="M4" s="472">
        <s:f>K4-L4-D4-E4</s:f>
        <s:v>1199.5766551724155</s:v>
      </s:c>
      <s:c r="N4" s="472"/>
    </s:row>
    <s:row r="5" spans="1:14">
      <s:c r="A5" s="476"/>
      <s:c r="B5" s="477"/>
      <s:c r="C5" s="478"/>
      <s:c r="D5" s="478"/>
      <s:c r="E5" s="478"/>
      <s:c r="F5" s="478"/>
      <s:c r="G5" s="478"/>
      <s:c r="H5" s="478"/>
      <s:c r="I5" s="478"/>
      <s:c r="J5" s="478"/>
      <s:c r="K5" s="479"/>
      <s:c r="L5" s="478"/>
      <s:c r="M5" s="480"/>
      <s:c r="N5" s="481"/>
    </s:row>
    <s:row r="6" spans="1:14">
      <s:c r="A6" s="476"/>
      <s:c r="B6" s="477" t="s">
        <s:v>99</s:v>
      </s:c>
      <s:c r="C6" s="478"/>
      <s:c r="D6" s="478"/>
      <s:c r="E6" s="478"/>
      <s:c r="F6" s="478"/>
      <s:c r="G6" s="477" t="s">
        <s:v>102</s:v>
      </s:c>
      <s:c r="H6" s="478"/>
      <s:c r="I6" s="478"/>
      <s:c r="J6" s="478"/>
      <s:c r="K6" s="478"/>
      <s:c r="L6" s="478"/>
      <s:c r="M6" s="480"/>
      <s:c r="N6" s="481"/>
    </s:row>
    <s:row r="7" spans="1:14" ht="22" customHeight="1">
      <s:c r="A7" s="482"/>
      <s:c r="B7" s="483" t="s">
        <s:v>29</s:v>
      </s:c>
      <s:c r="C7" s="483" t="s">
        <s:v>103</s:v>
      </s:c>
      <s:c r="D7" s="893" t="s">
        <s:v>104</s:v>
      </s:c>
      <s:c r="E7" s="893"/>
      <s:c r="F7" s="484"/>
      <s:c r="G7" s="483" t="s">
        <s:v>29</s:v>
      </s:c>
      <s:c r="H7" s="893" t="s">
        <s:v>103</s:v>
      </s:c>
      <s:c r="I7" s="893"/>
      <s:c r="J7" s="893" t="s">
        <s:v>104</s:v>
      </s:c>
      <s:c r="K7" s="893"/>
      <s:c r="L7" s="484"/>
      <s:c r="M7" s="485"/>
      <s:c r="N7" s="486"/>
    </s:row>
    <s:row r="8" spans="1:14" ht="22" customHeight="1">
      <s:c r="A8" s="487"/>
      <s:c r="B8" s="488">
        <s:v>46062</s:v>
      </s:c>
      <s:c r="C8" s="489">
        <s:v>2596</s:v>
      </s:c>
      <s:c r="D8" s="889" t="s">
        <s:v>105</s:v>
      </s:c>
      <s:c r="E8" s="889"/>
      <s:c r="F8" s="478"/>
      <s:c r="G8" s="488">
        <s:v>46062</s:v>
      </s:c>
      <s:c r="H8" s="890">
        <s:v>8600.69</s:v>
      </s:c>
      <s:c r="I8" s="890"/>
      <s:c r="J8" s="889" t="s">
        <s:v>106</s:v>
      </s:c>
      <s:c r="K8" s="889"/>
      <s:c r="L8" s="478"/>
      <s:c r="M8" s="480"/>
      <s:c r="N8" s="481"/>
    </s:row>
    <s:row r="9" spans="1:14" ht="21" customHeight="1">
      <s:c r="A9" s="476"/>
      <s:c r="B9" s="488"/>
      <s:c r="C9" s="489"/>
      <s:c r="D9" s="889"/>
      <s:c r="E9" s="889"/>
      <s:c r="F9" s="478"/>
      <s:c r="G9" s="488"/>
      <s:c r="H9" s="890"/>
      <s:c r="I9" s="890"/>
      <s:c r="J9" s="889"/>
      <s:c r="K9" s="889"/>
      <s:c r="L9" s="478"/>
      <s:c r="M9" s="480"/>
      <s:c r="N9" s="481"/>
    </s:row>
    <s:row r="10" spans="1:14" ht="19" customHeight="1">
      <s:c r="A10" s="491"/>
      <s:c r="B10" s="492"/>
      <s:c r="C10" s="493"/>
      <s:c r="D10" s="891"/>
      <s:c r="E10" s="891"/>
      <s:c r="F10" s="494"/>
      <s:c r="G10" s="478"/>
      <s:c r="H10" s="478"/>
      <s:c r="I10" s="478"/>
      <s:c r="J10" s="478"/>
      <s:c r="K10" s="478"/>
      <s:c r="L10" s="478"/>
      <s:c r="M10" s="480"/>
      <s:c r="N10" s="481"/>
    </s:row>
    <s:row r="11" spans="1:14" ht="19" customHeight="1">
      <s:c r="A11" s="491"/>
      <s:c r="B11" s="495"/>
      <s:c r="C11" s="496"/>
      <s:c r="D11" s="892"/>
      <s:c r="E11" s="892"/>
      <s:c r="F11" s="494"/>
      <s:c r="G11" s="478"/>
      <s:c r="H11" s="478"/>
      <s:c r="I11" s="478"/>
      <s:c r="J11" s="478"/>
      <s:c r="K11" s="478"/>
      <s:c r="L11" s="478"/>
      <s:c r="M11" s="480"/>
      <s:c r="N11" s="481"/>
    </s:row>
    <s:row r="12" spans="1:14">
      <s:c r="A12" s="476"/>
      <s:c r="B12" s="497"/>
      <s:c r="C12" s="498"/>
      <s:c r="D12" s="499"/>
      <s:c r="E12" s="499"/>
      <s:c r="F12" s="478"/>
      <s:c r="G12" s="478"/>
      <s:c r="H12" s="478"/>
      <s:c r="I12" s="478"/>
      <s:c r="J12" s="478"/>
      <s:c r="K12" s="478"/>
      <s:c r="L12" s="478"/>
      <s:c r="M12" s="480"/>
      <s:c r="N12" s="481"/>
    </s:row>
    <s:row r="13" spans="1:14" ht="19" customHeight="1">
      <s:c r="A13" s="500" t="s">
        <s:v>107</s:v>
      </s:c>
      <s:c r="B13" s="501"/>
      <s:c r="C13" s="501"/>
      <s:c r="D13" s="502">
        <s:f>G17+G19+G18</s:f>
        <s:v>7700</s:v>
      </s:c>
      <s:c r="E13" s="503"/>
      <s:c r="F13" s="504"/>
      <s:c r="G13" s="501"/>
      <s:c r="H13" s="501"/>
      <s:c r="I13" s="505" t="s">
        <s:v>108</s:v>
      </s:c>
      <s:c r="J13" s="501"/>
      <s:c r="K13" s="501"/>
      <s:c r="L13" s="501"/>
      <s:c r="M13" s="506">
        <s:f>K17+K19+K18</s:f>
        <s:v>0</s:v>
      </s:c>
      <s:c r="N13" s="507"/>
    </s:row>
    <s:row r="14" spans="1:14">
      <s:c r="A14" s="476"/>
      <s:c r="B14" s="477"/>
      <s:c r="C14" s="478"/>
      <s:c r="D14" s="508"/>
      <s:c r="E14" s="508"/>
      <s:c r="F14" s="478"/>
      <s:c r="G14" s="478"/>
      <s:c r="H14" s="478"/>
      <s:c r="I14" s="478"/>
      <s:c r="J14" s="478"/>
      <s:c r="K14" s="480"/>
      <s:c r="L14" s="480"/>
      <s:c r="M14" s="480"/>
      <s:c r="N14" s="481"/>
    </s:row>
    <s:row r="15" spans="1:14">
      <s:c r="A15" s="509"/>
      <s:c r="B15" s="510" t="s">
        <s:v>107</s:v>
      </s:c>
      <s:c r="C15" s="508"/>
      <s:c r="D15" s="508"/>
      <s:c r="E15" s="508"/>
      <s:c r="F15" s="508"/>
      <s:c r="G15" s="508"/>
      <s:c r="H15" s="508"/>
      <s:c r="I15" s="511" t="s">
        <s:v>98</s:v>
      </s:c>
      <s:c r="J15" s="512"/>
      <s:c r="K15" s="512"/>
      <s:c r="L15" s="513"/>
      <s:c r="M15" s="513"/>
      <s:c r="N15" s="514"/>
    </s:row>
    <s:row r="16" spans="1:14" ht="29" customHeight="1">
      <s:c r="A16" s="509"/>
      <s:c r="B16" s="515" t="s">
        <s:v>109</s:v>
      </s:c>
      <s:c r="C16" s="515" t="s">
        <s:v>110</s:v>
      </s:c>
      <s:c r="D16" s="515" t="s">
        <s:v>111</s:v>
      </s:c>
      <s:c r="E16" s="515" t="s">
        <s:v>112</s:v>
      </s:c>
      <s:c r="F16" s="515" t="s">
        <s:v>113</s:v>
      </s:c>
      <s:c r="G16" s="515" t="s">
        <s:v>114</s:v>
      </s:c>
      <s:c r="H16" s="508"/>
      <s:c r="I16" s="515" t="s">
        <s:v>110</s:v>
      </s:c>
      <s:c r="J16" s="515" t="s">
        <s:v>115</s:v>
      </s:c>
      <s:c r="K16" s="515" t="s">
        <s:v>116</s:v>
      </s:c>
      <s:c r="L16" s="513"/>
      <s:c r="M16" s="513"/>
      <s:c r="N16" s="514"/>
    </s:row>
    <s:row r="17" spans="1:14" ht="19" customHeight="1">
      <s:c r="A17" s="476"/>
      <s:c r="B17" s="516">
        <s:f>График!AI26</s:f>
        <s:v>7</s:v>
      </s:c>
      <s:c r="C17" s="517" t="str">
        <s:f>A2</s:f>
        <s:v>ул. Севастопольская, 62</s:v>
      </s:c>
      <s:c r="D17" s="517" t="s">
        <s:v>117</s:v>
      </s:c>
      <s:c r="E17" s="518">
        <s:f>График!AJ26</s:f>
        <s:v>77</s:v>
      </s:c>
      <s:c r="F17" s="519">
        <s:v>100</s:v>
      </s:c>
      <s:c r="G17" s="520">
        <s:f>E17*F17</s:f>
        <s:v>7700</s:v>
      </s:c>
      <s:c r="H17" s="521"/>
      <s:c r="I17" s="478" t="str">
        <s:f>C17</s:f>
        <s:v>ул. Севастопольская, 62</s:v>
      </s:c>
      <s:c r="J17" s="522">
        <s:f>Центрум!K8</s:f>
        <s:v>0.45158263179508235</s:v>
      </s:c>
      <s:c r="K17" s="519"/>
      <s:c r="L17" s="480"/>
      <s:c r="M17" s="480"/>
      <s:c r="N17" s="481"/>
    </s:row>
    <s:row r="18" spans="1:14" ht="19" customHeight="1">
      <s:c r="A18" s="523"/>
      <s:c r="B18" s="524"/>
      <s:c r="C18" s="525"/>
      <s:c r="D18" s="517"/>
      <s:c r="E18" s="526"/>
      <s:c r="F18" s="519"/>
      <s:c r="G18" s="520">
        <s:f>E18*F18</s:f>
        <s:v>0</s:v>
      </s:c>
      <s:c r="H18" s="527"/>
      <s:c r="I18" s="490"/>
      <s:c r="J18" s="528"/>
      <s:c r="K18" s="519"/>
      <s:c r="L18" s="512"/>
      <s:c r="M18" s="512"/>
      <s:c r="N18" s="529"/>
    </s:row>
    <s:row r="19" spans="1:14" ht="19" customHeight="1">
      <s:c r="A19" s="530"/>
      <s:c r="B19" s="531"/>
      <s:c r="C19" s="525"/>
      <s:c r="D19" s="525"/>
      <s:c r="E19" s="532"/>
      <s:c r="F19" s="533"/>
      <s:c r="G19" s="534"/>
      <s:c r="H19" s="535"/>
      <s:c r="I19" s="536"/>
      <s:c r="J19" s="537"/>
      <s:c r="K19" s="533"/>
      <s:c r="L19" s="513"/>
      <s:c r="M19" s="513"/>
      <s:c r="N19" s="514"/>
    </s:row>
    <s:row r="20" spans="1:14" ht="19" customHeight="1">
      <s:c r="A20" s="509"/>
      <s:c r="B20" s="508"/>
      <s:c r="C20" s="538"/>
      <s:c r="D20" s="478"/>
      <s:c r="E20" s="539"/>
      <s:c r="F20" s="539"/>
      <s:c r="G20" s="540"/>
      <s:c r="H20" s="508"/>
      <s:c r="I20" s="508"/>
      <s:c r="J20" s="508"/>
      <s:c r="K20" s="508"/>
      <s:c r="L20" s="513"/>
      <s:c r="M20" s="513"/>
      <s:c r="N20" s="514"/>
    </s:row>
    <s:row r="21" spans="1:14" ht="19" customHeight="1">
      <s:c r="A21" s="500" t="s">
        <s:v>118</s:v>
      </s:c>
      <s:c r="B21" s="501"/>
      <s:c r="C21" s="501"/>
      <s:c r="D21" s="541">
        <s:f>G26+G27+G28</s:f>
        <s:v>2625.6</s:v>
      </s:c>
      <s:c r="E21" s="542"/>
      <s:c r="F21" s="504"/>
      <s:c r="G21" s="504"/>
      <s:c r="H21" s="504"/>
      <s:c r="I21" s="501" t="s">
        <s:v>97</s:v>
      </s:c>
      <s:c r="J21" s="504"/>
      <s:c r="K21" s="504"/>
      <s:c r="L21" s="504"/>
      <s:c r="M21" s="541">
        <s:f>N26+N27+N28</s:f>
        <s:v>2242.3966551724134</s:v>
      </s:c>
      <s:c r="N21" s="507"/>
    </s:row>
    <s:row r="22" spans="1:14">
      <s:c r="A22" s="543"/>
      <s:c r="B22" s="477"/>
      <s:c r="C22" s="480"/>
      <s:c r="D22" s="480"/>
      <s:c r="E22" s="480"/>
      <s:c r="F22" s="480"/>
      <s:c r="G22" s="480"/>
      <s:c r="H22" s="480"/>
      <s:c r="I22" s="480"/>
      <s:c r="J22" s="480"/>
      <s:c r="K22" s="544"/>
      <s:c r="L22" s="182"/>
      <s:c r="M22" s="182"/>
      <s:c r="N22" s="545"/>
    </s:row>
    <s:row r="23" spans="1:14">
      <s:c r="A23" s="543"/>
      <s:c r="B23" s="478"/>
      <s:c r="C23" s="477"/>
      <s:c r="D23" s="480"/>
      <s:c r="E23" s="480"/>
      <s:c r="F23" s="480"/>
      <s:c r="G23" s="480"/>
      <s:c r="H23" s="480"/>
      <s:c r="I23" s="480"/>
      <s:c r="J23" s="480"/>
      <s:c r="K23" s="480"/>
      <s:c r="L23" s="480"/>
      <s:c r="M23" s="480"/>
      <s:c r="N23" s="481"/>
    </s:row>
    <s:row r="24" spans="1:14" ht="28" customHeight="1">
      <s:c r="A24" s="546"/>
      <s:c r="B24" s="951" t="s">
        <s:v>119</s:v>
      </s:c>
      <s:c r="C24" s="951"/>
      <s:c r="D24" s="548"/>
      <s:c r="E24" s="548"/>
      <s:c r="F24" s="548"/>
      <s:c r="G24" s="548"/>
      <s:c r="H24" s="512"/>
      <s:c r="I24" s="547" t="s">
        <s:v>120</s:v>
      </s:c>
      <s:c r="J24" s="547"/>
      <s:c r="K24" s="548"/>
      <s:c r="L24" s="548"/>
      <s:c r="M24" s="548"/>
      <s:c r="N24" s="549"/>
    </s:row>
    <s:row r="25" spans="1:14" ht="36">
      <s:c r="A25" s="550"/>
      <s:c r="B25" s="515" t="s">
        <s:v>28</s:v>
      </s:c>
      <s:c r="C25" s="881" t="s">
        <s:v>110</s:v>
      </s:c>
      <s:c r="D25" s="882"/>
      <s:c r="E25" s="515" t="s">
        <s:v>121</s:v>
      </s:c>
      <s:c r="F25" s="515" t="s">
        <s:v>122</s:v>
      </s:c>
      <s:c r="G25" s="551" t="s">
        <s:v>123</s:v>
      </s:c>
      <s:c r="H25" s="508"/>
      <s:c r="I25" s="515" t="s">
        <s:v>28</s:v>
      </s:c>
      <s:c r="J25" s="508" t="s">
        <s:v>110</s:v>
      </s:c>
      <s:c r="K25" s="515" t="s">
        <s:v>124</s:v>
      </s:c>
      <s:c r="L25" s="508" t="s">
        <s:v>125</s:v>
      </s:c>
      <s:c r="M25" s="515" t="s">
        <s:v>121</s:v>
      </s:c>
      <s:c r="N25" s="552" t="s">
        <s:v>123</s:v>
      </s:c>
    </s:row>
    <s:row r="26" spans="1:14" ht="20" customHeight="1">
      <s:c r="A26" s="553"/>
      <s:c r="B26" s="517" t="str">
        <s:f>A4</s:f>
        <s:v>Козлова Валерия</s:v>
      </s:c>
      <s:c r="C26" s="883" t="str">
        <s:f>A2</s:f>
        <s:v>ул. Севастопольская, 62</s:v>
      </s:c>
      <s:c r="D26" s="884"/>
      <s:c r="E26" s="522">
        <s:v>0.04</s:v>
      </s:c>
      <s:c r="F26" s="554">
        <s:f>'Козлова В. Э.'!J8</s:f>
        <s:v>65640</s:v>
      </s:c>
      <s:c r="G26" s="555">
        <s:f>F26*E26</s:f>
        <s:v>2625.6</s:v>
      </s:c>
      <s:c r="H26" s="499"/>
      <s:c r="I26" s="556" t="str">
        <s:f>B26</s:f>
        <s:v>Козлова Валерия</s:v>
      </s:c>
      <s:c r="J26" s="557" t="str">
        <s:f>C26</s:f>
        <s:v>ул. Севастопольская, 62</s:v>
      </s:c>
      <s:c r="K26" s="558">
        <s:f>E17</s:f>
        <s:v>77</s:v>
      </s:c>
      <s:c r="L26" s="559">
        <s:f>График!AJ29</s:f>
        <s:v>580</s:v>
      </s:c>
      <s:c r="M26" s="560">
        <s:v>0.02</s:v>
      </s:c>
      <s:c r="N26" s="561">
        <s:f>Центрум!J8*M26*K26/L26</s:f>
        <s:v>2242.3966551724134</s:v>
      </s:c>
    </s:row>
    <s:row r="27" spans="1:14" ht="20" customHeight="1">
      <s:c r="A27" s="550"/>
      <s:c r="B27" s="517"/>
      <s:c r="C27" s="952"/>
      <s:c r="D27" s="953"/>
      <s:c r="E27" s="522"/>
      <s:c r="F27" s="562"/>
      <s:c r="G27" s="563"/>
      <s:c r="H27" s="564"/>
      <s:c r="I27" s="556"/>
      <s:c r="J27" s="565"/>
      <s:c r="K27" s="566"/>
      <s:c r="L27" s="567"/>
      <s:c r="M27" s="522"/>
      <s:c r="N27" s="561"/>
    </s:row>
    <s:row r="28" spans="1:14" ht="20" customHeight="1">
      <s:c r="A28" s="568"/>
      <s:c r="B28" s="569"/>
      <s:c r="C28" s="954"/>
      <s:c r="D28" s="955"/>
      <s:c r="E28" s="570"/>
      <s:c r="F28" s="571"/>
      <s:c r="G28" s="572"/>
      <s:c r="H28" s="573"/>
      <s:c r="I28" s="574"/>
      <s:c r="J28" s="573"/>
      <s:c r="K28" s="575"/>
      <s:c r="L28" s="573"/>
      <s:c r="M28" s="576"/>
      <s:c r="N28" s="577"/>
    </s:row>
  </s:sheetData>
  <s:mergeCells count="20">
    <s:mergeCell ref="A1:D1"/>
    <s:mergeCell ref="A2:C2"/>
    <s:mergeCell ref="A3:C3"/>
    <s:mergeCell ref="A4:C4"/>
    <s:mergeCell ref="D7:E7"/>
    <s:mergeCell ref="H7:I7"/>
    <s:mergeCell ref="J7:K7"/>
    <s:mergeCell ref="D8:E8"/>
    <s:mergeCell ref="H8:I8"/>
    <s:mergeCell ref="J8:K8"/>
    <s:mergeCell ref="D9:E9"/>
    <s:mergeCell ref="H9:I9"/>
    <s:mergeCell ref="J9:K9"/>
    <s:mergeCell ref="D10:E10"/>
    <s:mergeCell ref="D11:E11"/>
    <s:mergeCell ref="B24:C24"/>
    <s:mergeCell ref="C25:D25"/>
    <s:mergeCell ref="C26:D26"/>
    <s:mergeCell ref="C27:D27"/>
    <s:mergeCell ref="C28:D28"/>
  </s:mergeCells>
  <s:pageMargins left="0.7" right="0.7" top="0.75" bottom="0.75" header="0.3" footer="0.3"/>
  <s:pageSetup paperSize="9" orientation="portrait"/>
</s:worksheet>
</file>

<file path=xl/worksheets/sheet16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1000-000000000000}">
  <s:dimension ref="A1:IY55"/>
  <s:sheetViews>
    <s:sheetView tabSelected="0" workbookViewId="0"/>
  </s:sheetViews>
  <s:sheetFormatPr baseColWidth="10" defaultColWidth="10" defaultRowHeight="15"/>
  <s:sheetData>
    <s:row r="1" ht="36">
      <s:c r="B1" s="3">
        <s:f ca="1">TODAY()-1</s:f>
        <s:v>46171</s:v>
      </s:c>
      <s:c r="C1" s="3"/>
      <s:c r="D1" s="4"/>
      <s:c r="E1" s="4"/>
      <s:c r="F1" s="5"/>
      <s:c r="G1" s="5"/>
      <s:c r="H1" s="5"/>
      <s:c r="I1" s="5"/>
      <s:c r="J1" s="6"/>
      <s:c r="K1" s="6"/>
      <s:c r="L1" s="6"/>
      <s:c r="M1" s="6"/>
      <s:c r="N1" s="6"/>
      <s:c r="O1" s="6"/>
      <s:c r="P1" s="6"/>
      <s:c r="Q1" s="6"/>
      <s:c r="R1" s="6"/>
      <s:c r="S1" s="6"/>
      <s:c r="T1" s="6"/>
      <s:c r="U1" s="7"/>
      <s:c r="V1" s="7"/>
      <s:c r="W1" s="7"/>
      <s:c r="X1" s="7"/>
      <s:c r="Y1" s="5"/>
      <s:c r="Z1" s="5"/>
      <s:c r="AA1" s="5"/>
    </s:row>
    <s:row r="2" ht="36">
      <s:c r="B2" s="8" t="s">
        <s:v>89</s:v>
      </s:c>
      <s:c r="C2" s="8"/>
      <s:c r="D2" s="4"/>
      <s:c r="E2" s="4"/>
      <s:c r="F2" s="5"/>
      <s:c r="G2" s="5"/>
      <s:c r="H2" s="5"/>
      <s:c r="I2" s="5"/>
      <s:c r="J2" s="783" t="s">
        <s:v>1</s:v>
      </s:c>
      <s:c r="K2" s="783"/>
      <s:c r="L2" s="783"/>
      <s:c r="M2" s="783"/>
      <s:c r="N2" s="783"/>
      <s:c r="O2" s="783"/>
      <s:c r="P2" s="783"/>
      <s:c r="Q2" s="783"/>
      <s:c r="R2" s="783"/>
      <s:c r="S2" s="783"/>
      <s:c r="T2" s="783"/>
      <s:c r="U2" s="7"/>
      <s:c r="V2" s="7"/>
      <s:c r="W2" s="7"/>
      <s:c r="X2" s="7"/>
      <s:c r="Y2" s="5"/>
      <s:c r="Z2" s="5"/>
      <s:c r="AA2" s="5"/>
    </s:row>
    <s:row r="3" ht="51">
      <s:c r="B3" s="10" t="s">
        <s:v>2</s:v>
      </s:c>
      <s:c r="C3" s="4"/>
      <s:c r="D3" s="4"/>
      <s:c r="E3" s="4"/>
      <s:c r="F3" s="5"/>
      <s:c r="G3" s="5"/>
      <s:c r="H3" s="5"/>
      <s:c r="I3" s="5"/>
      <s:c r="J3" s="784" t="str">
        <s:f>График!B28</s:f>
        <s:v>Сейтджелилова Алина</s:v>
      </s:c>
      <s:c r="K3" s="784"/>
      <s:c r="L3" s="784"/>
      <s:c r="M3" s="784"/>
      <s:c r="N3" s="784"/>
      <s:c r="O3" s="784"/>
      <s:c r="P3" s="784"/>
      <s:c r="Q3" s="784"/>
      <s:c r="R3" s="784"/>
      <s:c r="S3" s="6"/>
      <s:c r="T3" s="14"/>
      <s:c r="U3" s="7"/>
      <s:c r="V3" s="7"/>
      <s:c r="W3" s="7"/>
      <s:c r="X3" s="7"/>
      <s:c r="Y3" s="5"/>
      <s:c r="Z3" s="5"/>
      <s:c r="AA3" s="5"/>
    </s:row>
    <s:row r="4" ht="36">
      <s:c r="B4" s="4"/>
      <s:c r="C4" s="308">
        <s:f>I8-D50</s:f>
        <s:v>570726.12413793115</s:v>
      </s:c>
      <s:c r="D4" s="308"/>
      <s:c r="E4" s="309">
        <s:f>IF(I8&lt;&gt;0,C4/I8,0)</s:f>
        <s:v>1</s:v>
      </s:c>
      <s:c r="F4" s="5"/>
      <s:c r="G4" s="5"/>
      <s:c r="H4" s="5"/>
      <s:c r="I4" s="5"/>
      <s:c r="J4" s="784"/>
      <s:c r="K4" s="784"/>
      <s:c r="L4" s="784"/>
      <s:c r="M4" s="784"/>
      <s:c r="N4" s="784"/>
      <s:c r="O4" s="784"/>
      <s:c r="P4" s="784"/>
      <s:c r="Q4" s="784"/>
      <s:c r="R4" s="784"/>
      <s:c r="S4" s="5"/>
      <s:c r="T4" s="5"/>
      <s:c r="U4" s="7"/>
      <s:c r="V4" s="7"/>
      <s:c r="W4" s="7"/>
      <s:c r="X4" s="7"/>
      <s:c r="Y4" s="5"/>
      <s:c r="Z4" s="5"/>
      <s:c r="AA4" s="5"/>
    </s:row>
    <s:row r="5">
      <s:c r="B5" s="5"/>
      <s:c r="C5" s="5"/>
      <s:c r="D5" s="5"/>
      <s:c r="E5" s="5"/>
      <s:c r="F5" s="5"/>
      <s:c r="G5" s="5"/>
      <s:c r="H5" s="5"/>
      <s:c r="I5" s="5"/>
      <s:c r="J5" s="21"/>
      <s:c r="K5" s="21"/>
      <s:c r="L5" s="21"/>
      <s:c r="M5" s="21"/>
      <s:c r="N5" s="21"/>
      <s:c r="O5" s="21"/>
      <s:c r="P5" s="21"/>
      <s:c r="Q5" s="21"/>
      <s:c r="R5" s="21"/>
      <s:c r="S5" s="5"/>
      <s:c r="T5" s="28"/>
      <s:c r="U5" s="5"/>
      <s:c r="V5" s="5"/>
      <s:c r="W5" s="5"/>
      <s:c r="X5" s="5"/>
      <s:c r="Y5" s="5"/>
      <s:c r="Z5" s="5"/>
      <s:c r="AA5" s="5"/>
    </s:row>
    <s:row r="6" ht="16">
      <s:c r="B6" s="23"/>
      <s:c r="C6" s="5"/>
      <s:c r="D6" s="5"/>
      <s:c r="E6" s="5"/>
      <s:c r="F6" s="25" t="s">
        <s:v>4</s:v>
      </s:c>
      <s:c r="G6" s="26"/>
      <s:c r="H6" s="26"/>
      <s:c r="I6" s="26"/>
      <s:c r="J6" s="26"/>
      <s:c r="K6" s="26"/>
      <s:c r="L6" s="26"/>
      <s:c r="M6" s="26"/>
      <s:c r="N6" s="26"/>
      <s:c r="O6" s="26"/>
      <s:c r="P6" s="26"/>
      <s:c r="Q6" s="26"/>
      <s:c r="R6" s="26"/>
      <s:c r="S6" s="5"/>
      <s:c r="T6" s="28"/>
      <s:c r="U6" s="5"/>
      <s:c r="V6" s="28"/>
      <s:c r="W6" s="28"/>
      <s:c r="X6" s="5"/>
      <s:c r="Y6" s="5"/>
      <s:c r="Z6" s="5"/>
      <s:c r="AA6" s="5"/>
    </s:row>
    <s:row r="7" ht="60">
      <s:c r="B7" s="23"/>
      <s:c r="C7" s="5"/>
      <s:c r="D7" s="5"/>
      <s:c r="E7" s="29"/>
      <s:c r="F7" s="313" t="s">
        <s:v>5</s:v>
      </s:c>
      <s:c r="G7" s="313"/>
      <s:c r="H7" s="313"/>
      <s:c r="I7" s="31" t="s">
        <s:v>6</s:v>
      </s:c>
      <s:c r="J7" s="32" t="s">
        <s:v>7</s:v>
      </s:c>
      <s:c r="K7" s="33" t="s">
        <s:v>8</s:v>
      </s:c>
      <s:c r="L7" s="34" t="s">
        <s:v>9</s:v>
      </s:c>
      <s:c r="M7" s="34" t="s">
        <s:v>10</s:v>
      </s:c>
      <s:c r="N7" s="785" t="s">
        <s:v>11</s:v>
      </s:c>
      <s:c r="O7" s="785" t="s">
        <s:v>12</s:v>
      </s:c>
      <s:c r="P7" s="786" t="s">
        <s:v>13</s:v>
      </s:c>
      <s:c r="Q7" s="786"/>
      <s:c r="R7" s="786"/>
      <s:c r="S7" s="5"/>
      <s:c r="T7" s="28"/>
      <s:c r="U7" s="5"/>
      <s:c r="V7" s="5"/>
      <s:c r="W7" s="5"/>
      <s:c r="X7" s="5"/>
      <s:c r="Y7" s="5"/>
      <s:c r="Z7" s="5"/>
      <s:c r="AA7" s="5"/>
    </s:row>
    <s:row r="8">
      <s:c r="B8" s="23"/>
      <s:c r="C8" s="5"/>
      <s:c r="D8" s="5"/>
      <s:c r="E8" s="5"/>
      <s:c r="F8" s="59" t="s">
        <s:v>14</s:v>
      </s:c>
      <s:c r="G8" s="59"/>
      <s:c r="H8" s="59"/>
      <s:c r="I8" s="314">
        <s:f>Центрум!I8/График!AJ29*График!AJ28</s:f>
        <s:v>570726.12413793115</s:v>
      </s:c>
      <s:c r="J8" s="41">
        <s:f>D50</s:f>
        <s:v>0</s:v>
      </s:c>
      <s:c r="K8" s="315">
        <s:f>IF(AND(I8&lt;&gt;"",I8&lt;&gt;0,J8&lt;&gt;""),J8/I8,"")</s:f>
        <s:v>0</s:v>
      </s:c>
      <s:c r="L8" s="43">
        <s:f>IF(SUMIF($D$25:$D$49,"&gt;=0",$T$25:$T$49)&lt;&gt;0,I8*D50/SUMIF($D$25:$D$49,"&gt;=0",$T$25:$T$49),0)</s:f>
        <s:v>0</s:v>
      </s:c>
      <s:c r="M8" s="316">
        <s:f>L8/I8</s:f>
        <s:v>0</s:v>
      </s:c>
      <s:c r="N8" s="787" t="str">
        <s:f>IF(AND(J8&lt;&gt;0,J8&lt;&gt;"",I8&lt;&gt;0,I8&lt;&gt;""),L8-I8,"")</s:f>
        <s:v/>
      </s:c>
      <s:c r="O8" s="788"/>
      <s:c r="P8" s="787" t="str">
        <s:f>IF(AND(O8&lt;&gt;"",O8&lt;&gt;0,L8&lt;&gt;"",L8&lt;&gt;0),-O8+L8,"")</s:f>
        <s:v/>
      </s:c>
      <s:c r="Q8" s="48" t="str">
        <s:f>IF(AND(P8&lt;&gt;"",P8&lt;&gt;0,O8&lt;&gt;0,O8&lt;&gt;""),P8/O8,"")</s:f>
        <s:v/>
      </s:c>
      <s:c r="R8" s="28"/>
      <s:c r="S8" s="28"/>
      <s:c r="T8" s="5"/>
      <s:c r="U8" s="5"/>
      <s:c r="V8" s="5"/>
      <s:c r="W8" s="5"/>
      <s:c r="X8" s="5"/>
      <s:c r="Y8" s="5"/>
      <s:c r="Z8" s="5"/>
    </s:row>
    <s:row r="9">
      <s:c r="B9" s="23"/>
      <s:c r="C9" s="5"/>
      <s:c r="D9" s="5"/>
      <s:c r="E9" s="5"/>
      <s:c r="F9" s="49" t="s">
        <s:v>15</s:v>
      </s:c>
      <s:c r="G9" s="49"/>
      <s:c r="H9" s="49"/>
      <s:c r="I9" s="50">
        <s:f>I8/I11</s:f>
        <s:v>78.612413793103471</s:v>
      </s:c>
      <s:c r="J9" s="51">
        <s:f>E50</s:f>
        <s:v>0</s:v>
      </s:c>
      <s:c r="K9" s="317">
        <s:f>IF(AND(I9&lt;&gt;"",I9&lt;&gt;0,J9&lt;&gt;""),J9/I9,"")</s:f>
        <s:v>0</s:v>
      </s:c>
      <s:c r="L9" s="79">
        <s:f>IF(SUMIF($E$25:$E$49,"&gt;=0",$U$25:$U$49)&lt;&gt;0,I9*E50/SUMIF($E$25:$E$49,"&gt;=0",$U$25:$U$49),0)</s:f>
        <s:v>0</s:v>
      </s:c>
      <s:c r="M9" s="318" t="str">
        <s:f>IF(AND(I9&lt;&gt;"",I9&lt;&gt;0,L9&lt;&gt;"",L9&lt;&gt;0),L9/I9,"")</s:f>
        <s:v/>
      </s:c>
      <s:c r="N9" s="789" t="str">
        <s:f>IF(AND(J9&lt;&gt;0,J9&lt;&gt;"",I9&lt;&gt;0,I9&lt;&gt;""),L9-I9,"")</s:f>
        <s:v/>
      </s:c>
      <s:c r="O9" s="790" t="e">
        <s:f>O8/O11</s:f>
        <s:v>#DIV/0!</s:v>
      </s:c>
      <s:c r="P9" s="789" t="e">
        <s:f>IF(AND(O9&lt;&gt;"",O9&lt;&gt;0,L9&lt;&gt;"",L9&lt;&gt;0),-O9+L9,"")</s:f>
        <s:v>#DIV/0!</s:v>
      </s:c>
      <s:c r="Q9" s="58" t="e">
        <s:f>IF(AND(P9&lt;&gt;"",P9&lt;&gt;0,O9&lt;&gt;0,O9&lt;&gt;""),P9/O9,"")</s:f>
        <s:v>#DIV/0!</s:v>
      </s:c>
      <s:c r="R9" s="28"/>
      <s:c r="S9" s="28"/>
      <s:c r="T9" s="5"/>
      <s:c r="U9" s="5"/>
      <s:c r="V9" s="5"/>
      <s:c r="W9" s="5"/>
      <s:c r="X9" s="5"/>
      <s:c r="Y9" s="5"/>
      <s:c r="Z9" s="5"/>
    </s:row>
    <s:row r="10">
      <s:c r="B10" s="23"/>
      <s:c r="C10" s="5"/>
      <s:c r="D10" s="5"/>
      <s:c r="E10" s="5"/>
      <s:c r="F10" s="59" t="s">
        <s:v>16</s:v>
      </s:c>
      <s:c r="G10" s="59"/>
      <s:c r="H10" s="59"/>
      <s:c r="I10" s="60">
        <s:f>I11*I12</s:f>
        <s:v>13358.400000000001</s:v>
      </s:c>
      <s:c r="J10" s="61" t="str">
        <s:f>H50</s:f>
        <s:v/>
      </s:c>
      <s:c r="K10" s="319" t="str">
        <s:f>IF(AND(I10&lt;&gt;"",I10&lt;&gt;0,J10&lt;&gt;""),J10/I10,"")</s:f>
        <s:v/>
      </s:c>
      <s:c r="L10" s="79" t="str">
        <s:f>J10</s:f>
        <s:v/>
      </s:c>
      <s:c r="M10" s="320" t="str">
        <s:f>IF(AND(I10&lt;&gt;"",I10&lt;&gt;0,L10&lt;&gt;"",L10&lt;&gt;0),L10/I10,"")</s:f>
        <s:v/>
      </s:c>
      <s:c r="N10" s="791" t="str">
        <s:f>IF(AND(J10&lt;&gt;0,J10&lt;&gt;"",I10&lt;&gt;0,I10&lt;&gt;""),L10-I10,"")</s:f>
        <s:v/>
      </s:c>
      <s:c r="O10" s="60">
        <s:f>O11*O12</s:f>
        <s:v>0</s:v>
      </s:c>
      <s:c r="P10" s="791" t="str">
        <s:f>IF(AND(O10&lt;&gt;"",O10&lt;&gt;0,L10&lt;&gt;"",L10&lt;&gt;0),-O10+L10,"")</s:f>
        <s:v/>
      </s:c>
      <s:c r="Q10" s="67" t="str">
        <s:f>IF(AND(P10&lt;&gt;"",P10&lt;&gt;0,O10&lt;&gt;0,O10&lt;&gt;""),P10/O10,"")</s:f>
        <s:v/>
      </s:c>
      <s:c r="R10" s="28"/>
      <s:c r="S10" s="28"/>
      <s:c r="T10" s="5"/>
      <s:c r="U10" s="5"/>
      <s:c r="V10" s="5"/>
      <s:c r="W10" s="5"/>
      <s:c r="X10" s="5"/>
      <s:c r="Y10" s="5"/>
      <s:c r="Z10" s="5"/>
    </s:row>
    <s:row r="11">
      <s:c r="B11" s="23"/>
      <s:c r="C11" s="5"/>
      <s:c r="D11" s="5"/>
      <s:c r="E11" s="5"/>
      <s:c r="F11" s="49" t="s">
        <s:v>17</s:v>
      </s:c>
      <s:c r="G11" s="49"/>
      <s:c r="H11" s="49"/>
      <s:c r="I11" s="68">
        <s:f>Центрум!I11</s:f>
        <s:v>7260</s:v>
      </s:c>
      <s:c r="J11" s="51" t="str">
        <s:f>F50</s:f>
        <s:v/>
      </s:c>
      <s:c r="K11" s="317" t="str">
        <s:f>IF(AND(I11&lt;&gt;"",I11&lt;&gt;0,J11&lt;&gt;""),J11/I11,"")</s:f>
        <s:v/>
      </s:c>
      <s:c r="L11" s="79" t="str">
        <s:f>J11</s:f>
        <s:v/>
      </s:c>
      <s:c r="M11" s="318" t="str">
        <s:f>IF(AND(I11&lt;&gt;"",I11&lt;&gt;0,L11&lt;&gt;"",L11&lt;&gt;0),L11/I11,"")</s:f>
        <s:v/>
      </s:c>
      <s:c r="N11" s="789" t="str">
        <s:f>IF(AND(J11&lt;&gt;0,J11&lt;&gt;"",I11&lt;&gt;0,I11&lt;&gt;""),L11-I11,"")</s:f>
        <s:v/>
      </s:c>
      <s:c r="O11" s="792"/>
      <s:c r="P11" s="789" t="str">
        <s:f>IF(AND(O11&lt;&gt;"",O11&lt;&gt;0,L11&lt;&gt;"",L11&lt;&gt;0),-O11+L11,"")</s:f>
        <s:v/>
      </s:c>
      <s:c r="Q11" s="58" t="str">
        <s:f>IF(AND(P11&lt;&gt;"",P11&lt;&gt;0,O11&lt;&gt;0,O11&lt;&gt;""),P11/O11,"")</s:f>
        <s:v/>
      </s:c>
      <s:c r="R11" s="28"/>
      <s:c r="S11" s="5"/>
      <s:c r="T11" s="5"/>
      <s:c r="U11" s="5"/>
      <s:c r="V11" s="5"/>
      <s:c r="W11" s="5"/>
      <s:c r="X11" s="5"/>
      <s:c r="Y11" s="5"/>
      <s:c r="Z11" s="5"/>
    </s:row>
    <s:row r="12">
      <s:c r="B12" s="23"/>
      <s:c r="C12" s="5"/>
      <s:c r="D12" s="5"/>
      <s:c r="E12" s="5"/>
      <s:c r="F12" s="49" t="s">
        <s:v>18</s:v>
      </s:c>
      <s:c r="G12" s="49"/>
      <s:c r="H12" s="49"/>
      <s:c r="I12" s="70">
        <s:f>Центрум!I12</s:f>
        <s:v>1.84</s:v>
      </s:c>
      <s:c r="J12" s="71" t="str">
        <s:f>J50</s:f>
        <s:v/>
      </s:c>
      <s:c r="K12" s="317" t="str">
        <s:f>IF(AND(I12&lt;&gt;"",I12&lt;&gt;0,J12&lt;&gt;""),J12/I12,"")</s:f>
        <s:v/>
      </s:c>
      <s:c r="L12" s="79" t="str">
        <s:f>J12</s:f>
        <s:v/>
      </s:c>
      <s:c r="M12" s="318" t="str">
        <s:f>IF(AND(I12&lt;&gt;"",I12&lt;&gt;0,L12&lt;&gt;"",L12&lt;&gt;0),L12/I12,"")</s:f>
        <s:v/>
      </s:c>
      <s:c r="N12" s="793" t="str">
        <s:f>IF(AND(J12&lt;&gt;0,J12&lt;&gt;"",I12&lt;&gt;0,I12&lt;&gt;""),L12-I12,"")</s:f>
        <s:v/>
      </s:c>
      <s:c r="O12" s="794"/>
      <s:c r="P12" s="789" t="str">
        <s:f>IF(AND(O12&lt;&gt;"",O12&lt;&gt;0,L12&lt;&gt;"",L12&lt;&gt;0),-O12+L12,"")</s:f>
        <s:v/>
      </s:c>
      <s:c r="Q12" s="58" t="str">
        <s:f>IF(AND(P12&lt;&gt;"",P12&lt;&gt;0,O12&lt;&gt;0,O12&lt;&gt;""),P12/O12,"")</s:f>
        <s:v/>
      </s:c>
      <s:c r="R12" s="28"/>
      <s:c r="S12" s="5"/>
      <s:c r="T12" s="5"/>
      <s:c r="U12" s="5"/>
      <s:c r="V12" s="5"/>
      <s:c r="W12" s="5"/>
      <s:c r="X12" s="5"/>
      <s:c r="Y12" s="5"/>
      <s:c r="Z12" s="5"/>
    </s:row>
    <s:row r="13">
      <s:c r="B13" s="23"/>
      <s:c r="C13" s="5"/>
      <s:c r="D13" s="5"/>
      <s:c r="E13" s="5"/>
      <s:c r="F13" s="49" t="s">
        <s:v>19</s:v>
      </s:c>
      <s:c r="G13" s="49"/>
      <s:c r="H13" s="49"/>
      <s:c r="I13" s="50">
        <s:f>IF(I12&lt;&gt;0,I9/I12,"")</s:f>
        <s:v>42.724137931034491</s:v>
      </s:c>
      <s:c r="J13" s="51">
        <s:f>G50</s:f>
        <s:v>0</s:v>
      </s:c>
      <s:c r="K13" s="317">
        <s:f>IF(AND(I13&lt;&gt;"",I13&lt;&gt;0,J13&lt;&gt;""),J13/I13,"")</s:f>
        <s:v>0</s:v>
      </s:c>
      <s:c r="L13" s="79" t="str">
        <s:f>IF(SUMIF($G$25:$G$49,"&gt;=0",$V$25:$V$49)&lt;&gt;0,I13*G50/SUMIF($G$25:$G$49,"&gt;=0",$V$25:$V$49),"")</s:f>
        <s:v/>
      </s:c>
      <s:c r="M13" s="318" t="str">
        <s:f>IF(AND(I13&lt;&gt;"",I13&lt;&gt;0,L13&lt;&gt;"",L13&lt;&gt;0),L13/I13,"")</s:f>
        <s:v/>
      </s:c>
      <s:c r="N13" s="793" t="str">
        <s:f>IF(AND(J13&lt;&gt;0,J13&lt;&gt;"",I13&lt;&gt;0,I13&lt;&gt;""),L13-I13,"")</s:f>
        <s:v/>
      </s:c>
      <s:c r="O13" s="795"/>
      <s:c r="P13" s="789" t="str">
        <s:f>IF(AND(O13&lt;&gt;"",O13&lt;&gt;0,L13&lt;&gt;"",L13&lt;&gt;0),-O13+L13,"")</s:f>
        <s:v/>
      </s:c>
      <s:c r="Q13" s="58" t="str">
        <s:f>IF(AND(P13&lt;&gt;"",P13&lt;&gt;0,O13&lt;&gt;0,O13&lt;&gt;""),P13/O13,"")</s:f>
        <s:v/>
      </s:c>
      <s:c r="R13" s="28"/>
      <s:c r="S13" s="5"/>
      <s:c r="T13" s="5"/>
      <s:c r="U13" s="5"/>
      <s:c r="V13" s="5"/>
      <s:c r="W13" s="5"/>
      <s:c r="X13" s="5"/>
      <s:c r="Y13" s="5"/>
      <s:c r="Z13" s="5"/>
    </s:row>
    <s:row r="14">
      <s:c r="B14" s="23"/>
      <s:c r="C14" s="5"/>
      <s:c r="D14" s="5"/>
      <s:c r="E14" s="5"/>
      <s:c r="F14" s="49" t="s">
        <s:v>85</s:v>
      </s:c>
      <s:c r="G14" s="49"/>
      <s:c r="H14" s="49"/>
      <s:c r="I14" s="68">
        <s:f>График!AI28</s:f>
        <s:v>20</s:v>
      </s:c>
      <s:c r="J14" s="76">
        <s:v>5</s:v>
      </s:c>
      <s:c r="K14" s="317">
        <s:f>IF(AND(I14&lt;&gt;"",I14&lt;&gt;0,J14&lt;&gt;""),J14/I14,"")</s:f>
        <s:v>0.25</s:v>
      </s:c>
      <s:c r="L14" s="79" t="str">
        <s:f>IF(SUMIF($D$25:$D$49,"&gt;=0",$T$25:$T$49),I50*I8/SUMIF($D$25:$D$49,"&gt;=0",$T$25:$T$49),"")</s:f>
        <s:v/>
      </s:c>
      <s:c r="M14" s="318"/>
      <s:c r="N14" s="789" t="e">
        <s:f>IF(AND(J14&lt;&gt;0,J14&lt;&gt;"",I14&lt;&gt;0,I14&lt;&gt;""),L14-I14,"")</s:f>
        <s:v>#VALUE!</s:v>
      </s:c>
      <s:c r="O14" s="795"/>
      <s:c r="P14" s="789" t="str">
        <s:f>IF(AND(O14&lt;&gt;"",O14&lt;&gt;0,L14&lt;&gt;"",L14&lt;&gt;0),-O14+L14,"")</s:f>
        <s:v/>
      </s:c>
      <s:c r="Q14" s="58" t="str">
        <s:f>IF(AND(P14&lt;&gt;"",P14&lt;&gt;0,O14&lt;&gt;0,O14&lt;&gt;""),P14/O14,"")</s:f>
        <s:v/>
      </s:c>
      <s:c r="R14" s="28"/>
      <s:c r="S14" s="77"/>
      <s:c r="T14" s="5"/>
      <s:c r="U14" s="5"/>
      <s:c r="V14" s="5"/>
      <s:c r="W14" s="5"/>
      <s:c r="X14" s="5"/>
      <s:c r="Y14" s="5"/>
      <s:c r="Z14" s="5"/>
    </s:row>
    <s:row r="15">
      <s:c r="B15" s="23"/>
      <s:c r="C15" s="5"/>
      <s:c r="D15" s="5"/>
      <s:c r="E15" s="5"/>
      <s:c r="F15" s="49" t="s">
        <s:v>21</s:v>
      </s:c>
      <s:c r="G15" s="49"/>
      <s:c r="H15" s="49"/>
      <s:c r="I15" s="321">
        <s:f>Центрум!I15</s:f>
        <s:v>66792.000000000015</s:v>
      </s:c>
      <s:c r="J15" s="85">
        <s:f>J8/J14</s:f>
        <s:v>0</s:v>
      </s:c>
      <s:c r="K15" s="322">
        <s:f>IF(AND(I15&lt;&gt;"",I15&lt;&gt;0,J15&lt;&gt;""),J15/I15,"")</s:f>
        <s:v>0</s:v>
      </s:c>
      <s:c r="L15" s="86">
        <s:f>J15</s:f>
        <s:v>0</s:v>
      </s:c>
      <s:c r="M15" s="318" t="str">
        <s:f>IF(AND(I15&lt;&gt;"",I15&lt;&gt;0,L15&lt;&gt;"",L15&lt;&gt;0),L15/I15,"")</s:f>
        <s:v/>
      </s:c>
      <s:c r="N15" s="789" t="str">
        <s:f>IF(AND(J15&lt;&gt;0,J15&lt;&gt;"",I15&lt;&gt;0,I15&lt;&gt;""),L15-I15,"")</s:f>
        <s:v/>
      </s:c>
      <s:c r="O15" s="796"/>
      <s:c r="P15" s="789" t="str">
        <s:f>IF(AND(O15&lt;&gt;"",O15&lt;&gt;0,L15&lt;&gt;"",L15&lt;&gt;0),-O15+L15,"")</s:f>
        <s:v/>
      </s:c>
      <s:c r="Q15" s="58" t="str">
        <s:f>IF(AND(P15&lt;&gt;"",P15&lt;&gt;0,O15&lt;&gt;0,O15&lt;&gt;""),P15/O15,"")</s:f>
        <s:v/>
      </s:c>
      <s:c r="R15" s="28"/>
      <s:c r="S15" s="28"/>
      <s:c r="T15" s="5"/>
      <s:c r="U15" s="5"/>
      <s:c r="V15" s="5"/>
      <s:c r="W15" s="5"/>
      <s:c r="X15" s="5"/>
      <s:c r="Y15" s="5"/>
      <s:c r="Z15" s="5"/>
    </s:row>
    <s:row r="16" ht="24">
      <s:c r="B16" s="23"/>
      <s:c r="C16" s="5"/>
      <s:c r="D16" s="5"/>
      <s:c r="E16" s="5"/>
      <s:c r="F16" s="49" t="s">
        <s:v>22</s:v>
      </s:c>
      <s:c r="G16" s="49"/>
      <s:c r="H16" s="49"/>
      <s:c r="I16" s="321"/>
      <s:c r="J16" s="85">
        <s:f>J8-I15*J14</s:f>
        <s:v>-333960.00000000006</s:v>
      </s:c>
      <s:c r="K16" s="322" t="str">
        <s:f>IF(AND(I16&lt;&gt;"",I16&lt;&gt;0,J16&lt;&gt;""),J16/I16,"")</s:f>
        <s:v/>
      </s:c>
      <s:c r="L16" s="86">
        <s:f>J16</s:f>
        <s:v>-333960.00000000006</s:v>
      </s:c>
      <s:c r="M16" s="323" t="str">
        <s:f>IF(AND(I16&lt;&gt;"",I16&lt;&gt;0,L16&lt;&gt;"",L16&lt;&gt;0),L16/I16,"")</s:f>
        <s:v/>
      </s:c>
      <s:c r="N16" s="789" t="str">
        <s:f>IF(AND(J16&lt;&gt;0,J16&lt;&gt;"",I16&lt;&gt;0,I16&lt;&gt;""),L16-I16,"")</s:f>
        <s:v/>
      </s:c>
      <s:c r="O16" s="796"/>
      <s:c r="P16" s="789" t="str">
        <s:f>IF(AND(O16&lt;&gt;"",O16&lt;&gt;0,L16&lt;&gt;"",L16&lt;&gt;0),-O16+L16,"")</s:f>
        <s:v/>
      </s:c>
      <s:c r="Q16" s="58" t="str">
        <s:f>IF(AND(P16&lt;&gt;"",P16&lt;&gt;0,O16&lt;&gt;0,O16&lt;&gt;""),P16/O16,"")</s:f>
        <s:v/>
      </s:c>
      <s:c r="R16" s="28"/>
      <s:c r="S16" s="324" t="s">
        <s:v>23</s:v>
      </s:c>
      <s:c r="T16" s="5"/>
      <s:c r="U16" s="5"/>
      <s:c r="V16" s="5"/>
      <s:c r="W16" s="5"/>
      <s:c r="X16" s="5"/>
      <s:c r="Y16" s="5"/>
      <s:c r="Z16" s="5"/>
    </s:row>
    <s:row r="17">
      <s:c r="B17" s="23"/>
      <s:c r="C17" s="5"/>
      <s:c r="D17" s="5"/>
      <s:c r="E17" s="5"/>
      <s:c r="F17" s="49" t="s">
        <s:v>24</s:v>
      </s:c>
      <s:c r="G17" s="49"/>
      <s:c r="H17" s="49"/>
      <s:c r="I17" s="321">
        <s:f>Центрум!I17/График!AJ29*График!AJ28</s:f>
        <s:v>427.24137931034483</s:v>
      </s:c>
      <s:c r="J17" s="85">
        <s:f>I50</s:f>
        <s:v>0</s:v>
      </s:c>
      <s:c r="K17" s="322">
        <s:f>IF(AND(I17&lt;&gt;"",I17&lt;&gt;0,J17&lt;&gt;""),J17/I17,"")</s:f>
        <s:v>0</s:v>
      </s:c>
      <s:c r="L17" s="86">
        <s:f>J17/J14*I14</s:f>
        <s:v>0</s:v>
      </s:c>
      <s:c r="M17" s="323" t="str">
        <s:f>IF(AND(I17&lt;&gt;"",I17&lt;&gt;0,L17&lt;&gt;"",L17&lt;&gt;0),L17/I17,"")</s:f>
        <s:v/>
      </s:c>
      <s:c r="N17" s="789" t="str">
        <s:f>IF(AND(J17&lt;&gt;0,J17&lt;&gt;"",I17&lt;&gt;0,I17&lt;&gt;""),L17-I17,"")</s:f>
        <s:v/>
      </s:c>
      <s:c r="O17" s="796"/>
      <s:c r="P17" s="789" t="str">
        <s:f>IF(AND(O17&lt;&gt;"",O17&lt;&gt;0,L17&lt;&gt;"",L17&lt;&gt;0),-O17+L17,"")</s:f>
        <s:v/>
      </s:c>
      <s:c r="Q17" s="58" t="str">
        <s:f>IF(AND(P17&lt;&gt;"",P17&lt;&gt;0,O17&lt;&gt;0,O17&lt;&gt;""),P17/O17,"")</s:f>
        <s:v/>
      </s:c>
      <s:c r="R17" s="28"/>
      <s:c r="S17" s="324"/>
      <s:c r="T17" s="5"/>
      <s:c r="U17" s="5"/>
      <s:c r="V17" s="5"/>
      <s:c r="W17" s="5"/>
      <s:c r="X17" s="5"/>
      <s:c r="Y17" s="5"/>
      <s:c r="Z17" s="5"/>
    </s:row>
    <s:row r="18">
      <s:c r="B18" s="23"/>
      <s:c r="C18" s="5"/>
      <s:c r="D18" s="5"/>
      <s:c r="E18" s="5"/>
      <s:c r="F18" s="49"/>
      <s:c r="G18" s="49"/>
      <s:c r="H18" s="49"/>
      <s:c r="I18" s="84"/>
      <s:c r="J18" s="85"/>
      <s:c r="K18" s="322" t="str">
        <s:f>IF(AND(I18&lt;&gt;"",I18&lt;&gt;0,J18&lt;&gt;""),J18/I18,"")</s:f>
        <s:v/>
      </s:c>
      <s:c r="L18" s="86">
        <s:f>J18</s:f>
        <s:v>0</s:v>
      </s:c>
      <s:c r="M18" s="323" t="str">
        <s:f>IF(AND(I18&lt;&gt;"",I18&lt;&gt;0,L18&lt;&gt;"",L18&lt;&gt;0),L18/I18,"")</s:f>
        <s:v/>
      </s:c>
      <s:c r="N18" s="789" t="str">
        <s:f>IF(AND(J18&lt;&gt;0,J18&lt;&gt;"",I18&lt;&gt;0,I18&lt;&gt;""),L18-I18,"")</s:f>
        <s:v/>
      </s:c>
      <s:c r="O18" s="797">
        <s:v>0</s:v>
      </s:c>
      <s:c r="P18" s="789" t="str">
        <s:f>IF(AND(O18&lt;&gt;"",O18&lt;&gt;0,L18&lt;&gt;"",L18&lt;&gt;0),-O18+L18,"")</s:f>
        <s:v/>
      </s:c>
      <s:c r="Q18" s="58" t="str">
        <s:f>IF(AND(P18&lt;&gt;"",P18&lt;&gt;0,O18&lt;&gt;0,O18&lt;&gt;""),P18/O18,"")</s:f>
        <s:v/>
      </s:c>
      <s:c r="R18" s="28"/>
      <s:c r="S18" s="83"/>
      <s:c r="T18" s="5"/>
      <s:c r="U18" s="5"/>
      <s:c r="V18" s="5"/>
      <s:c r="W18" s="5"/>
      <s:c r="X18" s="5"/>
      <s:c r="Y18" s="5"/>
      <s:c r="Z18" s="5"/>
    </s:row>
    <s:row r="19">
      <s:c r="B19" s="23"/>
      <s:c r="C19" s="5"/>
      <s:c r="D19" s="5"/>
      <s:c r="E19" s="5"/>
      <s:c r="F19" s="49"/>
      <s:c r="G19" s="49"/>
      <s:c r="H19" s="49"/>
      <s:c r="I19" s="84"/>
      <s:c r="J19" s="85">
        <s:f>P50</s:f>
        <s:v>0</s:v>
      </s:c>
      <s:c r="K19" s="322" t="str">
        <s:f>IF(AND(I19&lt;&gt;"",I19&lt;&gt;0,J19&lt;&gt;""),J19/I19,"")</s:f>
        <s:v/>
      </s:c>
      <s:c r="L19" s="86">
        <s:f>J19</s:f>
        <s:v>0</s:v>
      </s:c>
      <s:c r="M19" s="323" t="str">
        <s:f>IF(AND(I19&lt;&gt;"",I19&lt;&gt;0,L19&lt;&gt;"",L19&lt;&gt;0),L19/I19,"")</s:f>
        <s:v/>
      </s:c>
      <s:c r="N19" s="789" t="str">
        <s:f>IF(AND(J19&lt;&gt;0,J19&lt;&gt;"",I19&lt;&gt;0,I19&lt;&gt;""),L19-I19,"")</s:f>
        <s:v/>
      </s:c>
      <s:c r="O19" s="796">
        <s:v>0</s:v>
      </s:c>
      <s:c r="P19" s="789" t="str">
        <s:f>IF(AND(O19&lt;&gt;"",O19&lt;&gt;0,L19&lt;&gt;"",L19&lt;&gt;0),-O19+L19,"")</s:f>
        <s:v/>
      </s:c>
      <s:c r="Q19" s="58" t="str">
        <s:f>IF(AND(P19&lt;&gt;"",P19&lt;&gt;0,O19&lt;&gt;0,O19&lt;&gt;""),P19/O19,"")</s:f>
        <s:v/>
      </s:c>
      <s:c r="R19" s="28"/>
      <s:c r="S19" s="52" t="e">
        <s:f>S18/I16</s:f>
        <s:v>#DIV/0!</s:v>
      </s:c>
      <s:c r="T19" s="5"/>
      <s:c r="U19" s="5"/>
      <s:c r="V19" s="5"/>
      <s:c r="W19" s="5"/>
      <s:c r="X19" s="5"/>
      <s:c r="Y19" s="5"/>
      <s:c r="Z19" s="5"/>
    </s:row>
    <s:row r="20">
      <s:c r="B20" s="23"/>
      <s:c r="C20" s="5"/>
      <s:c r="D20" s="5"/>
      <s:c r="E20" s="5"/>
      <s:c r="F20" s="89" t="s">
        <s:v>90</s:v>
      </s:c>
      <s:c r="G20" s="89"/>
      <s:c r="H20" s="89"/>
      <s:c r="I20" s="326">
        <s:f>Центрум!I20</s:f>
        <s:v>0.1</s:v>
      </s:c>
      <s:c r="J20" s="327" t="str">
        <s:f>R50</s:f>
        <s:v/>
      </s:c>
      <s:c r="K20" s="91" t="e">
        <s:f>J20/I20</s:f>
        <s:v>#VALUE!</s:v>
      </s:c>
      <s:c r="L20" s="92">
        <s:f>IF(AND(K8&lt;&gt;0,I14&lt;&gt;0,I50&lt;&gt;0),(I50*R50+(I50/K8-I50)*I20)/(I50/K8),0)</s:f>
        <s:v>0</s:v>
      </s:c>
      <s:c r="M20" s="328" t="str">
        <s:f>IF(AND(I20&lt;&gt;"",I20&lt;&gt;0,L20&lt;&gt;"",L20&lt;&gt;0),L20/I20,"")</s:f>
        <s:v/>
      </s:c>
      <s:c r="N20" s="798" t="str">
        <s:f>IF(AND(J20&lt;&gt;0,J20&lt;&gt;"",I20&lt;&gt;0,I20&lt;&gt;""),L20-I20,"")</s:f>
        <s:v/>
      </s:c>
      <s:c r="O20" s="799"/>
      <s:c r="P20" s="800" t="str">
        <s:f>IF(AND(O20&lt;&gt;"",O20&lt;&gt;0,L20&lt;&gt;"",L20&lt;&gt;0),-O20+L20,"")</s:f>
        <s:v/>
      </s:c>
      <s:c r="Q20" s="97" t="str">
        <s:f>IF(AND(P20&lt;&gt;"",P20&lt;&gt;0,O20&lt;&gt;0,O20&lt;&gt;""),P20/O20,"")</s:f>
        <s:v/>
      </s:c>
      <s:c r="R20" s="28"/>
      <s:c r="S20" s="28"/>
      <s:c r="T20" s="5"/>
      <s:c r="U20" s="5"/>
      <s:c r="V20" s="5"/>
      <s:c r="W20" s="5"/>
      <s:c r="X20" s="5"/>
      <s:c r="Y20" s="5"/>
      <s:c r="Z20" s="5"/>
    </s:row>
    <s:row r="21">
      <s:c r="B21" s="23"/>
      <s:c r="C21" s="5"/>
      <s:c r="D21" s="5"/>
      <s:c r="E21" s="5"/>
      <s:c r="F21" s="5"/>
      <s:c r="G21" s="5"/>
      <s:c r="H21" s="5"/>
      <s:c r="I21" s="5"/>
      <s:c r="J21" s="5"/>
      <s:c r="K21" s="5"/>
      <s:c r="L21" s="5"/>
      <s:c r="M21" s="5"/>
      <s:c r="N21" s="5"/>
      <s:c r="O21" s="5"/>
      <s:c r="P21" s="5"/>
      <s:c r="Q21" s="5"/>
      <s:c r="R21" s="5"/>
      <s:c r="S21" s="5"/>
      <s:c r="T21" s="5"/>
      <s:c r="U21" s="5"/>
      <s:c r="V21" s="28"/>
      <s:c r="W21" s="28"/>
      <s:c r="X21" s="5"/>
      <s:c r="Y21" s="5"/>
      <s:c r="Z21" s="5"/>
      <s:c r="AA21" s="5"/>
    </s:row>
    <s:row r="22" ht="36">
      <s:c r="B22" s="329" t="s">
        <s:v>26</s:v>
      </s:c>
      <s:c r="C22" s="329"/>
      <s:c r="D22" s="329"/>
      <s:c r="E22" s="329"/>
      <s:c r="F22" s="329"/>
      <s:c r="G22" s="329"/>
      <s:c r="H22" s="329"/>
      <s:c r="I22" s="329"/>
      <s:c r="J22" s="329"/>
      <s:c r="K22" s="329"/>
      <s:c r="L22" s="329"/>
      <s:c r="M22" s="329"/>
      <s:c r="N22" s="329"/>
      <s:c r="O22" s="329"/>
      <s:c r="P22" s="329"/>
      <s:c r="Q22" s="329"/>
      <s:c r="R22" s="329"/>
      <s:c r="S22" s="330" t="s">
        <s:v>47</s:v>
      </s:c>
      <s:c r="T22" s="329" t="s">
        <s:v>27</s:v>
      </s:c>
      <s:c r="U22" s="329"/>
      <s:c r="V22" s="329"/>
      <s:c r="W22" s="329"/>
      <s:c r="X22" s="329"/>
      <s:c r="Y22" s="329"/>
      <s:c r="Z22" s="329"/>
      <s:c r="AA22" s="329"/>
    </s:row>
    <s:row r="23" ht="36">
      <s:c r="B23" s="330" t="s">
        <s:v>29</s:v>
      </s:c>
      <s:c r="C23" s="330" t="s">
        <s:v>30</s:v>
      </s:c>
      <s:c r="D23" s="330" t="s">
        <s:v>31</s:v>
      </s:c>
      <s:c r="E23" s="330" t="s">
        <s:v>32</s:v>
      </s:c>
      <s:c r="F23" s="330" t="s">
        <s:v>33</s:v>
      </s:c>
      <s:c r="G23" s="330" t="s">
        <s:v>34</s:v>
      </s:c>
      <s:c r="H23" s="330" t="s">
        <s:v>35</s:v>
      </s:c>
      <s:c r="I23" s="330" t="s">
        <s:v>24</s:v>
      </s:c>
      <s:c r="J23" s="330" t="s">
        <s:v>36</s:v>
      </s:c>
      <s:c r="K23" s="331" t="s">
        <s:v>37</s:v>
      </s:c>
      <s:c r="L23" s="105" t="s">
        <s:v>38</s:v>
      </s:c>
      <s:c r="M23" s="331" t="s">
        <s:v>39</s:v>
      </s:c>
      <s:c r="N23" s="105" t="s">
        <s:v>40</s:v>
      </s:c>
      <s:c r="O23" s="331" t="s">
        <s:v>41</s:v>
      </s:c>
      <s:c r="P23" s="105" t="s">
        <s:v>42</s:v>
      </s:c>
      <s:c r="Q23" s="105" t="s">
        <s:v>43</s:v>
      </s:c>
      <s:c r="R23" s="330" t="s">
        <s:v>46</s:v>
      </s:c>
      <s:c r="S23" s="330"/>
      <s:c r="T23" s="330" t="s">
        <s:v>48</s:v>
      </s:c>
      <s:c r="U23" s="330" t="s">
        <s:v>49</s:v>
      </s:c>
      <s:c r="V23" s="330" t="s">
        <s:v>50</s:v>
      </s:c>
      <s:c r="W23" s="330" t="s">
        <s:v>51</s:v>
      </s:c>
      <s:c r="X23" s="330" t="s">
        <s:v>52</s:v>
      </s:c>
      <s:c r="Y23" s="330" t="s">
        <s:v>53</s:v>
      </s:c>
      <s:c r="Z23" s="332" t="s">
        <s:v>54</s:v>
      </s:c>
      <s:c r="AA23" s="332" t="s">
        <s:v>55</s:v>
      </s:c>
      <s:c r="AB23" s="190"/>
    </s:row>
    <s:row r="24">
      <s:c r="A24" s="333"/>
      <s:c r="B24" s="334">
        <s:v>1</s:v>
      </s:c>
      <s:c r="C24" s="335">
        <s:v>2</s:v>
      </s:c>
      <s:c r="D24" s="336">
        <s:v>3</s:v>
      </s:c>
      <s:c r="E24" s="336" t="s">
        <s:v>91</s:v>
      </s:c>
      <s:c r="F24" s="335">
        <s:v>5</s:v>
      </s:c>
      <s:c r="G24" s="336">
        <s:v>6</s:v>
      </s:c>
      <s:c r="H24" s="335">
        <s:v>7</s:v>
      </s:c>
      <s:c r="I24" s="336">
        <s:v>8</s:v>
      </s:c>
      <s:c r="J24" s="336">
        <s:v>9</s:v>
      </s:c>
      <s:c r="K24" s="113">
        <s:v>10</s:v>
      </s:c>
      <s:c r="L24" s="113">
        <s:v>11</s:v>
      </s:c>
      <s:c r="M24" s="113">
        <s:v>12</s:v>
      </s:c>
      <s:c r="N24" s="113">
        <s:v>13</s:v>
      </s:c>
      <s:c r="O24" s="113">
        <s:v>14</s:v>
      </s:c>
      <s:c r="P24" s="113">
        <s:v>15</s:v>
      </s:c>
      <s:c r="Q24" s="113"/>
      <s:c r="R24" s="336">
        <s:v>16</s:v>
      </s:c>
      <s:c r="S24" s="330"/>
      <s:c r="T24" s="337">
        <s:v>1</s:v>
      </s:c>
      <s:c r="U24" s="337">
        <s:v>2</s:v>
      </s:c>
      <s:c r="V24" s="337">
        <s:v>3</s:v>
      </s:c>
      <s:c r="W24" s="337">
        <s:v>4</s:v>
      </s:c>
      <s:c r="X24" s="337">
        <s:v>5</s:v>
      </s:c>
      <s:c r="Y24" s="337">
        <s:v>6</s:v>
      </s:c>
      <s:c r="Z24" s="337">
        <s:v>10</s:v>
      </s:c>
      <s:c r="AA24" s="337">
        <s:v>11</s:v>
      </s:c>
    </s:row>
    <s:row r="25">
      <s:c r="A25" s="801">
        <s:v>1</s:v>
      </s:c>
      <s:c r="B25" s="120"/>
      <s:c r="C25" s="121"/>
      <s:c r="D25" s="802"/>
      <s:c r="E25" s="803"/>
      <s:c r="F25" s="123"/>
      <s:c r="G25" s="803"/>
      <s:c r="H25" s="123" t="str">
        <s:f>IF(AND(G25&lt;&gt;"",G25&lt;&gt;0),D25/G25,"")</s:f>
        <s:v/>
      </s:c>
      <s:c r="I25" s="803"/>
      <s:c r="J25" s="124" t="str">
        <s:f>IF(AND(G25&lt;&gt;"",G25&lt;&gt;0),E25/G25,"")</s:f>
        <s:v/>
      </s:c>
      <s:c r="K25" s="125"/>
      <s:c r="L25" s="125"/>
      <s:c r="M25" s="125"/>
      <s:c r="N25" s="125"/>
      <s:c r="O25" s="125"/>
      <s:c r="P25" s="125"/>
      <s:c r="Q25" s="125"/>
      <s:c r="R25" s="804" t="str">
        <s:f>IF(AND(I25&lt;&gt;"",I25&lt;&gt;0),G25/I25,"")</s:f>
        <s:v/>
      </s:c>
      <s:c r="S25" s="805">
        <s:f>D25/T25</s:f>
        <s:v>0</s:v>
      </s:c>
      <s:c r="T25" s="806">
        <s:f>$I$8*Z25*AA25/SUMPRODUCT($AA$25:$AA$57,$Z$25:$Z$57)</s:f>
        <s:v>21192.403694570519</s:v>
      </s:c>
      <s:c r="U25" s="807">
        <s:f>$I$9*Z25*AA25/SUMPRODUCT($AA$25:$AA$57,$Z$25:$Z$57)</s:f>
        <s:v>2.9190638697755538</s:v>
      </s:c>
      <s:c r="V25" s="807">
        <s:f>IF($I$12="","",U25/$I$12)</s:f>
        <s:v>1.5864477553128009</s:v>
      </s:c>
      <s:c r="W25" s="806" t="e">
        <s:f ca="1">IF(AA25&lt;&gt;"",IF(D25&lt;&gt;"",D25,($I$8-SUM($W24:W$25))*Z25*AA25/SUMPRODUCT($AA25:$AA$57,$Z25:$Z$57)),"")</s:f>
        <s:v>#REF!</s:v>
      </s:c>
      <s:c r="X25" s="807" t="e">
        <s:f ca="1">IF(AA25&lt;&gt;"",IF(E25&lt;&gt;"",E25,($I$9-SUM($X24:X$25))*Z25*AA25/SUMPRODUCT($AA25:$AA$57,$Z25:$Z$57)),"")</s:f>
        <s:v>#REF!</s:v>
      </s:c>
      <s:c r="Y25" s="807" t="e">
        <s:f ca="1">IF(AA25&lt;&gt;"",IF($I$12&lt;&gt;"",IF(G25&lt;&gt;"",G25,($I$9/$I$12-SUM($Y24:Y$25))*Z25*AA25/SUMPRODUCT($AA25:$AA$57,$Z25:$Z$57)),""),"")</s:f>
        <s:v>#REF!</s:v>
      </s:c>
      <s:c r="Z25" s="416">
        <s:v>1</s:v>
      </s:c>
      <s:c r="AA25" s="416">
        <s:v>1</s:v>
      </s:c>
      <s:c r="AB25" s="808"/>
      <s:c r="AC25" s="808"/>
      <s:c r="AD25" s="809"/>
      <s:c r="AE25" s="810"/>
      <s:c r="AF25" s="810"/>
      <s:c r="AG25" s="810"/>
      <s:c r="AH25" s="810"/>
      <s:c r="AI25" s="810"/>
      <s:c r="AJ25" s="810"/>
      <s:c r="AK25" s="810"/>
    </s:row>
    <s:row r="26">
      <s:c r="A26" s="811">
        <s:v>2</s:v>
      </s:c>
      <s:c r="B26" s="120"/>
      <s:c r="C26" s="812"/>
      <s:c r="D26" s="802"/>
      <s:c r="E26" s="803"/>
      <s:c r="F26" s="813"/>
      <s:c r="G26" s="803"/>
      <s:c r="H26" s="813" t="str">
        <s:f>IF(AND(G26&lt;&gt;"",G26&lt;&gt;0),D26/G26,"")</s:f>
        <s:v/>
      </s:c>
      <s:c r="I26" s="803"/>
      <s:c r="J26" s="124" t="str">
        <s:f>IF(AND(G26&lt;&gt;"",G26&lt;&gt;0),E26/G26,"")</s:f>
        <s:v/>
      </s:c>
      <s:c r="K26" s="125"/>
      <s:c r="L26" s="125"/>
      <s:c r="M26" s="125"/>
      <s:c r="N26" s="125"/>
      <s:c r="O26" s="125"/>
      <s:c r="P26" s="125"/>
      <s:c r="Q26" s="125"/>
      <s:c r="R26" s="804" t="str">
        <s:f>IF(AND(I26&lt;&gt;"",I26&lt;&gt;0),G26/I26,"")</s:f>
        <s:v/>
      </s:c>
      <s:c r="S26" s="805">
        <s:f>D26/T26</s:f>
        <s:v>0</s:v>
      </s:c>
      <s:c r="T26" s="806">
        <s:f>$I$8*Z26*AA26/SUMPRODUCT($AA$25:$AA$57,$Z$25:$Z$57)</s:f>
        <s:v>15423.483791956034</s:v>
      </s:c>
      <s:c r="U26" s="807">
        <s:f>$I$9*Z26*AA26/SUMPRODUCT($AA$25:$AA$57,$Z$25:$Z$57)</s:f>
        <s:v>2.1244468032997292</s:v>
      </s:c>
      <s:c r="V26" s="807">
        <s:f>IF($I$12="","",U26/$I$12)</s:f>
        <s:v>1.1545906539672441</s:v>
      </s:c>
      <s:c r="W26" s="806" t="e">
        <s:f ca="1">IF(AA26&lt;&gt;"",IF(D26&lt;&gt;"",D26,($I$8-SUM($W$25:W25))*Z26*AA26/SUMPRODUCT($AA26:$AA$57,$Z26:$Z$57)),"")</s:f>
        <s:v>#REF!</s:v>
      </s:c>
      <s:c r="X26" s="807" t="e">
        <s:f ca="1">IF(AA26&lt;&gt;"",IF(E26&lt;&gt;"",E26,($I$9-SUM($X$25:X25))*Z26*AA26/SUMPRODUCT($AA26:$AA$57,$Z26:$Z$57)),"")</s:f>
        <s:v>#REF!</s:v>
      </s:c>
      <s:c r="Y26" s="807" t="e">
        <s:f ca="1">IF(AA26&lt;&gt;"",IF($I$12&lt;&gt;"",IF(G26&lt;&gt;"",G26,($I$9/$I$12-SUM($Y$25:Y25))*Z26*AA26/SUMPRODUCT($AA26:$AA$57,$Z26:$Z$57)),""),"")</s:f>
        <s:v>#REF!</s:v>
      </s:c>
      <s:c r="Z26" s="144">
        <s:v>0.85310233682514103</s:v>
      </s:c>
      <s:c r="AA26" s="144">
        <s:v>0.85310233682514103</s:v>
      </s:c>
      <s:c r="AB26" s="808"/>
      <s:c r="AC26" s="814"/>
      <s:c r="AD26" s="810"/>
      <s:c r="AE26" s="810"/>
      <s:c r="AF26" s="810"/>
      <s:c r="AG26" s="810"/>
      <s:c r="AH26" s="810"/>
      <s:c r="AI26" s="810"/>
      <s:c r="AJ26" s="810"/>
      <s:c r="AK26" s="810"/>
      <s:c r="AL26" s="810"/>
      <s:c r="AM26" s="810"/>
      <s:c r="AN26" s="810"/>
    </s:row>
    <s:row r="27">
      <s:c r="A27" s="801">
        <s:v>3</s:v>
      </s:c>
      <s:c r="B27" s="120"/>
      <s:c r="C27" s="121"/>
      <s:c r="D27" s="802"/>
      <s:c r="E27" s="803"/>
      <s:c r="F27" s="123"/>
      <s:c r="G27" s="803"/>
      <s:c r="H27" s="123" t="str">
        <s:f>IF(AND(G27&lt;&gt;"",G27&lt;&gt;0),D27/G27,"")</s:f>
        <s:v/>
      </s:c>
      <s:c r="I27" s="803"/>
      <s:c r="J27" s="124" t="str">
        <s:f>IF(AND(G27&lt;&gt;"",G27&lt;&gt;0),E27/G27,"")</s:f>
        <s:v/>
      </s:c>
      <s:c r="K27" s="125"/>
      <s:c r="L27" s="125"/>
      <s:c r="M27" s="125"/>
      <s:c r="N27" s="125"/>
      <s:c r="O27" s="125"/>
      <s:c r="P27" s="125"/>
      <s:c r="Q27" s="125"/>
      <s:c r="R27" s="804" t="str">
        <s:f>IF(AND(I27&lt;&gt;"",I27&lt;&gt;0),G27/I27,"")</s:f>
        <s:v/>
      </s:c>
      <s:c r="S27" s="805">
        <s:f>D27/T27</s:f>
        <s:v>0</s:v>
      </s:c>
      <s:c r="T27" s="815">
        <s:v>14138</s:v>
      </s:c>
      <s:c r="U27" s="816">
        <s:v>4</s:v>
      </s:c>
      <s:c r="V27" s="816">
        <s:v>2</s:v>
      </s:c>
      <s:c r="W27" s="815">
        <s:v>16611</s:v>
      </s:c>
      <s:c r="X27" s="816">
        <s:v>3</s:v>
      </s:c>
      <s:c r="Y27" s="816">
        <s:v>3</s:v>
      </s:c>
      <s:c r="Z27" s="817">
        <s:v>0.94</s:v>
      </s:c>
      <s:c r="AA27" s="817">
        <s:v>0.94</s:v>
      </s:c>
      <s:c r="AB27" s="808"/>
      <s:c r="AC27" s="808"/>
      <s:c r="AD27" s="810"/>
      <s:c r="AE27" s="810"/>
      <s:c r="AF27" s="810"/>
      <s:c r="AG27" s="810"/>
      <s:c r="AH27" s="810"/>
      <s:c r="AI27" s="810"/>
      <s:c r="AJ27" s="810"/>
      <s:c r="AK27" s="810"/>
      <s:c r="AL27" s="810"/>
      <s:c r="AM27" s="810"/>
      <s:c r="AN27" s="810"/>
      <s:c r="AO27" s="810"/>
      <s:c r="AP27" s="810"/>
      <s:c r="AQ27" s="810"/>
      <s:c r="AR27" s="810"/>
      <s:c r="AS27" s="810"/>
      <s:c r="AT27" s="810"/>
      <s:c r="AU27" s="810"/>
      <s:c r="AV27" s="810"/>
      <s:c r="AW27" s="810"/>
      <s:c r="AX27" s="810"/>
      <s:c r="AY27" s="810"/>
      <s:c r="AZ27" s="810"/>
      <s:c r="BA27" s="810"/>
      <s:c r="BB27" s="810"/>
      <s:c r="BC27" s="810"/>
      <s:c r="BD27" s="810"/>
      <s:c r="BE27" s="810"/>
      <s:c r="BF27" s="810"/>
      <s:c r="BG27" s="810"/>
      <s:c r="BH27" s="810"/>
      <s:c r="BI27" s="810"/>
      <s:c r="BJ27" s="810"/>
      <s:c r="BK27" s="810"/>
      <s:c r="BL27" s="810"/>
      <s:c r="BM27" s="810"/>
      <s:c r="BN27" s="810"/>
      <s:c r="BO27" s="810"/>
      <s:c r="BP27" s="810"/>
      <s:c r="BQ27" s="810"/>
      <s:c r="BR27" s="810"/>
      <s:c r="BS27" s="810"/>
      <s:c r="BT27" s="810"/>
      <s:c r="BU27" s="810"/>
      <s:c r="BV27" s="810"/>
      <s:c r="BW27" s="810"/>
      <s:c r="BX27" s="810"/>
      <s:c r="BY27" s="810"/>
      <s:c r="BZ27" s="810"/>
      <s:c r="CA27" s="810"/>
      <s:c r="CB27" s="810"/>
      <s:c r="CC27" s="810"/>
      <s:c r="CD27" s="810"/>
      <s:c r="CE27" s="810"/>
      <s:c r="CF27" s="810"/>
      <s:c r="CG27" s="810"/>
      <s:c r="CH27" s="810"/>
      <s:c r="CI27" s="810"/>
      <s:c r="CJ27" s="810"/>
      <s:c r="CK27" s="810"/>
      <s:c r="CL27" s="810"/>
      <s:c r="CM27" s="810"/>
      <s:c r="CN27" s="810"/>
      <s:c r="CO27" s="810"/>
      <s:c r="CP27" s="810"/>
      <s:c r="CQ27" s="810"/>
      <s:c r="CR27" s="810"/>
      <s:c r="CS27" s="810"/>
      <s:c r="CT27" s="810"/>
      <s:c r="CU27" s="810"/>
      <s:c r="CV27" s="810"/>
      <s:c r="CW27" s="810"/>
      <s:c r="CX27" s="810"/>
      <s:c r="CY27" s="810"/>
      <s:c r="CZ27" s="810"/>
      <s:c r="DA27" s="810"/>
      <s:c r="DB27" s="810"/>
      <s:c r="DC27" s="810"/>
      <s:c r="DD27" s="810"/>
      <s:c r="DE27" s="810"/>
      <s:c r="DF27" s="810"/>
      <s:c r="DG27" s="810"/>
      <s:c r="DH27" s="810"/>
      <s:c r="DI27" s="810"/>
      <s:c r="DJ27" s="810"/>
      <s:c r="DK27" s="810"/>
      <s:c r="DL27" s="810"/>
      <s:c r="DM27" s="810"/>
      <s:c r="DN27" s="810"/>
      <s:c r="DO27" s="810"/>
      <s:c r="DP27" s="810"/>
      <s:c r="DQ27" s="810"/>
      <s:c r="DR27" s="810"/>
      <s:c r="DS27" s="810"/>
      <s:c r="DT27" s="810"/>
      <s:c r="DU27" s="810"/>
      <s:c r="DV27" s="810"/>
      <s:c r="DW27" s="810"/>
      <s:c r="DX27" s="810"/>
      <s:c r="DY27" s="810"/>
      <s:c r="DZ27" s="810"/>
      <s:c r="EA27" s="810"/>
      <s:c r="EB27" s="810"/>
      <s:c r="EC27" s="810"/>
      <s:c r="ED27" s="810"/>
      <s:c r="EE27" s="810"/>
      <s:c r="EF27" s="810"/>
      <s:c r="EG27" s="810"/>
      <s:c r="EH27" s="810"/>
      <s:c r="EI27" s="810"/>
      <s:c r="EJ27" s="810"/>
      <s:c r="EK27" s="810"/>
      <s:c r="EL27" s="810"/>
      <s:c r="EM27" s="810"/>
      <s:c r="EN27" s="810"/>
      <s:c r="EO27" s="810"/>
      <s:c r="EP27" s="810"/>
      <s:c r="EQ27" s="810"/>
      <s:c r="ER27" s="810"/>
      <s:c r="ES27" s="810"/>
      <s:c r="ET27" s="810"/>
      <s:c r="EU27" s="810"/>
      <s:c r="EV27" s="810"/>
      <s:c r="EW27" s="810"/>
      <s:c r="EX27" s="810"/>
      <s:c r="EY27" s="810"/>
      <s:c r="EZ27" s="810"/>
      <s:c r="FA27" s="810"/>
      <s:c r="FB27" s="810"/>
      <s:c r="FC27" s="810"/>
      <s:c r="FD27" s="810"/>
      <s:c r="FE27" s="810"/>
      <s:c r="FF27" s="810"/>
      <s:c r="FG27" s="810"/>
      <s:c r="FH27" s="810"/>
      <s:c r="FI27" s="810"/>
      <s:c r="FJ27" s="810"/>
      <s:c r="FK27" s="810"/>
      <s:c r="FL27" s="810"/>
      <s:c r="FM27" s="810"/>
      <s:c r="FN27" s="810"/>
      <s:c r="FO27" s="810"/>
      <s:c r="FP27" s="810"/>
      <s:c r="FQ27" s="810"/>
      <s:c r="FR27" s="810"/>
      <s:c r="FS27" s="810"/>
      <s:c r="FT27" s="810"/>
      <s:c r="FU27" s="810"/>
      <s:c r="FV27" s="810"/>
      <s:c r="FW27" s="810"/>
      <s:c r="FX27" s="810"/>
      <s:c r="FY27" s="810"/>
      <s:c r="FZ27" s="810"/>
      <s:c r="GA27" s="810"/>
      <s:c r="GB27" s="810"/>
      <s:c r="GC27" s="810"/>
      <s:c r="GD27" s="810"/>
      <s:c r="GE27" s="810"/>
      <s:c r="GF27" s="810"/>
      <s:c r="GG27" s="810"/>
      <s:c r="GH27" s="810"/>
      <s:c r="GI27" s="810"/>
      <s:c r="GJ27" s="810"/>
      <s:c r="GK27" s="810"/>
      <s:c r="GL27" s="810"/>
      <s:c r="GM27" s="810"/>
      <s:c r="GN27" s="810"/>
      <s:c r="GO27" s="810"/>
      <s:c r="GP27" s="810"/>
      <s:c r="GQ27" s="810"/>
      <s:c r="GR27" s="810"/>
      <s:c r="GS27" s="810"/>
      <s:c r="GT27" s="810"/>
      <s:c r="GU27" s="810"/>
      <s:c r="GV27" s="810"/>
      <s:c r="GW27" s="810"/>
      <s:c r="GX27" s="810"/>
      <s:c r="GY27" s="810"/>
      <s:c r="GZ27" s="810"/>
      <s:c r="HA27" s="810"/>
      <s:c r="HB27" s="810"/>
      <s:c r="HC27" s="810"/>
      <s:c r="HD27" s="810"/>
      <s:c r="HE27" s="810"/>
      <s:c r="HF27" s="810"/>
      <s:c r="HG27" s="810"/>
      <s:c r="HH27" s="810"/>
      <s:c r="HI27" s="810"/>
      <s:c r="HJ27" s="810"/>
      <s:c r="HK27" s="810"/>
      <s:c r="HL27" s="810"/>
      <s:c r="HM27" s="810"/>
      <s:c r="HN27" s="810"/>
      <s:c r="HO27" s="810"/>
      <s:c r="HP27" s="810"/>
      <s:c r="HQ27" s="810"/>
      <s:c r="HR27" s="810"/>
      <s:c r="HS27" s="810"/>
      <s:c r="HT27" s="810"/>
      <s:c r="HU27" s="810"/>
      <s:c r="HV27" s="810"/>
      <s:c r="HW27" s="810"/>
      <s:c r="HX27" s="810"/>
      <s:c r="HY27" s="810"/>
      <s:c r="HZ27" s="810"/>
      <s:c r="IA27" s="810"/>
      <s:c r="IB27" s="810"/>
      <s:c r="IC27" s="810"/>
      <s:c r="ID27" s="810"/>
      <s:c r="IE27" s="810"/>
      <s:c r="IF27" s="810"/>
      <s:c r="IG27" s="810"/>
      <s:c r="IH27" s="810"/>
      <s:c r="II27" s="810"/>
      <s:c r="IJ27" s="810"/>
      <s:c r="IK27" s="810"/>
      <s:c r="IL27" s="810"/>
      <s:c r="IM27" s="810"/>
      <s:c r="IN27" s="810"/>
      <s:c r="IO27" s="810"/>
      <s:c r="IP27" s="810"/>
      <s:c r="IQ27" s="810"/>
      <s:c r="IR27" s="810"/>
      <s:c r="IS27" s="810"/>
      <s:c r="IT27" s="810"/>
      <s:c r="IU27" s="810"/>
      <s:c r="IV27" s="810"/>
      <s:c r="IW27" s="810"/>
      <s:c r="IX27" s="810"/>
      <s:c r="IY27" s="810"/>
    </s:row>
    <s:row r="28">
      <s:c r="A28" s="811">
        <s:v>4</s:v>
      </s:c>
      <s:c r="B28" s="120"/>
      <s:c r="C28" s="812"/>
      <s:c r="D28" s="802"/>
      <s:c r="E28" s="803"/>
      <s:c r="F28" s="813"/>
      <s:c r="G28" s="803"/>
      <s:c r="H28" s="813" t="str">
        <s:f>IF(AND(G28&lt;&gt;"",G28&lt;&gt;0),D28/G28,"")</s:f>
        <s:v/>
      </s:c>
      <s:c r="I28" s="803"/>
      <s:c r="J28" s="124" t="str">
        <s:f>IF(AND(G28&lt;&gt;"",G28&lt;&gt;0),E28/G28,"")</s:f>
        <s:v/>
      </s:c>
      <s:c r="K28" s="125"/>
      <s:c r="L28" s="125"/>
      <s:c r="M28" s="125"/>
      <s:c r="N28" s="125"/>
      <s:c r="O28" s="125"/>
      <s:c r="P28" s="125"/>
      <s:c r="Q28" s="125"/>
      <s:c r="R28" s="126" t="str">
        <s:f>IF(AND(I28&lt;&gt;"",I28&lt;&gt;0),G28/I28,"")</s:f>
        <s:v/>
      </s:c>
      <s:c r="S28" s="127">
        <s:f>D28/T28</s:f>
        <s:v>0</s:v>
      </s:c>
      <s:c r="T28" s="128">
        <s:f>$I$8*Z28*AA28/SUMPRODUCT($AA$25:$AA$57,$Z$25:$Z$57)</s:f>
        <s:v>23720.863032845933</s:v>
      </s:c>
      <s:c r="U28" s="129">
        <s:f>$I$9*Z28*AA28/SUMPRODUCT($AA$25:$AA$57,$Z$25:$Z$57)</s:f>
        <s:v>3.2673365059016444</s:v>
      </s:c>
      <s:c r="V28" s="129">
        <s:f>IF($I$12="","",U28/$I$12)</s:f>
        <s:v>1.7757263619030674</s:v>
      </s:c>
      <s:c r="W28" s="128" t="e">
        <s:f ca="1">IF(AA28&lt;&gt;"",IF(D28&lt;&gt;"",D28,($I$8-SUM($W$25:W27))*Z28*AA28/SUMPRODUCT($AA28:$AA$57,$Z28:$Z$57)),"")</s:f>
        <s:v>#REF!</s:v>
      </s:c>
      <s:c r="X28" s="129" t="e">
        <s:f ca="1">IF(AA28&lt;&gt;"",IF(E28&lt;&gt;"",E28,($I$9-SUM($X$25:X27))*Z28*AA28/SUMPRODUCT($AA28:$AA$57,$Z28:$Z$57)),"")</s:f>
        <s:v>#REF!</s:v>
      </s:c>
      <s:c r="Y28" s="129" t="e">
        <s:f ca="1">IF(AA28&lt;&gt;"",IF($I$12&lt;&gt;"",IF(G28&lt;&gt;"",G28,($I$9/$I$12-SUM($Y$25:Y27))*Z28*AA28/SUMPRODUCT($AA28:$AA$57,$Z28:$Z$57)),""),"")</s:f>
        <s:v>#REF!</s:v>
      </s:c>
      <s:c r="Z28" s="130">
        <s:v>1.05797433831278</s:v>
      </s:c>
      <s:c r="AA28" s="130">
        <s:v>1.05797433831278</s:v>
      </s:c>
      <s:c r="AB28" s="132"/>
      <s:c r="AC28" s="132"/>
      <s:c r="AD28" s="131"/>
      <s:c r="AE28" s="131"/>
      <s:c r="AF28" s="131"/>
      <s:c r="AG28" s="131"/>
      <s:c r="AH28" s="131"/>
      <s:c r="AI28" s="131"/>
      <s:c r="AJ28" s="131"/>
      <s:c r="AK28" s="131"/>
      <s:c r="AL28" s="131"/>
      <s:c r="AM28" s="131"/>
      <s:c r="AN28" s="131"/>
    </s:row>
    <s:row r="29">
      <s:c r="A29" s="801">
        <s:v>5</s:v>
      </s:c>
      <s:c r="B29" s="120"/>
      <s:c r="C29" s="121"/>
      <s:c r="D29" s="802"/>
      <s:c r="E29" s="803"/>
      <s:c r="F29" s="123"/>
      <s:c r="G29" s="803"/>
      <s:c r="H29" s="123" t="str">
        <s:f>IF(AND(G29&lt;&gt;"",G29&lt;&gt;0),D29/G29,"")</s:f>
        <s:v/>
      </s:c>
      <s:c r="I29" s="803"/>
      <s:c r="J29" s="124" t="str">
        <s:f>IF(AND(G29&lt;&gt;"",G29&lt;&gt;0),E29/G29,"")</s:f>
        <s:v/>
      </s:c>
      <s:c r="K29" s="125"/>
      <s:c r="L29" s="125"/>
      <s:c r="M29" s="125"/>
      <s:c r="N29" s="125"/>
      <s:c r="O29" s="125"/>
      <s:c r="P29" s="125"/>
      <s:c r="Q29" s="125"/>
      <s:c r="R29" s="126" t="str">
        <s:f>IF(AND(I29&lt;&gt;"",I29&lt;&gt;0),G29/I29,"")</s:f>
        <s:v/>
      </s:c>
      <s:c r="S29" s="127">
        <s:f>D29/T29</s:f>
        <s:v>0</s:v>
      </s:c>
      <s:c r="T29" s="128">
        <s:f>$I$8*Z29*AA29/SUMPRODUCT($AA$25:$AA$57,$Z$25:$Z$57)</s:f>
        <s:v>21192.403694570519</s:v>
      </s:c>
      <s:c r="U29" s="129">
        <s:f>$I$9*Z29*AA29/SUMPRODUCT($AA$25:$AA$57,$Z$25:$Z$57)</s:f>
        <s:v>2.9190638697755538</s:v>
      </s:c>
      <s:c r="V29" s="129">
        <s:f>IF($I$12="","",U29/$I$12)</s:f>
        <s:v>1.5864477553128009</s:v>
      </s:c>
      <s:c r="W29" s="128" t="e">
        <s:f ca="1">IF(AA29&lt;&gt;"",IF(D29&lt;&gt;"",D29,($I$8-SUM($W$25:W28))*Z29*AA29/SUMPRODUCT($AA29:$AA$57,$Z29:$Z$57)),"")</s:f>
        <s:v>#REF!</s:v>
      </s:c>
      <s:c r="X29" s="129" t="e">
        <s:f ca="1">IF(AA29&lt;&gt;"",IF(E29&lt;&gt;"",E29,($I$9-SUM($X$25:X28))*Z29*AA29/SUMPRODUCT($AA29:$AA$57,$Z29:$Z$57)),"")</s:f>
        <s:v>#REF!</s:v>
      </s:c>
      <s:c r="Y29" s="129" t="e">
        <s:f ca="1">IF(AA29&lt;&gt;"",IF($I$12&lt;&gt;"",IF(G29&lt;&gt;"",G29,($I$9/$I$12-SUM($Y$25:Y28))*Z29*AA29/SUMPRODUCT($AA29:$AA$57,$Z29:$Z$57)),""),"")</s:f>
        <s:v>#REF!</s:v>
      </s:c>
      <s:c r="Z29" s="818">
        <s:v>1</s:v>
      </s:c>
      <s:c r="AA29" s="818">
        <s:v>1</s:v>
      </s:c>
      <s:c r="AB29" s="132"/>
      <s:c r="AC29" s="132"/>
      <s:c r="AD29" s="131"/>
      <s:c r="AE29" s="131"/>
      <s:c r="AF29" s="131"/>
      <s:c r="AG29" s="131"/>
      <s:c r="AH29" s="131"/>
      <s:c r="AI29" s="131"/>
      <s:c r="AJ29" s="131"/>
      <s:c r="AK29" s="131"/>
    </s:row>
    <s:row r="30">
      <s:c r="A30" s="819">
        <s:v>6</s:v>
      </s:c>
      <s:c r="B30" s="419"/>
      <s:c r="C30" s="820"/>
      <s:c r="D30" s="409"/>
      <s:c r="E30" s="410"/>
      <s:c r="F30" s="821" t="str">
        <s:f>IF(AND(E30&lt;&gt;"",E30&lt;&gt;0),D30/E30,"")</s:f>
        <s:v/>
      </s:c>
      <s:c r="G30" s="410"/>
      <s:c r="H30" s="821" t="str">
        <s:f>IF(AND(G30&lt;&gt;"",G30&lt;&gt;0),D30/G30,"")</s:f>
        <s:v/>
      </s:c>
      <s:c r="I30" s="410"/>
      <s:c r="J30" s="822" t="str">
        <s:f>IF(AND(G30&lt;&gt;"",G30&lt;&gt;0),E30/G30,"")</s:f>
        <s:v/>
      </s:c>
      <s:c r="K30" s="823"/>
      <s:c r="L30" s="823"/>
      <s:c r="M30" s="823"/>
      <s:c r="N30" s="823"/>
      <s:c r="O30" s="823"/>
      <s:c r="P30" s="823"/>
      <s:c r="Q30" s="823"/>
      <s:c r="R30" s="804" t="str">
        <s:f>IF(AND(I30&lt;&gt;"",I30&lt;&gt;0),G30/I30,"")</s:f>
        <s:v/>
      </s:c>
      <s:c r="S30" s="805">
        <s:f>D30/T30</s:f>
        <s:v>0</s:v>
      </s:c>
      <s:c r="T30" s="806">
        <s:f>$I$8*Z30*AA30/SUMPRODUCT($AA$25:$AA$57,$Z$25:$Z$57)</s:f>
        <s:v>21192.403694570519</s:v>
      </s:c>
      <s:c r="U30" s="807">
        <s:f>$I$9*Z30*AA30/SUMPRODUCT($AA$25:$AA$57,$Z$25:$Z$57)</s:f>
        <s:v>2.9190638697755538</s:v>
      </s:c>
      <s:c r="V30" s="807">
        <s:f>IF($I$12="","",U30/$I$12)</s:f>
        <s:v>1.5864477553128009</s:v>
      </s:c>
      <s:c r="W30" s="806" t="e">
        <s:f ca="1">IF(AA30&lt;&gt;"",IF(D30&lt;&gt;"",D30,($I$8-SUM($W$25:W29))*Z30*AA30/SUMPRODUCT($AA30:$AA$57,$Z30:$Z$57)),"")</s:f>
        <s:v>#REF!</s:v>
      </s:c>
      <s:c r="X30" s="807" t="e">
        <s:f ca="1">IF(AA30&lt;&gt;"",IF(E30&lt;&gt;"",E30,($I$9-SUM($X$25:X29))*Z30*AA30/SUMPRODUCT($AA30:$AA$57,$Z30:$Z$57)),"")</s:f>
        <s:v>#REF!</s:v>
      </s:c>
      <s:c r="Y30" s="807" t="e">
        <s:f ca="1">IF(AA30&lt;&gt;"",IF($I$12&lt;&gt;"",IF(G30&lt;&gt;"",G30,($I$9/$I$12-SUM($Y$25:Y29))*Z30*AA30/SUMPRODUCT($AA30:$AA$57,$Z30:$Z$57)),""),"")</s:f>
        <s:v>#REF!</s:v>
      </s:c>
      <s:c r="Z30" s="416">
        <s:v>1</s:v>
      </s:c>
      <s:c r="AA30" s="416">
        <s:v>1</s:v>
      </s:c>
      <s:c r="AB30" s="808"/>
      <s:c r="AC30" s="808"/>
      <s:c r="AD30" s="809"/>
      <s:c r="AE30" s="810"/>
      <s:c r="AF30" s="810"/>
      <s:c r="AG30" s="810"/>
      <s:c r="AH30" s="810"/>
      <s:c r="AI30" s="810"/>
      <s:c r="AJ30" s="810"/>
      <s:c r="AK30" s="810"/>
    </s:row>
    <s:row r="31">
      <s:c r="A31" s="819">
        <s:v>7</s:v>
      </s:c>
      <s:c r="B31" s="419"/>
      <s:c r="C31" s="824"/>
      <s:c r="D31" s="409"/>
      <s:c r="E31" s="410"/>
      <s:c r="F31" s="411" t="str">
        <s:f>IF(AND(E31&lt;&gt;"",E31&lt;&gt;0),D31/E31,"")</s:f>
        <s:v/>
      </s:c>
      <s:c r="G31" s="410"/>
      <s:c r="H31" s="411" t="str">
        <s:f>IF(AND(G31&lt;&gt;"",G31&lt;&gt;0),D31/G31,"")</s:f>
        <s:v/>
      </s:c>
      <s:c r="I31" s="410"/>
      <s:c r="J31" s="822" t="str">
        <s:f>IF(AND(G31&lt;&gt;"",G31&lt;&gt;0),E31/G31,"")</s:f>
        <s:v/>
      </s:c>
      <s:c r="K31" s="825"/>
      <s:c r="L31" s="825"/>
      <s:c r="M31" s="825"/>
      <s:c r="N31" s="825"/>
      <s:c r="O31" s="823"/>
      <s:c r="P31" s="823"/>
      <s:c r="Q31" s="823"/>
      <s:c r="R31" s="804" t="str">
        <s:f>IF(AND(I31&lt;&gt;"",I31&lt;&gt;0),G31/I31,"")</s:f>
        <s:v/>
      </s:c>
      <s:c r="S31" s="805">
        <s:f>D31/T31</s:f>
        <s:v>0</s:v>
      </s:c>
      <s:c r="T31" s="806">
        <s:f>$I$8*Z31*AA31/SUMPRODUCT($AA$25:$AA$57,$Z$25:$Z$57)</s:f>
        <s:v>21192.403694570519</s:v>
      </s:c>
      <s:c r="U31" s="807">
        <s:f>$I$9*Z31*AA31/SUMPRODUCT($AA$25:$AA$57,$Z$25:$Z$57)</s:f>
        <s:v>2.9190638697755538</s:v>
      </s:c>
      <s:c r="V31" s="807">
        <s:f>IF($I$12="","",U31/$I$12)</s:f>
        <s:v>1.5864477553128009</s:v>
      </s:c>
      <s:c r="W31" s="806" t="e">
        <s:f ca="1">IF(AA31&lt;&gt;"",IF(D31&lt;&gt;"",D31,($I$8-SUM($W$25:W30))*Z31*AA31/SUMPRODUCT($AA31:$AA$57,$Z31:$Z$57)),"")</s:f>
        <s:v>#REF!</s:v>
      </s:c>
      <s:c r="X31" s="807" t="e">
        <s:f ca="1">IF(AA31&lt;&gt;"",IF(E31&lt;&gt;"",E31,($I$9-SUM($X$25:X30))*Z31*AA31/SUMPRODUCT($AA31:$AA$57,$Z31:$Z$57)),"")</s:f>
        <s:v>#REF!</s:v>
      </s:c>
      <s:c r="Y31" s="807" t="e">
        <s:f ca="1">IF(AA31&lt;&gt;"",IF($I$12&lt;&gt;"",IF(G31&lt;&gt;"",G31,($I$9/$I$12-SUM($Y$25:Y30))*Z31*AA31/SUMPRODUCT($AA31:$AA$57,$Z31:$Z$57)),""),"")</s:f>
        <s:v>#REF!</s:v>
      </s:c>
      <s:c r="Z31" s="416">
        <s:v>1</s:v>
      </s:c>
      <s:c r="AA31" s="416">
        <s:v>1</s:v>
      </s:c>
      <s:c r="AB31" s="808"/>
      <s:c r="AC31" s="808"/>
      <s:c r="AD31" s="809"/>
      <s:c r="AE31" s="810"/>
      <s:c r="AF31" s="810"/>
      <s:c r="AG31" s="810"/>
      <s:c r="AH31" s="810"/>
      <s:c r="AI31" s="810"/>
      <s:c r="AJ31" s="810"/>
      <s:c r="AK31" s="810"/>
    </s:row>
    <s:row r="32">
      <s:c r="A32" s="819">
        <s:v>8</s:v>
      </s:c>
      <s:c r="B32" s="419"/>
      <s:c r="C32" s="820"/>
      <s:c r="D32" s="409"/>
      <s:c r="E32" s="410"/>
      <s:c r="F32" s="821" t="str">
        <s:f>IF(AND(E32&lt;&gt;"",E32&lt;&gt;0),D32/E32,"")</s:f>
        <s:v/>
      </s:c>
      <s:c r="G32" s="410"/>
      <s:c r="H32" s="821" t="str">
        <s:f>IF(AND(G32&lt;&gt;"",G32&lt;&gt;0),D32/G32,"")</s:f>
        <s:v/>
      </s:c>
      <s:c r="I32" s="410"/>
      <s:c r="J32" s="826" t="str">
        <s:f>IF(AND(G32&lt;&gt;"",G32&lt;&gt;0),E32/G32,"")</s:f>
        <s:v/>
      </s:c>
      <s:c r="K32" s="827"/>
      <s:c r="L32" s="827"/>
      <s:c r="M32" s="827"/>
      <s:c r="N32" s="827"/>
      <s:c r="O32" s="828"/>
      <s:c r="P32" s="411"/>
      <s:c r="Q32" s="411"/>
      <s:c r="R32" s="829" t="str">
        <s:f>IF(AND(I32&lt;&gt;"",I32&lt;&gt;0),G32/I32,"")</s:f>
        <s:v/>
      </s:c>
      <s:c r="S32" s="805">
        <s:f>D32/T32</s:f>
        <s:v>0</s:v>
      </s:c>
      <s:c r="T32" s="806">
        <s:f>$I$8*Z32*AA32/SUMPRODUCT($AA$25:$AA$57,$Z$25:$Z$57)</s:f>
        <s:v>21192.403694570519</s:v>
      </s:c>
      <s:c r="U32" s="807">
        <s:f>$I$9*Z32*AA32/SUMPRODUCT($AA$25:$AA$57,$Z$25:$Z$57)</s:f>
        <s:v>2.9190638697755538</s:v>
      </s:c>
      <s:c r="V32" s="807">
        <s:f>IF($I$12="","",U32/$I$12)</s:f>
        <s:v>1.5864477553128009</s:v>
      </s:c>
      <s:c r="W32" s="806" t="e">
        <s:f ca="1">IF(AA32&lt;&gt;"",IF(D32&lt;&gt;"",D32,($I$8-SUM($W$25:W31))*Z32*AA32/SUMPRODUCT($AA32:$AA$57,$Z32:$Z$57)),"")</s:f>
        <s:v>#REF!</s:v>
      </s:c>
      <s:c r="X32" s="807" t="e">
        <s:f ca="1">IF(AA32&lt;&gt;"",IF(E32&lt;&gt;"",E32,($I$9-SUM($X$25:X31))*Z32*AA32/SUMPRODUCT($AA32:$AA$57,$Z32:$Z$57)),"")</s:f>
        <s:v>#REF!</s:v>
      </s:c>
      <s:c r="Y32" s="807" t="e">
        <s:f ca="1">IF(AA32&lt;&gt;"",IF($I$12&lt;&gt;"",IF(G32&lt;&gt;"",G32,($I$9/$I$12-SUM($Y$25:Y31))*Z32*AA32/SUMPRODUCT($AA32:$AA$57,$Z32:$Z$57)),""),"")</s:f>
        <s:v>#REF!</s:v>
      </s:c>
      <s:c r="Z32" s="416">
        <s:v>1</s:v>
      </s:c>
      <s:c r="AA32" s="416">
        <s:v>1</s:v>
      </s:c>
      <s:c r="AB32" s="808"/>
      <s:c r="AC32" s="808"/>
      <s:c r="AD32" s="810"/>
      <s:c r="AE32" s="810"/>
      <s:c r="AF32" s="810"/>
      <s:c r="AG32" s="810"/>
      <s:c r="AH32" s="810"/>
      <s:c r="AI32" s="810"/>
      <s:c r="AJ32" s="810"/>
      <s:c r="AK32" s="810"/>
    </s:row>
    <s:row r="33">
      <s:c r="A33" s="819"/>
      <s:c r="B33" s="419"/>
      <s:c r="C33" s="824"/>
      <s:c r="D33" s="409"/>
      <s:c r="E33" s="830"/>
      <s:c r="F33" s="411" t="str">
        <s:f>IF(AND(E33&lt;&gt;"",E33&lt;&gt;0),D33/E33,"")</s:f>
        <s:v/>
      </s:c>
      <s:c r="G33" s="410"/>
      <s:c r="H33" s="411" t="str">
        <s:f>IF(AND(G33&lt;&gt;"",G33&lt;&gt;0),D33/G33,"")</s:f>
        <s:v/>
      </s:c>
      <s:c r="I33" s="410"/>
      <s:c r="J33" s="826" t="str">
        <s:f>IF(AND(G33&lt;&gt;"",G33&lt;&gt;0),E33/G33,"")</s:f>
        <s:v/>
      </s:c>
      <s:c r="K33" s="827"/>
      <s:c r="L33" s="827"/>
      <s:c r="M33" s="827"/>
      <s:c r="N33" s="827"/>
      <s:c r="O33" s="828"/>
      <s:c r="P33" s="411"/>
      <s:c r="Q33" s="411"/>
      <s:c r="R33" s="831" t="str">
        <s:f>IF(AND(I33&lt;&gt;"",I33&lt;&gt;0),G33/I33,"")</s:f>
        <s:v/>
      </s:c>
      <s:c r="S33" s="832">
        <s:f>D33/T33</s:f>
        <s:v>0</s:v>
      </s:c>
      <s:c r="T33" s="128">
        <s:f>$I$8*Z33*AA33/SUMPRODUCT($AA$25:$AA$57,$Z$25:$Z$57)</s:f>
        <s:v>21192.403694570519</s:v>
      </s:c>
      <s:c r="U33" s="833">
        <s:f>$I$9*Z33*AA33/SUMPRODUCT($AA$25:$AA$57,$Z$25:$Z$57)</s:f>
        <s:v>2.9190638697755538</s:v>
      </s:c>
      <s:c r="V33" s="129">
        <s:f>IF($I$12="","",U33/$I$12)</s:f>
        <s:v>1.5864477553128009</s:v>
      </s:c>
      <s:c r="W33" s="128" t="e">
        <s:f ca="1">IF(AA33&lt;&gt;"",IF(D33&lt;&gt;"",D33,($I$8-SUM($W$25:W32))*Z33*AA33/SUMPRODUCT($AA33:$AA$57,$Z33:$Z$57)),"")</s:f>
        <s:v>#REF!</s:v>
      </s:c>
      <s:c r="X33" s="129" t="e">
        <s:f ca="1">IF(AA33&lt;&gt;"",IF(E33&lt;&gt;"",E33,($I$9-SUM($X$25:X32))*Z33*AA33/SUMPRODUCT($AA33:$AA$57,$Z33:$Z$57)),"")</s:f>
        <s:v>#REF!</s:v>
      </s:c>
      <s:c r="Y33" s="833" t="e">
        <s:f ca="1">IF(AA33&lt;&gt;"",IF($I$12&lt;&gt;"",IF(G33&lt;&gt;"",G33,($I$9/$I$12-SUM($Y$25:Y32))*Z33*AA33/SUMPRODUCT($AA33:$AA$57,$Z33:$Z$57)),""),"")</s:f>
        <s:v>#REF!</s:v>
      </s:c>
      <s:c r="Z33" s="818">
        <s:v>1</s:v>
      </s:c>
      <s:c r="AA33" s="818">
        <s:v>1</s:v>
      </s:c>
      <s:c r="AB33" s="132"/>
      <s:c r="AC33" s="132"/>
      <s:c r="AD33" s="131"/>
      <s:c r="AE33" s="131"/>
      <s:c r="AF33" s="131"/>
      <s:c r="AG33" s="131"/>
      <s:c r="AH33" s="131"/>
      <s:c r="AI33" s="131"/>
      <s:c r="AJ33" s="131"/>
      <s:c r="AK33" s="131"/>
    </s:row>
    <s:row r="34">
      <s:c r="A34" s="819"/>
      <s:c r="B34" s="419"/>
      <s:c r="C34" s="824"/>
      <s:c r="D34" s="822"/>
      <s:c r="E34" s="411"/>
      <s:c r="F34" s="411" t="str">
        <s:f>IF(AND(E34&lt;&gt;"",E34&lt;&gt;0),D34/E34,"")</s:f>
        <s:v/>
      </s:c>
      <s:c r="G34" s="411"/>
      <s:c r="H34" s="411" t="str">
        <s:f>IF(AND(G34&lt;&gt;"",G34&lt;&gt;0),D34/G34,"")</s:f>
        <s:v/>
      </s:c>
      <s:c r="I34" s="411"/>
      <s:c r="J34" s="826" t="str">
        <s:f>IF(AND(G34&lt;&gt;"",G34&lt;&gt;0),E34/G34,"")</s:f>
        <s:v/>
      </s:c>
      <s:c r="K34" s="827"/>
      <s:c r="L34" s="827"/>
      <s:c r="M34" s="827"/>
      <s:c r="N34" s="827"/>
      <s:c r="O34" s="821"/>
      <s:c r="P34" s="411"/>
      <s:c r="Q34" s="411"/>
      <s:c r="R34" s="834" t="str">
        <s:f>IF(AND(I34&lt;&gt;"",I34&lt;&gt;0),G34/I34,"")</s:f>
        <s:v/>
      </s:c>
      <s:c r="S34" s="127">
        <s:f>D34/T34</s:f>
        <s:v>0</s:v>
      </s:c>
      <s:c r="T34" s="835">
        <s:f>$I$8*Z34*AA34/SUMPRODUCT($AA$25:$AA$57,$Z$25:$Z$57)</s:f>
        <s:v>21192.403694570519</s:v>
      </s:c>
      <s:c r="U34" s="129">
        <s:f>$I$9*Z34*AA34/SUMPRODUCT($AA$25:$AA$57,$Z$25:$Z$57)</s:f>
        <s:v>2.9190638697755538</s:v>
      </s:c>
      <s:c r="V34" s="833">
        <s:f>IF($I$12="","",U34/$I$12)</s:f>
        <s:v>1.5864477553128009</s:v>
      </s:c>
      <s:c r="W34" s="128" t="e">
        <s:f ca="1">IF(AA34&lt;&gt;"",IF(D34&lt;&gt;"",D34,($I$8-SUM($W$25:W33))*Z34*AA34/SUMPRODUCT($AA34:$AA$57,$Z34:$Z$57)),"")</s:f>
        <s:v>#REF!</s:v>
      </s:c>
      <s:c r="X34" s="833" t="e">
        <s:f ca="1">IF(AA34&lt;&gt;"",IF(E34&lt;&gt;"",E34,($I$9-SUM($X$25:X33))*Z34*AA34/SUMPRODUCT($AA34:$AA$57,$Z34:$Z$57)),"")</s:f>
        <s:v>#REF!</s:v>
      </s:c>
      <s:c r="Y34" s="129" t="e">
        <s:f ca="1">IF(AA34&lt;&gt;"",IF($I$12&lt;&gt;"",IF(G34&lt;&gt;"",G34,($I$9/$I$12-SUM($Y$25:Y33))*Z34*AA34/SUMPRODUCT($AA34:$AA$57,$Z34:$Z$57)),""),"")</s:f>
        <s:v>#REF!</s:v>
      </s:c>
      <s:c r="Z34" s="818">
        <s:v>1</s:v>
      </s:c>
      <s:c r="AA34" s="818">
        <s:v>1</s:v>
      </s:c>
      <s:c r="AB34" s="132"/>
      <s:c r="AC34" s="132"/>
      <s:c r="AD34" s="161"/>
      <s:c r="AE34" s="131"/>
      <s:c r="AF34" s="131"/>
      <s:c r="AG34" s="131"/>
      <s:c r="AH34" s="131"/>
      <s:c r="AI34" s="131"/>
      <s:c r="AJ34" s="131"/>
      <s:c r="AK34" s="131"/>
      <s:c r="AL34" s="131"/>
      <s:c r="AM34" s="131"/>
      <s:c r="AN34" s="131"/>
      <s:c r="AO34" s="131"/>
      <s:c r="AP34" s="131"/>
      <s:c r="AQ34" s="131"/>
      <s:c r="AR34" s="131"/>
      <s:c r="AS34" s="131"/>
      <s:c r="AT34" s="131"/>
      <s:c r="AU34" s="131"/>
      <s:c r="AV34" s="131"/>
      <s:c r="AW34" s="131"/>
      <s:c r="AX34" s="131"/>
      <s:c r="AY34" s="131"/>
      <s:c r="AZ34" s="131"/>
      <s:c r="BA34" s="131"/>
      <s:c r="BB34" s="131"/>
      <s:c r="BC34" s="131"/>
      <s:c r="BD34" s="131"/>
      <s:c r="BE34" s="131"/>
      <s:c r="BF34" s="131"/>
      <s:c r="BG34" s="131"/>
      <s:c r="BH34" s="131"/>
      <s:c r="BI34" s="131"/>
      <s:c r="BJ34" s="131"/>
      <s:c r="BK34" s="131"/>
      <s:c r="BL34" s="131"/>
      <s:c r="BM34" s="131"/>
      <s:c r="BN34" s="131"/>
      <s:c r="BO34" s="131"/>
      <s:c r="BP34" s="131"/>
      <s:c r="BQ34" s="131"/>
      <s:c r="BR34" s="131"/>
      <s:c r="BS34" s="131"/>
      <s:c r="BT34" s="131"/>
      <s:c r="BU34" s="131"/>
      <s:c r="BV34" s="131"/>
      <s:c r="BW34" s="131"/>
      <s:c r="BX34" s="131"/>
      <s:c r="BY34" s="131"/>
      <s:c r="BZ34" s="131"/>
      <s:c r="CA34" s="131"/>
      <s:c r="CB34" s="131"/>
      <s:c r="CC34" s="131"/>
      <s:c r="CD34" s="131"/>
      <s:c r="CE34" s="131"/>
      <s:c r="CF34" s="131"/>
      <s:c r="CG34" s="131"/>
      <s:c r="CH34" s="131"/>
      <s:c r="CI34" s="131"/>
      <s:c r="CJ34" s="131"/>
      <s:c r="CK34" s="131"/>
      <s:c r="CL34" s="131"/>
      <s:c r="CM34" s="131"/>
      <s:c r="CN34" s="131"/>
      <s:c r="CO34" s="131"/>
      <s:c r="CP34" s="131"/>
      <s:c r="CQ34" s="131"/>
      <s:c r="CR34" s="131"/>
      <s:c r="CS34" s="131"/>
      <s:c r="CT34" s="131"/>
      <s:c r="CU34" s="131"/>
      <s:c r="CV34" s="131"/>
      <s:c r="CW34" s="131"/>
      <s:c r="CX34" s="131"/>
      <s:c r="CY34" s="131"/>
      <s:c r="CZ34" s="131"/>
      <s:c r="DA34" s="131"/>
      <s:c r="DB34" s="131"/>
      <s:c r="DC34" s="131"/>
      <s:c r="DD34" s="131"/>
      <s:c r="DE34" s="131"/>
      <s:c r="DF34" s="131"/>
      <s:c r="DG34" s="131"/>
      <s:c r="DH34" s="131"/>
      <s:c r="DI34" s="131"/>
      <s:c r="DJ34" s="131"/>
      <s:c r="DK34" s="131"/>
      <s:c r="DL34" s="131"/>
      <s:c r="DM34" s="131"/>
      <s:c r="DN34" s="131"/>
      <s:c r="DO34" s="131"/>
      <s:c r="DP34" s="131"/>
      <s:c r="DQ34" s="131"/>
      <s:c r="DR34" s="131"/>
      <s:c r="DS34" s="131"/>
      <s:c r="DT34" s="131"/>
      <s:c r="DU34" s="131"/>
      <s:c r="DV34" s="131"/>
      <s:c r="DW34" s="131"/>
      <s:c r="DX34" s="131"/>
      <s:c r="DY34" s="131"/>
      <s:c r="DZ34" s="131"/>
      <s:c r="EA34" s="131"/>
      <s:c r="EB34" s="131"/>
      <s:c r="EC34" s="131"/>
      <s:c r="ED34" s="131"/>
      <s:c r="EE34" s="131"/>
      <s:c r="EF34" s="131"/>
      <s:c r="EG34" s="131"/>
      <s:c r="EH34" s="131"/>
      <s:c r="EI34" s="131"/>
      <s:c r="EJ34" s="131"/>
      <s:c r="EK34" s="131"/>
      <s:c r="EL34" s="131"/>
      <s:c r="EM34" s="131"/>
      <s:c r="EN34" s="131"/>
      <s:c r="EO34" s="131"/>
      <s:c r="EP34" s="131"/>
      <s:c r="EQ34" s="131"/>
      <s:c r="ER34" s="131"/>
      <s:c r="ES34" s="131"/>
      <s:c r="ET34" s="131"/>
      <s:c r="EU34" s="131"/>
      <s:c r="EV34" s="131"/>
      <s:c r="EW34" s="131"/>
      <s:c r="EX34" s="131"/>
      <s:c r="EY34" s="131"/>
      <s:c r="EZ34" s="131"/>
      <s:c r="FA34" s="131"/>
      <s:c r="FB34" s="131"/>
      <s:c r="FC34" s="131"/>
      <s:c r="FD34" s="131"/>
      <s:c r="FE34" s="131"/>
      <s:c r="FF34" s="131"/>
      <s:c r="FG34" s="131"/>
      <s:c r="FH34" s="131"/>
      <s:c r="FI34" s="131"/>
      <s:c r="FJ34" s="131"/>
      <s:c r="FK34" s="131"/>
      <s:c r="FL34" s="131"/>
      <s:c r="FM34" s="131"/>
      <s:c r="FN34" s="131"/>
      <s:c r="FO34" s="131"/>
      <s:c r="FP34" s="131"/>
      <s:c r="FQ34" s="131"/>
      <s:c r="FR34" s="131"/>
      <s:c r="FS34" s="131"/>
      <s:c r="FT34" s="131"/>
      <s:c r="FU34" s="131"/>
      <s:c r="FV34" s="131"/>
      <s:c r="FW34" s="131"/>
      <s:c r="FX34" s="131"/>
      <s:c r="FY34" s="131"/>
      <s:c r="FZ34" s="131"/>
      <s:c r="GA34" s="131"/>
      <s:c r="GB34" s="131"/>
      <s:c r="GC34" s="131"/>
      <s:c r="GD34" s="131"/>
      <s:c r="GE34" s="131"/>
      <s:c r="GF34" s="131"/>
      <s:c r="GG34" s="131"/>
      <s:c r="GH34" s="131"/>
      <s:c r="GI34" s="131"/>
      <s:c r="GJ34" s="131"/>
      <s:c r="GK34" s="131"/>
      <s:c r="GL34" s="131"/>
      <s:c r="GM34" s="131"/>
      <s:c r="GN34" s="131"/>
      <s:c r="GO34" s="131"/>
      <s:c r="GP34" s="131"/>
      <s:c r="GQ34" s="131"/>
      <s:c r="GR34" s="131"/>
      <s:c r="GS34" s="131"/>
      <s:c r="GT34" s="131"/>
      <s:c r="GU34" s="131"/>
      <s:c r="GV34" s="131"/>
      <s:c r="GW34" s="131"/>
      <s:c r="GX34" s="131"/>
      <s:c r="GY34" s="131"/>
      <s:c r="GZ34" s="131"/>
      <s:c r="HA34" s="131"/>
      <s:c r="HB34" s="131"/>
      <s:c r="HC34" s="131"/>
      <s:c r="HD34" s="131"/>
      <s:c r="HE34" s="131"/>
      <s:c r="HF34" s="131"/>
      <s:c r="HG34" s="131"/>
      <s:c r="HH34" s="131"/>
      <s:c r="HI34" s="131"/>
      <s:c r="HJ34" s="131"/>
      <s:c r="HK34" s="131"/>
      <s:c r="HL34" s="131"/>
      <s:c r="HM34" s="131"/>
      <s:c r="HN34" s="131"/>
      <s:c r="HO34" s="131"/>
      <s:c r="HP34" s="131"/>
      <s:c r="HQ34" s="131"/>
      <s:c r="HR34" s="131"/>
      <s:c r="HS34" s="131"/>
      <s:c r="HT34" s="131"/>
      <s:c r="HU34" s="131"/>
      <s:c r="HV34" s="131"/>
      <s:c r="HW34" s="131"/>
      <s:c r="HX34" s="131"/>
      <s:c r="HY34" s="131"/>
      <s:c r="HZ34" s="131"/>
      <s:c r="IA34" s="131"/>
      <s:c r="IB34" s="131"/>
      <s:c r="IC34" s="131"/>
      <s:c r="ID34" s="131"/>
      <s:c r="IE34" s="131"/>
      <s:c r="IF34" s="131"/>
      <s:c r="IG34" s="131"/>
      <s:c r="IH34" s="131"/>
      <s:c r="II34" s="131"/>
      <s:c r="IJ34" s="131"/>
      <s:c r="IK34" s="131"/>
      <s:c r="IL34" s="131"/>
      <s:c r="IM34" s="131"/>
      <s:c r="IN34" s="131"/>
      <s:c r="IO34" s="131"/>
      <s:c r="IP34" s="131"/>
      <s:c r="IQ34" s="131"/>
      <s:c r="IR34" s="131"/>
      <s:c r="IS34" s="131"/>
      <s:c r="IT34" s="131"/>
      <s:c r="IU34" s="131"/>
      <s:c r="IV34" s="131"/>
      <s:c r="IW34" s="131"/>
      <s:c r="IX34" s="131"/>
      <s:c r="IY34" s="131"/>
    </s:row>
    <s:row r="35">
      <s:c r="A35" s="819"/>
      <s:c r="B35" s="419"/>
      <s:c r="C35" s="820"/>
      <s:c r="D35" s="409"/>
      <s:c r="E35" s="410"/>
      <s:c r="F35" s="821" t="str">
        <s:f>IF(AND(E35&lt;&gt;"",E35&lt;&gt;0),D35/E35,"")</s:f>
        <s:v/>
      </s:c>
      <s:c r="G35" s="410"/>
      <s:c r="H35" s="821" t="str">
        <s:f>IF(AND(G35&lt;&gt;"",G35&lt;&gt;0),D35/G35,"")</s:f>
        <s:v/>
      </s:c>
      <s:c r="I35" s="410"/>
      <s:c r="J35" s="826" t="str">
        <s:f>IF(AND(G35&lt;&gt;"",G35&lt;&gt;0),E35/G35,"")</s:f>
        <s:v/>
      </s:c>
      <s:c r="K35" s="827"/>
      <s:c r="L35" s="827"/>
      <s:c r="M35" s="827"/>
      <s:c r="N35" s="827"/>
      <s:c r="O35" s="828"/>
      <s:c r="P35" s="411"/>
      <s:c r="Q35" s="411"/>
      <s:c r="R35" s="829" t="str">
        <s:f>IF(AND(I35&lt;&gt;"",I35&lt;&gt;0),G35/I35,"")</s:f>
        <s:v/>
      </s:c>
      <s:c r="S35" s="836">
        <s:f>D35/T35</s:f>
        <s:v>0</s:v>
      </s:c>
      <s:c r="T35" s="806">
        <s:f>$I$8*Z35*AA35/SUMPRODUCT($AA$25:$AA$57,$Z$25:$Z$57)</s:f>
        <s:v>21192.403694570519</s:v>
      </s:c>
      <s:c r="U35" s="837">
        <s:f>$I$9*Z35*AA35/SUMPRODUCT($AA$25:$AA$57,$Z$25:$Z$57)</s:f>
        <s:v>2.9190638697755538</s:v>
      </s:c>
      <s:c r="V35" s="807">
        <s:f>IF($I$12="","",U35/$I$12)</s:f>
        <s:v>1.5864477553128009</s:v>
      </s:c>
      <s:c r="W35" s="806" t="e">
        <s:f ca="1">IF(AA35&lt;&gt;"",IF(D35&lt;&gt;"",D35,($I$8-SUM($W$25:W34))*Z35*AA35/SUMPRODUCT($AA35:$AA$57,$Z35:$Z$57)),"")</s:f>
        <s:v>#REF!</s:v>
      </s:c>
      <s:c r="X35" s="807" t="e">
        <s:f ca="1">IF(AA35&lt;&gt;"",IF(E35&lt;&gt;"",E35,($I$9-SUM($X$25:X34))*Z35*AA35/SUMPRODUCT($AA35:$AA$57,$Z35:$Z$57)),"")</s:f>
        <s:v>#REF!</s:v>
      </s:c>
      <s:c r="Y35" s="807" t="e">
        <s:f ca="1">IF(AA35&lt;&gt;"",IF($I$12&lt;&gt;"",IF(G35&lt;&gt;"",G35,($I$9/$I$12-SUM($Y$25:Y34))*Z35*AA35/SUMPRODUCT($AA35:$AA$57,$Z35:$Z$57)),""),"")</s:f>
        <s:v>#REF!</s:v>
      </s:c>
      <s:c r="Z35" s="416">
        <s:v>1</s:v>
      </s:c>
      <s:c r="AA35" s="416">
        <s:v>1</s:v>
      </s:c>
      <s:c r="AB35" s="808"/>
      <s:c r="AC35" s="808"/>
      <s:c r="AD35" s="809"/>
      <s:c r="AE35" s="810"/>
      <s:c r="AF35" s="810"/>
      <s:c r="AG35" s="810"/>
      <s:c r="AH35" s="810"/>
      <s:c r="AI35" s="810"/>
      <s:c r="AJ35" s="810"/>
      <s:c r="AK35" s="810"/>
    </s:row>
    <s:row r="36">
      <s:c r="A36" s="838"/>
      <s:c r="B36" s="419"/>
      <s:c r="C36" s="824"/>
      <s:c r="D36" s="409"/>
      <s:c r="E36" s="410"/>
      <s:c r="F36" s="411" t="str">
        <s:f>IF(AND(E36&lt;&gt;"",E36&lt;&gt;0),D36/E36,"")</s:f>
        <s:v/>
      </s:c>
      <s:c r="G36" s="410"/>
      <s:c r="H36" s="411" t="str">
        <s:f>IF(AND(G36&lt;&gt;"",G36&lt;&gt;0),D36/G36,"")</s:f>
        <s:v/>
      </s:c>
      <s:c r="I36" s="410"/>
      <s:c r="J36" s="826" t="str">
        <s:f>IF(AND(G36&lt;&gt;"",G36&lt;&gt;0),E36/G36,"")</s:f>
        <s:v/>
      </s:c>
      <s:c r="K36" s="839"/>
      <s:c r="L36" s="839"/>
      <s:c r="M36" s="839"/>
      <s:c r="N36" s="839"/>
      <s:c r="O36" s="840"/>
      <s:c r="P36" s="841"/>
      <s:c r="Q36" s="841"/>
      <s:c r="R36" s="804" t="str">
        <s:f>IF(AND(I36&lt;&gt;"",I36&lt;&gt;0),G36/I36,"")</s:f>
        <s:v/>
      </s:c>
      <s:c r="S36" s="805">
        <s:f>D36/T36</s:f>
        <s:v>0</s:v>
      </s:c>
      <s:c r="T36" s="806">
        <s:f>$I$8*Z36*AA36/SUMPRODUCT($AA$25:$AA$57,$Z$25:$Z$57)</s:f>
        <s:v>21192.403694570519</s:v>
      </s:c>
      <s:c r="U36" s="807">
        <s:f>$I$9*Z36*AA36/SUMPRODUCT($AA$25:$AA$57,$Z$25:$Z$57)</s:f>
        <s:v>2.9190638697755538</s:v>
      </s:c>
      <s:c r="V36" s="807">
        <s:f>IF($I$12="","",U36/$I$12)</s:f>
        <s:v>1.5864477553128009</s:v>
      </s:c>
      <s:c r="W36" s="806" t="e">
        <s:f ca="1">IF(AA36&lt;&gt;"",IF(D36&lt;&gt;"",D36,($I$8-SUM($W$25:W35))*Z36*AA36/SUMPRODUCT($AA36:$AA$57,$Z36:$Z$57)),"")</s:f>
        <s:v>#REF!</s:v>
      </s:c>
      <s:c r="X36" s="807" t="e">
        <s:f ca="1">IF(AA36&lt;&gt;"",IF(E36&lt;&gt;"",E36,($I$9-SUM($X$25:X35))*Z36*AA36/SUMPRODUCT($AA36:$AA$57,$Z36:$Z$57)),"")</s:f>
        <s:v>#REF!</s:v>
      </s:c>
      <s:c r="Y36" s="807" t="e">
        <s:f ca="1">IF(AA36&lt;&gt;"",IF($I$12&lt;&gt;"",IF(G36&lt;&gt;"",G36,($I$9/$I$12-SUM($Y$25:Y35))*Z36*AA36/SUMPRODUCT($AA36:$AA$57,$Z36:$Z$57)),""),"")</s:f>
        <s:v>#REF!</s:v>
      </s:c>
      <s:c r="Z36" s="416">
        <s:v>1</s:v>
      </s:c>
      <s:c r="AA36" s="416">
        <s:v>1</s:v>
      </s:c>
      <s:c r="AB36" s="808"/>
      <s:c r="AC36" s="808"/>
      <s:c r="AD36" s="809"/>
      <s:c r="AE36" s="810"/>
      <s:c r="AF36" s="810"/>
      <s:c r="AG36" s="810"/>
      <s:c r="AH36" s="810"/>
      <s:c r="AI36" s="810"/>
      <s:c r="AJ36" s="810"/>
      <s:c r="AK36" s="810"/>
    </s:row>
    <s:row r="37">
      <s:c r="A37" s="838"/>
      <s:c r="B37" s="419"/>
      <s:c r="C37" s="820"/>
      <s:c r="D37" s="822"/>
      <s:c r="E37" s="411"/>
      <s:c r="F37" s="411" t="str">
        <s:f>IF(AND(E37&lt;&gt;"",E37&lt;&gt;0),D37/E37,"")</s:f>
        <s:v/>
      </s:c>
      <s:c r="G37" s="411"/>
      <s:c r="H37" s="411" t="str">
        <s:f>IF(AND(G37&lt;&gt;"",G37&lt;&gt;0),D37/G37,"")</s:f>
        <s:v/>
      </s:c>
      <s:c r="I37" s="411"/>
      <s:c r="J37" s="822" t="str">
        <s:f>IF(AND(G37&lt;&gt;"",G37&lt;&gt;0),E37/G37,"")</s:f>
        <s:v/>
      </s:c>
      <s:c r="K37" s="411"/>
      <s:c r="L37" s="411"/>
      <s:c r="M37" s="411"/>
      <s:c r="N37" s="411"/>
      <s:c r="O37" s="411"/>
      <s:c r="P37" s="411"/>
      <s:c r="Q37" s="411"/>
      <s:c r="R37" s="126" t="str">
        <s:f>IF(AND(I37&lt;&gt;"",I37&lt;&gt;0),G37/I37,"")</s:f>
        <s:v/>
      </s:c>
      <s:c r="S37" s="832">
        <s:f>D37/T37</s:f>
        <s:v>0</s:v>
      </s:c>
      <s:c r="T37" s="128">
        <s:f>$I$8*Z37*AA37/SUMPRODUCT($AA$25:$AA$57,$Z$25:$Z$57)</s:f>
        <s:v>21192.403694570519</s:v>
      </s:c>
      <s:c r="U37" s="833">
        <s:f>$I$9*Z37*AA37/SUMPRODUCT($AA$25:$AA$57,$Z$25:$Z$57)</s:f>
        <s:v>2.9190638697755538</s:v>
      </s:c>
      <s:c r="V37" s="129">
        <s:f>IF($I$12="","",U37/$I$12)</s:f>
        <s:v>1.5864477553128009</s:v>
      </s:c>
      <s:c r="W37" s="128" t="e">
        <s:f ca="1">IF(AA37&lt;&gt;"",IF(D37&lt;&gt;"",D37,($I$8-SUM($W$25:W36))*Z37*AA37/SUMPRODUCT($AA37:$AA$57,$Z37:$Z$57)),"")</s:f>
        <s:v>#REF!</s:v>
      </s:c>
      <s:c r="X37" s="129" t="e">
        <s:f ca="1">IF(AA37&lt;&gt;"",IF(E37&lt;&gt;"",E37,($I$9-SUM($X$25:X36))*Z37*AA37/SUMPRODUCT($AA37:$AA$57,$Z37:$Z$57)),"")</s:f>
        <s:v>#REF!</s:v>
      </s:c>
      <s:c r="Y37" s="129" t="e">
        <s:f ca="1">IF(AA37&lt;&gt;"",IF($I$12&lt;&gt;"",IF(G37&lt;&gt;"",G37,($I$9/$I$12-SUM($Y$25:Y36))*Z37*AA37/SUMPRODUCT($AA37:$AA$57,$Z37:$Z$57)),""),"")</s:f>
        <s:v>#REF!</s:v>
      </s:c>
      <s:c r="Z37" s="818">
        <s:v>1</s:v>
      </s:c>
      <s:c r="AA37" s="818">
        <s:v>1</s:v>
      </s:c>
      <s:c r="AB37" s="132"/>
      <s:c r="AC37" s="132"/>
      <s:c r="AD37" s="161"/>
      <s:c r="AE37" s="131"/>
      <s:c r="AF37" s="131"/>
      <s:c r="AG37" s="131"/>
      <s:c r="AH37" s="131"/>
      <s:c r="AI37" s="131"/>
      <s:c r="AJ37" s="131"/>
      <s:c r="AK37" s="131"/>
      <s:c r="AL37" s="131"/>
      <s:c r="AM37" s="131"/>
      <s:c r="AN37" s="131"/>
      <s:c r="AO37" s="131"/>
      <s:c r="AP37" s="131"/>
      <s:c r="AQ37" s="131"/>
      <s:c r="AR37" s="131"/>
      <s:c r="AS37" s="131"/>
      <s:c r="AT37" s="131"/>
      <s:c r="AU37" s="131"/>
      <s:c r="AV37" s="131"/>
      <s:c r="AW37" s="131"/>
      <s:c r="AX37" s="131"/>
      <s:c r="AY37" s="131"/>
      <s:c r="AZ37" s="131"/>
      <s:c r="BA37" s="131"/>
      <s:c r="BB37" s="131"/>
      <s:c r="BC37" s="131"/>
      <s:c r="BD37" s="131"/>
      <s:c r="BE37" s="131"/>
      <s:c r="BF37" s="131"/>
      <s:c r="BG37" s="131"/>
      <s:c r="BH37" s="131"/>
      <s:c r="BI37" s="131"/>
      <s:c r="BJ37" s="131"/>
      <s:c r="BK37" s="131"/>
      <s:c r="BL37" s="131"/>
      <s:c r="BM37" s="131"/>
      <s:c r="BN37" s="131"/>
      <s:c r="BO37" s="131"/>
      <s:c r="BP37" s="131"/>
      <s:c r="BQ37" s="131"/>
      <s:c r="BR37" s="131"/>
      <s:c r="BS37" s="131"/>
      <s:c r="BT37" s="131"/>
      <s:c r="BU37" s="131"/>
      <s:c r="BV37" s="131"/>
      <s:c r="BW37" s="131"/>
      <s:c r="BX37" s="131"/>
      <s:c r="BY37" s="131"/>
      <s:c r="BZ37" s="131"/>
      <s:c r="CA37" s="131"/>
      <s:c r="CB37" s="131"/>
      <s:c r="CC37" s="131"/>
      <s:c r="CD37" s="131"/>
      <s:c r="CE37" s="131"/>
      <s:c r="CF37" s="131"/>
      <s:c r="CG37" s="131"/>
      <s:c r="CH37" s="131"/>
      <s:c r="CI37" s="131"/>
      <s:c r="CJ37" s="131"/>
      <s:c r="CK37" s="131"/>
      <s:c r="CL37" s="131"/>
      <s:c r="CM37" s="131"/>
      <s:c r="CN37" s="131"/>
      <s:c r="CO37" s="131"/>
      <s:c r="CP37" s="131"/>
      <s:c r="CQ37" s="131"/>
      <s:c r="CR37" s="131"/>
      <s:c r="CS37" s="131"/>
      <s:c r="CT37" s="131"/>
      <s:c r="CU37" s="131"/>
      <s:c r="CV37" s="131"/>
      <s:c r="CW37" s="131"/>
      <s:c r="CX37" s="131"/>
      <s:c r="CY37" s="131"/>
      <s:c r="CZ37" s="131"/>
      <s:c r="DA37" s="131"/>
      <s:c r="DB37" s="131"/>
      <s:c r="DC37" s="131"/>
      <s:c r="DD37" s="131"/>
      <s:c r="DE37" s="131"/>
      <s:c r="DF37" s="131"/>
      <s:c r="DG37" s="131"/>
      <s:c r="DH37" s="131"/>
      <s:c r="DI37" s="131"/>
      <s:c r="DJ37" s="131"/>
      <s:c r="DK37" s="131"/>
      <s:c r="DL37" s="131"/>
      <s:c r="DM37" s="131"/>
      <s:c r="DN37" s="131"/>
      <s:c r="DO37" s="131"/>
      <s:c r="DP37" s="131"/>
      <s:c r="DQ37" s="131"/>
      <s:c r="DR37" s="131"/>
      <s:c r="DS37" s="131"/>
      <s:c r="DT37" s="131"/>
      <s:c r="DU37" s="131"/>
      <s:c r="DV37" s="131"/>
      <s:c r="DW37" s="131"/>
      <s:c r="DX37" s="131"/>
      <s:c r="DY37" s="131"/>
      <s:c r="DZ37" s="131"/>
      <s:c r="EA37" s="131"/>
      <s:c r="EB37" s="131"/>
      <s:c r="EC37" s="131"/>
      <s:c r="ED37" s="131"/>
      <s:c r="EE37" s="131"/>
      <s:c r="EF37" s="131"/>
      <s:c r="EG37" s="131"/>
      <s:c r="EH37" s="131"/>
      <s:c r="EI37" s="131"/>
      <s:c r="EJ37" s="131"/>
      <s:c r="EK37" s="131"/>
      <s:c r="EL37" s="131"/>
      <s:c r="EM37" s="131"/>
      <s:c r="EN37" s="131"/>
      <s:c r="EO37" s="131"/>
      <s:c r="EP37" s="131"/>
      <s:c r="EQ37" s="131"/>
      <s:c r="ER37" s="131"/>
      <s:c r="ES37" s="131"/>
      <s:c r="ET37" s="131"/>
      <s:c r="EU37" s="131"/>
      <s:c r="EV37" s="131"/>
      <s:c r="EW37" s="131"/>
      <s:c r="EX37" s="131"/>
      <s:c r="EY37" s="131"/>
      <s:c r="EZ37" s="131"/>
      <s:c r="FA37" s="131"/>
      <s:c r="FB37" s="131"/>
      <s:c r="FC37" s="131"/>
      <s:c r="FD37" s="131"/>
      <s:c r="FE37" s="131"/>
      <s:c r="FF37" s="131"/>
      <s:c r="FG37" s="131"/>
      <s:c r="FH37" s="131"/>
      <s:c r="FI37" s="131"/>
      <s:c r="FJ37" s="131"/>
      <s:c r="FK37" s="131"/>
      <s:c r="FL37" s="131"/>
      <s:c r="FM37" s="131"/>
      <s:c r="FN37" s="131"/>
      <s:c r="FO37" s="131"/>
      <s:c r="FP37" s="131"/>
      <s:c r="FQ37" s="131"/>
      <s:c r="FR37" s="131"/>
      <s:c r="FS37" s="131"/>
      <s:c r="FT37" s="131"/>
      <s:c r="FU37" s="131"/>
      <s:c r="FV37" s="131"/>
      <s:c r="FW37" s="131"/>
      <s:c r="FX37" s="131"/>
      <s:c r="FY37" s="131"/>
      <s:c r="FZ37" s="131"/>
      <s:c r="GA37" s="131"/>
      <s:c r="GB37" s="131"/>
      <s:c r="GC37" s="131"/>
      <s:c r="GD37" s="131"/>
      <s:c r="GE37" s="131"/>
      <s:c r="GF37" s="131"/>
      <s:c r="GG37" s="131"/>
      <s:c r="GH37" s="131"/>
      <s:c r="GI37" s="131"/>
      <s:c r="GJ37" s="131"/>
      <s:c r="GK37" s="131"/>
      <s:c r="GL37" s="131"/>
      <s:c r="GM37" s="131"/>
      <s:c r="GN37" s="131"/>
      <s:c r="GO37" s="131"/>
      <s:c r="GP37" s="131"/>
      <s:c r="GQ37" s="131"/>
      <s:c r="GR37" s="131"/>
      <s:c r="GS37" s="131"/>
      <s:c r="GT37" s="131"/>
      <s:c r="GU37" s="131"/>
      <s:c r="GV37" s="131"/>
      <s:c r="GW37" s="131"/>
      <s:c r="GX37" s="131"/>
      <s:c r="GY37" s="131"/>
      <s:c r="GZ37" s="131"/>
      <s:c r="HA37" s="131"/>
      <s:c r="HB37" s="131"/>
      <s:c r="HC37" s="131"/>
      <s:c r="HD37" s="131"/>
      <s:c r="HE37" s="131"/>
      <s:c r="HF37" s="131"/>
      <s:c r="HG37" s="131"/>
      <s:c r="HH37" s="131"/>
      <s:c r="HI37" s="131"/>
      <s:c r="HJ37" s="131"/>
      <s:c r="HK37" s="131"/>
      <s:c r="HL37" s="131"/>
      <s:c r="HM37" s="131"/>
      <s:c r="HN37" s="131"/>
      <s:c r="HO37" s="131"/>
      <s:c r="HP37" s="131"/>
      <s:c r="HQ37" s="131"/>
      <s:c r="HR37" s="131"/>
      <s:c r="HS37" s="131"/>
      <s:c r="HT37" s="131"/>
      <s:c r="HU37" s="131"/>
      <s:c r="HV37" s="131"/>
      <s:c r="HW37" s="131"/>
      <s:c r="HX37" s="131"/>
      <s:c r="HY37" s="131"/>
      <s:c r="HZ37" s="131"/>
      <s:c r="IA37" s="131"/>
      <s:c r="IB37" s="131"/>
      <s:c r="IC37" s="131"/>
      <s:c r="ID37" s="131"/>
      <s:c r="IE37" s="131"/>
      <s:c r="IF37" s="131"/>
      <s:c r="IG37" s="131"/>
      <s:c r="IH37" s="131"/>
      <s:c r="II37" s="131"/>
      <s:c r="IJ37" s="131"/>
      <s:c r="IK37" s="131"/>
      <s:c r="IL37" s="131"/>
      <s:c r="IM37" s="131"/>
      <s:c r="IN37" s="131"/>
      <s:c r="IO37" s="131"/>
      <s:c r="IP37" s="131"/>
      <s:c r="IQ37" s="131"/>
      <s:c r="IR37" s="131"/>
      <s:c r="IS37" s="131"/>
      <s:c r="IT37" s="131"/>
      <s:c r="IU37" s="131"/>
      <s:c r="IV37" s="131"/>
      <s:c r="IW37" s="131"/>
      <s:c r="IX37" s="131"/>
      <s:c r="IY37" s="131"/>
    </s:row>
    <s:row r="38">
      <s:c r="A38" s="838"/>
      <s:c r="B38" s="419"/>
      <s:c r="C38" s="408"/>
      <s:c r="D38" s="822"/>
      <s:c r="E38" s="411"/>
      <s:c r="F38" s="411" t="str">
        <s:f>IF(AND(E38&lt;&gt;"",E38&lt;&gt;0),D38/E38,"")</s:f>
        <s:v/>
      </s:c>
      <s:c r="G38" s="411"/>
      <s:c r="H38" s="411" t="str">
        <s:f>IF(AND(G38&lt;&gt;"",G38&lt;&gt;0),D38/G38,"")</s:f>
        <s:v/>
      </s:c>
      <s:c r="I38" s="411"/>
      <s:c r="J38" s="822" t="str">
        <s:f>IF(AND(G38&lt;&gt;"",G38&lt;&gt;0),E38/G38,"")</s:f>
        <s:v/>
      </s:c>
      <s:c r="K38" s="411"/>
      <s:c r="L38" s="411"/>
      <s:c r="M38" s="411"/>
      <s:c r="N38" s="411"/>
      <s:c r="O38" s="411"/>
      <s:c r="P38" s="411"/>
      <s:c r="Q38" s="411"/>
      <s:c r="R38" s="842" t="str">
        <s:f>IF(AND(I38&lt;&gt;"",I38&lt;&gt;0),G38/I38,"")</s:f>
        <s:v/>
      </s:c>
      <s:c r="S38" s="843">
        <s:f>D38/T38</s:f>
        <s:v>0</s:v>
      </s:c>
      <s:c r="T38" s="128">
        <s:f>$I$8*Z38*AA38/SUMPRODUCT($AA$25:$AA$47,$Z$25:$Z$47)</s:f>
        <s:v>23303.79614828137</s:v>
      </s:c>
      <s:c r="U38" s="129">
        <s:f>$I$9*Z38*AA38/SUMPRODUCT($AA$25:$AA$47,$Z$25:$Z$47)</s:f>
        <s:v>3.209889276622778</s:v>
      </s:c>
      <s:c r="V38" s="129">
        <s:f>IF($I$12="","",U38/$I$12)</s:f>
        <s:v>1.7445050416428141</s:v>
      </s:c>
      <s:c r="W38" s="128" t="e">
        <s:f ca="1">IF(AA38&lt;&gt;"",IF(D38&lt;&gt;"",D38,($I$8-SUM($W$25:W37))*Z38*AA38/SUMPRODUCT($AA38:$AA$57,$Z38:$Z$57)),"")</s:f>
        <s:v>#REF!</s:v>
      </s:c>
      <s:c r="X38" s="129" t="e">
        <s:f ca="1">IF(AA38&lt;&gt;"",IF(E38&lt;&gt;"",E38,($I$9-SUM($X$25:X37))*Z38*AA38/SUMPRODUCT($AA38:$AA$57,$Z38:$Z$57)),"")</s:f>
        <s:v>#REF!</s:v>
      </s:c>
      <s:c r="Y38" s="129" t="e">
        <s:f ca="1">IF(AA38&lt;&gt;"",IF($I$12&lt;&gt;"",IF(G38&lt;&gt;"",G38,($I$9/$I$12-SUM($Y$25:Y37))*Z38*AA38/SUMPRODUCT($AA38:$AA$57,$Z38:$Z$57)),""),"")</s:f>
        <s:v>#REF!</s:v>
      </s:c>
      <s:c r="Z38" s="818">
        <s:v>1</s:v>
      </s:c>
      <s:c r="AA38" s="818">
        <s:v>1</s:v>
      </s:c>
      <s:c r="AB38" s="844"/>
      <s:c r="AC38" s="844"/>
    </s:row>
    <s:row r="39">
      <s:c r="A39" s="838"/>
      <s:c r="B39" s="419"/>
      <s:c r="C39" s="408"/>
      <s:c r="D39" s="822"/>
      <s:c r="E39" s="411"/>
      <s:c r="F39" s="411" t="str">
        <s:f>IF(AND(E39&lt;&gt;"",E39&lt;&gt;0),D39/E39,"")</s:f>
        <s:v/>
      </s:c>
      <s:c r="G39" s="411"/>
      <s:c r="H39" s="411" t="str">
        <s:f>IF(AND(G39&lt;&gt;"",G39&lt;&gt;0),D39/G39,"")</s:f>
        <s:v/>
      </s:c>
      <s:c r="I39" s="411"/>
      <s:c r="J39" s="822" t="str">
        <s:f>IF(AND(G39&lt;&gt;"",G39&lt;&gt;0),E39/G39,"")</s:f>
        <s:v/>
      </s:c>
      <s:c r="K39" s="411"/>
      <s:c r="L39" s="411"/>
      <s:c r="M39" s="411"/>
      <s:c r="N39" s="411"/>
      <s:c r="O39" s="411"/>
      <s:c r="P39" s="411"/>
      <s:c r="Q39" s="411"/>
      <s:c r="R39" s="842" t="str">
        <s:f>IF(AND(I39&lt;&gt;"",I39&lt;&gt;0),G39/I39,"")</s:f>
        <s:v/>
      </s:c>
      <s:c r="S39" s="843">
        <s:f>D39/T39</s:f>
        <s:v>0</s:v>
      </s:c>
      <s:c r="T39" s="128">
        <s:f>$I$8*Z39*AA39/SUMPRODUCT($AA$25:$AA$47,$Z$25:$Z$47)</s:f>
        <s:v>23303.79614828137</s:v>
      </s:c>
      <s:c r="U39" s="129">
        <s:f>$I$9*Z39*AA39/SUMPRODUCT($AA$25:$AA$47,$Z$25:$Z$47)</s:f>
        <s:v>3.209889276622778</s:v>
      </s:c>
      <s:c r="V39" s="129">
        <s:f>IF($I$12="","",U39/$I$12)</s:f>
        <s:v>1.7445050416428141</s:v>
      </s:c>
      <s:c r="W39" s="128" t="e">
        <s:f ca="1">IF(AA39&lt;&gt;"",IF(D39&lt;&gt;"",D39,($I$8-SUM($W$25:W38))*Z39*AA39/SUMPRODUCT($AA39:$AA$57,$Z39:$Z$57)),"")</s:f>
        <s:v>#REF!</s:v>
      </s:c>
      <s:c r="X39" s="129" t="e">
        <s:f ca="1">IF(AA39&lt;&gt;"",IF(E39&lt;&gt;"",E39,($I$9-SUM($X$25:X38))*Z39*AA39/SUMPRODUCT($AA39:$AA$57,$Z39:$Z$57)),"")</s:f>
        <s:v>#REF!</s:v>
      </s:c>
      <s:c r="Y39" s="129" t="e">
        <s:f ca="1">IF(AA39&lt;&gt;"",IF($I$12&lt;&gt;"",IF(G39&lt;&gt;"",G39,($I$9/$I$12-SUM($Y$25:Y38))*Z39*AA39/SUMPRODUCT($AA39:$AA$57,$Z39:$Z$57)),""),"")</s:f>
        <s:v>#REF!</s:v>
      </s:c>
      <s:c r="Z39" s="818">
        <s:v>1</s:v>
      </s:c>
      <s:c r="AA39" s="818">
        <s:v>1</s:v>
      </s:c>
      <s:c r="AB39" s="844"/>
      <s:c r="AC39" s="844"/>
      <s:c r="AD39" s="845"/>
    </s:row>
    <s:row r="40">
      <s:c r="A40" s="838"/>
      <s:c r="B40" s="419"/>
      <s:c r="C40" s="408"/>
      <s:c r="D40" s="822"/>
      <s:c r="E40" s="411"/>
      <s:c r="F40" s="411" t="str">
        <s:f>IF(AND(E40&lt;&gt;"",E40&lt;&gt;0),D40/E40,"")</s:f>
        <s:v/>
      </s:c>
      <s:c r="G40" s="411"/>
      <s:c r="H40" s="411" t="str">
        <s:f>IF(AND(G40&lt;&gt;"",G40&lt;&gt;0),D40/G40,"")</s:f>
        <s:v/>
      </s:c>
      <s:c r="I40" s="411"/>
      <s:c r="J40" s="822" t="str">
        <s:f>IF(AND(G40&lt;&gt;"",G40&lt;&gt;0),E40/G40,"")</s:f>
        <s:v/>
      </s:c>
      <s:c r="K40" s="411"/>
      <s:c r="L40" s="411"/>
      <s:c r="M40" s="411"/>
      <s:c r="N40" s="411"/>
      <s:c r="O40" s="411"/>
      <s:c r="P40" s="411"/>
      <s:c r="Q40" s="411"/>
      <s:c r="R40" s="842" t="str">
        <s:f>IF(AND(I40&lt;&gt;"",I40&lt;&gt;0),G40/I40,"")</s:f>
        <s:v/>
      </s:c>
      <s:c r="S40" s="843">
        <s:f>D40/T40</s:f>
        <s:v>0</s:v>
      </s:c>
      <s:c r="T40" s="128">
        <s:f>$I$8*Z40*AA40/SUMPRODUCT($AA$25:$AA$47,$Z$25:$Z$47)</s:f>
        <s:v>23303.79614828137</s:v>
      </s:c>
      <s:c r="U40" s="129">
        <s:f>$I$9*Z40*AA40/SUMPRODUCT($AA$25:$AA$47,$Z$25:$Z$47)</s:f>
        <s:v>3.209889276622778</s:v>
      </s:c>
      <s:c r="V40" s="129">
        <s:f>IF($I$12="","",U40/$I$12)</s:f>
        <s:v>1.7445050416428141</s:v>
      </s:c>
      <s:c r="W40" s="128" t="e">
        <s:f ca="1">IF(AA40&lt;&gt;"",IF(D40&lt;&gt;"",D40,($I$8-SUM($W$25:W39))*Z40*AA40/SUMPRODUCT($AA40:$AA$57,$Z40:$Z$57)),"")</s:f>
        <s:v>#REF!</s:v>
      </s:c>
      <s:c r="X40" s="129" t="e">
        <s:f ca="1">IF(AA40&lt;&gt;"",IF(E40&lt;&gt;"",E40,($I$9-SUM($X$25:X39))*Z40*AA40/SUMPRODUCT($AA40:$AA$57,$Z40:$Z$57)),"")</s:f>
        <s:v>#REF!</s:v>
      </s:c>
      <s:c r="Y40" s="129" t="e">
        <s:f ca="1">IF(AA40&lt;&gt;"",IF($I$12&lt;&gt;"",IF(G40&lt;&gt;"",G40,($I$9/$I$12-SUM($Y$25:Y39))*Z40*AA40/SUMPRODUCT($AA40:$AA$57,$Z40:$Z$57)),""),"")</s:f>
        <s:v>#REF!</s:v>
      </s:c>
      <s:c r="Z40" s="818">
        <s:v>1</s:v>
      </s:c>
      <s:c r="AA40" s="818">
        <s:v>1</s:v>
      </s:c>
      <s:c r="AB40" s="844"/>
      <s:c r="AC40" s="844"/>
      <s:c r="AD40" s="845"/>
    </s:row>
    <s:row r="41">
      <s:c r="A41" s="838"/>
      <s:c r="B41" s="419"/>
      <s:c r="C41" s="408"/>
      <s:c r="D41" s="822"/>
      <s:c r="E41" s="411"/>
      <s:c r="F41" s="411" t="str">
        <s:f>IF(AND(E41&lt;&gt;"",E41&lt;&gt;0),D41/E41,"")</s:f>
        <s:v/>
      </s:c>
      <s:c r="G41" s="411"/>
      <s:c r="H41" s="411" t="str">
        <s:f>IF(AND(G41&lt;&gt;"",G41&lt;&gt;0),D41/G41,"")</s:f>
        <s:v/>
      </s:c>
      <s:c r="I41" s="411"/>
      <s:c r="J41" s="822" t="str">
        <s:f>IF(AND(G41&lt;&gt;"",G41&lt;&gt;0),E41/G41,"")</s:f>
        <s:v/>
      </s:c>
      <s:c r="K41" s="823"/>
      <s:c r="L41" s="823"/>
      <s:c r="M41" s="823"/>
      <s:c r="N41" s="823"/>
      <s:c r="O41" s="823"/>
      <s:c r="P41" s="828"/>
      <s:c r="Q41" s="828"/>
      <s:c r="R41" s="126" t="str">
        <s:f>IF(AND(I41&lt;&gt;"",I41&lt;&gt;0),G41/I41,"")</s:f>
        <s:v/>
      </s:c>
      <s:c r="S41" s="127">
        <s:f>D41/T41</s:f>
        <s:v>0</s:v>
      </s:c>
      <s:c r="T41" s="128">
        <s:f>$I$8*Z41*AA41/SUMPRODUCT($AA$25:$AA$55,$Z$25:$Z$55)</s:f>
        <s:v>21192.403694570519</s:v>
      </s:c>
      <s:c r="U41" s="129">
        <s:f>$I$9*Z41*AA41/SUMPRODUCT($AA$25:$AA$55,$Z$25:$Z$55)</s:f>
        <s:v>2.9190638697755538</s:v>
      </s:c>
      <s:c r="V41" s="129">
        <s:f>IF($I$12="","",U41/$I$12)</s:f>
        <s:v>1.5864477553128009</s:v>
      </s:c>
      <s:c r="W41" s="128" t="e">
        <s:f ca="1">IF(AA41&lt;&gt;"",IF(D41&lt;&gt;"",D41,($I$8-SUM($W$25:W40))*Z41*AA41/SUMPRODUCT($AA41:$AA$55,$Z41:$Z$55)),"")</s:f>
        <s:v>#REF!</s:v>
      </s:c>
      <s:c r="X41" s="129" t="e">
        <s:f ca="1">IF(AA41&lt;&gt;"",IF(E41&lt;&gt;"",E41,($I$9-SUM($X$25:X40))*Z41*AA41/SUMPRODUCT($AA41:$AA$55,$Z41:$Z$55)),"")</s:f>
        <s:v>#REF!</s:v>
      </s:c>
      <s:c r="Y41" s="129" t="e">
        <s:f ca="1">IF(AA41&lt;&gt;"",IF($I$12&lt;&gt;"",IF(G41&lt;&gt;"",G41,($I$9/$I$12-SUM($Y$25:Y40))*Z41*AA41/SUMPRODUCT($AA41:$AA$55,$Z41:$Z$55)),""),"")</s:f>
        <s:v>#REF!</s:v>
      </s:c>
      <s:c r="Z41" s="130">
        <s:v>1</s:v>
      </s:c>
      <s:c r="AA41" s="130">
        <s:v>1</s:v>
      </s:c>
      <s:c r="AB41" s="132"/>
      <s:c r="AC41" s="132"/>
      <s:c r="AD41" s="161"/>
      <s:c r="AE41" s="131"/>
      <s:c r="AF41" s="131"/>
      <s:c r="AG41" s="131"/>
      <s:c r="AH41" s="131"/>
      <s:c r="AI41" s="131"/>
      <s:c r="AJ41" s="131"/>
      <s:c r="AK41" s="131"/>
      <s:c r="AL41" s="131"/>
      <s:c r="AM41" s="131"/>
      <s:c r="AN41" s="131"/>
      <s:c r="AO41" s="131"/>
      <s:c r="AP41" s="131"/>
      <s:c r="AQ41" s="131"/>
      <s:c r="AR41" s="131"/>
      <s:c r="AS41" s="131"/>
      <s:c r="AT41" s="131"/>
      <s:c r="AU41" s="131"/>
      <s:c r="AV41" s="131"/>
      <s:c r="AW41" s="131"/>
      <s:c r="AX41" s="131"/>
      <s:c r="AY41" s="131"/>
      <s:c r="AZ41" s="131"/>
      <s:c r="BA41" s="131"/>
      <s:c r="BB41" s="131"/>
      <s:c r="BC41" s="131"/>
      <s:c r="BD41" s="131"/>
      <s:c r="BE41" s="131"/>
      <s:c r="BF41" s="131"/>
      <s:c r="BG41" s="131"/>
      <s:c r="BH41" s="131"/>
      <s:c r="BI41" s="131"/>
      <s:c r="BJ41" s="131"/>
      <s:c r="BK41" s="131"/>
      <s:c r="BL41" s="131"/>
      <s:c r="BM41" s="131"/>
      <s:c r="BN41" s="131"/>
      <s:c r="BO41" s="131"/>
      <s:c r="BP41" s="131"/>
      <s:c r="BQ41" s="131"/>
      <s:c r="BR41" s="131"/>
      <s:c r="BS41" s="131"/>
      <s:c r="BT41" s="131"/>
      <s:c r="BU41" s="131"/>
      <s:c r="BV41" s="131"/>
      <s:c r="BW41" s="131"/>
      <s:c r="BX41" s="131"/>
      <s:c r="BY41" s="131"/>
      <s:c r="BZ41" s="131"/>
      <s:c r="CA41" s="131"/>
      <s:c r="CB41" s="131"/>
      <s:c r="CC41" s="131"/>
      <s:c r="CD41" s="131"/>
      <s:c r="CE41" s="131"/>
      <s:c r="CF41" s="131"/>
      <s:c r="CG41" s="131"/>
      <s:c r="CH41" s="131"/>
      <s:c r="CI41" s="131"/>
      <s:c r="CJ41" s="131"/>
      <s:c r="CK41" s="131"/>
      <s:c r="CL41" s="131"/>
      <s:c r="CM41" s="131"/>
      <s:c r="CN41" s="131"/>
      <s:c r="CO41" s="131"/>
      <s:c r="CP41" s="131"/>
      <s:c r="CQ41" s="131"/>
      <s:c r="CR41" s="131"/>
      <s:c r="CS41" s="131"/>
      <s:c r="CT41" s="131"/>
      <s:c r="CU41" s="131"/>
      <s:c r="CV41" s="131"/>
      <s:c r="CW41" s="131"/>
      <s:c r="CX41" s="131"/>
      <s:c r="CY41" s="131"/>
      <s:c r="CZ41" s="131"/>
      <s:c r="DA41" s="131"/>
      <s:c r="DB41" s="131"/>
      <s:c r="DC41" s="131"/>
      <s:c r="DD41" s="131"/>
      <s:c r="DE41" s="131"/>
      <s:c r="DF41" s="131"/>
      <s:c r="DG41" s="131"/>
      <s:c r="DH41" s="131"/>
      <s:c r="DI41" s="131"/>
      <s:c r="DJ41" s="131"/>
      <s:c r="DK41" s="131"/>
      <s:c r="DL41" s="131"/>
      <s:c r="DM41" s="131"/>
      <s:c r="DN41" s="131"/>
      <s:c r="DO41" s="131"/>
      <s:c r="DP41" s="131"/>
      <s:c r="DQ41" s="131"/>
      <s:c r="DR41" s="131"/>
      <s:c r="DS41" s="131"/>
      <s:c r="DT41" s="131"/>
      <s:c r="DU41" s="131"/>
      <s:c r="DV41" s="131"/>
      <s:c r="DW41" s="131"/>
      <s:c r="DX41" s="131"/>
      <s:c r="DY41" s="131"/>
      <s:c r="DZ41" s="131"/>
      <s:c r="EA41" s="131"/>
      <s:c r="EB41" s="131"/>
      <s:c r="EC41" s="131"/>
      <s:c r="ED41" s="131"/>
      <s:c r="EE41" s="131"/>
      <s:c r="EF41" s="131"/>
      <s:c r="EG41" s="131"/>
      <s:c r="EH41" s="131"/>
      <s:c r="EI41" s="131"/>
      <s:c r="EJ41" s="131"/>
      <s:c r="EK41" s="131"/>
      <s:c r="EL41" s="131"/>
      <s:c r="EM41" s="131"/>
      <s:c r="EN41" s="131"/>
      <s:c r="EO41" s="131"/>
      <s:c r="EP41" s="131"/>
      <s:c r="EQ41" s="131"/>
      <s:c r="ER41" s="131"/>
      <s:c r="ES41" s="131"/>
      <s:c r="ET41" s="131"/>
      <s:c r="EU41" s="131"/>
      <s:c r="EV41" s="131"/>
      <s:c r="EW41" s="131"/>
      <s:c r="EX41" s="131"/>
      <s:c r="EY41" s="131"/>
      <s:c r="EZ41" s="131"/>
      <s:c r="FA41" s="131"/>
      <s:c r="FB41" s="131"/>
      <s:c r="FC41" s="131"/>
      <s:c r="FD41" s="131"/>
      <s:c r="FE41" s="131"/>
      <s:c r="FF41" s="131"/>
      <s:c r="FG41" s="131"/>
      <s:c r="FH41" s="131"/>
      <s:c r="FI41" s="131"/>
      <s:c r="FJ41" s="131"/>
      <s:c r="FK41" s="131"/>
      <s:c r="FL41" s="131"/>
      <s:c r="FM41" s="131"/>
      <s:c r="FN41" s="131"/>
      <s:c r="FO41" s="131"/>
      <s:c r="FP41" s="131"/>
      <s:c r="FQ41" s="131"/>
      <s:c r="FR41" s="131"/>
      <s:c r="FS41" s="131"/>
      <s:c r="FT41" s="131"/>
      <s:c r="FU41" s="131"/>
      <s:c r="FV41" s="131"/>
      <s:c r="FW41" s="131"/>
      <s:c r="FX41" s="131"/>
      <s:c r="FY41" s="131"/>
      <s:c r="FZ41" s="131"/>
      <s:c r="GA41" s="131"/>
      <s:c r="GB41" s="131"/>
      <s:c r="GC41" s="131"/>
      <s:c r="GD41" s="131"/>
      <s:c r="GE41" s="131"/>
      <s:c r="GF41" s="131"/>
      <s:c r="GG41" s="131"/>
      <s:c r="GH41" s="131"/>
      <s:c r="GI41" s="131"/>
      <s:c r="GJ41" s="131"/>
      <s:c r="GK41" s="131"/>
      <s:c r="GL41" s="131"/>
      <s:c r="GM41" s="131"/>
      <s:c r="GN41" s="131"/>
      <s:c r="GO41" s="131"/>
      <s:c r="GP41" s="131"/>
      <s:c r="GQ41" s="131"/>
      <s:c r="GR41" s="131"/>
      <s:c r="GS41" s="131"/>
      <s:c r="GT41" s="131"/>
      <s:c r="GU41" s="131"/>
      <s:c r="GV41" s="131"/>
      <s:c r="GW41" s="131"/>
      <s:c r="GX41" s="131"/>
      <s:c r="GY41" s="131"/>
      <s:c r="GZ41" s="131"/>
      <s:c r="HA41" s="131"/>
      <s:c r="HB41" s="131"/>
      <s:c r="HC41" s="131"/>
      <s:c r="HD41" s="131"/>
      <s:c r="HE41" s="131"/>
      <s:c r="HF41" s="131"/>
      <s:c r="HG41" s="131"/>
      <s:c r="HH41" s="131"/>
      <s:c r="HI41" s="131"/>
      <s:c r="HJ41" s="131"/>
      <s:c r="HK41" s="131"/>
      <s:c r="HL41" s="131"/>
      <s:c r="HM41" s="131"/>
      <s:c r="HN41" s="131"/>
      <s:c r="HO41" s="131"/>
      <s:c r="HP41" s="131"/>
      <s:c r="HQ41" s="131"/>
      <s:c r="HR41" s="131"/>
      <s:c r="HS41" s="131"/>
      <s:c r="HT41" s="131"/>
      <s:c r="HU41" s="131"/>
      <s:c r="HV41" s="131"/>
      <s:c r="HW41" s="131"/>
      <s:c r="HX41" s="131"/>
      <s:c r="HY41" s="131"/>
      <s:c r="HZ41" s="131"/>
      <s:c r="IA41" s="131"/>
      <s:c r="IB41" s="131"/>
      <s:c r="IC41" s="131"/>
      <s:c r="ID41" s="131"/>
      <s:c r="IE41" s="131"/>
      <s:c r="IF41" s="131"/>
      <s:c r="IG41" s="131"/>
      <s:c r="IH41" s="131"/>
      <s:c r="II41" s="131"/>
      <s:c r="IJ41" s="131"/>
      <s:c r="IK41" s="131"/>
      <s:c r="IL41" s="131"/>
      <s:c r="IM41" s="131"/>
      <s:c r="IN41" s="131"/>
      <s:c r="IO41" s="131"/>
      <s:c r="IP41" s="131"/>
      <s:c r="IQ41" s="131"/>
      <s:c r="IR41" s="131"/>
      <s:c r="IS41" s="131"/>
      <s:c r="IT41" s="131"/>
      <s:c r="IU41" s="131"/>
      <s:c r="IV41" s="131"/>
      <s:c r="IW41" s="131"/>
      <s:c r="IX41" s="131"/>
      <s:c r="IY41" s="131"/>
    </s:row>
    <s:row r="42">
      <s:c r="A42" s="838"/>
      <s:c r="B42" s="419"/>
      <s:c r="C42" s="846"/>
      <s:c r="D42" s="822"/>
      <s:c r="E42" s="411"/>
      <s:c r="F42" s="411" t="str">
        <s:f>IF(AND(E42&lt;&gt;"",E42&lt;&gt;0),D42/E42,"")</s:f>
        <s:v/>
      </s:c>
      <s:c r="G42" s="411"/>
      <s:c r="H42" s="411" t="str">
        <s:f>IF(AND(G42&lt;&gt;"",G42&lt;&gt;0),D42/G42,"")</s:f>
        <s:v/>
      </s:c>
      <s:c r="I42" s="411"/>
      <s:c r="J42" s="822" t="str">
        <s:f>IF(AND(G42&lt;&gt;"",G42&lt;&gt;0),E42/G42,"")</s:f>
        <s:v/>
      </s:c>
      <s:c r="K42" s="823"/>
      <s:c r="L42" s="823"/>
      <s:c r="M42" s="823"/>
      <s:c r="N42" s="823"/>
      <s:c r="O42" s="823"/>
      <s:c r="P42" s="828"/>
      <s:c r="Q42" s="828"/>
      <s:c r="R42" s="126" t="str">
        <s:f>IF(AND(I42&lt;&gt;"",I42&lt;&gt;0),G42/I42,"")</s:f>
        <s:v/>
      </s:c>
      <s:c r="S42" s="127">
        <s:f>D42/T42</s:f>
        <s:v>0</s:v>
      </s:c>
      <s:c r="T42" s="128">
        <s:f>$I$8*Z42*AA42/SUMPRODUCT($AA$25:$AA$55,$Z$25:$Z$55)</s:f>
        <s:v>21192.403694570519</s:v>
      </s:c>
      <s:c r="U42" s="129">
        <s:f>$I$9*Z42*AA42/SUMPRODUCT($AA$25:$AA$55,$Z$25:$Z$55)</s:f>
        <s:v>2.9190638697755538</s:v>
      </s:c>
      <s:c r="V42" s="129">
        <s:f>IF($I$12="","",U42/$I$12)</s:f>
        <s:v>1.5864477553128009</s:v>
      </s:c>
      <s:c r="W42" s="128" t="e">
        <s:f ca="1">IF(AA42&lt;&gt;"",IF(D42&lt;&gt;"",D42,($I$8-SUM($W$25:W41))*Z42*AA42/SUMPRODUCT($AA42:$AA$55,$Z42:$Z$55)),"")</s:f>
        <s:v>#REF!</s:v>
      </s:c>
      <s:c r="X42" s="129" t="e">
        <s:f ca="1">IF(AA42&lt;&gt;"",IF(E42&lt;&gt;"",E42,($I$9-SUM($X$25:X41))*Z42*AA42/SUMPRODUCT($AA42:$AA$55,$Z42:$Z$55)),"")</s:f>
        <s:v>#REF!</s:v>
      </s:c>
      <s:c r="Y42" s="129" t="e">
        <s:f ca="1">IF(AA42&lt;&gt;"",IF($I$12&lt;&gt;"",IF(G42&lt;&gt;"",G42,($I$9/$I$12-SUM($Y$25:Y41))*Z42*AA42/SUMPRODUCT($AA42:$AA$55,$Z42:$Z$55)),""),"")</s:f>
        <s:v>#REF!</s:v>
      </s:c>
      <s:c r="Z42" s="130">
        <s:v>1</s:v>
      </s:c>
      <s:c r="AA42" s="130">
        <s:v>1</s:v>
      </s:c>
      <s:c r="AB42" s="132"/>
      <s:c r="AC42" s="132"/>
      <s:c r="AD42" s="161"/>
      <s:c r="AE42" s="131"/>
      <s:c r="AF42" s="131"/>
      <s:c r="AG42" s="131"/>
      <s:c r="AH42" s="131"/>
      <s:c r="AI42" s="131"/>
      <s:c r="AJ42" s="131"/>
      <s:c r="AK42" s="131"/>
      <s:c r="AL42" s="131"/>
      <s:c r="AM42" s="131"/>
      <s:c r="AN42" s="131"/>
    </s:row>
    <s:row r="43">
      <s:c r="A43" s="838"/>
      <s:c r="B43" s="419"/>
      <s:c r="C43" s="408"/>
      <s:c r="D43" s="822"/>
      <s:c r="E43" s="411"/>
      <s:c r="F43" s="411" t="str">
        <s:f>IF(AND(E43&lt;&gt;"",E43&lt;&gt;0),D43/E43,"")</s:f>
        <s:v/>
      </s:c>
      <s:c r="G43" s="411"/>
      <s:c r="H43" s="411" t="str">
        <s:f>IF(AND(G43&lt;&gt;"",G43&lt;&gt;0),D43/G43,"")</s:f>
        <s:v/>
      </s:c>
      <s:c r="I43" s="411"/>
      <s:c r="J43" s="822" t="str">
        <s:f>IF(AND(G43&lt;&gt;"",G43&lt;&gt;0),E43/G43,"")</s:f>
        <s:v/>
      </s:c>
      <s:c r="K43" s="823"/>
      <s:c r="L43" s="823"/>
      <s:c r="M43" s="823"/>
      <s:c r="N43" s="823"/>
      <s:c r="O43" s="823"/>
      <s:c r="P43" s="828"/>
      <s:c r="Q43" s="847"/>
      <s:c r="R43" s="126" t="str">
        <s:f>IF(AND(I43&lt;&gt;"",I43&lt;&gt;0),G43/I43,"")</s:f>
        <s:v/>
      </s:c>
      <s:c r="S43" s="127">
        <s:f>D43/T43</s:f>
        <s:v>0</s:v>
      </s:c>
      <s:c r="T43" s="128">
        <s:f>$I$8*Z43*AA43/SUMPRODUCT($AA$25:$AA$55,$Z$25:$Z$55)</s:f>
        <s:v>21192.403694570519</s:v>
      </s:c>
      <s:c r="U43" s="129">
        <s:f>$I$9*Z43*AA43/SUMPRODUCT($AA$25:$AA$55,$Z$25:$Z$55)</s:f>
        <s:v>2.9190638697755538</s:v>
      </s:c>
      <s:c r="V43" s="129">
        <s:f>IF($I$12="","",U43/$I$12)</s:f>
        <s:v>1.5864477553128009</s:v>
      </s:c>
      <s:c r="W43" s="128" t="e">
        <s:f ca="1">IF(AA43&lt;&gt;"",IF(D43&lt;&gt;"",D43,($I$8-SUM($W$25:W42))*Z43*AA43/SUMPRODUCT($AA43:$AA$55,$Z43:$Z$55)),"")</s:f>
        <s:v>#REF!</s:v>
      </s:c>
      <s:c r="X43" s="129" t="e">
        <s:f ca="1">IF(AA43&lt;&gt;"",IF(E43&lt;&gt;"",E43,($I$9-SUM($X$25:X42))*Z43*AA43/SUMPRODUCT($AA43:$AA$55,$Z43:$Z$55)),"")</s:f>
        <s:v>#REF!</s:v>
      </s:c>
      <s:c r="Y43" s="129" t="e">
        <s:f ca="1">IF(AA43&lt;&gt;"",IF($I$12&lt;&gt;"",IF(G43&lt;&gt;"",G43,($I$9/$I$12-SUM($Y$25:Y42))*Z43*AA43/SUMPRODUCT($AA43:$AA$55,$Z43:$Z$55)),""),"")</s:f>
        <s:v>#REF!</s:v>
      </s:c>
      <s:c r="Z43" s="130">
        <s:v>1</s:v>
      </s:c>
      <s:c r="AA43" s="130">
        <s:v>1</s:v>
      </s:c>
      <s:c r="AB43" s="132"/>
      <s:c r="AC43" s="132"/>
      <s:c r="AD43" s="161"/>
      <s:c r="AE43" s="131"/>
      <s:c r="AF43" s="131"/>
      <s:c r="AG43" s="131"/>
      <s:c r="AH43" s="131"/>
      <s:c r="AI43" s="131"/>
      <s:c r="AJ43" s="131"/>
      <s:c r="AK43" s="131"/>
      <s:c r="AL43" s="131"/>
      <s:c r="AM43" s="131"/>
      <s:c r="AN43" s="131"/>
    </s:row>
    <s:row r="44">
      <s:c r="A44" s="838"/>
      <s:c r="B44" s="419"/>
      <s:c r="C44" s="846"/>
      <s:c r="D44" s="822"/>
      <s:c r="E44" s="411"/>
      <s:c r="F44" s="411" t="str">
        <s:f>IF(AND(E44&lt;&gt;"",E44&lt;&gt;0),D44/E44,"")</s:f>
        <s:v/>
      </s:c>
      <s:c r="G44" s="411"/>
      <s:c r="H44" s="411" t="str">
        <s:f>IF(AND(G44&lt;&gt;"",G44&lt;&gt;0),D44/G44,"")</s:f>
        <s:v/>
      </s:c>
      <s:c r="I44" s="411"/>
      <s:c r="J44" s="822" t="str">
        <s:f>IF(AND(G44&lt;&gt;"",G44&lt;&gt;0),E44/G44,"")</s:f>
        <s:v/>
      </s:c>
      <s:c r="K44" s="823"/>
      <s:c r="L44" s="823"/>
      <s:c r="M44" s="823"/>
      <s:c r="N44" s="823"/>
      <s:c r="O44" s="823"/>
      <s:c r="P44" s="828"/>
      <s:c r="Q44" s="828"/>
      <s:c r="R44" s="126" t="str">
        <s:f>IF(AND(I44&lt;&gt;"",I44&lt;&gt;0),G44/I44,"")</s:f>
        <s:v/>
      </s:c>
      <s:c r="S44" s="127">
        <s:f>D44/T44</s:f>
        <s:v>0</s:v>
      </s:c>
      <s:c r="T44" s="128">
        <s:f>$I$8*Z44*AA44/SUMPRODUCT($AA$25:$AA$55,$Z$25:$Z$55)</s:f>
        <s:v>30517.061320181543</s:v>
      </s:c>
      <s:c r="U44" s="129">
        <s:f>$I$9*Z44*AA44/SUMPRODUCT($AA$25:$AA$55,$Z$25:$Z$55)</s:f>
        <s:v>4.2034519724767971</s:v>
      </s:c>
      <s:c r="V44" s="129">
        <s:f>IF($I$12="","",U44/$I$12)</s:f>
        <s:v>2.284484767650433</s:v>
      </s:c>
      <s:c r="W44" s="128" t="e">
        <s:f ca="1">IF(AA44&lt;&gt;"",IF(D44&lt;&gt;"",D44,($I$8-SUM($W$25:W43))*Z44*AA44/SUMPRODUCT($AA44:$AA$55,$Z44:$Z$55)),"")</s:f>
        <s:v>#REF!</s:v>
      </s:c>
      <s:c r="X44" s="129" t="e">
        <s:f ca="1">IF(AA44&lt;&gt;"",IF(E44&lt;&gt;"",E44,($I$9-SUM($X$25:X43))*Z44*AA44/SUMPRODUCT($AA44:$AA$55,$Z44:$Z$55)),"")</s:f>
        <s:v>#REF!</s:v>
      </s:c>
      <s:c r="Y44" s="129" t="e">
        <s:f ca="1">IF(AA44&lt;&gt;"",IF($I$12&lt;&gt;"",IF(G44&lt;&gt;"",G44,($I$9/$I$12-SUM($Y$25:Y43))*Z44*AA44/SUMPRODUCT($AA44:$AA$55,$Z44:$Z$55)),""),"")</s:f>
        <s:v>#REF!</s:v>
      </s:c>
      <s:c r="Z44" s="130">
        <s:v>1.2</s:v>
      </s:c>
      <s:c r="AA44" s="130">
        <s:v>1.2</s:v>
      </s:c>
      <s:c r="AB44" s="132"/>
      <s:c r="AC44" s="132"/>
      <s:c r="AD44" s="161"/>
      <s:c r="AE44" s="131"/>
      <s:c r="AF44" s="131"/>
      <s:c r="AG44" s="131"/>
      <s:c r="AH44" s="131"/>
      <s:c r="AI44" s="131"/>
      <s:c r="AJ44" s="131"/>
      <s:c r="AK44" s="131"/>
      <s:c r="AL44" s="131"/>
      <s:c r="AM44" s="131"/>
      <s:c r="AN44" s="131"/>
    </s:row>
    <s:row r="45">
      <s:c r="A45" s="838"/>
      <s:c r="B45" s="419"/>
      <s:c r="C45" s="408"/>
      <s:c r="D45" s="822"/>
      <s:c r="E45" s="411"/>
      <s:c r="F45" s="411" t="str">
        <s:f>IF(AND(E45&lt;&gt;"",E45&lt;&gt;0),D45/E45,"")</s:f>
        <s:v/>
      </s:c>
      <s:c r="G45" s="411"/>
      <s:c r="H45" s="411" t="str">
        <s:f>IF(AND(G45&lt;&gt;"",G45&lt;&gt;0),D45/G45,"")</s:f>
        <s:v/>
      </s:c>
      <s:c r="I45" s="411"/>
      <s:c r="J45" s="822" t="str">
        <s:f>IF(AND(G45&lt;&gt;"",G45&lt;&gt;0),E45/G45,"")</s:f>
        <s:v/>
      </s:c>
      <s:c r="K45" s="823"/>
      <s:c r="L45" s="823"/>
      <s:c r="M45" s="823"/>
      <s:c r="N45" s="823"/>
      <s:c r="O45" s="823"/>
      <s:c r="P45" s="828"/>
      <s:c r="Q45" s="828"/>
      <s:c r="R45" s="126" t="str">
        <s:f>IF(AND(I45&lt;&gt;"",I45&lt;&gt;0),G45/I45,"")</s:f>
        <s:v/>
      </s:c>
      <s:c r="S45" s="127">
        <s:f>D45/T45</s:f>
        <s:v>0</s:v>
      </s:c>
      <s:c r="T45" s="128">
        <s:f>$I$8*Z45*AA45/SUMPRODUCT($AA$25:$AA$55,$Z$25:$Z$55)</s:f>
        <s:v>30517.061320181543</s:v>
      </s:c>
      <s:c r="U45" s="129">
        <s:f>$I$9*Z45*AA45/SUMPRODUCT($AA$25:$AA$55,$Z$25:$Z$55)</s:f>
        <s:v>4.2034519724767971</s:v>
      </s:c>
      <s:c r="V45" s="129">
        <s:f>IF($I$12="","",U45/$I$12)</s:f>
        <s:v>2.284484767650433</s:v>
      </s:c>
      <s:c r="W45" s="128" t="e">
        <s:f ca="1">IF(AA45&lt;&gt;"",IF(D45&lt;&gt;"",D45,($I$8-SUM($W$25:W44))*Z45*AA45/SUMPRODUCT($AA45:$AA$55,$Z45:$Z$55)),"")</s:f>
        <s:v>#REF!</s:v>
      </s:c>
      <s:c r="X45" s="129" t="e">
        <s:f ca="1">IF(AA45&lt;&gt;"",IF(E45&lt;&gt;"",E45,($I$9-SUM($X$25:X44))*Z45*AA45/SUMPRODUCT($AA45:$AA$55,$Z45:$Z$55)),"")</s:f>
        <s:v>#REF!</s:v>
      </s:c>
      <s:c r="Y45" s="129" t="e">
        <s:f ca="1">IF(AA45&lt;&gt;"",IF($I$12&lt;&gt;"",IF(G45&lt;&gt;"",G45,($I$9/$I$12-SUM($Y$25:Y44))*Z45*AA45/SUMPRODUCT($AA45:$AA$55,$Z45:$Z$55)),""),"")</s:f>
        <s:v>#REF!</s:v>
      </s:c>
      <s:c r="Z45" s="130">
        <s:v>1.2</s:v>
      </s:c>
      <s:c r="AA45" s="130">
        <s:v>1.2</s:v>
      </s:c>
      <s:c r="AB45" s="132"/>
      <s:c r="AC45" s="132"/>
      <s:c r="AD45" s="161"/>
      <s:c r="AE45" s="131"/>
      <s:c r="AF45" s="131"/>
      <s:c r="AG45" s="131"/>
      <s:c r="AH45" s="131"/>
      <s:c r="AI45" s="131"/>
      <s:c r="AJ45" s="131"/>
      <s:c r="AK45" s="131"/>
      <s:c r="AL45" s="131"/>
      <s:c r="AM45" s="131"/>
      <s:c r="AN45" s="131"/>
    </s:row>
    <s:row r="46">
      <s:c r="A46" s="838"/>
      <s:c r="B46" s="419"/>
      <s:c r="C46" s="846"/>
      <s:c r="D46" s="822"/>
      <s:c r="E46" s="411"/>
      <s:c r="F46" s="411" t="str">
        <s:f>IF(AND(E46&lt;&gt;"",E46&lt;&gt;0),D46/E46,"")</s:f>
        <s:v/>
      </s:c>
      <s:c r="G46" s="411"/>
      <s:c r="H46" s="411" t="str">
        <s:f>IF(AND(G46&lt;&gt;"",G46&lt;&gt;0),D46/G46,"")</s:f>
        <s:v/>
      </s:c>
      <s:c r="I46" s="411"/>
      <s:c r="J46" s="822" t="str">
        <s:f>IF(AND(G46&lt;&gt;"",G46&lt;&gt;0),E46/G46,"")</s:f>
        <s:v/>
      </s:c>
      <s:c r="K46" s="823"/>
      <s:c r="L46" s="823"/>
      <s:c r="M46" s="823"/>
      <s:c r="N46" s="823"/>
      <s:c r="O46" s="823"/>
      <s:c r="P46" s="828"/>
      <s:c r="Q46" s="828"/>
      <s:c r="R46" s="126" t="str">
        <s:f>IF(AND(I46&lt;&gt;"",I46&lt;&gt;0),G46/I46,"")</s:f>
        <s:v/>
      </s:c>
      <s:c r="S46" s="127">
        <s:f>D46/T46</s:f>
        <s:v>0</s:v>
      </s:c>
      <s:c r="T46" s="128">
        <s:f>$I$8*Z46*AA46/SUMPRODUCT($AA$25:$AA$55,$Z$25:$Z$55)</s:f>
        <s:v>30517.061320181543</s:v>
      </s:c>
      <s:c r="U46" s="129">
        <s:f>$I$9*Z46*AA46/SUMPRODUCT($AA$25:$AA$55,$Z$25:$Z$55)</s:f>
        <s:v>4.2034519724767971</s:v>
      </s:c>
      <s:c r="V46" s="129">
        <s:f>IF($I$12="","",U46/$I$12)</s:f>
        <s:v>2.284484767650433</s:v>
      </s:c>
      <s:c r="W46" s="128" t="e">
        <s:f ca="1">IF(AA46&lt;&gt;"",IF(D46&lt;&gt;"",D46,($I$8-SUM($W$25:W45))*Z46*AA46/SUMPRODUCT($AA46:$AA$55,$Z46:$Z$55)),"")</s:f>
        <s:v>#REF!</s:v>
      </s:c>
      <s:c r="X46" s="129" t="e">
        <s:f ca="1">IF(AA46&lt;&gt;"",IF(E46&lt;&gt;"",E46,($I$9-SUM($X$25:X45))*Z46*AA46/SUMPRODUCT($AA46:$AA$55,$Z46:$Z$55)),"")</s:f>
        <s:v>#REF!</s:v>
      </s:c>
      <s:c r="Y46" s="129" t="e">
        <s:f ca="1">IF(AA46&lt;&gt;"",IF($I$12&lt;&gt;"",IF(G46&lt;&gt;"",G46,($I$9/$I$12-SUM($Y$25:Y45))*Z46*AA46/SUMPRODUCT($AA46:$AA$55,$Z46:$Z$55)),""),"")</s:f>
        <s:v>#REF!</s:v>
      </s:c>
      <s:c r="Z46" s="130">
        <s:v>1.2</s:v>
      </s:c>
      <s:c r="AA46" s="130">
        <s:v>1.2</s:v>
      </s:c>
      <s:c r="AB46" s="132"/>
      <s:c r="AC46" s="132"/>
      <s:c r="AD46" s="161"/>
      <s:c r="AE46" s="131"/>
      <s:c r="AF46" s="131"/>
      <s:c r="AG46" s="131"/>
      <s:c r="AH46" s="131"/>
      <s:c r="AI46" s="131"/>
      <s:c r="AJ46" s="131"/>
      <s:c r="AK46" s="131"/>
      <s:c r="AL46" s="131"/>
      <s:c r="AM46" s="131"/>
      <s:c r="AN46" s="131"/>
      <s:c r="AO46" s="131"/>
      <s:c r="AP46" s="131"/>
      <s:c r="AQ46" s="131"/>
      <s:c r="AR46" s="131"/>
      <s:c r="AS46" s="131"/>
      <s:c r="AT46" s="131"/>
      <s:c r="AU46" s="131"/>
      <s:c r="AV46" s="131"/>
      <s:c r="AW46" s="131"/>
      <s:c r="AX46" s="131"/>
      <s:c r="AY46" s="131"/>
      <s:c r="AZ46" s="131"/>
      <s:c r="BA46" s="131"/>
      <s:c r="BB46" s="131"/>
      <s:c r="BC46" s="131"/>
      <s:c r="BD46" s="131"/>
      <s:c r="BE46" s="131"/>
      <s:c r="BF46" s="131"/>
      <s:c r="BG46" s="131"/>
      <s:c r="BH46" s="131"/>
      <s:c r="BI46" s="131"/>
      <s:c r="BJ46" s="131"/>
      <s:c r="BK46" s="131"/>
      <s:c r="BL46" s="131"/>
      <s:c r="BM46" s="131"/>
      <s:c r="BN46" s="131"/>
      <s:c r="BO46" s="131"/>
      <s:c r="BP46" s="131"/>
      <s:c r="BQ46" s="131"/>
      <s:c r="BR46" s="131"/>
      <s:c r="BS46" s="131"/>
      <s:c r="BT46" s="131"/>
      <s:c r="BU46" s="131"/>
      <s:c r="BV46" s="131"/>
      <s:c r="BW46" s="131"/>
      <s:c r="BX46" s="131"/>
      <s:c r="BY46" s="131"/>
      <s:c r="BZ46" s="131"/>
      <s:c r="CA46" s="131"/>
      <s:c r="CB46" s="131"/>
      <s:c r="CC46" s="131"/>
      <s:c r="CD46" s="131"/>
      <s:c r="CE46" s="131"/>
      <s:c r="CF46" s="131"/>
      <s:c r="CG46" s="131"/>
      <s:c r="CH46" s="131"/>
      <s:c r="CI46" s="131"/>
      <s:c r="CJ46" s="131"/>
      <s:c r="CK46" s="131"/>
      <s:c r="CL46" s="131"/>
      <s:c r="CM46" s="131"/>
      <s:c r="CN46" s="131"/>
      <s:c r="CO46" s="131"/>
      <s:c r="CP46" s="131"/>
      <s:c r="CQ46" s="131"/>
      <s:c r="CR46" s="131"/>
      <s:c r="CS46" s="131"/>
      <s:c r="CT46" s="131"/>
      <s:c r="CU46" s="131"/>
      <s:c r="CV46" s="131"/>
      <s:c r="CW46" s="131"/>
      <s:c r="CX46" s="131"/>
      <s:c r="CY46" s="131"/>
      <s:c r="CZ46" s="131"/>
      <s:c r="DA46" s="131"/>
      <s:c r="DB46" s="131"/>
      <s:c r="DC46" s="131"/>
      <s:c r="DD46" s="131"/>
      <s:c r="DE46" s="131"/>
      <s:c r="DF46" s="131"/>
      <s:c r="DG46" s="131"/>
      <s:c r="DH46" s="131"/>
      <s:c r="DI46" s="131"/>
      <s:c r="DJ46" s="131"/>
      <s:c r="DK46" s="131"/>
      <s:c r="DL46" s="131"/>
      <s:c r="DM46" s="131"/>
      <s:c r="DN46" s="131"/>
      <s:c r="DO46" s="131"/>
      <s:c r="DP46" s="131"/>
      <s:c r="DQ46" s="131"/>
      <s:c r="DR46" s="131"/>
      <s:c r="DS46" s="131"/>
      <s:c r="DT46" s="131"/>
      <s:c r="DU46" s="131"/>
      <s:c r="DV46" s="131"/>
      <s:c r="DW46" s="131"/>
      <s:c r="DX46" s="131"/>
      <s:c r="DY46" s="131"/>
      <s:c r="DZ46" s="131"/>
      <s:c r="EA46" s="131"/>
      <s:c r="EB46" s="131"/>
      <s:c r="EC46" s="131"/>
      <s:c r="ED46" s="131"/>
      <s:c r="EE46" s="131"/>
      <s:c r="EF46" s="131"/>
      <s:c r="EG46" s="131"/>
      <s:c r="EH46" s="131"/>
      <s:c r="EI46" s="131"/>
      <s:c r="EJ46" s="131"/>
      <s:c r="EK46" s="131"/>
      <s:c r="EL46" s="131"/>
      <s:c r="EM46" s="131"/>
      <s:c r="EN46" s="131"/>
      <s:c r="EO46" s="131"/>
      <s:c r="EP46" s="131"/>
      <s:c r="EQ46" s="131"/>
      <s:c r="ER46" s="131"/>
      <s:c r="ES46" s="131"/>
      <s:c r="ET46" s="131"/>
      <s:c r="EU46" s="131"/>
      <s:c r="EV46" s="131"/>
      <s:c r="EW46" s="131"/>
      <s:c r="EX46" s="131"/>
      <s:c r="EY46" s="131"/>
      <s:c r="EZ46" s="131"/>
      <s:c r="FA46" s="131"/>
      <s:c r="FB46" s="131"/>
      <s:c r="FC46" s="131"/>
      <s:c r="FD46" s="131"/>
      <s:c r="FE46" s="131"/>
      <s:c r="FF46" s="131"/>
      <s:c r="FG46" s="131"/>
      <s:c r="FH46" s="131"/>
      <s:c r="FI46" s="131"/>
      <s:c r="FJ46" s="131"/>
      <s:c r="FK46" s="131"/>
      <s:c r="FL46" s="131"/>
      <s:c r="FM46" s="131"/>
      <s:c r="FN46" s="131"/>
      <s:c r="FO46" s="131"/>
      <s:c r="FP46" s="131"/>
      <s:c r="FQ46" s="131"/>
      <s:c r="FR46" s="131"/>
      <s:c r="FS46" s="131"/>
      <s:c r="FT46" s="131"/>
      <s:c r="FU46" s="131"/>
      <s:c r="FV46" s="131"/>
      <s:c r="FW46" s="131"/>
      <s:c r="FX46" s="131"/>
      <s:c r="FY46" s="131"/>
      <s:c r="FZ46" s="131"/>
      <s:c r="GA46" s="131"/>
      <s:c r="GB46" s="131"/>
      <s:c r="GC46" s="131"/>
      <s:c r="GD46" s="131"/>
      <s:c r="GE46" s="131"/>
      <s:c r="GF46" s="131"/>
      <s:c r="GG46" s="131"/>
      <s:c r="GH46" s="131"/>
      <s:c r="GI46" s="131"/>
      <s:c r="GJ46" s="131"/>
      <s:c r="GK46" s="131"/>
      <s:c r="GL46" s="131"/>
      <s:c r="GM46" s="131"/>
      <s:c r="GN46" s="131"/>
      <s:c r="GO46" s="131"/>
      <s:c r="GP46" s="131"/>
      <s:c r="GQ46" s="131"/>
      <s:c r="GR46" s="131"/>
      <s:c r="GS46" s="131"/>
      <s:c r="GT46" s="131"/>
      <s:c r="GU46" s="131"/>
      <s:c r="GV46" s="131"/>
      <s:c r="GW46" s="131"/>
      <s:c r="GX46" s="131"/>
      <s:c r="GY46" s="131"/>
      <s:c r="GZ46" s="131"/>
      <s:c r="HA46" s="131"/>
      <s:c r="HB46" s="131"/>
      <s:c r="HC46" s="131"/>
      <s:c r="HD46" s="131"/>
      <s:c r="HE46" s="131"/>
      <s:c r="HF46" s="131"/>
      <s:c r="HG46" s="131"/>
      <s:c r="HH46" s="131"/>
      <s:c r="HI46" s="131"/>
      <s:c r="HJ46" s="131"/>
      <s:c r="HK46" s="131"/>
      <s:c r="HL46" s="131"/>
      <s:c r="HM46" s="131"/>
      <s:c r="HN46" s="131"/>
      <s:c r="HO46" s="131"/>
      <s:c r="HP46" s="131"/>
      <s:c r="HQ46" s="131"/>
      <s:c r="HR46" s="131"/>
      <s:c r="HS46" s="131"/>
      <s:c r="HT46" s="131"/>
      <s:c r="HU46" s="131"/>
      <s:c r="HV46" s="131"/>
      <s:c r="HW46" s="131"/>
      <s:c r="HX46" s="131"/>
      <s:c r="HY46" s="131"/>
      <s:c r="HZ46" s="131"/>
      <s:c r="IA46" s="131"/>
      <s:c r="IB46" s="131"/>
      <s:c r="IC46" s="131"/>
      <s:c r="ID46" s="131"/>
      <s:c r="IE46" s="131"/>
      <s:c r="IF46" s="131"/>
      <s:c r="IG46" s="131"/>
      <s:c r="IH46" s="131"/>
      <s:c r="II46" s="131"/>
      <s:c r="IJ46" s="131"/>
      <s:c r="IK46" s="131"/>
      <s:c r="IL46" s="131"/>
      <s:c r="IM46" s="131"/>
      <s:c r="IN46" s="131"/>
      <s:c r="IO46" s="131"/>
      <s:c r="IP46" s="131"/>
      <s:c r="IQ46" s="131"/>
      <s:c r="IR46" s="131"/>
      <s:c r="IS46" s="131"/>
      <s:c r="IT46" s="131"/>
      <s:c r="IU46" s="131"/>
      <s:c r="IV46" s="131"/>
      <s:c r="IW46" s="131"/>
      <s:c r="IX46" s="131"/>
      <s:c r="IY46" s="131"/>
    </s:row>
    <s:row r="47">
      <s:c r="A47" s="838"/>
      <s:c r="B47" s="419"/>
      <s:c r="C47" s="408"/>
      <s:c r="D47" s="822"/>
      <s:c r="E47" s="411"/>
      <s:c r="F47" s="411" t="str">
        <s:f>IF(AND(E47&lt;&gt;"",E47&lt;&gt;0),D47/E47,"")</s:f>
        <s:v/>
      </s:c>
      <s:c r="G47" s="411"/>
      <s:c r="H47" s="411" t="str">
        <s:f>IF(AND(G47&lt;&gt;"",G47&lt;&gt;0),D47/G47,"")</s:f>
        <s:v/>
      </s:c>
      <s:c r="I47" s="411"/>
      <s:c r="J47" s="822" t="str">
        <s:f>IF(AND(G47&lt;&gt;"",G47&lt;&gt;0),E47/G47,"")</s:f>
        <s:v/>
      </s:c>
      <s:c r="K47" s="823"/>
      <s:c r="L47" s="823"/>
      <s:c r="M47" s="823"/>
      <s:c r="N47" s="823"/>
      <s:c r="O47" s="823"/>
      <s:c r="P47" s="828"/>
      <s:c r="Q47" s="828"/>
      <s:c r="R47" s="126" t="str">
        <s:f>IF(AND(I47&lt;&gt;"",I47&lt;&gt;0),G47/I47,"")</s:f>
        <s:v/>
      </s:c>
      <s:c r="S47" s="127">
        <s:f>D47/T47</s:f>
        <s:v>0</s:v>
      </s:c>
      <s:c r="T47" s="128">
        <s:f>$I$8*Z47*AA47/SUMPRODUCT($AA$25:$AA$55,$Z$25:$Z$55)</s:f>
        <s:v>30517.061320181543</s:v>
      </s:c>
      <s:c r="U47" s="129">
        <s:f>$I$9*Z47*AA47/SUMPRODUCT($AA$25:$AA$55,$Z$25:$Z$55)</s:f>
        <s:v>4.2034519724767971</s:v>
      </s:c>
      <s:c r="V47" s="129">
        <s:f>IF($I$12="","",U47/$I$12)</s:f>
        <s:v>2.284484767650433</s:v>
      </s:c>
      <s:c r="W47" s="128" t="e">
        <s:f ca="1">IF(AA47&lt;&gt;"",IF(D47&lt;&gt;"",D47,($I$8-SUM($W$25:W46))*Z47*AA47/SUMPRODUCT($AA47:$AA$55,$Z47:$Z$55)),"")</s:f>
        <s:v>#REF!</s:v>
      </s:c>
      <s:c r="X47" s="129" t="e">
        <s:f ca="1">IF(AA47&lt;&gt;"",IF(E47&lt;&gt;"",E47,($I$9-SUM($X$25:X46))*Z47*AA47/SUMPRODUCT($AA47:$AA$55,$Z47:$Z$55)),"")</s:f>
        <s:v>#REF!</s:v>
      </s:c>
      <s:c r="Y47" s="129" t="e">
        <s:f ca="1">IF(AA47&lt;&gt;"",IF($I$12&lt;&gt;"",IF(G47&lt;&gt;"",G47,($I$9/$I$12-SUM($Y$25:Y46))*Z47*AA47/SUMPRODUCT($AA47:$AA$55,$Z47:$Z$55)),""),"")</s:f>
        <s:v>#REF!</s:v>
      </s:c>
      <s:c r="Z47" s="130">
        <s:v>1.2</s:v>
      </s:c>
      <s:c r="AA47" s="130">
        <s:v>1.2</s:v>
      </s:c>
      <s:c r="AB47" s="132"/>
      <s:c r="AC47" s="132"/>
      <s:c r="AD47" s="161"/>
      <s:c r="AE47" s="131"/>
      <s:c r="AF47" s="131"/>
      <s:c r="AG47" s="131"/>
      <s:c r="AH47" s="131"/>
      <s:c r="AI47" s="131"/>
      <s:c r="AJ47" s="131"/>
      <s:c r="AK47" s="131"/>
      <s:c r="AL47" s="131"/>
      <s:c r="AM47" s="131"/>
      <s:c r="AN47" s="131"/>
      <s:c r="AO47" s="131"/>
      <s:c r="AP47" s="131"/>
      <s:c r="AQ47" s="131"/>
      <s:c r="AR47" s="131"/>
      <s:c r="AS47" s="131"/>
      <s:c r="AT47" s="131"/>
      <s:c r="AU47" s="131"/>
      <s:c r="AV47" s="131"/>
      <s:c r="AW47" s="131"/>
      <s:c r="AX47" s="131"/>
      <s:c r="AY47" s="131"/>
      <s:c r="AZ47" s="131"/>
      <s:c r="BA47" s="131"/>
      <s:c r="BB47" s="131"/>
      <s:c r="BC47" s="131"/>
      <s:c r="BD47" s="131"/>
      <s:c r="BE47" s="131"/>
      <s:c r="BF47" s="131"/>
      <s:c r="BG47" s="131"/>
      <s:c r="BH47" s="131"/>
      <s:c r="BI47" s="131"/>
      <s:c r="BJ47" s="131"/>
      <s:c r="BK47" s="131"/>
      <s:c r="BL47" s="131"/>
      <s:c r="BM47" s="131"/>
      <s:c r="BN47" s="131"/>
      <s:c r="BO47" s="131"/>
      <s:c r="BP47" s="131"/>
      <s:c r="BQ47" s="131"/>
      <s:c r="BR47" s="131"/>
      <s:c r="BS47" s="131"/>
      <s:c r="BT47" s="131"/>
      <s:c r="BU47" s="131"/>
      <s:c r="BV47" s="131"/>
      <s:c r="BW47" s="131"/>
      <s:c r="BX47" s="131"/>
      <s:c r="BY47" s="131"/>
      <s:c r="BZ47" s="131"/>
      <s:c r="CA47" s="131"/>
      <s:c r="CB47" s="131"/>
      <s:c r="CC47" s="131"/>
      <s:c r="CD47" s="131"/>
      <s:c r="CE47" s="131"/>
      <s:c r="CF47" s="131"/>
      <s:c r="CG47" s="131"/>
      <s:c r="CH47" s="131"/>
      <s:c r="CI47" s="131"/>
      <s:c r="CJ47" s="131"/>
      <s:c r="CK47" s="131"/>
      <s:c r="CL47" s="131"/>
      <s:c r="CM47" s="131"/>
      <s:c r="CN47" s="131"/>
      <s:c r="CO47" s="131"/>
      <s:c r="CP47" s="131"/>
      <s:c r="CQ47" s="131"/>
      <s:c r="CR47" s="131"/>
      <s:c r="CS47" s="131"/>
      <s:c r="CT47" s="131"/>
      <s:c r="CU47" s="131"/>
      <s:c r="CV47" s="131"/>
      <s:c r="CW47" s="131"/>
      <s:c r="CX47" s="131"/>
      <s:c r="CY47" s="131"/>
      <s:c r="CZ47" s="131"/>
      <s:c r="DA47" s="131"/>
      <s:c r="DB47" s="131"/>
      <s:c r="DC47" s="131"/>
      <s:c r="DD47" s="131"/>
      <s:c r="DE47" s="131"/>
      <s:c r="DF47" s="131"/>
      <s:c r="DG47" s="131"/>
      <s:c r="DH47" s="131"/>
      <s:c r="DI47" s="131"/>
      <s:c r="DJ47" s="131"/>
      <s:c r="DK47" s="131"/>
      <s:c r="DL47" s="131"/>
      <s:c r="DM47" s="131"/>
      <s:c r="DN47" s="131"/>
      <s:c r="DO47" s="131"/>
      <s:c r="DP47" s="131"/>
      <s:c r="DQ47" s="131"/>
      <s:c r="DR47" s="131"/>
      <s:c r="DS47" s="131"/>
      <s:c r="DT47" s="131"/>
      <s:c r="DU47" s="131"/>
      <s:c r="DV47" s="131"/>
      <s:c r="DW47" s="131"/>
      <s:c r="DX47" s="131"/>
      <s:c r="DY47" s="131"/>
      <s:c r="DZ47" s="131"/>
      <s:c r="EA47" s="131"/>
      <s:c r="EB47" s="131"/>
      <s:c r="EC47" s="131"/>
      <s:c r="ED47" s="131"/>
      <s:c r="EE47" s="131"/>
      <s:c r="EF47" s="131"/>
      <s:c r="EG47" s="131"/>
      <s:c r="EH47" s="131"/>
      <s:c r="EI47" s="131"/>
      <s:c r="EJ47" s="131"/>
      <s:c r="EK47" s="131"/>
      <s:c r="EL47" s="131"/>
      <s:c r="EM47" s="131"/>
      <s:c r="EN47" s="131"/>
      <s:c r="EO47" s="131"/>
      <s:c r="EP47" s="131"/>
      <s:c r="EQ47" s="131"/>
      <s:c r="ER47" s="131"/>
      <s:c r="ES47" s="131"/>
      <s:c r="ET47" s="131"/>
      <s:c r="EU47" s="131"/>
      <s:c r="EV47" s="131"/>
      <s:c r="EW47" s="131"/>
      <s:c r="EX47" s="131"/>
      <s:c r="EY47" s="131"/>
      <s:c r="EZ47" s="131"/>
      <s:c r="FA47" s="131"/>
      <s:c r="FB47" s="131"/>
      <s:c r="FC47" s="131"/>
      <s:c r="FD47" s="131"/>
      <s:c r="FE47" s="131"/>
      <s:c r="FF47" s="131"/>
      <s:c r="FG47" s="131"/>
      <s:c r="FH47" s="131"/>
      <s:c r="FI47" s="131"/>
      <s:c r="FJ47" s="131"/>
      <s:c r="FK47" s="131"/>
      <s:c r="FL47" s="131"/>
      <s:c r="FM47" s="131"/>
      <s:c r="FN47" s="131"/>
      <s:c r="FO47" s="131"/>
      <s:c r="FP47" s="131"/>
      <s:c r="FQ47" s="131"/>
      <s:c r="FR47" s="131"/>
      <s:c r="FS47" s="131"/>
      <s:c r="FT47" s="131"/>
      <s:c r="FU47" s="131"/>
      <s:c r="FV47" s="131"/>
      <s:c r="FW47" s="131"/>
      <s:c r="FX47" s="131"/>
      <s:c r="FY47" s="131"/>
      <s:c r="FZ47" s="131"/>
      <s:c r="GA47" s="131"/>
      <s:c r="GB47" s="131"/>
      <s:c r="GC47" s="131"/>
      <s:c r="GD47" s="131"/>
      <s:c r="GE47" s="131"/>
      <s:c r="GF47" s="131"/>
      <s:c r="GG47" s="131"/>
      <s:c r="GH47" s="131"/>
      <s:c r="GI47" s="131"/>
      <s:c r="GJ47" s="131"/>
      <s:c r="GK47" s="131"/>
      <s:c r="GL47" s="131"/>
      <s:c r="GM47" s="131"/>
      <s:c r="GN47" s="131"/>
      <s:c r="GO47" s="131"/>
      <s:c r="GP47" s="131"/>
      <s:c r="GQ47" s="131"/>
      <s:c r="GR47" s="131"/>
      <s:c r="GS47" s="131"/>
      <s:c r="GT47" s="131"/>
      <s:c r="GU47" s="131"/>
      <s:c r="GV47" s="131"/>
      <s:c r="GW47" s="131"/>
      <s:c r="GX47" s="131"/>
      <s:c r="GY47" s="131"/>
      <s:c r="GZ47" s="131"/>
      <s:c r="HA47" s="131"/>
      <s:c r="HB47" s="131"/>
      <s:c r="HC47" s="131"/>
      <s:c r="HD47" s="131"/>
      <s:c r="HE47" s="131"/>
      <s:c r="HF47" s="131"/>
      <s:c r="HG47" s="131"/>
      <s:c r="HH47" s="131"/>
      <s:c r="HI47" s="131"/>
      <s:c r="HJ47" s="131"/>
      <s:c r="HK47" s="131"/>
      <s:c r="HL47" s="131"/>
      <s:c r="HM47" s="131"/>
      <s:c r="HN47" s="131"/>
      <s:c r="HO47" s="131"/>
      <s:c r="HP47" s="131"/>
      <s:c r="HQ47" s="131"/>
      <s:c r="HR47" s="131"/>
      <s:c r="HS47" s="131"/>
      <s:c r="HT47" s="131"/>
      <s:c r="HU47" s="131"/>
      <s:c r="HV47" s="131"/>
      <s:c r="HW47" s="131"/>
      <s:c r="HX47" s="131"/>
      <s:c r="HY47" s="131"/>
      <s:c r="HZ47" s="131"/>
      <s:c r="IA47" s="131"/>
      <s:c r="IB47" s="131"/>
      <s:c r="IC47" s="131"/>
      <s:c r="ID47" s="131"/>
      <s:c r="IE47" s="131"/>
      <s:c r="IF47" s="131"/>
      <s:c r="IG47" s="131"/>
      <s:c r="IH47" s="131"/>
      <s:c r="II47" s="131"/>
      <s:c r="IJ47" s="131"/>
      <s:c r="IK47" s="131"/>
      <s:c r="IL47" s="131"/>
      <s:c r="IM47" s="131"/>
      <s:c r="IN47" s="131"/>
      <s:c r="IO47" s="131"/>
      <s:c r="IP47" s="131"/>
      <s:c r="IQ47" s="131"/>
      <s:c r="IR47" s="131"/>
      <s:c r="IS47" s="131"/>
      <s:c r="IT47" s="131"/>
      <s:c r="IU47" s="131"/>
      <s:c r="IV47" s="131"/>
      <s:c r="IW47" s="131"/>
      <s:c r="IX47" s="131"/>
      <s:c r="IY47" s="131"/>
    </s:row>
    <s:row r="48">
      <s:c r="A48" s="838"/>
      <s:c r="B48" s="419"/>
      <s:c r="C48" s="846"/>
      <s:c r="D48" s="822"/>
      <s:c r="E48" s="411"/>
      <s:c r="F48" s="411" t="str">
        <s:f>IF(AND(E48&lt;&gt;"",E48&lt;&gt;0),D48/E48,"")</s:f>
        <s:v/>
      </s:c>
      <s:c r="G48" s="411"/>
      <s:c r="H48" s="411" t="str">
        <s:f>IF(AND(G48&lt;&gt;"",G48&lt;&gt;0),D48/G48,"")</s:f>
        <s:v/>
      </s:c>
      <s:c r="I48" s="411"/>
      <s:c r="J48" s="822" t="str">
        <s:f>IF(AND(G48&lt;&gt;"",G48&lt;&gt;0),E48/G48,"")</s:f>
        <s:v/>
      </s:c>
      <s:c r="K48" s="823"/>
      <s:c r="L48" s="823"/>
      <s:c r="M48" s="823"/>
      <s:c r="N48" s="823"/>
      <s:c r="O48" s="823"/>
      <s:c r="P48" s="828"/>
      <s:c r="Q48" s="828"/>
      <s:c r="R48" s="126" t="str">
        <s:f>IF(AND(I48&lt;&gt;"",I48&lt;&gt;0),G48/I48,"")</s:f>
        <s:v/>
      </s:c>
      <s:c r="S48" s="127">
        <s:f>D48/T48</s:f>
        <s:v>0</s:v>
      </s:c>
      <s:c r="T48" s="128">
        <s:f>$I$8*Z48*AA48/SUMPRODUCT($AA$25:$AA$55,$Z$25:$Z$55)</s:f>
        <s:v>30517.061320181543</s:v>
      </s:c>
      <s:c r="U48" s="129">
        <s:f>$I$9*Z48*AA48/SUMPRODUCT($AA$25:$AA$55,$Z$25:$Z$55)</s:f>
        <s:v>4.2034519724767971</s:v>
      </s:c>
      <s:c r="V48" s="129">
        <s:f>IF($I$12="","",U48/$I$12)</s:f>
        <s:v>2.284484767650433</s:v>
      </s:c>
      <s:c r="W48" s="128" t="e">
        <s:f ca="1">IF(AA48&lt;&gt;"",IF(D48&lt;&gt;"",D48,($I$8-SUM($W$25:W47))*Z48*AA48/SUMPRODUCT($AA48:$AA$55,$Z48:$Z$55)),"")</s:f>
        <s:v>#REF!</s:v>
      </s:c>
      <s:c r="X48" s="129" t="e">
        <s:f ca="1">IF(AA48&lt;&gt;"",IF(E48&lt;&gt;"",E48,($I$9-SUM($X$25:X47))*Z48*AA48/SUMPRODUCT($AA48:$AA$55,$Z48:$Z$55)),"")</s:f>
        <s:v>#REF!</s:v>
      </s:c>
      <s:c r="Y48" s="129" t="e">
        <s:f ca="1">IF(AA48&lt;&gt;"",IF($I$12&lt;&gt;"",IF(G48&lt;&gt;"",G48,($I$9/$I$12-SUM($Y$25:Y47))*Z48*AA48/SUMPRODUCT($AA48:$AA$55,$Z48:$Z$55)),""),"")</s:f>
        <s:v>#REF!</s:v>
      </s:c>
      <s:c r="Z48" s="130">
        <s:v>1.2</s:v>
      </s:c>
      <s:c r="AA48" s="130">
        <s:v>1.2</s:v>
      </s:c>
      <s:c r="AB48" s="132"/>
      <s:c r="AC48" s="132"/>
      <s:c r="AD48" s="161"/>
      <s:c r="AE48" s="131"/>
      <s:c r="AF48" s="131"/>
      <s:c r="AG48" s="131"/>
      <s:c r="AH48" s="131"/>
      <s:c r="AI48" s="131"/>
      <s:c r="AJ48" s="131"/>
      <s:c r="AK48" s="131"/>
      <s:c r="AL48" s="131"/>
      <s:c r="AM48" s="131"/>
      <s:c r="AN48" s="131"/>
      <s:c r="AO48" s="131"/>
      <s:c r="AP48" s="131"/>
      <s:c r="AQ48" s="131"/>
      <s:c r="AR48" s="131"/>
      <s:c r="AS48" s="131"/>
      <s:c r="AT48" s="131"/>
      <s:c r="AU48" s="131"/>
      <s:c r="AV48" s="131"/>
      <s:c r="AW48" s="131"/>
      <s:c r="AX48" s="131"/>
      <s:c r="AY48" s="131"/>
      <s:c r="AZ48" s="131"/>
      <s:c r="BA48" s="131"/>
      <s:c r="BB48" s="131"/>
      <s:c r="BC48" s="131"/>
      <s:c r="BD48" s="131"/>
      <s:c r="BE48" s="131"/>
      <s:c r="BF48" s="131"/>
      <s:c r="BG48" s="131"/>
      <s:c r="BH48" s="131"/>
      <s:c r="BI48" s="131"/>
      <s:c r="BJ48" s="131"/>
      <s:c r="BK48" s="131"/>
      <s:c r="BL48" s="131"/>
      <s:c r="BM48" s="131"/>
      <s:c r="BN48" s="131"/>
      <s:c r="BO48" s="131"/>
      <s:c r="BP48" s="131"/>
      <s:c r="BQ48" s="131"/>
      <s:c r="BR48" s="131"/>
      <s:c r="BS48" s="131"/>
      <s:c r="BT48" s="131"/>
      <s:c r="BU48" s="131"/>
      <s:c r="BV48" s="131"/>
      <s:c r="BW48" s="131"/>
      <s:c r="BX48" s="131"/>
      <s:c r="BY48" s="131"/>
      <s:c r="BZ48" s="131"/>
      <s:c r="CA48" s="131"/>
      <s:c r="CB48" s="131"/>
      <s:c r="CC48" s="131"/>
      <s:c r="CD48" s="131"/>
      <s:c r="CE48" s="131"/>
      <s:c r="CF48" s="131"/>
      <s:c r="CG48" s="131"/>
      <s:c r="CH48" s="131"/>
      <s:c r="CI48" s="131"/>
      <s:c r="CJ48" s="131"/>
      <s:c r="CK48" s="131"/>
      <s:c r="CL48" s="131"/>
      <s:c r="CM48" s="131"/>
      <s:c r="CN48" s="131"/>
      <s:c r="CO48" s="131"/>
      <s:c r="CP48" s="131"/>
      <s:c r="CQ48" s="131"/>
      <s:c r="CR48" s="131"/>
      <s:c r="CS48" s="131"/>
      <s:c r="CT48" s="131"/>
      <s:c r="CU48" s="131"/>
      <s:c r="CV48" s="131"/>
      <s:c r="CW48" s="131"/>
      <s:c r="CX48" s="131"/>
      <s:c r="CY48" s="131"/>
      <s:c r="CZ48" s="131"/>
      <s:c r="DA48" s="131"/>
      <s:c r="DB48" s="131"/>
      <s:c r="DC48" s="131"/>
      <s:c r="DD48" s="131"/>
      <s:c r="DE48" s="131"/>
      <s:c r="DF48" s="131"/>
      <s:c r="DG48" s="131"/>
      <s:c r="DH48" s="131"/>
      <s:c r="DI48" s="131"/>
      <s:c r="DJ48" s="131"/>
      <s:c r="DK48" s="131"/>
      <s:c r="DL48" s="131"/>
      <s:c r="DM48" s="131"/>
      <s:c r="DN48" s="131"/>
      <s:c r="DO48" s="131"/>
      <s:c r="DP48" s="131"/>
      <s:c r="DQ48" s="131"/>
      <s:c r="DR48" s="131"/>
      <s:c r="DS48" s="131"/>
      <s:c r="DT48" s="131"/>
      <s:c r="DU48" s="131"/>
      <s:c r="DV48" s="131"/>
      <s:c r="DW48" s="131"/>
      <s:c r="DX48" s="131"/>
      <s:c r="DY48" s="131"/>
      <s:c r="DZ48" s="131"/>
      <s:c r="EA48" s="131"/>
      <s:c r="EB48" s="131"/>
      <s:c r="EC48" s="131"/>
      <s:c r="ED48" s="131"/>
      <s:c r="EE48" s="131"/>
      <s:c r="EF48" s="131"/>
      <s:c r="EG48" s="131"/>
      <s:c r="EH48" s="131"/>
      <s:c r="EI48" s="131"/>
      <s:c r="EJ48" s="131"/>
      <s:c r="EK48" s="131"/>
      <s:c r="EL48" s="131"/>
      <s:c r="EM48" s="131"/>
      <s:c r="EN48" s="131"/>
      <s:c r="EO48" s="131"/>
      <s:c r="EP48" s="131"/>
      <s:c r="EQ48" s="131"/>
      <s:c r="ER48" s="131"/>
      <s:c r="ES48" s="131"/>
      <s:c r="ET48" s="131"/>
      <s:c r="EU48" s="131"/>
      <s:c r="EV48" s="131"/>
      <s:c r="EW48" s="131"/>
      <s:c r="EX48" s="131"/>
      <s:c r="EY48" s="131"/>
      <s:c r="EZ48" s="131"/>
      <s:c r="FA48" s="131"/>
      <s:c r="FB48" s="131"/>
      <s:c r="FC48" s="131"/>
      <s:c r="FD48" s="131"/>
      <s:c r="FE48" s="131"/>
      <s:c r="FF48" s="131"/>
      <s:c r="FG48" s="131"/>
      <s:c r="FH48" s="131"/>
      <s:c r="FI48" s="131"/>
      <s:c r="FJ48" s="131"/>
      <s:c r="FK48" s="131"/>
      <s:c r="FL48" s="131"/>
      <s:c r="FM48" s="131"/>
      <s:c r="FN48" s="131"/>
      <s:c r="FO48" s="131"/>
      <s:c r="FP48" s="131"/>
      <s:c r="FQ48" s="131"/>
      <s:c r="FR48" s="131"/>
      <s:c r="FS48" s="131"/>
      <s:c r="FT48" s="131"/>
      <s:c r="FU48" s="131"/>
      <s:c r="FV48" s="131"/>
      <s:c r="FW48" s="131"/>
      <s:c r="FX48" s="131"/>
      <s:c r="FY48" s="131"/>
      <s:c r="FZ48" s="131"/>
      <s:c r="GA48" s="131"/>
      <s:c r="GB48" s="131"/>
      <s:c r="GC48" s="131"/>
      <s:c r="GD48" s="131"/>
      <s:c r="GE48" s="131"/>
      <s:c r="GF48" s="131"/>
      <s:c r="GG48" s="131"/>
      <s:c r="GH48" s="131"/>
      <s:c r="GI48" s="131"/>
      <s:c r="GJ48" s="131"/>
      <s:c r="GK48" s="131"/>
      <s:c r="GL48" s="131"/>
      <s:c r="GM48" s="131"/>
      <s:c r="GN48" s="131"/>
      <s:c r="GO48" s="131"/>
      <s:c r="GP48" s="131"/>
      <s:c r="GQ48" s="131"/>
      <s:c r="GR48" s="131"/>
      <s:c r="GS48" s="131"/>
      <s:c r="GT48" s="131"/>
      <s:c r="GU48" s="131"/>
      <s:c r="GV48" s="131"/>
      <s:c r="GW48" s="131"/>
      <s:c r="GX48" s="131"/>
      <s:c r="GY48" s="131"/>
      <s:c r="GZ48" s="131"/>
      <s:c r="HA48" s="131"/>
      <s:c r="HB48" s="131"/>
      <s:c r="HC48" s="131"/>
      <s:c r="HD48" s="131"/>
      <s:c r="HE48" s="131"/>
      <s:c r="HF48" s="131"/>
      <s:c r="HG48" s="131"/>
      <s:c r="HH48" s="131"/>
      <s:c r="HI48" s="131"/>
      <s:c r="HJ48" s="131"/>
      <s:c r="HK48" s="131"/>
      <s:c r="HL48" s="131"/>
      <s:c r="HM48" s="131"/>
      <s:c r="HN48" s="131"/>
      <s:c r="HO48" s="131"/>
      <s:c r="HP48" s="131"/>
      <s:c r="HQ48" s="131"/>
      <s:c r="HR48" s="131"/>
      <s:c r="HS48" s="131"/>
      <s:c r="HT48" s="131"/>
      <s:c r="HU48" s="131"/>
      <s:c r="HV48" s="131"/>
      <s:c r="HW48" s="131"/>
      <s:c r="HX48" s="131"/>
      <s:c r="HY48" s="131"/>
      <s:c r="HZ48" s="131"/>
      <s:c r="IA48" s="131"/>
      <s:c r="IB48" s="131"/>
      <s:c r="IC48" s="131"/>
      <s:c r="ID48" s="131"/>
      <s:c r="IE48" s="131"/>
      <s:c r="IF48" s="131"/>
      <s:c r="IG48" s="131"/>
      <s:c r="IH48" s="131"/>
      <s:c r="II48" s="131"/>
      <s:c r="IJ48" s="131"/>
      <s:c r="IK48" s="131"/>
      <s:c r="IL48" s="131"/>
      <s:c r="IM48" s="131"/>
      <s:c r="IN48" s="131"/>
      <s:c r="IO48" s="131"/>
      <s:c r="IP48" s="131"/>
      <s:c r="IQ48" s="131"/>
      <s:c r="IR48" s="131"/>
      <s:c r="IS48" s="131"/>
      <s:c r="IT48" s="131"/>
      <s:c r="IU48" s="131"/>
      <s:c r="IV48" s="131"/>
      <s:c r="IW48" s="131"/>
      <s:c r="IX48" s="131"/>
      <s:c r="IY48" s="131"/>
    </s:row>
    <s:row r="49">
      <s:c r="A49" s="838"/>
      <s:c r="B49" s="419"/>
      <s:c r="C49" s="408"/>
      <s:c r="D49" s="822"/>
      <s:c r="E49" s="411"/>
      <s:c r="F49" s="411" t="str">
        <s:f>IF(AND(E49&lt;&gt;"",E49&lt;&gt;0),D49/E49,"")</s:f>
        <s:v/>
      </s:c>
      <s:c r="G49" s="411"/>
      <s:c r="H49" s="411" t="str">
        <s:f>IF(AND(G49&lt;&gt;"",G49&lt;&gt;0),D49/G49,"")</s:f>
        <s:v/>
      </s:c>
      <s:c r="I49" s="411"/>
      <s:c r="J49" s="822" t="str">
        <s:f>IF(AND(G49&lt;&gt;"",G49&lt;&gt;0),E49/G49,"")</s:f>
        <s:v/>
      </s:c>
      <s:c r="K49" s="823"/>
      <s:c r="L49" s="823"/>
      <s:c r="M49" s="823"/>
      <s:c r="N49" s="823"/>
      <s:c r="O49" s="823"/>
      <s:c r="P49" s="828"/>
      <s:c r="Q49" s="828"/>
      <s:c r="R49" s="126" t="str">
        <s:f>IF(AND(I49&lt;&gt;"",I49&lt;&gt;0),G49/I49,"")</s:f>
        <s:v/>
      </s:c>
      <s:c r="S49" s="127">
        <s:f>D49/T49</s:f>
        <s:v>0</s:v>
      </s:c>
      <s:c r="T49" s="128">
        <s:f>$I$8*Z49*AA49/SUMPRODUCT($AA$25:$AA$55,$Z$25:$Z$55)</s:f>
        <s:v>21192.403694570519</s:v>
      </s:c>
      <s:c r="U49" s="129">
        <s:f>$I$9*Z49*AA49/SUMPRODUCT($AA$25:$AA$55,$Z$25:$Z$55)</s:f>
        <s:v>2.9190638697755538</s:v>
      </s:c>
      <s:c r="V49" s="129">
        <s:f>IF($I$12="","",U49/$I$12)</s:f>
        <s:v>1.5864477553128009</s:v>
      </s:c>
      <s:c r="W49" s="128" t="e">
        <s:f ca="1">IF(AA49&lt;&gt;"",IF(D49&lt;&gt;"",D49,($I$8-SUM($W$25:W48))*Z49*AA49/SUMPRODUCT($AA49:$AA$55,$Z49:$Z$55)),"")</s:f>
        <s:v>#REF!</s:v>
      </s:c>
      <s:c r="X49" s="129" t="e">
        <s:f ca="1">IF(AA49&lt;&gt;"",IF(E49&lt;&gt;"",E49,($I$9-SUM($X$25:X48))*Z49*AA49/SUMPRODUCT($AA49:$AA$55,$Z49:$Z$55)),"")</s:f>
        <s:v>#REF!</s:v>
      </s:c>
      <s:c r="Y49" s="129" t="e">
        <s:f ca="1">IF(AA49&lt;&gt;"",IF($I$12&lt;&gt;"",IF(G49&lt;&gt;"",G49,($I$9/$I$12-SUM($Y$25:Y48))*Z49*AA49/SUMPRODUCT($AA49:$AA$55,$Z49:$Z$55)),""),"")</s:f>
        <s:v>#REF!</s:v>
      </s:c>
      <s:c r="Z49" s="130">
        <s:v>1</s:v>
      </s:c>
      <s:c r="AA49" s="130">
        <s:v>1</s:v>
      </s:c>
      <s:c r="AB49" s="132"/>
      <s:c r="AC49" s="132"/>
      <s:c r="AD49" s="131"/>
      <s:c r="AE49" s="131"/>
      <s:c r="AF49" s="131"/>
      <s:c r="AG49" s="131"/>
      <s:c r="AH49" s="131"/>
      <s:c r="AI49" s="131"/>
      <s:c r="AJ49" s="131"/>
      <s:c r="AK49" s="131"/>
      <s:c r="AL49" s="131"/>
      <s:c r="AM49" s="131"/>
      <s:c r="AN49" s="131"/>
    </s:row>
    <s:row r="50">
      <s:c r="B50" s="387" t="s">
        <s:v>72</s:v>
      </s:c>
      <s:c r="C50" s="387"/>
      <s:c r="D50" s="363">
        <s:f>SUM(D25:D49)</s:f>
        <s:v>0</s:v>
      </s:c>
      <s:c r="E50" s="363">
        <s:f>SUM(E25:E49)</s:f>
        <s:v>0</s:v>
      </s:c>
      <s:c r="F50" s="363" t="str">
        <s:f>IF(AND(E50&lt;&gt;"",E50&lt;&gt;0),D50/E50,"")</s:f>
        <s:v/>
      </s:c>
      <s:c r="G50" s="363">
        <s:f>SUM(G25:G49)</s:f>
        <s:v>0</s:v>
      </s:c>
      <s:c r="H50" s="363" t="str">
        <s:f>IF(AND(G50&lt;&gt;"",G50&lt;&gt;0),D50/G50,"")</s:f>
        <s:v/>
      </s:c>
      <s:c r="I50" s="363">
        <s:f>SUM(I25:I49)*0.8</s:f>
        <s:v>0</s:v>
      </s:c>
      <s:c r="J50" s="364" t="str">
        <s:f>IF(AND(G50&lt;&gt;"",G50&lt;&gt;0),E50/G50,"")</s:f>
        <s:v/>
      </s:c>
      <s:c r="K50" s="363">
        <s:f>SUM(K25:K49)</s:f>
        <s:v>0</s:v>
      </s:c>
      <s:c r="L50" s="363">
        <s:f>SUM(L25:L49)</s:f>
        <s:v>0</s:v>
      </s:c>
      <s:c r="M50" s="363">
        <s:f>SUM(M25:M49)</s:f>
        <s:v>0</s:v>
      </s:c>
      <s:c r="N50" s="363">
        <s:f>SUM(N25:N49)</s:f>
        <s:v>0</s:v>
      </s:c>
      <s:c r="O50" s="363">
        <s:f>SUM(O25:O49)</s:f>
        <s:v>0</s:v>
      </s:c>
      <s:c r="P50" s="363">
        <s:f>SUM(P25:P49)</s:f>
        <s:v>0</s:v>
      </s:c>
      <s:c r="Q50" s="363">
        <s:f>SUM(Q25:Q49)</s:f>
        <s:v>0</s:v>
      </s:c>
      <s:c r="R50" s="178" t="str">
        <s:f>IF(AND(I50&lt;&gt;"",I50&lt;&gt;0),G50/I50,"")</s:f>
        <s:v/>
      </s:c>
      <s:c r="S50" s="365">
        <s:f>D50/T50</s:f>
        <s:v>0</s:v>
      </s:c>
      <s:c r="T50" s="366">
        <s:f>SUM(T25:T49)</s:f>
        <s:v>572472.69359454117</s:v>
      </s:c>
      <s:c r="U50" s="366">
        <s:f>SUM(U25:U49)</s:f>
        <s:v>80.905605178311447</s:v>
      </s:c>
      <s:c r="V50" s="366">
        <s:f>SUM(V25:V49)</s:f>
        <s:v>43.796524553430132</s:v>
      </s:c>
      <s:c r="W50" s="366" t="e">
        <s:f ca="1">SUM(W25:W49)</s:f>
        <s:v>#REF!</s:v>
      </s:c>
      <s:c r="X50" s="366" t="e">
        <s:f ca="1">SUM(X25:X49)</s:f>
        <s:v>#REF!</s:v>
      </s:c>
      <s:c r="Y50" s="366" t="e">
        <s:f ca="1">SUM(Y25:Y49)</s:f>
        <s:v>#REF!</s:v>
      </s:c>
      <s:c r="Z50" s="367"/>
      <s:c r="AA50" s="367"/>
    </s:row>
    <s:row r="51">
      <s:c r="B51" s="181"/>
      <s:c r="C51" s="182"/>
      <s:c r="D51" s="183">
        <s:f>SUMIF(D25:D49,"",T25:T49)+D50</s:f>
        <s:v>572472.69359454117</s:v>
      </s:c>
      <s:c r="E51" s="184"/>
      <s:c r="F51" s="182"/>
      <s:c r="G51" s="182"/>
      <s:c r="H51" s="185"/>
      <s:c r="I51" s="186"/>
      <s:c r="J51" s="185"/>
      <s:c r="O51" s="187"/>
      <s:c r="P51" s="184"/>
      <s:c r="Q51" s="184"/>
      <s:c r="R51" s="187"/>
      <s:c r="S51" s="187"/>
      <s:c r="T51" s="187"/>
      <s:c r="U51" s="188"/>
    </s:row>
    <s:row r="52">
      <s:c r="D52" s="190"/>
    </s:row>
    <s:row r="54">
      <s:c r="D54" s="190"/>
    </s:row>
    <s:row r="55">
      <s:c r="D55" s="190"/>
    </s:row>
  </s:sheetData>
  <s:pageMargins left="0.7" right="0.7" top="0.75" bottom="0.75" header="0.3" footer="0.3"/>
</s:worksheet>
</file>

<file path=xl/worksheets/sheet17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100-000000000000}">
  <s:sheetPr>
    <s:tabColor rgb="FFDBDBDB"/>
  </s:sheetPr>
  <s:dimension ref="A1:L17"/>
  <s:sheetViews>
    <s:sheetView tabSelected="0" topLeftCell="A2" workbookViewId="0">
      <s:selection activeCell="A26" sqref="A26"/>
    </s:sheetView>
  </s:sheetViews>
  <s:sheetFormatPr baseColWidth="10" defaultColWidth="10" defaultRowHeight="15" outlineLevelCol="1"/>
  <s:cols>
    <s:col min="1" max="1" width="14.664" customWidth="1"/>
    <s:col min="2" max="11" width="10.832" customWidth="1" outlineLevel="1"/>
  </s:cols>
  <s:sheetData>
    <s:row r="1" spans="1:12" s="194" customFormat="1" ht="20" customHeight="1">
      <s:c r="A1" s="957" t="s">
        <s:v>73</s:v>
      </s:c>
      <s:c r="B1" s="958"/>
      <s:c r="C1" s="958"/>
      <s:c r="D1" s="958"/>
      <s:c r="E1" s="958"/>
      <s:c r="F1" s="958"/>
      <s:c r="G1" s="958"/>
      <s:c r="H1" s="958"/>
      <s:c r="I1" s="958"/>
      <s:c r="J1" s="958"/>
      <s:c r="K1" s="958"/>
      <s:c r="L1" s="959"/>
    </s:row>
    <s:row r="2" spans="1:12" s="194" customFormat="1" ht="20" customHeight="1">
      <s:c r="A2" s="960"/>
      <s:c r="B2" s="961"/>
      <s:c r="C2" s="961"/>
      <s:c r="D2" s="961"/>
      <s:c r="E2" s="961"/>
      <s:c r="F2" s="961"/>
      <s:c r="G2" s="961"/>
      <s:c r="H2" s="961"/>
      <s:c r="I2" s="961"/>
      <s:c r="J2" s="961"/>
      <s:c r="K2" s="961"/>
      <s:c r="L2" s="962"/>
    </s:row>
    <s:row r="3" spans="1:12" s="195" customFormat="1" ht="30" customHeight="1">
      <s:c r="A3" s="196" t="s">
        <s:v>74</s:v>
      </s:c>
      <s:c r="B3" s="197">
        <s:v>45282</s:v>
      </s:c>
      <s:c r="C3" s="197">
        <s:v>45283</s:v>
      </s:c>
      <s:c r="D3" s="197">
        <s:v>45284</s:v>
      </s:c>
      <s:c r="E3" s="197">
        <s:v>45285</s:v>
      </s:c>
      <s:c r="F3" s="197">
        <s:v>45286</s:v>
      </s:c>
      <s:c r="G3" s="197">
        <s:v>45287</s:v>
      </s:c>
      <s:c r="H3" s="197">
        <s:v>45288</s:v>
      </s:c>
      <s:c r="I3" s="197">
        <s:v>45289</s:v>
      </s:c>
      <s:c r="J3" s="197">
        <s:v>45290</s:v>
      </s:c>
      <s:c r="K3" s="198">
        <s:v>45291</s:v>
      </s:c>
      <s:c r="L3" s="196" t="s">
        <s:v>75</s:v>
      </s:c>
    </s:row>
    <s:row r="4" spans="1:12" s="194" customFormat="1" ht="33" customHeight="1">
      <s:c r="A4" s="199" t="s">
        <s:v>76</s:v>
      </s:c>
      <s:c r="B4" s="200" t="e">
        <s:f>'Доп сотрудник'!T35</s:f>
        <s:v>#DIV/0!</s:v>
      </s:c>
      <s:c r="C4" s="200"/>
      <s:c r="D4" s="200">
        <s:v>0.27</s:v>
      </s:c>
      <s:c r="E4" s="201">
        <s:v>0.56999999999999995</s:v>
      </s:c>
      <s:c r="F4" s="201">
        <s:v>0.73</s:v>
      </s:c>
      <s:c r="G4" s="201">
        <s:v>0.88</s:v>
      </s:c>
      <s:c r="H4" s="201">
        <s:v>0.98</s:v>
      </s:c>
      <s:c r="I4" s="200"/>
      <s:c r="J4" s="200"/>
      <s:c r="K4" s="202"/>
      <s:c r="L4" s="203"/>
    </s:row>
    <s:row r="5" spans="1:12" s="194" customFormat="1" ht="30" customHeight="1">
      <s:c r="A5" s="204" t="s">
        <s:v>77</s:v>
      </s:c>
      <s:c r="B5" s="205"/>
      <s:c r="C5" s="206">
        <s:v>0.25</s:v>
      </s:c>
      <s:c r="D5" s="207">
        <s:v>0.79</s:v>
      </s:c>
      <s:c r="E5" s="206">
        <s:v>0.33</s:v>
      </s:c>
      <s:c r="F5" s="206">
        <s:v>0.13</s:v>
      </s:c>
      <s:c r="G5" s="206">
        <s:v>0.75</s:v>
      </s:c>
      <s:c r="H5" s="206">
        <s:v>0.67</s:v>
      </s:c>
      <s:c r="I5" s="206">
        <s:v>0.74</s:v>
      </s:c>
      <s:c r="J5" s="207">
        <s:v>1.72</s:v>
      </s:c>
      <s:c r="K5" s="208">
        <s:v>0.33</s:v>
      </s:c>
      <s:c r="L5" s="209"/>
    </s:row>
    <s:row r="6" spans="1:12" s="194" customFormat="1" ht="32" customHeight="1">
      <s:c r="A6" s="204" t="s">
        <s:v>78</s:v>
      </s:c>
      <s:c r="B6" s="207" t="e">
        <s:f>'Свидовская С. А.'!U39</s:f>
        <s:v>#DIV/0!</s:v>
      </s:c>
      <s:c r="C6" s="206"/>
      <s:c r="D6" s="206"/>
      <s:c r="E6" s="206">
        <s:v>0.25</s:v>
      </s:c>
      <s:c r="F6" s="206">
        <s:v>0.25</s:v>
      </s:c>
      <s:c r="G6" s="206"/>
      <s:c r="H6" s="210">
        <s:v>0.38</s:v>
      </s:c>
      <s:c r="I6" s="211">
        <s:v>1.1100000000000001</s:v>
      </s:c>
      <s:c r="J6" s="207">
        <s:v>1.17</s:v>
      </s:c>
      <s:c r="K6" s="212">
        <s:v>0.34</s:v>
      </s:c>
      <s:c r="L6" s="209"/>
    </s:row>
    <s:row r="7" spans="1:12" s="194" customFormat="1" ht="32" customHeight="1">
      <s:c r="A7" s="213" t="s">
        <s:v>79</s:v>
      </s:c>
      <s:c r="B7" s="214"/>
      <s:c r="C7" s="214">
        <s:v>0.33</s:v>
      </s:c>
      <s:c r="D7" s="214">
        <s:v>0.56999999999999995</s:v>
      </s:c>
      <s:c r="E7" s="214">
        <s:v>0.08</s:v>
      </s:c>
      <s:c r="F7" s="214">
        <s:v>0.45</s:v>
      </s:c>
      <s:c r="G7" s="214">
        <s:v>0.4</s:v>
      </s:c>
      <s:c r="H7" s="214">
        <s:v>0.24</s:v>
      </s:c>
      <s:c r="I7" s="215">
        <s:v>0.25</s:v>
      </s:c>
      <s:c r="J7" s="214">
        <s:v>0.28000000000000003</s:v>
      </s:c>
      <s:c r="K7" s="216">
        <s:v>0.23</s:v>
      </s:c>
      <s:c r="L7" s="209"/>
    </s:row>
    <s:row r="8" spans="1:12" s="194" customFormat="1" ht="33" customHeight="1">
      <s:c r="A8" s="217" t="s">
        <s:v>80</s:v>
      </s:c>
      <s:c r="B8" s="218" t="e">
        <s:f>'Козлова В. Э.'!U39</s:f>
        <s:v>#DIV/0!</s:v>
      </s:c>
      <s:c r="C8" s="219">
        <s:v>0.52</s:v>
      </s:c>
      <s:c r="D8" s="218">
        <s:v>0.31</s:v>
      </s:c>
      <s:c r="E8" s="218"/>
      <s:c r="F8" s="218"/>
      <s:c r="G8" s="218">
        <s:v>0.28999999999999998</s:v>
      </s:c>
      <s:c r="H8" s="218"/>
      <s:c r="I8" s="218">
        <s:v>0.49</s:v>
      </s:c>
      <s:c r="J8" s="218">
        <s:v>0.23</s:v>
      </s:c>
      <s:c r="K8" s="220">
        <s:v>0.1</s:v>
      </s:c>
      <s:c r="L8" s="209"/>
    </s:row>
    <s:row r="9" spans="1:12" s="194" customFormat="1" ht="30" customHeight="1">
      <s:c r="A9" s="221"/>
      <s:c r="B9" s="222"/>
      <s:c r="C9" s="222"/>
      <s:c r="D9" s="222"/>
      <s:c r="E9" s="222"/>
      <s:c r="F9" s="222"/>
      <s:c r="G9" s="222"/>
      <s:c r="H9" s="222"/>
      <s:c r="I9" s="222"/>
      <s:c r="J9" s="222"/>
      <s:c r="K9" s="222"/>
      <s:c r="L9" s="222"/>
    </s:row>
    <s:row r="10" spans="1:12" s="195" customFormat="1" ht="10" customHeight="1">
      <s:c r="A10" s="957" t="s">
        <s:v>81</s:v>
      </s:c>
      <s:c r="B10" s="958"/>
      <s:c r="C10" s="958"/>
      <s:c r="D10" s="958"/>
      <s:c r="E10" s="958"/>
      <s:c r="F10" s="958"/>
      <s:c r="G10" s="958"/>
      <s:c r="H10" s="958"/>
      <s:c r="I10" s="958"/>
      <s:c r="J10" s="958"/>
      <s:c r="K10" s="958"/>
      <s:c r="L10" s="959"/>
    </s:row>
    <s:row r="11" spans="1:12" s="194" customFormat="1" ht="29" customHeight="1">
      <s:c r="A11" s="960"/>
      <s:c r="B11" s="961"/>
      <s:c r="C11" s="961"/>
      <s:c r="D11" s="961"/>
      <s:c r="E11" s="961"/>
      <s:c r="F11" s="961"/>
      <s:c r="G11" s="961"/>
      <s:c r="H11" s="961"/>
      <s:c r="I11" s="961"/>
      <s:c r="J11" s="961"/>
      <s:c r="K11" s="961"/>
      <s:c r="L11" s="962"/>
    </s:row>
    <s:row r="12" spans="1:12" s="194" customFormat="1" ht="32" customHeight="1">
      <s:c r="A12" s="196" t="s">
        <s:v>74</s:v>
      </s:c>
      <s:c r="B12" s="197">
        <s:v>45282</s:v>
      </s:c>
      <s:c r="C12" s="197">
        <s:v>45283</s:v>
      </s:c>
      <s:c r="D12" s="197">
        <s:v>45284</s:v>
      </s:c>
      <s:c r="E12" s="197">
        <s:v>45285</s:v>
      </s:c>
      <s:c r="F12" s="197">
        <s:v>45286</s:v>
      </s:c>
      <s:c r="G12" s="197">
        <s:v>45287</s:v>
      </s:c>
      <s:c r="H12" s="197">
        <s:v>45288</s:v>
      </s:c>
      <s:c r="I12" s="197">
        <s:v>45289</s:v>
      </s:c>
      <s:c r="J12" s="197">
        <s:v>45290</s:v>
      </s:c>
      <s:c r="K12" s="198">
        <s:v>45291</s:v>
      </s:c>
      <s:c r="L12" s="196" t="s">
        <s:v>75</s:v>
      </s:c>
    </s:row>
    <s:row r="13" spans="1:12" s="194" customFormat="1" ht="33" customHeight="1">
      <s:c r="A13" s="199" t="s">
        <s:v>76</s:v>
      </s:c>
      <s:c r="B13" s="223">
        <s:v>0</s:v>
      </s:c>
      <s:c r="C13" s="200"/>
      <s:c r="D13" s="223">
        <s:v>0</s:v>
      </s:c>
      <s:c r="E13" s="224">
        <s:v>1</s:v>
      </s:c>
      <s:c r="F13" s="224">
        <s:v>1</s:v>
      </s:c>
      <s:c r="G13" s="224">
        <s:v>1</s:v>
      </s:c>
      <s:c r="H13" s="224">
        <s:v>1</s:v>
      </s:c>
      <s:c r="I13" s="200"/>
      <s:c r="J13" s="200"/>
      <s:c r="K13" s="225"/>
      <s:c r="L13" s="226">
        <s:f>SUM(B13:K13)</s:f>
        <s:v>4</s:v>
      </s:c>
    </s:row>
    <s:row r="14" spans="1:12" s="194" customFormat="1" ht="34" customHeight="1">
      <s:c r="A14" s="204" t="s">
        <s:v>77</s:v>
      </s:c>
      <s:c r="B14" s="227"/>
      <s:c r="C14" s="228">
        <s:v>0</s:v>
      </s:c>
      <s:c r="D14" s="229">
        <s:v>1</s:v>
      </s:c>
      <s:c r="E14" s="228">
        <s:v>0</s:v>
      </s:c>
      <s:c r="F14" s="228">
        <s:v>0</s:v>
      </s:c>
      <s:c r="G14" s="228">
        <s:v>0</s:v>
      </s:c>
      <s:c r="H14" s="228">
        <s:v>0</s:v>
      </s:c>
      <s:c r="I14" s="228">
        <s:v>0</s:v>
      </s:c>
      <s:c r="J14" s="229">
        <s:v>2</s:v>
      </s:c>
      <s:c r="K14" s="230">
        <s:v>0</s:v>
      </s:c>
      <s:c r="L14" s="231">
        <s:f>SUM(B14:K14)</s:f>
        <s:v>3</s:v>
      </s:c>
    </s:row>
    <s:row r="15" spans="1:12" s="194" customFormat="1" ht="34" customHeight="1">
      <s:c r="A15" s="204" t="s">
        <s:v>78</s:v>
      </s:c>
      <s:c r="B15" s="229">
        <s:v>1</s:v>
      </s:c>
      <s:c r="C15" s="228"/>
      <s:c r="D15" s="228"/>
      <s:c r="E15" s="228">
        <s:v>0</s:v>
      </s:c>
      <s:c r="F15" s="228">
        <s:v>0</s:v>
      </s:c>
      <s:c r="G15" s="228"/>
      <s:c r="H15" s="228">
        <s:v>0</s:v>
      </s:c>
      <s:c r="I15" s="229">
        <s:v>2</s:v>
      </s:c>
      <s:c r="J15" s="228">
        <s:v>1</s:v>
      </s:c>
      <s:c r="K15" s="230">
        <s:v>1</s:v>
      </s:c>
      <s:c r="L15" s="232">
        <s:f>SUM(B15:K15)</s:f>
        <s:v>5</s:v>
      </s:c>
    </s:row>
    <s:row r="16" spans="1:12" ht="34" customHeight="1">
      <s:c r="A16" s="213" t="s">
        <s:v>79</s:v>
      </s:c>
      <s:c r="B16" s="233"/>
      <s:c r="C16" s="233">
        <s:v>0</s:v>
      </s:c>
      <s:c r="D16" s="233">
        <s:v>0</s:v>
      </s:c>
      <s:c r="E16" s="233">
        <s:v>0</s:v>
      </s:c>
      <s:c r="F16" s="233">
        <s:v>0</s:v>
      </s:c>
      <s:c r="G16" s="233">
        <s:v>0</s:v>
      </s:c>
      <s:c r="H16" s="233">
        <s:v>0</s:v>
      </s:c>
      <s:c r="I16" s="233">
        <s:v>0</s:v>
      </s:c>
      <s:c r="J16" s="233">
        <s:v>0</s:v>
      </s:c>
      <s:c r="K16" s="234">
        <s:v>0</s:v>
      </s:c>
      <s:c r="L16" s="235">
        <s:f>SUM(B16:K16)</s:f>
        <s:v>0</s:v>
      </s:c>
    </s:row>
    <s:row r="17" spans="1:12" ht="34" customHeight="1">
      <s:c r="A17" s="217" t="s">
        <s:v>80</s:v>
      </s:c>
      <s:c r="B17" s="236">
        <s:v>0</s:v>
      </s:c>
      <s:c r="C17" s="237">
        <s:v>1</s:v>
      </s:c>
      <s:c r="D17" s="236">
        <s:v>0</s:v>
      </s:c>
      <s:c r="E17" s="236"/>
      <s:c r="F17" s="236"/>
      <s:c r="G17" s="236">
        <s:v>0</s:v>
      </s:c>
      <s:c r="H17" s="236"/>
      <s:c r="I17" s="236">
        <s:v>0</s:v>
      </s:c>
      <s:c r="J17" s="236">
        <s:v>0</s:v>
      </s:c>
      <s:c r="K17" s="238">
        <s:v>0</s:v>
      </s:c>
      <s:c r="L17" s="239">
        <s:f>SUM(B17:K17)</s:f>
        <s:v>1</s:v>
      </s:c>
    </s:row>
  </s:sheetData>
  <s:mergeCells count="2">
    <s:mergeCell ref="A1:L2"/>
    <s:mergeCell ref="A10:L11"/>
  </s:mergeCells>
  <s:pageMargins left="0.7" right="0.7" top="0.75" bottom="0.75" header="0.3" footer="0.3"/>
  <s:pageSetup paperSize="9" orientation="portrait"/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Template/>
  <ep:Application>Microsoft Macintosh Excel</ep:Application>
  <ep:DocSecurity>0</ep:DocSecurity>
  <ep:ScaleCrop>false</ep:ScaleCrop>
  <ep:HeadingPairs>
    <vt:vector size="2" baseType="variant">
      <vt:variant>
        <vt:lpstr>Листы</vt:lpstr>
      </vt:variant>
      <vt:variant>
        <vt:i4>17</vt:i4>
      </vt:variant>
    </vt:vector>
  </ep:HeadingPairs>
  <ep:TitlesOfParts>
    <vt:vector size="17" baseType="lpstr">
      <vt:lpstr>Центрум</vt:lpstr>
      <vt:lpstr>Сводная</vt:lpstr>
      <vt:lpstr>Справочник магазинов</vt:lpstr>
      <vt:lpstr>План на день</vt:lpstr>
      <vt:lpstr>Сейтджелилова А.Э.</vt:lpstr>
      <vt:lpstr>Корж А. А.</vt:lpstr>
      <vt:lpstr>Свидовская С. А.</vt:lpstr>
      <vt:lpstr>Доп сотрудник</vt:lpstr>
      <vt:lpstr>Козлова В. Э.</vt:lpstr>
      <vt:lpstr>Вед-ть Свидовская</vt:lpstr>
      <vt:lpstr>Вед-ть Корж</vt:lpstr>
      <vt:lpstr>Вед-ть Сейтджелилова</vt:lpstr>
      <vt:lpstr>График</vt:lpstr>
      <vt:lpstr>Вед-ть Доп сотрудник</vt:lpstr>
      <vt:lpstr>Вед-ть Козлова</vt:lpstr>
      <vt:lpstr>ПК4</vt:lpstr>
      <vt:lpstr>Конкурс</vt:lpstr>
    </vt:vector>
  </ep:TitlesOfParts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cp="http://schemas.openxmlformats.org/package/2006/metadata/core-properties" xmlns:xsi="http://www.w3.org/2001/XMLSchema-instance" xmlns:dc="http://purl.org/dc/elements/1.1/" xmlns:dcterms="http://purl.org/dc/terms/">
  <dc:title/>
  <dc:subject/>
  <dc:creator/>
  <dc:description/>
  <cp:lastModifiedBy>lenadacenko@icloud.com</cp:lastModifiedBy>
  <cp:revision>1035</cp:revision>
  <dcterms:created xsi:type="dcterms:W3CDTF">2022-04-02T12:09:31Z</dcterms:created>
  <dcterms:modified xsi:type="dcterms:W3CDTF">2026-03-09T20:03:43Z</dcterms:modified>
  <dc:language>en-US</dc:language>
</cp:coreProperties>
</file>