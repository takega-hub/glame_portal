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?>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1" Type="http://schemas.openxmlformats.org/officeDocument/2006/relationships/extended-properties" Target="docProps/app.xml"/></Relationships>
</file>

<file path=xl/workbook.xml><?xml version="1.0" encoding="utf-8"?>
<s:workbook xmlns:s="http://schemas.openxmlformats.org/spreadsheetml/2006/main" xmlns:r="http://schemas.openxmlformats.org/officeDocument/2006/relationships">
  <s:workbookPr/>
  <s:bookViews>
    <s:workbookView xWindow="360" yWindow="15" windowWidth="20955" windowHeight="9720" activeTab="15"/>
  </s:bookViews>
  <s:sheets>
    <s:sheet name="Центрум" sheetId="1" state="visible" r:id="rId1"/>
    <s:sheet name="Конкурс" sheetId="2" state="visible" r:id="rId2"/>
    <s:sheet name="Сводная" sheetId="3" state="visible" r:id="rId3"/>
    <s:sheet name="Справочник магазинов" sheetId="4" state="hidden" r:id="rId4"/>
    <s:sheet name="План на день" sheetId="5" state="visible" r:id="rId5"/>
    <s:sheet name="Сейтджелилова А.Э." sheetId="6" state="visible" r:id="rId6"/>
    <s:sheet name="Козлова В. Э." sheetId="7" state="visible" r:id="rId7"/>
    <s:sheet name="Корж А. А." sheetId="8" state="visible" r:id="rId8"/>
    <s:sheet name="Свидовская С. А." sheetId="9" state="visible" r:id="rId9"/>
    <s:sheet name="Доп сотрудник" sheetId="10" state="visible" r:id="rId10"/>
    <s:sheet name="Вед-ть Козлова" sheetId="11" state="visible" r:id="rId11"/>
    <s:sheet name="Вед-ть Свидовская" sheetId="12" state="visible" r:id="rId12"/>
    <s:sheet name="Вед-ть Корж" sheetId="13" state="visible" r:id="rId13"/>
    <s:sheet name="Вед-ть Сейтджелилова" sheetId="14" state="visible" r:id="rId14"/>
    <s:sheet name="Вед-ть Доп сотрудник" sheetId="15" state="visible" r:id="rId15"/>
    <s:sheet name="График" sheetId="16" state="visible" r:id="rId16"/>
    <s:sheet name="Стекольщикова А. А." sheetId="17" state="visible" r:id="rId17"/>
  </s:sheets>
  <s:definedNames>
    <s:definedName name="маг">NA()</s:definedName>
  </s:definedNames>
  <s:calcPr/>
</s:workbook>
</file>

<file path=xl/sharedStrings.xml><?xml version="1.0" encoding="utf-8"?>
<s:sst xmlns:s="http://schemas.openxmlformats.org/spreadsheetml/2006/main" count="168" uniqueCount="168">
  <s:si>
    <s:t xml:space="preserve">(отчетная дата)</s:t>
  </s:si>
  <s:si>
    <s:t xml:space="preserve">                          ЕЖЕДНЕВНЫЙ ОТЧЕТ О ПРОДАЖАХ</s:t>
  </s:si>
  <s:si>
    <s:t xml:space="preserve">Осталось до выполнения плана!!!</s:t>
  </s:si>
  <s:si>
    <s:t xml:space="preserve">ТРК Центрум</s:t>
  </s:si>
  <s:si>
    <s:t xml:space="preserve">Целевые показатели</s:t>
  </s:si>
  <s:si>
    <s:t>Показатель</s:t>
  </s:si>
  <s:si>
    <s:t>План</s:t>
  </s:si>
  <s:si>
    <s:t>Факт</s:t>
  </s:si>
  <s:si>
    <s:t xml:space="preserve">% выполнения</s:t>
  </s:si>
  <s:si>
    <s:t xml:space="preserve">Прогноз выполнения</s:t>
  </s:si>
  <s:si>
    <s:t xml:space="preserve">% выполнения по прогнозу</s:t>
  </s:si>
  <s:si>
    <s:t>Отклонение</s:t>
  </s:si>
  <s:si>
    <s:t xml:space="preserve">Факт аналогичного месяца прошлого года</s:t>
  </s:si>
  <s:si>
    <s:t xml:space="preserve">Отклонение LFL</s:t>
  </s:si>
  <s:si>
    <s:t>Выручка</s:t>
  </s:si>
  <s:si>
    <s:t xml:space="preserve">Кол-во изделий</s:t>
  </s:si>
  <s:si>
    <s:t xml:space="preserve">Средний чек</s:t>
  </s:si>
  <s:si>
    <s:t xml:space="preserve">Средняя стоимость изделия</s:t>
  </s:si>
  <s:si>
    <s:t xml:space="preserve">Длина чека</s:t>
  </s:si>
  <s:si>
    <s:t xml:space="preserve">Кол-во чеков</s:t>
  </s:si>
  <s:si>
    <s:t xml:space="preserve">Кол-во смен</s:t>
  </s:si>
  <s:si>
    <s:t xml:space="preserve">Средние продажи в смену</s:t>
  </s:si>
  <s:si>
    <s:t>Отставание/Перевыполнение</s:t>
  </s:si>
  <s:si>
    <s:t xml:space="preserve">Подарочные сертификаты</s:t>
  </s:si>
  <s:si>
    <s:t>Трафик</s:t>
  </s:si>
  <s:si>
    <s:t>Конверсия</s:t>
  </s:si>
  <s:si>
    <s:t xml:space="preserve">Факт продаж за месяц</s:t>
  </s:si>
  <s:si>
    <s:t xml:space="preserve">Раcпределение плана по дням</s:t>
  </s:si>
  <s:si>
    <s:t>Сотрудник</s:t>
  </s:si>
  <s:si>
    <s:t>Дата</s:t>
  </s:si>
  <s:si>
    <s:t xml:space="preserve">День недели</s:t>
  </s:si>
  <s:si>
    <s:t xml:space="preserve">Выручка (руб)</s:t>
  </s:si>
  <s:si>
    <s:t xml:space="preserve">Кол-во единиц (шт.)</s:t>
  </s:si>
  <s:si>
    <s:t xml:space="preserve">Средняя стоимость изделия (руб.)</s:t>
  </s:si>
  <s:si>
    <s:t xml:space="preserve">Количество чеков  (шт.)</s:t>
  </s:si>
  <s:si>
    <s:t xml:space="preserve">Средняя сумма чека (руб.)</s:t>
  </s:si>
  <s:si>
    <s:t xml:space="preserve">Длина чека (шт.)</s:t>
  </s:si>
  <s:si>
    <s:t>UNOde50</s:t>
  </s:si>
  <s:si>
    <s:t>IS</s:t>
  </s:si>
  <s:si>
    <s:t>Agafi</s:t>
  </s:si>
  <s:si>
    <s:t>Kalliope</s:t>
  </s:si>
  <s:si>
    <s:t>Raganella</s:t>
  </s:si>
  <s:si>
    <s:t>CC/MP</s:t>
  </s:si>
  <s:si>
    <s:t xml:space="preserve">Eva Rites</s:t>
  </s:si>
  <s:si>
    <s:t>Antura</s:t>
  </s:si>
  <s:si>
    <s:t xml:space="preserve">Конверсия (%)</s:t>
  </s:si>
  <s:si>
    <s:t xml:space="preserve">% выполнения дневного плана</s:t>
  </s:si>
  <s:si>
    <s:t xml:space="preserve">выручка, план</s:t>
  </s:si>
  <s:si>
    <s:t xml:space="preserve">кол-во ед, план</s:t>
  </s:si>
  <s:si>
    <s:t xml:space="preserve">Кол-во чеков, план</s:t>
  </s:si>
  <s:si>
    <s:t xml:space="preserve">выручка, скорректир.план</s:t>
  </s:si>
  <s:si>
    <s:t xml:space="preserve">кол-во ед, скорр. план</s:t>
  </s:si>
  <s:si>
    <s:t xml:space="preserve">кол-во чеков, скорр. план</s:t>
  </s:si>
  <s:si>
    <s:t xml:space="preserve">Коэфф. Дня Недели</s:t>
  </s:si>
  <s:si>
    <s:t xml:space="preserve">Специфика месяца</s:t>
  </s:si>
  <s:si>
    <s:t>чт</s:t>
  </s:si>
  <s:si>
    <s:t xml:space="preserve">Свидовская, Корж, Козлова</s:t>
  </s:si>
  <s:si>
    <s:t>пт</s:t>
  </s:si>
  <s:si>
    <s:t>сб</s:t>
  </s:si>
  <s:si>
    <s:t>вс</s:t>
  </s:si>
  <s:si>
    <s:t xml:space="preserve">Козлова, Корж</s:t>
  </s:si>
  <s:si>
    <s:t>пн</s:t>
  </s:si>
  <s:si>
    <s:t xml:space="preserve">Козлова, Стекольщикова</s:t>
  </s:si>
  <s:si>
    <s:t>вт</s:t>
  </s:si>
  <s:si>
    <s:t xml:space="preserve">Стекольщикова, Корж, Свидовская</s:t>
  </s:si>
  <s:si>
    <s:t>ср</s:t>
  </s:si>
  <s:si>
    <s:t xml:space="preserve">Стекольщикова, Свидовская, Козлова</s:t>
  </s:si>
  <s:si>
    <s:t xml:space="preserve">Стекольщикова, Козлова</s:t>
  </s:si>
  <s:si>
    <s:t xml:space="preserve">Козлова, Корж, Свидовская</s:t>
  </s:si>
  <s:si>
    <s:t xml:space="preserve">Свидовская, Корж</s:t>
  </s:si>
  <s:si>
    <s:t>Корж</s:t>
  </s:si>
  <s:si>
    <s:t>Козлова,Рогалевич</s:t>
  </s:si>
  <s:si>
    <s:t xml:space="preserve">Свидовская, Козлова,Рогалевич</s:t>
  </s:si>
  <s:si>
    <s:t xml:space="preserve">Корж, Свидовская, Рогалевич, Сейтджелилова</s:t>
  </s:si>
  <s:si>
    <s:t xml:space="preserve">Корж, Рогалевич, Сейтджелилова</s:t>
  </s:si>
  <s:si>
    <s:t xml:space="preserve">Корж, Рогалевич, Сейтджелилова, Козлова</s:t>
  </s:si>
  <s:si>
    <s:t xml:space="preserve">Свидовская, Козлова </s:t>
  </s:si>
  <s:si>
    <s:t xml:space="preserve">Свидовская, Козлова, Сейтджелилова</s:t>
  </s:si>
  <s:si>
    <s:t xml:space="preserve">Свидовская, Корж, Сейтджелилова</s:t>
  </s:si>
  <s:si>
    <s:t xml:space="preserve">Корж, Сейтджелилова</s:t>
  </s:si>
  <s:si>
    <s:t xml:space="preserve">Корж, Козлова, Сейтджелилова</s:t>
  </s:si>
  <s:si>
    <s:t xml:space="preserve">Свидовская, Козлова</s:t>
  </s:si>
  <s:si>
    <s:t xml:space="preserve">Свидовская, Козлова, Корж</s:t>
  </s:si>
  <s:si>
    <s:t xml:space="preserve">Сейтджелилова, Корж</s:t>
  </s:si>
  <s:si>
    <s:t xml:space="preserve">Козлова, Свидовская, Сейтджелилова</s:t>
  </s:si>
  <s:si>
    <s:t>итого</s:t>
  </s:si>
  <s:si>
    <s:t xml:space="preserve">Личный ежедневный КВП, %</s:t>
  </s:si>
  <s:si>
    <s:t>Сотруник</s:t>
  </s:si>
  <s:si>
    <s:t>Итого:</s:t>
  </s:si>
  <s:si>
    <s:t xml:space="preserve">Доп сотрудник</s:t>
  </s:si>
  <s:si>
    <s:t xml:space="preserve">Стекольщикова Алла</s:t>
  </s:si>
  <s:si>
    <s:t xml:space="preserve">Свидовская София</s:t>
  </s:si>
  <s:si>
    <s:t xml:space="preserve">Корж Анастасия</s:t>
  </s:si>
  <s:si>
    <s:t xml:space="preserve">Козлова Валерия</s:t>
  </s:si>
  <s:si>
    <s:t xml:space="preserve">Личный КВП, баллы</s:t>
  </s:si>
  <s:si>
    <s:t xml:space="preserve">Сводная по показателям</s:t>
  </s:si>
  <s:si>
    <s:t xml:space="preserve">Факт </s:t>
  </s:si>
  <s:si>
    <s:t>Прогноз</s:t>
  </s:si>
  <s:si>
    <s:t xml:space="preserve">Кол-во смен план/отработано</s:t>
  </s:si>
  <s:si>
    <s:t xml:space="preserve">МЕГА Белая Дача</s:t>
  </s:si>
  <s:si>
    <s:t>Гагаринский</s:t>
  </s:si>
  <s:si>
    <s:t>Марфино</s:t>
  </s:si>
  <s:si>
    <s:t xml:space="preserve">Конверсия план/факт</s:t>
  </s:si>
  <s:si>
    <s:t>в</s:t>
  </s:si>
  <s:si>
    <s:t>29.янв.</s:t>
  </s:si>
  <s:si>
    <s:t>Рогалевич</s:t>
  </s:si>
  <s:si>
    <s:t xml:space="preserve">Выплачено на карту</s:t>
  </s:si>
  <s:si>
    <s:t xml:space="preserve">Выплачено наличными по платежной ведомости</s:t>
  </s:si>
  <s:si>
    <s:t xml:space="preserve">Дополнительные начисления, доплаты</s:t>
  </s:si>
  <s:si>
    <s:t>Оклад</s:t>
  </s:si>
  <s:si>
    <s:t xml:space="preserve">Бонусная часть от личных продаж</s:t>
  </s:si>
  <s:si>
    <s:t xml:space="preserve">Бонусная часть от общих продаж</s:t>
  </s:si>
  <s:si>
    <s:t xml:space="preserve">Базовый бонус за выполнение плана</s:t>
  </s:si>
  <s:si>
    <s:t>Вычеты</s:t>
  </s:si>
  <s:si>
    <s:t xml:space="preserve">Итого к выдаче с учетом авансов и вычетов</s:t>
  </s:si>
  <s:si>
    <s:t>Подпись</s:t>
  </s:si>
  <s:si>
    <s:t xml:space="preserve">Доп начисления</s:t>
  </s:si>
  <s:si>
    <s:t>Сумма</s:t>
  </s:si>
  <s:si>
    <s:t>Описание</s:t>
  </s:si>
  <s:si>
    <s:t xml:space="preserve">НДФЛ декабрь 2025</s:t>
  </s:si>
  <s:si>
    <s:t xml:space="preserve">Вычет по инвентаризационной ведомости от 13.01</s:t>
  </s:si>
  <s:si>
    <s:t>Оклад:</s:t>
  </s:si>
  <s:si>
    <s:t xml:space="preserve">Базовый бонус</s:t>
  </s:si>
  <s:si>
    <s:t>Дней</s:t>
  </s:si>
  <s:si>
    <s:t>Магазин</s:t>
  </s:si>
  <s:si>
    <s:t>Должность</s:t>
  </s:si>
  <s:si>
    <s:t xml:space="preserve">Зачислено часов</s:t>
  </s:si>
  <s:si>
    <s:t xml:space="preserve">Ставка за час, руб</s:t>
  </s:si>
  <s:si>
    <s:t xml:space="preserve">Начислено за день, руб</s:t>
  </s:si>
  <s:si>
    <s:t>КВП</s:t>
  </s:si>
  <s:si>
    <s:t xml:space="preserve">Начисленный ББ</s:t>
  </s:si>
  <s:si>
    <s:t>ПК</s:t>
  </s:si>
  <s:si>
    <s:t>БонуснаяЧасть</s:t>
  </s:si>
  <s:si>
    <s:t xml:space="preserve">Бонус от личных продаж по категории товара</s:t>
  </s:si>
  <s:si>
    <s:t xml:space="preserve">Бонус от общих продаж</s:t>
  </s:si>
  <s:si>
    <s:t xml:space="preserve">Процент от продажи</s:t>
  </s:si>
  <s:si>
    <s:t xml:space="preserve">Продано на сумму, руб</s:t>
  </s:si>
  <s:si>
    <s:t xml:space="preserve">Начисленный бонус от продаж, руб</s:t>
  </s:si>
  <s:si>
    <s:t xml:space="preserve">Кол-во отработанных личных часов</s:t>
  </s:si>
  <s:si>
    <s:t xml:space="preserve">Кол-во отработанных общих часов</s:t>
  </s:si>
  <s:si>
    <s:t xml:space="preserve">Вычет по инвентаризационной ведомости от 09.01</s:t>
  </s:si>
  <s:si>
    <s:t xml:space="preserve">Административный %</s:t>
  </s:si>
  <s:si>
    <s:t xml:space="preserve">% наличного оборота &lt; 60%</s:t>
  </s:si>
  <s:si>
    <s:t>УМ</s:t>
  </s:si>
  <s:si>
    <s:t xml:space="preserve">Администартивный %</s:t>
  </s:si>
  <s:si>
    <s:t xml:space="preserve">Январь, 2026</s:t>
  </s:si>
  <s:si>
    <s:t xml:space="preserve">г. Симферополь</s:t>
  </s:si>
  <s:si>
    <s:t xml:space="preserve">ул. Севастопольская, 62</s:t>
  </s:si>
  <s:si>
    <s:t>GL-0004</s:t>
  </s:si>
  <s:si>
    <s:t>10.00-21.00</s:t>
  </s:si>
  <s:si>
    <s:t>ФОТ</s:t>
  </s:si>
  <s:si>
    <s:t xml:space="preserve">Кол-во дней в месяц</s:t>
  </s:si>
  <s:si>
    <s:t xml:space="preserve">Премия Директора, грн.</s:t>
  </s:si>
  <s:si>
    <s:t>Часы</s:t>
  </s:si>
  <s:si>
    <s:t>Выходные</s:t>
  </s:si>
  <s:si>
    <s:t>Отпуск</s:t>
  </s:si>
  <s:si>
    <s:t xml:space="preserve">Больничный (официальный)</s:t>
  </s:si>
  <s:si>
    <s:t xml:space="preserve">Дни стажировки</s:t>
  </s:si>
  <s:si>
    <s:t>№</s:t>
  </s:si>
  <s:si>
    <s:t>ФИО</s:t>
  </s:si>
  <s:si>
    <s:t>Дни</s:t>
  </s:si>
  <s:si>
    <s:t>о</s:t>
  </s:si>
  <s:si>
    <s:t xml:space="preserve">Сейтджелилова Алина</s:t>
  </s:si>
  <s:si>
    <s:t>у</s:t>
  </s:si>
  <s:si>
    <s:t xml:space="preserve">Итого магазин</s:t>
  </s:si>
  <s:si>
    <s:t xml:space="preserve">    </s:t>
  </s:si>
  <s:si>
    <s:t>.</s:t>
  </s:si>
  <s:si>
    <s:t xml:space="preserve"> </s:t>
  </s:si>
</s:sst>
</file>

<file path=xl/styles.xml><?xml version="1.0" encoding="utf-8"?>
<s:styleSheet xmlns:s="http://schemas.openxmlformats.org/spreadsheetml/2006/main" xmlns:vyd="http://volga.yandex.com/schemas/document/model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s:numFmts count="8">
    <s:numFmt numFmtId="160" formatCode="_-* #,##0.00_р_._-;\-* #,##0.00_р_._-;_-* \-??_р_._-;_-@_-"/>
    <s:numFmt numFmtId="161" formatCode="dddd&quot;, &quot;mmmm\ dd&quot;, &quot;yyyy"/>
    <s:numFmt numFmtId="162" formatCode="0.0%"/>
    <s:numFmt numFmtId="163" formatCode="#,##0.00\ &quot;₽&quot;"/>
    <s:numFmt numFmtId="164" formatCode="#,##0\ &quot;₽&quot;"/>
    <s:numFmt numFmtId="165" formatCode="#,##0.00\ _₽"/>
    <s:numFmt numFmtId="166" formatCode="0.0"/>
    <s:numFmt numFmtId="167" formatCode="mmmm\ yyyy;@"/>
  </s:numFmts>
  <s:fonts count="47">
    <s:font>
      <s:name val="Calibri"/>
      <s:color indexed="63"/>
      <s:sz val="11"/>
    </s:font>
    <s:font>
      <s:name val="Arial"/>
      <s:sz val="8"/>
    </s:font>
    <s:font>
      <s:name val="Clinica Pro Regular"/>
      <s:color indexed="63"/>
      <s:sz val="11"/>
    </s:font>
    <s:font>
      <s:name val="Times New Roman"/>
      <s:color indexed="63"/>
      <s:sz val="11"/>
    </s:font>
    <s:font>
      <s:name val="Clinica Pro Regular"/>
      <s:b val="1"/>
      <s:color rgb="FFCC66FF"/>
      <s:sz val="8"/>
    </s:font>
    <s:font>
      <s:name val="Clinica Pro Regular"/>
      <s:color rgb="FFCC66FF"/>
      <s:sz val="11"/>
    </s:font>
    <s:font>
      <s:name val="Clinica Pro Regular"/>
      <s:sz val="8"/>
    </s:font>
    <s:font>
      <s:name val="Clinica Pro Regular"/>
      <s:color rgb="FFCC66FF"/>
      <s:sz val="28"/>
    </s:font>
    <s:font>
      <s:name val="Clinica Pro Regular"/>
      <s:color rgb="FFCC66FF"/>
      <s:sz val="8"/>
    </s:font>
    <s:font>
      <s:name val="Clinica Pro Regular"/>
      <s:b val="1"/>
      <s:color rgb="FFCC66FF"/>
      <s:sz val="11"/>
    </s:font>
    <s:font>
      <s:name val="Clinica Pro Regular"/>
      <s:b val="1"/>
      <s:color rgb="FFCC66FF"/>
      <s:sz val="12"/>
    </s:font>
    <s:font>
      <s:name val="Clinica Pro Regular"/>
      <s:b val="1"/>
      <s:sz val="8"/>
    </s:font>
    <s:font>
      <s:name val="Clinica Pro Regular"/>
      <s:color rgb="FFFFC000"/>
      <s:sz val="11"/>
    </s:font>
    <s:font>
      <s:name val="Clinica Pro Regular"/>
      <s:b val="1"/>
      <s:sz val="12"/>
    </s:font>
    <s:font>
      <s:name val="Clinica Pro Regular"/>
      <s:b val="1"/>
      <s:color indexed="17"/>
      <s:sz val="8"/>
    </s:font>
    <s:font>
      <s:name val="Clinica Pro Regular"/>
      <s:b val="1"/>
      <s:sz val="9"/>
    </s:font>
    <s:font>
      <s:name val="Clinica Pro Regular"/>
      <s:b val="1"/>
      <s:sz val="10"/>
    </s:font>
    <s:font>
      <s:name val="Clinica Pro Regular"/>
      <s:b val="1"/>
      <s:color theme="1"/>
      <s:sz val="9"/>
    </s:font>
    <s:font>
      <s:name val="Clinica Pro Regular"/>
      <s:sz val="9"/>
    </s:font>
    <s:font>
      <s:name val="Clinica Pro Regular"/>
      <s:b val="1"/>
      <s:color theme="1"/>
      <s:sz val="8"/>
    </s:font>
    <s:font>
      <s:name val="Clinica Pro Regular"/>
      <s:b val="1"/>
      <s:color indexed="17"/>
      <s:sz val="9"/>
    </s:font>
    <s:font>
      <s:name val="Clinica Pro Regular"/>
      <s:b val="1"/>
      <s:color indexed="63"/>
      <s:sz val="8"/>
    </s:font>
    <s:font>
      <s:name val="Clinica Pro Regular"/>
      <s:b val="1"/>
      <s:color rgb="FF3B3838"/>
      <s:sz val="8"/>
    </s:font>
    <s:font>
      <s:name val="Clinica Pro Regular"/>
      <s:color indexed="63"/>
      <s:sz val="9"/>
    </s:font>
    <s:font>
      <s:name val="Clinica Pro Regular"/>
      <s:b val="1"/>
      <s:color rgb="FF1F4E79"/>
      <s:sz val="8"/>
    </s:font>
    <s:font>
      <s:name val="Calibri"/>
      <s:sz val="11"/>
    </s:font>
    <s:font>
      <s:name val="Calibri"/>
      <s:color theme="1"/>
      <s:sz val="11"/>
    </s:font>
    <s:font>
      <s:name val="Clinica Pro Regular"/>
      <s:color theme="1"/>
      <s:sz val="9"/>
    </s:font>
    <s:font>
      <s:name val="Clinica Pro Regular"/>
      <s:color theme="1"/>
      <s:sz val="8"/>
    </s:font>
    <s:font>
      <s:name val="Clinica Pro Regular"/>
      <s:color theme="1"/>
      <s:sz val="11"/>
    </s:font>
    <s:font>
      <s:name val="Times New Roman"/>
      <s:color theme="1"/>
      <s:sz val="11"/>
    </s:font>
    <s:font>
      <s:name val="Clinica Pro Regular"/>
      <s:color indexed="63"/>
      <s:sz val="8"/>
    </s:font>
    <s:font>
      <s:name val="Clinica Pro Regular"/>
      <s:color theme="1"/>
      <s:sz val="12"/>
    </s:font>
    <s:font>
      <s:name val="Clinica Pro Regular"/>
      <s:b val="1"/>
      <s:color theme="1"/>
      <s:sz val="12"/>
    </s:font>
    <s:font>
      <s:name val="Clinica Pro Regular"/>
      <s:color theme="1"/>
      <s:sz val="10"/>
    </s:font>
    <s:font>
      <s:name val="Clinica Pro Regular"/>
      <s:sz val="10"/>
    </s:font>
    <s:font>
      <s:name val="Clinica Pro Regular"/>
      <s:color rgb="FF413003"/>
      <s:sz val="8"/>
    </s:font>
    <s:font>
      <s:name val="Clinica Pro Regular"/>
      <s:b val="1"/>
      <s:color rgb="FF413003"/>
      <s:sz val="8"/>
    </s:font>
    <s:font>
      <s:name val="Clinica Pro Regular"/>
      <s:color indexed="2"/>
      <s:sz val="8"/>
    </s:font>
    <s:font>
      <s:name val="Arial"/>
      <s:b val="1"/>
      <s:color indexed="56"/>
      <s:sz val="11"/>
    </s:font>
    <s:font>
      <s:name val="Clinica Pro Regular"/>
      <s:b val="1"/>
      <s:color indexed="56"/>
      <s:sz val="11"/>
    </s:font>
    <s:font>
      <s:name val="Clinica Pro Regular"/>
      <s:b val="1"/>
      <s:color indexed="56"/>
      <s:sz val="14"/>
    </s:font>
    <s:font>
      <s:name val="Clinica Pro Regular"/>
      <s:b val="1"/>
      <s:color indexed="18"/>
      <s:sz val="12"/>
    </s:font>
    <s:font>
      <s:name val="Clinica Pro Regular"/>
      <s:color indexed="56"/>
      <s:sz val="10"/>
    </s:font>
    <s:font>
      <s:name val="Clinica Pro Regular"/>
      <s:b val="1"/>
      <s:color indexed="16"/>
      <s:sz val="10"/>
    </s:font>
    <s:font>
      <s:name val="Clinica Pro Regular"/>
      <s:sz val="11"/>
    </s:font>
    <s:font>
      <s:name val="Clinica Pro Regular"/>
      <s:sz val="12"/>
    </s:font>
  </s:fonts>
  <s:fills count="39">
    <s:fill>
      <s:patternFill patternType="none"/>
    </s:fill>
    <s:fill>
      <s:patternFill patternType="gray125"/>
    </s:fill>
    <s:fill>
      <s:patternFill patternType="solid">
        <s:fgColor rgb="FF66FFFF"/>
        <s:bgColor rgb="FF4ACCD3"/>
      </s:patternFill>
    </s:fill>
    <s:fill>
      <s:patternFill patternType="solid">
        <s:fgColor rgb="FFCCFF00"/>
        <s:bgColor indexed="5"/>
      </s:patternFill>
    </s:fill>
    <s:fill>
      <s:patternFill patternType="solid">
        <s:fgColor indexed="65"/>
        <s:bgColor indexed="26"/>
      </s:patternFill>
    </s:fill>
    <s:fill>
      <s:patternFill patternType="solid">
        <s:fgColor indexed="5"/>
        <s:bgColor indexed="26"/>
      </s:patternFill>
    </s:fill>
    <s:fill>
      <s:patternFill patternType="solid">
        <s:fgColor rgb="FF00CCCC"/>
        <s:bgColor rgb="FF4ACCD3"/>
      </s:patternFill>
    </s:fill>
    <s:fill>
      <s:patternFill patternType="solid">
        <s:fgColor rgb="FFD0CECE"/>
        <s:bgColor rgb="FFD0CECE"/>
      </s:patternFill>
    </s:fill>
    <s:fill>
      <s:patternFill patternType="solid">
        <s:fgColor rgb="FFD0CECE"/>
        <s:bgColor rgb="FF5B9BD5"/>
      </s:patternFill>
    </s:fill>
    <s:fill>
      <s:patternFill patternType="solid">
        <s:fgColor theme="0"/>
        <s:bgColor theme="0"/>
      </s:patternFill>
    </s:fill>
    <s:fill>
      <s:patternFill patternType="solid">
        <s:fgColor theme="2"/>
        <s:bgColor theme="2"/>
      </s:patternFill>
    </s:fill>
    <s:fill>
      <s:patternFill patternType="solid">
        <s:fgColor theme="2"/>
        <s:bgColor rgb="FF4ACCD3"/>
      </s:patternFill>
    </s:fill>
    <s:fill>
      <s:patternFill patternType="solid">
        <s:fgColor theme="9" tint="0.6"/>
        <s:bgColor theme="9" tint="0.6"/>
      </s:patternFill>
    </s:fill>
    <s:fill>
      <s:patternFill patternType="solid">
        <s:fgColor theme="6" tint="0.8"/>
        <s:bgColor rgb="FF4ACCD3"/>
      </s:patternFill>
    </s:fill>
    <s:fill>
      <s:patternFill patternType="solid">
        <s:fgColor rgb="FFCCFF00"/>
        <s:bgColor rgb="FFCCFF00"/>
      </s:patternFill>
    </s:fill>
    <s:fill>
      <s:patternFill patternType="solid">
        <s:fgColor theme="2" tint="-0.1"/>
        <s:bgColor rgb="FF5B9BD5"/>
      </s:patternFill>
    </s:fill>
    <s:fill>
      <s:patternFill patternType="solid">
        <s:fgColor theme="0"/>
        <s:bgColor theme="2"/>
      </s:patternFill>
    </s:fill>
    <s:fill>
      <s:patternFill patternType="solid">
        <s:fgColor theme="9" tint="0.8"/>
        <s:bgColor theme="9" tint="0.8"/>
      </s:patternFill>
    </s:fill>
    <s:fill>
      <s:patternFill patternType="solid">
        <s:fgColor indexed="65"/>
        <s:bgColor indexed="65"/>
      </s:patternFill>
    </s:fill>
    <s:fill>
      <s:patternFill patternType="solid">
        <s:fgColor rgb="FFE7E6E6"/>
        <s:bgColor rgb="FFE7E6E6"/>
      </s:patternFill>
    </s:fill>
    <s:fill>
      <s:patternFill patternType="solid">
        <s:fgColor rgb="FFF4ECC5"/>
        <s:bgColor rgb="FFF4ECC5"/>
      </s:patternFill>
    </s:fill>
    <s:fill>
      <s:patternFill patternType="solid">
        <s:fgColor rgb="FFFBF9EC"/>
        <s:bgColor rgb="FFFBF9EC"/>
      </s:patternFill>
    </s:fill>
    <s:fill>
      <s:patternFill patternType="solid">
        <s:fgColor rgb="FFFCFAEB"/>
        <s:bgColor rgb="FFFCFAEB"/>
      </s:patternFill>
    </s:fill>
    <s:fill>
      <s:patternFill patternType="solid">
        <s:fgColor theme="8" tint="0.6"/>
        <s:bgColor rgb="FF3B3838"/>
      </s:patternFill>
    </s:fill>
    <s:fill>
      <s:patternFill patternType="solid">
        <s:fgColor rgb="FF92D050"/>
        <s:bgColor rgb="FFED7D31"/>
      </s:patternFill>
    </s:fill>
    <s:fill>
      <s:patternFill patternType="solid">
        <s:fgColor theme="8" tint="0.6"/>
        <s:bgColor rgb="FFED7D31"/>
      </s:patternFill>
    </s:fill>
    <s:fill>
      <s:patternFill patternType="solid">
        <s:fgColor rgb="FFFFC000"/>
        <s:bgColor indexed="5"/>
      </s:patternFill>
    </s:fill>
    <s:fill>
      <s:patternFill patternType="solid">
        <s:fgColor theme="8" tint="0.4"/>
        <s:bgColor rgb="FFED7D31"/>
      </s:patternFill>
    </s:fill>
    <s:fill>
      <s:patternFill patternType="solid">
        <s:fgColor theme="8" tint="0.8"/>
        <s:bgColor rgb="FF3B3838"/>
      </s:patternFill>
    </s:fill>
    <s:fill>
      <s:patternFill patternType="solid">
        <s:fgColor theme="9" tint="0.8"/>
        <s:bgColor indexed="7"/>
      </s:patternFill>
    </s:fill>
    <s:fill>
      <s:patternFill patternType="solid">
        <s:fgColor theme="0" tint="0"/>
        <s:bgColor theme="0" tint="0"/>
      </s:patternFill>
    </s:fill>
    <s:fill>
      <s:patternFill patternType="solid">
        <s:fgColor theme="2" tint="-0.5"/>
        <s:bgColor rgb="FF3B3838"/>
      </s:patternFill>
    </s:fill>
    <s:fill>
      <s:patternFill patternType="solid">
        <s:fgColor theme="2" tint="-0.1"/>
        <s:bgColor rgb="FF3B3838"/>
      </s:patternFill>
    </s:fill>
    <s:fill>
      <s:patternFill patternType="solid">
        <s:fgColor theme="2" tint="-0.1"/>
        <s:bgColor theme="2" tint="-0.1"/>
      </s:patternFill>
    </s:fill>
    <s:fill>
      <s:patternFill patternType="solid">
        <s:fgColor theme="0"/>
        <s:bgColor theme="7" tint="0.6"/>
      </s:patternFill>
    </s:fill>
    <s:fill>
      <s:patternFill patternType="solid">
        <s:fgColor theme="7" tint="0.8"/>
        <s:bgColor theme="7" tint="0.8"/>
      </s:patternFill>
    </s:fill>
    <s:fill>
      <s:patternFill patternType="solid">
        <s:fgColor theme="0" tint="-0.5"/>
        <s:bgColor theme="0" tint="-0.5"/>
      </s:patternFill>
    </s:fill>
    <s:fill>
      <s:patternFill patternType="solid">
        <s:fgColor theme="0"/>
        <s:bgColor theme="4" tint="0.4"/>
      </s:patternFill>
    </s:fill>
    <s:fill>
      <s:patternFill patternType="solid">
        <s:fgColor theme="8" tint="0.6"/>
        <s:bgColor indexed="43"/>
      </s:patternFill>
    </s:fill>
  </s:fills>
  <s:borders count="173">
    <s:border>
      <s:left style="none"/>
      <s:right style="none"/>
      <s:top style="none"/>
      <s:bottom style="none"/>
      <s:diagonal style="none"/>
    </s:border>
    <s:border>
      <s:left style="medium">
        <s:color auto="1"/>
      </s:left>
      <s:right style="none"/>
      <s:top style="medium">
        <s:color auto="1"/>
      </s:top>
      <s:bottom style="none"/>
      <s:diagonal style="none"/>
    </s:border>
    <s:border>
      <s:left style="none"/>
      <s:right style="none"/>
      <s:top style="medium">
        <s:color auto="1"/>
      </s:top>
      <s:bottom style="none"/>
      <s:diagonal style="none"/>
    </s:border>
    <s:border>
      <s:left style="none"/>
      <s:right style="medium">
        <s:color auto="1"/>
      </s:right>
      <s:top style="medium">
        <s:color auto="1"/>
      </s:top>
      <s:bottom style="none"/>
      <s:diagonal style="none"/>
    </s:border>
    <s:border>
      <s:left style="medium">
        <s:color auto="1"/>
      </s:left>
      <s:right style="hair">
        <s:color auto="1"/>
      </s:right>
      <s:top style="medium">
        <s:color auto="1"/>
      </s:top>
      <s:bottom style="medium">
        <s:color auto="1"/>
      </s:bottom>
      <s:diagonal style="none"/>
    </s:border>
    <s:border>
      <s:left style="hair">
        <s:color auto="1"/>
      </s:left>
      <s:right style="medium">
        <s:color auto="1"/>
      </s:right>
      <s:top style="medium">
        <s:color auto="1"/>
      </s:top>
      <s:bottom style="medium">
        <s:color auto="1"/>
      </s:bottom>
      <s:diagonal style="none"/>
    </s:border>
    <s:border>
      <s:left style="none"/>
      <s:right style="hair">
        <s:color auto="1"/>
      </s:right>
      <s:top style="hair">
        <s:color auto="1"/>
      </s:top>
      <s:bottom style="hair">
        <s:color auto="1"/>
      </s:bottom>
      <s:diagonal style="none"/>
    </s:border>
    <s:border>
      <s:left style="medium">
        <s:color auto="1"/>
      </s:left>
      <s:right style="none"/>
      <s:top style="none"/>
      <s:bottom style="medium">
        <s:color auto="1"/>
      </s:bottom>
      <s:diagonal style="none"/>
    </s:border>
    <s:border>
      <s:left style="none"/>
      <s:right style="none"/>
      <s:top style="none"/>
      <s:bottom style="medium">
        <s:color auto="1"/>
      </s:bottom>
      <s:diagonal style="none"/>
    </s:border>
    <s:border>
      <s:left style="none"/>
      <s:right style="medium">
        <s:color auto="1"/>
      </s:right>
      <s:top style="none"/>
      <s:bottom style="medium">
        <s:color auto="1"/>
      </s:bottom>
      <s:diagonal style="none"/>
    </s:border>
    <s:border>
      <s:left style="medium">
        <s:color auto="1"/>
      </s:left>
      <s:right style="none"/>
      <s:top style="medium">
        <s:color auto="1"/>
      </s:top>
      <s:bottom style="medium">
        <s:color auto="1"/>
      </s:bottom>
      <s:diagonal style="none"/>
    </s:border>
    <s:border>
      <s:left style="none"/>
      <s:right style="none"/>
      <s:top style="medium">
        <s:color auto="1"/>
      </s:top>
      <s:bottom style="medium">
        <s:color auto="1"/>
      </s:bottom>
      <s:diagonal style="none"/>
    </s:border>
    <s:border>
      <s:left style="none"/>
      <s:right style="medium">
        <s:color auto="1"/>
      </s:right>
      <s:top style="medium">
        <s:color auto="1"/>
      </s:top>
      <s:bottom style="medium">
        <s:color auto="1"/>
      </s:bottom>
      <s:diagonal style="none"/>
    </s:border>
    <s:border>
      <s:left style="medium">
        <s:color auto="1"/>
      </s:left>
      <s:right style="medium">
        <s:color auto="1"/>
      </s:right>
      <s:top style="medium">
        <s:color auto="1"/>
      </s:top>
      <s:bottom style="medium">
        <s:color auto="1"/>
      </s:bottom>
      <s:diagonal style="none"/>
    </s:border>
    <s:border>
      <s:left style="none"/>
      <s:right style="thin">
        <s:color auto="1"/>
      </s:right>
      <s:top style="medium">
        <s:color auto="1"/>
      </s:top>
      <s:bottom style="medium">
        <s:color auto="1"/>
      </s:bottom>
      <s:diagonal style="none"/>
    </s:border>
    <s:border>
      <s:left style="thin">
        <s:color auto="1"/>
      </s:left>
      <s:right style="thin">
        <s:color auto="1"/>
      </s:right>
      <s:top style="medium">
        <s:color auto="1"/>
      </s:top>
      <s:bottom style="medium">
        <s:color auto="1"/>
      </s:bottom>
      <s:diagonal style="none"/>
    </s:border>
    <s:border>
      <s:left style="thin">
        <s:color auto="1"/>
      </s:left>
      <s:right style="none"/>
      <s:top style="medium">
        <s:color auto="1"/>
      </s:top>
      <s:bottom style="medium">
        <s:color auto="1"/>
      </s:bottom>
      <s:diagonal style="none"/>
    </s:border>
    <s:border>
      <s:left style="medium">
        <s:color auto="1"/>
      </s:left>
      <s:right style="medium">
        <s:color auto="1"/>
      </s:right>
      <s:top style="medium">
        <s:color auto="1"/>
      </s:top>
      <s:bottom style="thin">
        <s:color auto="1"/>
      </s:bottom>
      <s:diagonal style="none"/>
    </s:border>
    <s:border>
      <s:left style="none"/>
      <s:right style="thin">
        <s:color auto="1"/>
      </s:right>
      <s:top style="medium">
        <s:color auto="1"/>
      </s:top>
      <s:bottom style="thin">
        <s:color auto="1"/>
      </s:bottom>
      <s:diagonal style="none"/>
    </s:border>
    <s:border>
      <s:left style="thin">
        <s:color auto="1"/>
      </s:left>
      <s:right style="thin">
        <s:color auto="1"/>
      </s:right>
      <s:top style="none"/>
      <s:bottom style="thin">
        <s:color auto="1"/>
      </s:bottom>
      <s:diagonal style="none"/>
    </s:border>
    <s:border>
      <s:left style="thin">
        <s:color auto="1"/>
      </s:left>
      <s:right style="none"/>
      <s:top style="none"/>
      <s:bottom style="thin">
        <s:color auto="1"/>
      </s:bottom>
      <s:diagonal style="none"/>
    </s:border>
    <s:border>
      <s:left style="medium">
        <s:color auto="1"/>
      </s:left>
      <s:right style="medium">
        <s:color auto="1"/>
      </s:right>
      <s:top style="none"/>
      <s:bottom style="thin">
        <s:color auto="1"/>
      </s:bottom>
      <s:diagonal style="none"/>
    </s:border>
    <s:border>
      <s:left style="none"/>
      <s:right style="thin">
        <s:color auto="1"/>
      </s:right>
      <s:top style="none"/>
      <s:bottom style="thin">
        <s:color auto="1"/>
      </s:bottom>
      <s:diagonal style="none"/>
    </s:border>
    <s:border>
      <s:left style="thin">
        <s:color auto="1"/>
      </s:left>
      <s:right style="medium">
        <s:color auto="1"/>
      </s:right>
      <s:top style="none"/>
      <s:bottom style="thin">
        <s:color auto="1"/>
      </s:bottom>
      <s:diagonal style="none"/>
    </s:border>
    <s:border>
      <s:left style="medium">
        <s:color auto="1"/>
      </s:left>
      <s:right style="medium">
        <s:color auto="1"/>
      </s:right>
      <s:top style="thin">
        <s:color auto="1"/>
      </s:top>
      <s:bottom style="thin">
        <s:color auto="1"/>
      </s:bottom>
      <s:diagonal style="none"/>
    </s:border>
    <s:border>
      <s:left style="none"/>
      <s:right style="thin">
        <s:color auto="1"/>
      </s:right>
      <s:top style="thin">
        <s:color auto="1"/>
      </s:top>
      <s:bottom style="thin">
        <s:color auto="1"/>
      </s:bottom>
      <s:diagonal style="none"/>
    </s:border>
    <s:border>
      <s:left style="thin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 style="none"/>
    </s:border>
    <s:border>
      <s:left style="thin">
        <s:color auto="1"/>
      </s:left>
      <s:right style="none"/>
      <s:top style="thin">
        <s:color auto="1"/>
      </s:top>
      <s:bottom style="thin">
        <s:color auto="1"/>
      </s:bottom>
      <s:diagonal style="none"/>
    </s:border>
    <s:border>
      <s:left style="thin">
        <s:color auto="1"/>
      </s:left>
      <s:right style="medium">
        <s:color auto="1"/>
      </s:right>
      <s:top style="thin">
        <s:color auto="1"/>
      </s:top>
      <s:bottom style="thin">
        <s:color auto="1"/>
      </s:bottom>
      <s:diagonal style="none"/>
    </s:border>
    <s:border>
      <s:left style="thin">
        <s:color auto="1"/>
      </s:left>
      <s:right style="thin">
        <s:color auto="1"/>
      </s:right>
      <s:top style="thin">
        <s:color auto="1"/>
      </s:top>
      <s:bottom style="none"/>
      <s:diagonal style="none"/>
    </s:border>
    <s:border>
      <s:left style="none"/>
      <s:right style="thin">
        <s:color auto="1"/>
      </s:right>
      <s:top style="thin">
        <s:color auto="1"/>
      </s:top>
      <s:bottom style="none"/>
      <s:diagonal style="none"/>
    </s:border>
    <s:border>
      <s:left style="thin">
        <s:color auto="1"/>
      </s:left>
      <s:right style="none"/>
      <s:top style="thin">
        <s:color auto="1"/>
      </s:top>
      <s:bottom style="none"/>
      <s:diagonal style="none"/>
    </s:border>
    <s:border>
      <s:left style="medium">
        <s:color auto="1"/>
      </s:left>
      <s:right style="medium">
        <s:color auto="1"/>
      </s:right>
      <s:top style="thin">
        <s:color auto="1"/>
      </s:top>
      <s:bottom style="none"/>
      <s:diagonal style="none"/>
    </s:border>
    <s:border>
      <s:left style="medium">
        <s:color auto="1"/>
      </s:left>
      <s:right style="medium">
        <s:color auto="1"/>
      </s:right>
      <s:top style="thin">
        <s:color auto="1"/>
      </s:top>
      <s:bottom style="medium">
        <s:color auto="1"/>
      </s:bottom>
      <s:diagonal style="none"/>
    </s:border>
    <s:border>
      <s:left style="none"/>
      <s:right style="thin">
        <s:color auto="1"/>
      </s:right>
      <s:top style="thin">
        <s:color auto="1"/>
      </s:top>
      <s:bottom style="medium">
        <s:color auto="1"/>
      </s:bottom>
      <s:diagonal style="none"/>
    </s:border>
    <s:border>
      <s:left style="thin">
        <s:color auto="1"/>
      </s:left>
      <s:right style="thin">
        <s:color auto="1"/>
      </s:right>
      <s:top style="thin">
        <s:color auto="1"/>
      </s:top>
      <s:bottom style="medium">
        <s:color auto="1"/>
      </s:bottom>
      <s:diagonal style="none"/>
    </s:border>
    <s:border>
      <s:left style="thin">
        <s:color auto="1"/>
      </s:left>
      <s:right style="none"/>
      <s:top style="thin">
        <s:color auto="1"/>
      </s:top>
      <s:bottom style="medium">
        <s:color auto="1"/>
      </s:bottom>
      <s:diagonal style="none"/>
    </s:border>
    <s:border>
      <s:left style="thin">
        <s:color auto="1"/>
      </s:left>
      <s:right style="medium">
        <s:color auto="1"/>
      </s:right>
      <s:top style="thin">
        <s:color auto="1"/>
      </s:top>
      <s:bottom style="medium">
        <s:color auto="1"/>
      </s:bottom>
      <s:diagonal style="none"/>
    </s:border>
    <s:border>
      <s:left style="none"/>
      <s:right style="none"/>
      <s:top style="thin">
        <s:color auto="1"/>
      </s:top>
      <s:bottom style="thin">
        <s:color auto="1"/>
      </s:bottom>
      <s:diagonal style="none"/>
    </s:border>
    <s:border>
      <s:left style="thin">
        <s:color theme="1"/>
      </s:left>
      <s:right style="thin">
        <s:color theme="1"/>
      </s:right>
      <s:top style="thin">
        <s:color theme="1"/>
      </s:top>
      <s:bottom style="none"/>
      <s:diagonal style="none"/>
    </s:border>
    <s:border>
      <s:left style="thin">
        <s:color theme="1"/>
      </s:left>
      <s:right style="thin">
        <s:color theme="1"/>
      </s:right>
      <s:top style="thin">
        <s:color theme="1"/>
      </s:top>
      <s:bottom style="thin">
        <s:color theme="1"/>
      </s:bottom>
      <s:diagonal style="none"/>
    </s:border>
    <s:border>
      <s:left style="thin">
        <s:color theme="1"/>
      </s:left>
      <s:right style="thin">
        <s:color theme="1"/>
      </s:right>
      <s:top style="none"/>
      <s:bottom style="thin">
        <s:color theme="1"/>
      </s:bottom>
      <s:diagonal style="none"/>
    </s:border>
    <s:border>
      <s:left style="medium">
        <s:color auto="1"/>
      </s:left>
      <s:right style="medium">
        <s:color auto="1"/>
      </s:right>
      <s:top style="medium">
        <s:color auto="1"/>
      </s:top>
      <s:bottom style="none"/>
      <s:diagonal style="none"/>
    </s:border>
    <s:border>
      <s:left style="thin">
        <s:color auto="1"/>
      </s:left>
      <s:right style="thin">
        <s:color auto="1"/>
      </s:right>
      <s:top style="medium">
        <s:color auto="1"/>
      </s:top>
      <s:bottom style="none"/>
      <s:diagonal style="none"/>
    </s:border>
    <s:border>
      <s:left style="thin">
        <s:color auto="1"/>
      </s:left>
      <s:right style="medium">
        <s:color auto="1"/>
      </s:right>
      <s:top style="medium">
        <s:color auto="1"/>
      </s:top>
      <s:bottom style="none"/>
      <s:diagonal style="none"/>
    </s:border>
    <s:border>
      <s:left style="medium">
        <s:color theme="1"/>
      </s:left>
      <s:right style="medium">
        <s:color theme="1"/>
      </s:right>
      <s:top style="medium">
        <s:color theme="1"/>
      </s:top>
      <s:bottom style="medium">
        <s:color theme="1"/>
      </s:bottom>
      <s:diagonal style="none"/>
    </s:border>
    <s:border>
      <s:left style="medium">
        <s:color auto="1"/>
      </s:left>
      <s:right style="thin">
        <s:color auto="1"/>
      </s:right>
      <s:top style="none"/>
      <s:bottom style="thin">
        <s:color auto="1"/>
      </s:bottom>
      <s:diagonal style="none"/>
    </s:border>
    <s:border>
      <s:left style="medium">
        <s:color auto="1"/>
      </s:left>
      <s:right style="medium">
        <s:color auto="1"/>
      </s:right>
      <s:top style="none"/>
      <s:bottom style="medium">
        <s:color auto="1"/>
      </s:bottom>
      <s:diagonal style="none"/>
    </s:border>
    <s:border>
      <s:left style="medium">
        <s:color auto="1"/>
      </s:left>
      <s:right style="medium">
        <s:color auto="1"/>
      </s:right>
      <s:top style="none"/>
      <s:bottom style="none"/>
      <s:diagonal style="none"/>
    </s:border>
    <s:border>
      <s:left style="thin">
        <s:color auto="1"/>
      </s:left>
      <s:right style="thin">
        <s:color auto="1"/>
      </s:right>
      <s:top style="none"/>
      <s:bottom style="none"/>
      <s:diagonal style="none"/>
    </s:border>
    <s:border>
      <s:left style="thin">
        <s:color auto="1"/>
      </s:left>
      <s:right style="medium">
        <s:color auto="1"/>
      </s:right>
      <s:top style="none"/>
      <s:bottom style="none"/>
      <s:diagonal style="none"/>
    </s:border>
    <s:border>
      <s:left style="thin">
        <s:color auto="1"/>
      </s:left>
      <s:right style="medium">
        <s:color auto="1"/>
      </s:right>
      <s:top style="medium">
        <s:color auto="1"/>
      </s:top>
      <s:bottom style="medium">
        <s:color auto="1"/>
      </s:bottom>
      <s:diagonal style="none"/>
    </s:border>
    <s:border>
      <s:left style="medium">
        <s:color auto="1"/>
      </s:left>
      <s:right style="thin">
        <s:color auto="1"/>
      </s:right>
      <s:top style="medium">
        <s:color auto="1"/>
      </s:top>
      <s:bottom style="medium">
        <s:color auto="1"/>
      </s:bottom>
      <s:diagonal style="none"/>
    </s:border>
    <s:border>
      <s:left style="none"/>
      <s:right style="thin">
        <s:color auto="1"/>
      </s:right>
      <s:top style="none"/>
      <s:bottom style="medium">
        <s:color auto="1"/>
      </s:bottom>
      <s:diagonal style="none"/>
    </s:border>
    <s:border>
      <s:left style="thin">
        <s:color auto="1"/>
      </s:left>
      <s:right style="none"/>
      <s:top style="none"/>
      <s:bottom style="medium">
        <s:color auto="1"/>
      </s:bottom>
      <s:diagonal style="none"/>
    </s:border>
    <s:border>
      <s:left style="medium">
        <s:color auto="1"/>
      </s:left>
      <s:right style="none"/>
      <s:top style="none"/>
      <s:bottom style="none"/>
      <s:diagonal style="none"/>
    </s:border>
    <s:border>
      <s:left style="none"/>
      <s:right style="thin">
        <s:color auto="1"/>
      </s:right>
      <s:top style="none"/>
      <s:bottom style="none"/>
      <s:diagonal style="none"/>
    </s:border>
    <s:border>
      <s:left style="thin">
        <s:color auto="1"/>
      </s:left>
      <s:right style="none"/>
      <s:top style="none"/>
      <s:bottom style="none"/>
      <s:diagonal style="none"/>
    </s:border>
    <s:border>
      <s:left style="medium">
        <s:color auto="1"/>
      </s:left>
      <s:right style="thin">
        <s:color auto="1"/>
      </s:right>
      <s:top style="medium">
        <s:color auto="1"/>
      </s:top>
      <s:bottom style="thin">
        <s:color auto="1"/>
      </s:bottom>
      <s:diagonal style="none"/>
    </s:border>
    <s:border>
      <s:left style="none"/>
      <s:right style="none"/>
      <s:top style="medium">
        <s:color auto="1"/>
      </s:top>
      <s:bottom style="thin">
        <s:color auto="1"/>
      </s:bottom>
      <s:diagonal style="none"/>
    </s:border>
    <s:border>
      <s:left style="thin">
        <s:color auto="1"/>
      </s:left>
      <s:right style="none"/>
      <s:top style="medium">
        <s:color auto="1"/>
      </s:top>
      <s:bottom style="thin">
        <s:color auto="1"/>
      </s:bottom>
      <s:diagonal style="none"/>
    </s:border>
    <s:border>
      <s:left style="thin">
        <s:color auto="1"/>
      </s:left>
      <s:right style="thin">
        <s:color auto="1"/>
      </s:right>
      <s:top style="medium">
        <s:color auto="1"/>
      </s:top>
      <s:bottom style="thin">
        <s:color auto="1"/>
      </s:bottom>
      <s:diagonal style="none"/>
    </s:border>
    <s:border>
      <s:left style="thin">
        <s:color auto="1"/>
      </s:left>
      <s:right style="medium">
        <s:color auto="1"/>
      </s:right>
      <s:top style="medium">
        <s:color auto="1"/>
      </s:top>
      <s:bottom style="thin">
        <s:color auto="1"/>
      </s:bottom>
      <s:diagonal style="none"/>
    </s:border>
    <s:border>
      <s:left style="medium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 style="none"/>
    </s:border>
    <s:border>
      <s:left style="medium">
        <s:color auto="1"/>
      </s:left>
      <s:right style="thin">
        <s:color auto="1"/>
      </s:right>
      <s:top style="thin">
        <s:color auto="1"/>
      </s:top>
      <s:bottom style="none"/>
      <s:diagonal style="none"/>
    </s:border>
    <s:border>
      <s:left style="none"/>
      <s:right style="none"/>
      <s:top style="thin">
        <s:color auto="1"/>
      </s:top>
      <s:bottom style="none"/>
      <s:diagonal style="none"/>
    </s:border>
    <s:border>
      <s:left style="medium">
        <s:color auto="1"/>
      </s:left>
      <s:right style="thin">
        <s:color auto="1"/>
      </s:right>
      <s:top style="thin">
        <s:color auto="1"/>
      </s:top>
      <s:bottom style="medium">
        <s:color auto="1"/>
      </s:bottom>
      <s:diagonal style="none"/>
    </s:border>
    <s:border>
      <s:left style="medium">
        <s:color auto="1"/>
      </s:left>
      <s:right style="thin">
        <s:color auto="1"/>
      </s:right>
      <s:top style="none"/>
      <s:bottom style="medium">
        <s:color auto="1"/>
      </s:bottom>
      <s:diagonal style="none"/>
    </s:border>
    <s:border>
      <s:left style="thin">
        <s:color auto="1"/>
      </s:left>
      <s:right style="thin">
        <s:color auto="1"/>
      </s:right>
      <s:top style="none"/>
      <s:bottom style="medium">
        <s:color auto="1"/>
      </s:bottom>
      <s:diagonal style="none"/>
    </s:border>
    <s:border>
      <s:left style="thin">
        <s:color auto="1"/>
      </s:left>
      <s:right style="medium">
        <s:color auto="1"/>
      </s:right>
      <s:top style="none"/>
      <s:bottom style="medium">
        <s:color auto="1"/>
      </s:bottom>
      <s:diagonal style="none"/>
    </s:border>
    <s:border>
      <s:left style="none"/>
      <s:right style="none"/>
      <s:top style="none"/>
      <s:bottom style="thin">
        <s:color auto="1"/>
      </s:bottom>
      <s:diagonal style="none"/>
    </s:border>
    <s:border>
      <s:left style="hair">
        <s:color auto="1"/>
      </s:left>
      <s:right style="hair">
        <s:color auto="1"/>
      </s:right>
      <s:top style="hair">
        <s:color auto="1"/>
      </s:top>
      <s:bottom style="hair">
        <s:color auto="1"/>
      </s:bottom>
      <s:diagonal style="none"/>
    </s:border>
    <s:border>
      <s:left style="none"/>
      <s:right style="thin">
        <s:color theme="1"/>
      </s:right>
      <s:top style="thin">
        <s:color theme="1"/>
      </s:top>
      <s:bottom style="thin">
        <s:color theme="1"/>
      </s:bottom>
      <s:diagonal style="none"/>
    </s:border>
    <s:border>
      <s:left style="thin">
        <s:color auto="1"/>
      </s:left>
      <s:right style="thin">
        <s:color theme="1"/>
      </s:right>
      <s:top style="thin">
        <s:color auto="1"/>
      </s:top>
      <s:bottom style="thin">
        <s:color auto="1"/>
      </s:bottom>
      <s:diagonal style="none"/>
    </s:border>
    <s:border>
      <s:left style="thin">
        <s:color theme="1"/>
      </s:left>
      <s:right style="none"/>
      <s:top style="thin">
        <s:color theme="1"/>
      </s:top>
      <s:bottom style="thin">
        <s:color theme="1"/>
      </s:bottom>
      <s:diagonal style="none"/>
    </s:border>
    <s:border>
      <s:left style="thin">
        <s:color theme="1"/>
      </s:left>
      <s:right style="thin">
        <s:color theme="1"/>
      </s:right>
      <s:top style="thin">
        <s:color auto="1"/>
      </s:top>
      <s:bottom style="thin">
        <s:color auto="1"/>
      </s:bottom>
      <s:diagonal style="none"/>
    </s:border>
    <s:border>
      <s:left style="thin">
        <s:color theme="1"/>
      </s:left>
      <s:right style="thin">
        <s:color theme="1"/>
      </s:right>
      <s:top style="none"/>
      <s:bottom style="thin">
        <s:color auto="1"/>
      </s:bottom>
      <s:diagonal style="none"/>
    </s:border>
    <s:border>
      <s:left style="thin">
        <s:color theme="1"/>
      </s:left>
      <s:right style="thin">
        <s:color theme="1"/>
      </s:right>
      <s:top style="none"/>
      <s:bottom style="none"/>
      <s:diagonal style="none"/>
    </s:border>
    <s:border>
      <s:left style="medium">
        <s:color auto="1"/>
      </s:left>
      <s:right style="none"/>
      <s:top style="medium">
        <s:color auto="1"/>
      </s:top>
      <s:bottom style="thin">
        <s:color auto="1"/>
      </s:bottom>
      <s:diagonal style="none"/>
    </s:border>
    <s:border>
      <s:left style="thin">
        <s:color auto="1"/>
      </s:left>
      <s:right style="none"/>
      <s:top style="medium">
        <s:color auto="1"/>
      </s:top>
      <s:bottom style="none"/>
      <s:diagonal style="none"/>
    </s:border>
    <s:border>
      <s:left style="medium">
        <s:color auto="1"/>
      </s:left>
      <s:right style="none"/>
      <s:top style="thin">
        <s:color auto="1"/>
      </s:top>
      <s:bottom style="thin">
        <s:color auto="1"/>
      </s:bottom>
      <s:diagonal style="none"/>
    </s:border>
    <s:border>
      <s:left style="none"/>
      <s:right style="medium">
        <s:color auto="1"/>
      </s:right>
      <s:top style="none"/>
      <s:bottom style="thin">
        <s:color auto="1"/>
      </s:bottom>
      <s:diagonal style="none"/>
    </s:border>
    <s:border>
      <s:left style="thin">
        <s:color rgb="FFCCC085"/>
      </s:left>
      <s:right style="medium">
        <s:color auto="1"/>
      </s:right>
      <s:top style="none"/>
      <s:bottom style="thin">
        <s:color auto="1"/>
      </s:bottom>
      <s:diagonal style="none"/>
    </s:border>
    <s:border>
      <s:left style="none"/>
      <s:right style="medium">
        <s:color auto="1"/>
      </s:right>
      <s:top style="thin">
        <s:color auto="1"/>
      </s:top>
      <s:bottom style="thin">
        <s:color auto="1"/>
      </s:bottom>
      <s:diagonal style="none"/>
    </s:border>
    <s:border>
      <s:left style="medium">
        <s:color auto="1"/>
      </s:left>
      <s:right style="thin">
        <s:color rgb="FFCCC085"/>
      </s:right>
      <s:top style="thin">
        <s:color auto="1"/>
      </s:top>
      <s:bottom style="thin">
        <s:color auto="1"/>
      </s:bottom>
      <s:diagonal style="none"/>
    </s:border>
    <s:border>
      <s:left style="thin">
        <s:color rgb="FFCCC085"/>
      </s:left>
      <s:right style="medium">
        <s:color auto="1"/>
      </s:right>
      <s:top style="thin">
        <s:color auto="1"/>
      </s:top>
      <s:bottom style="thin">
        <s:color auto="1"/>
      </s:bottom>
      <s:diagonal style="none"/>
    </s:border>
    <s:border>
      <s:left style="none"/>
      <s:right style="medium">
        <s:color auto="1"/>
      </s:right>
      <s:top style="none"/>
      <s:bottom style="none"/>
      <s:diagonal style="none"/>
    </s:border>
    <s:border>
      <s:left style="medium">
        <s:color auto="1"/>
      </s:left>
      <s:right style="thin">
        <s:color rgb="FFB3AC86"/>
      </s:right>
      <s:top style="none"/>
      <s:bottom style="none"/>
      <s:diagonal style="none"/>
    </s:border>
    <s:border>
      <s:left style="medium">
        <s:color auto="1"/>
      </s:left>
      <s:right style="thin">
        <s:color auto="1"/>
      </s:right>
      <s:top style="none"/>
      <s:bottom style="none"/>
      <s:diagonal style="none"/>
    </s:border>
    <s:border>
      <s:left style="none"/>
      <s:right style="medium">
        <s:color auto="1"/>
      </s:right>
      <s:top style="none"/>
      <s:bottom style="thin">
        <s:color rgb="FFCCC085"/>
      </s:bottom>
      <s:diagonal style="none"/>
    </s:border>
    <s:border>
      <s:left style="none"/>
      <s:right style="thin">
        <s:color rgb="FFCCC085"/>
      </s:right>
      <s:top style="thin">
        <s:color auto="1"/>
      </s:top>
      <s:bottom style="thin">
        <s:color auto="1"/>
      </s:bottom>
      <s:diagonal style="none"/>
    </s:border>
    <s:border>
      <s:left style="medium">
        <s:color auto="1"/>
      </s:left>
      <s:right style="thin">
        <s:color rgb="FFCCC085"/>
      </s:right>
      <s:top style="thin">
        <s:color rgb="FFCCC085"/>
      </s:top>
      <s:bottom style="thin">
        <s:color auto="1"/>
      </s:bottom>
      <s:diagonal style="none"/>
    </s:border>
    <s:border>
      <s:left style="thin">
        <s:color rgb="FFCCC085"/>
      </s:left>
      <s:right style="medium">
        <s:color auto="1"/>
      </s:right>
      <s:top style="thin">
        <s:color rgb="FFCCC085"/>
      </s:top>
      <s:bottom style="thin">
        <s:color auto="1"/>
      </s:bottom>
      <s:diagonal style="none"/>
    </s:border>
    <s:border>
      <s:left style="medium">
        <s:color auto="1"/>
      </s:left>
      <s:right style="medium">
        <s:color auto="1"/>
      </s:right>
      <s:top style="thin">
        <s:color rgb="FFCCC085"/>
      </s:top>
      <s:bottom style="thin">
        <s:color auto="1"/>
      </s:bottom>
      <s:diagonal style="none"/>
    </s:border>
    <s:border>
      <s:left style="medium">
        <s:color auto="1"/>
      </s:left>
      <s:right style="none"/>
      <s:top style="none"/>
      <s:bottom style="thin">
        <s:color auto="1"/>
      </s:bottom>
      <s:diagonal style="none"/>
    </s:border>
    <s:border>
      <s:left style="none"/>
      <s:right style="thin">
        <s:color rgb="FFCCC085"/>
      </s:right>
      <s:top style="none"/>
      <s:bottom style="thin">
        <s:color auto="1"/>
      </s:bottom>
      <s:diagonal style="none"/>
    </s:border>
    <s:border>
      <s:left style="thin">
        <s:color rgb="FFCCC085"/>
      </s:left>
      <s:right style="thin">
        <s:color rgb="FFCCC085"/>
      </s:right>
      <s:top style="none"/>
      <s:bottom style="thin">
        <s:color auto="1"/>
      </s:bottom>
      <s:diagonal style="none"/>
    </s:border>
    <s:border>
      <s:left style="medium">
        <s:color auto="1"/>
      </s:left>
      <s:right style="thin">
        <s:color rgb="FFCCC085"/>
      </s:right>
      <s:top style="none"/>
      <s:bottom style="thin">
        <s:color auto="1"/>
      </s:bottom>
      <s:diagonal style="none"/>
    </s:border>
    <s:border>
      <s:left style="none"/>
      <s:right style="none"/>
      <s:top style="none"/>
      <s:bottom style="thin">
        <s:color rgb="FFB3AC86"/>
      </s:bottom>
      <s:diagonal style="none"/>
    </s:border>
    <s:border>
      <s:left style="thin">
        <s:color rgb="FFB3AC86"/>
      </s:left>
      <s:right style="thin">
        <s:color rgb="FFB3AC86"/>
      </s:right>
      <s:top style="none"/>
      <s:bottom style="none"/>
      <s:diagonal style="none"/>
    </s:border>
    <s:border>
      <s:left style="thin">
        <s:color rgb="FFB3AC86"/>
      </s:left>
      <s:right style="thin">
        <s:color rgb="FFB3AC86"/>
      </s:right>
      <s:top style="thin">
        <s:color rgb="FFB3AC86"/>
      </s:top>
      <s:bottom style="thin">
        <s:color rgb="FFB3AC86"/>
      </s:bottom>
      <s:diagonal style="none"/>
    </s:border>
    <s:border>
      <s:left style="thin">
        <s:color rgb="FFB3AC86"/>
      </s:left>
      <s:right style="none"/>
      <s:top style="thin">
        <s:color rgb="FFB3AC86"/>
      </s:top>
      <s:bottom style="thin">
        <s:color rgb="FFB3AC86"/>
      </s:bottom>
      <s:diagonal style="none"/>
    </s:border>
    <s:border>
      <s:left style="none"/>
      <s:right style="thin">
        <s:color rgb="FFB3AC86"/>
      </s:right>
      <s:top style="thin">
        <s:color rgb="FFB3AC86"/>
      </s:top>
      <s:bottom style="thin">
        <s:color rgb="FFB3AC86"/>
      </s:bottom>
      <s:diagonal style="none"/>
    </s:border>
    <s:border>
      <s:left style="none"/>
      <s:right style="thin">
        <s:color rgb="FFB3AC86"/>
      </s:right>
      <s:top style="none"/>
      <s:bottom style="none"/>
      <s:diagonal style="none"/>
    </s:border>
    <s:border>
      <s:left style="thin">
        <s:color rgb="FFB3AC86"/>
      </s:left>
      <s:right style="thin">
        <s:color auto="1"/>
      </s:right>
      <s:top style="none"/>
      <s:bottom style="none"/>
      <s:diagonal style="none"/>
    </s:border>
    <s:border>
      <s:left style="none"/>
      <s:right style="none"/>
      <s:top style="thin">
        <s:color rgb="FFB3AC86"/>
      </s:top>
      <s:bottom style="medium">
        <s:color auto="1"/>
      </s:bottom>
      <s:diagonal style="none"/>
    </s:border>
    <s:border>
      <s:left style="none"/>
      <s:right style="none"/>
      <s:top style="thin">
        <s:color auto="1"/>
      </s:top>
      <s:bottom style="medium">
        <s:color auto="1"/>
      </s:bottom>
      <s:diagonal style="none"/>
    </s:border>
    <s:border>
      <s:left style="none"/>
      <s:right style="medium">
        <s:color auto="1"/>
      </s:right>
      <s:top style="thin">
        <s:color auto="1"/>
      </s:top>
      <s:bottom style="medium">
        <s:color auto="1"/>
      </s:bottom>
      <s:diagonal style="none"/>
    </s:border>
    <s:border>
      <s:left style="medium">
        <s:color auto="1"/>
      </s:left>
      <s:right style="none"/>
      <s:top style="none"/>
      <s:bottom style="thin">
        <s:color rgb="FFCCC085"/>
      </s:bottom>
      <s:diagonal style="none"/>
    </s:border>
    <s:border>
      <s:left style="none"/>
      <s:right style="none"/>
      <s:top style="none"/>
      <s:bottom style="thin">
        <s:color rgb="FFCCC085"/>
      </s:bottom>
      <s:diagonal style="none"/>
    </s:border>
    <s:border>
      <s:left style="none"/>
      <s:right style="thin">
        <s:color rgb="FFCCC085"/>
      </s:right>
      <s:top style="none"/>
      <s:bottom style="thin">
        <s:color rgb="FFCCC085"/>
      </s:bottom>
      <s:diagonal style="none"/>
    </s:border>
    <s:border>
      <s:left style="thin">
        <s:color rgb="FFCCC085"/>
      </s:left>
      <s:right style="thin">
        <s:color rgb="FFCCC085"/>
      </s:right>
      <s:top style="none"/>
      <s:bottom style="thin">
        <s:color rgb="FFCCC085"/>
      </s:bottom>
      <s:diagonal style="none"/>
    </s:border>
    <s:border>
      <s:left style="thin">
        <s:color rgb="FFCCC085"/>
      </s:left>
      <s:right style="medium">
        <s:color auto="1"/>
      </s:right>
      <s:top style="none"/>
      <s:bottom style="thin">
        <s:color rgb="FFCCC085"/>
      </s:bottom>
      <s:diagonal style="none"/>
    </s:border>
    <s:border>
      <s:left style="medium">
        <s:color auto="1"/>
      </s:left>
      <s:right style="thin">
        <s:color rgb="FFCCC085"/>
      </s:right>
      <s:top style="none"/>
      <s:bottom style="thin">
        <s:color rgb="FFCCC085"/>
      </s:bottom>
      <s:diagonal style="none"/>
    </s:border>
    <s:border>
      <s:left style="medium">
        <s:color auto="1"/>
      </s:left>
      <s:right style="medium">
        <s:color auto="1"/>
      </s:right>
      <s:top style="none"/>
      <s:bottom style="thin">
        <s:color rgb="FFCCC085"/>
      </s:bottom>
      <s:diagonal style="none"/>
    </s:border>
    <s:border>
      <s:left style="medium">
        <s:color auto="1"/>
      </s:left>
      <s:right style="none"/>
      <s:top style="thin">
        <s:color rgb="FFCCC085"/>
      </s:top>
      <s:bottom style="none"/>
      <s:diagonal style="none"/>
    </s:border>
    <s:border>
      <s:left style="none"/>
      <s:right style="medium">
        <s:color auto="1"/>
      </s:right>
      <s:top style="thin">
        <s:color rgb="FFCCC085"/>
      </s:top>
      <s:bottom style="none"/>
      <s:diagonal style="none"/>
    </s:border>
    <s:border>
      <s:left style="medium">
        <s:color auto="1"/>
      </s:left>
      <s:right style="none"/>
      <s:top style="thin">
        <s:color auto="1"/>
      </s:top>
      <s:bottom style="none"/>
      <s:diagonal style="none"/>
    </s:border>
    <s:border>
      <s:left style="thin">
        <s:color rgb="FFB3AC86"/>
      </s:left>
      <s:right style="none"/>
      <s:top style="none"/>
      <s:bottom style="none"/>
      <s:diagonal style="none"/>
    </s:border>
    <s:border>
      <s:left style="medium">
        <s:color auto="1"/>
      </s:left>
      <s:right style="none"/>
      <s:top style="thin">
        <s:color auto="1"/>
      </s:top>
      <s:bottom style="thin">
        <s:color rgb="FFCCC085"/>
      </s:bottom>
      <s:diagonal style="none"/>
    </s:border>
    <s:border>
      <s:left style="none"/>
      <s:right style="none"/>
      <s:top style="thin">
        <s:color auto="1"/>
      </s:top>
      <s:bottom style="thin">
        <s:color rgb="FFCCC085"/>
      </s:bottom>
      <s:diagonal style="none"/>
    </s:border>
    <s:border>
      <s:left style="none"/>
      <s:right style="thin">
        <s:color rgb="FFCCC085"/>
      </s:right>
      <s:top style="thin">
        <s:color auto="1"/>
      </s:top>
      <s:bottom style="thin">
        <s:color rgb="FFCCC085"/>
      </s:bottom>
      <s:diagonal style="none"/>
    </s:border>
    <s:border>
      <s:left style="medium">
        <s:color auto="1"/>
      </s:left>
      <s:right style="medium">
        <s:color auto="1"/>
      </s:right>
      <s:top style="medium">
        <s:color auto="1"/>
      </s:top>
      <s:bottom style="thin">
        <s:color rgb="FFCCC085"/>
      </s:bottom>
      <s:diagonal style="none"/>
    </s:border>
    <s:border>
      <s:left style="medium">
        <s:color auto="1"/>
      </s:left>
      <s:right style="thin">
        <s:color rgb="FFCCC085"/>
      </s:right>
      <s:top style="thin">
        <s:color rgb="FFCCC085"/>
      </s:top>
      <s:bottom style="thin">
        <s:color rgb="FFCCC085"/>
      </s:bottom>
      <s:diagonal style="none"/>
    </s:border>
    <s:border>
      <s:left style="thin">
        <s:color rgb="FFCCC085"/>
      </s:left>
      <s:right style="medium">
        <s:color auto="1"/>
      </s:right>
      <s:top style="thin">
        <s:color rgb="FFCCC085"/>
      </s:top>
      <s:bottom style="thin">
        <s:color rgb="FFCCC085"/>
      </s:bottom>
      <s:diagonal style="none"/>
    </s:border>
    <s:border>
      <s:left style="medium">
        <s:color auto="1"/>
      </s:left>
      <s:right style="medium">
        <s:color auto="1"/>
      </s:right>
      <s:top style="thin">
        <s:color rgb="FFCCC085"/>
      </s:top>
      <s:bottom style="thin">
        <s:color rgb="FFCCC085"/>
      </s:bottom>
      <s:diagonal style="none"/>
    </s:border>
    <s:border>
      <s:left style="medium">
        <s:color auto="1"/>
      </s:left>
      <s:right style="none"/>
      <s:top style="thin">
        <s:color rgb="FFCCC085"/>
      </s:top>
      <s:bottom style="thin">
        <s:color rgb="FFCCC085"/>
      </s:bottom>
      <s:diagonal style="none"/>
    </s:border>
    <s:border>
      <s:left style="none"/>
      <s:right style="none"/>
      <s:top style="thin">
        <s:color rgb="FFCCC085"/>
      </s:top>
      <s:bottom style="thin">
        <s:color rgb="FFCCC085"/>
      </s:bottom>
      <s:diagonal style="none"/>
    </s:border>
    <s:border>
      <s:left style="none"/>
      <s:right style="thin">
        <s:color rgb="FFCCC085"/>
      </s:right>
      <s:top style="thin">
        <s:color rgb="FFCCC085"/>
      </s:top>
      <s:bottom style="thin">
        <s:color rgb="FFCCC085"/>
      </s:bottom>
      <s:diagonal style="none"/>
    </s:border>
    <s:border>
      <s:left style="thin">
        <s:color rgb="FFCCC085"/>
      </s:left>
      <s:right style="thin">
        <s:color rgb="FFCCC085"/>
      </s:right>
      <s:top style="thin">
        <s:color rgb="FFCCC085"/>
      </s:top>
      <s:bottom style="thin">
        <s:color rgb="FFCCC085"/>
      </s:bottom>
      <s:diagonal style="none"/>
    </s:border>
    <s:border>
      <s:left style="medium">
        <s:color auto="1"/>
      </s:left>
      <s:right style="medium">
        <s:color auto="1"/>
      </s:right>
      <s:top style="thin">
        <s:color rgb="FFCCC085"/>
      </s:top>
      <s:bottom style="medium">
        <s:color auto="1"/>
      </s:bottom>
      <s:diagonal style="none"/>
    </s:border>
    <s:border>
      <s:left style="medium">
        <s:color indexed="16"/>
      </s:left>
      <s:right style="none"/>
      <s:top style="none"/>
      <s:bottom style="none"/>
      <s:diagonal style="none"/>
    </s:border>
    <s:border>
      <s:left style="medium">
        <s:color auto="1"/>
      </s:left>
      <s:right style="medium">
        <s:color auto="1"/>
      </s:right>
      <s:top style="medium">
        <s:color auto="1"/>
      </s:top>
      <s:bottom style="thin">
        <s:color indexed="16"/>
      </s:bottom>
      <s:diagonal style="none"/>
    </s:border>
    <s:border>
      <s:left style="none"/>
      <s:right style="none"/>
      <s:top style="medium">
        <s:color indexed="16"/>
      </s:top>
      <s:bottom style="none"/>
      <s:diagonal style="none"/>
    </s:border>
    <s:border>
      <s:left style="medium">
        <s:color auto="1"/>
      </s:left>
      <s:right style="medium">
        <s:color auto="1"/>
      </s:right>
      <s:top style="thin">
        <s:color indexed="16"/>
      </s:top>
      <s:bottom style="thin">
        <s:color indexed="16"/>
      </s:bottom>
      <s:diagonal style="none"/>
    </s:border>
    <s:border>
      <s:left style="medium">
        <s:color auto="1"/>
      </s:left>
      <s:right style="medium">
        <s:color auto="1"/>
      </s:right>
      <s:top style="thin">
        <s:color indexed="16"/>
      </s:top>
      <s:bottom style="medium">
        <s:color auto="1"/>
      </s:bottom>
      <s:diagonal style="none"/>
    </s:border>
    <s:border>
      <s:left style="medium">
        <s:color indexed="16"/>
      </s:left>
      <s:right style="none"/>
      <s:top style="medium">
        <s:color indexed="16"/>
      </s:top>
      <s:bottom style="medium">
        <s:color indexed="16"/>
      </s:bottom>
      <s:diagonal style="none"/>
    </s:border>
    <s:border>
      <s:left style="none"/>
      <s:right style="medium">
        <s:color indexed="16"/>
      </s:right>
      <s:top style="medium">
        <s:color indexed="16"/>
      </s:top>
      <s:bottom style="medium">
        <s:color indexed="16"/>
      </s:bottom>
      <s:diagonal style="none"/>
    </s:border>
    <s:border>
      <s:left style="none"/>
      <s:right style="none"/>
      <s:top style="medium">
        <s:color indexed="16"/>
      </s:top>
      <s:bottom style="medium">
        <s:color indexed="16"/>
      </s:bottom>
      <s:diagonal style="none"/>
    </s:border>
    <s:border>
      <s:left style="medium">
        <s:color indexed="16"/>
      </s:left>
      <s:right style="medium">
        <s:color indexed="16"/>
      </s:right>
      <s:top style="none"/>
      <s:bottom style="medium">
        <s:color indexed="16"/>
      </s:bottom>
      <s:diagonal style="none"/>
    </s:border>
    <s:border>
      <s:left style="medium">
        <s:color indexed="16"/>
      </s:left>
      <s:right style="medium">
        <s:color indexed="16"/>
      </s:right>
      <s:top style="medium">
        <s:color indexed="16"/>
      </s:top>
      <s:bottom style="none"/>
      <s:diagonal style="none"/>
    </s:border>
    <s:border>
      <s:left style="medium">
        <s:color indexed="16"/>
      </s:left>
      <s:right style="none"/>
      <s:top style="none"/>
      <s:bottom style="medium">
        <s:color indexed="16"/>
      </s:bottom>
      <s:diagonal style="none"/>
    </s:border>
    <s:border>
      <s:left style="medium">
        <s:color indexed="16"/>
      </s:left>
      <s:right style="medium">
        <s:color indexed="16"/>
      </s:right>
      <s:top style="medium">
        <s:color indexed="16"/>
      </s:top>
      <s:bottom style="medium">
        <s:color indexed="16"/>
      </s:bottom>
      <s:diagonal style="none"/>
    </s:border>
    <s:border>
      <s:left style="medium">
        <s:color indexed="16"/>
      </s:left>
      <s:right style="thin">
        <s:color indexed="16"/>
      </s:right>
      <s:top style="medium">
        <s:color auto="1"/>
      </s:top>
      <s:bottom style="medium">
        <s:color auto="1"/>
      </s:bottom>
      <s:diagonal style="none"/>
    </s:border>
    <s:border>
      <s:left style="thin">
        <s:color indexed="16"/>
      </s:left>
      <s:right style="thin">
        <s:color indexed="16"/>
      </s:right>
      <s:top style="medium">
        <s:color auto="1"/>
      </s:top>
      <s:bottom style="medium">
        <s:color auto="1"/>
      </s:bottom>
      <s:diagonal style="none"/>
    </s:border>
    <s:border>
      <s:left style="thin">
        <s:color indexed="16"/>
      </s:left>
      <s:right style="thin">
        <s:color auto="1"/>
      </s:right>
      <s:top style="medium">
        <s:color auto="1"/>
      </s:top>
      <s:bottom style="medium">
        <s:color auto="1"/>
      </s:bottom>
      <s:diagonal style="none"/>
    </s:border>
    <s:border>
      <s:left style="none"/>
      <s:right style="thin">
        <s:color indexed="16"/>
      </s:right>
      <s:top style="medium">
        <s:color auto="1"/>
      </s:top>
      <s:bottom style="medium">
        <s:color auto="1"/>
      </s:bottom>
      <s:diagonal style="none"/>
    </s:border>
    <s:border>
      <s:left style="none"/>
      <s:right style="medium">
        <s:color theme="1"/>
      </s:right>
      <s:top style="medium">
        <s:color auto="1"/>
      </s:top>
      <s:bottom style="medium">
        <s:color auto="1"/>
      </s:bottom>
      <s:diagonal style="none"/>
    </s:border>
    <s:border>
      <s:left style="thin">
        <s:color indexed="16"/>
      </s:left>
      <s:right style="thin">
        <s:color indexed="16"/>
      </s:right>
      <s:top style="medium">
        <s:color indexed="16"/>
      </s:top>
      <s:bottom style="medium">
        <s:color indexed="16"/>
      </s:bottom>
      <s:diagonal style="none"/>
    </s:border>
    <s:border>
      <s:left style="thin">
        <s:color indexed="16"/>
      </s:left>
      <s:right style="thin">
        <s:color indexed="16"/>
      </s:right>
      <s:top style="medium">
        <s:color indexed="16"/>
      </s:top>
      <s:bottom style="none"/>
      <s:diagonal style="none"/>
    </s:border>
    <s:border>
      <s:left style="medium">
        <s:color indexed="16"/>
      </s:left>
      <s:right style="thin">
        <s:color indexed="16"/>
      </s:right>
      <s:top style="none"/>
      <s:bottom style="none"/>
      <s:diagonal style="none"/>
    </s:border>
    <s:border>
      <s:left style="thin">
        <s:color indexed="16"/>
      </s:left>
      <s:right style="thin">
        <s:color indexed="16"/>
      </s:right>
      <s:top style="none"/>
      <s:bottom style="none"/>
      <s:diagonal style="none"/>
    </s:border>
    <s:border>
      <s:left style="thin">
        <s:color indexed="16"/>
      </s:left>
      <s:right style="thin">
        <s:color auto="1"/>
      </s:right>
      <s:top style="medium">
        <s:color auto="1"/>
      </s:top>
      <s:bottom style="none"/>
      <s:diagonal style="none"/>
    </s:border>
    <s:border>
      <s:left style="none"/>
      <s:right style="thin">
        <s:color indexed="16"/>
      </s:right>
      <s:top style="none"/>
      <s:bottom style="none"/>
      <s:diagonal style="none"/>
    </s:border>
    <s:border>
      <s:left style="medium">
        <s:color auto="1"/>
      </s:left>
      <s:right style="medium">
        <s:color indexed="16"/>
      </s:right>
      <s:top style="medium">
        <s:color auto="1"/>
      </s:top>
      <s:bottom style="medium">
        <s:color auto="1"/>
      </s:bottom>
      <s:diagonal style="none"/>
    </s:border>
    <s:border>
      <s:left style="medium">
        <s:color indexed="16"/>
      </s:left>
      <s:right style="medium">
        <s:color indexed="16"/>
      </s:right>
      <s:top style="medium">
        <s:color auto="1"/>
      </s:top>
      <s:bottom style="medium">
        <s:color auto="1"/>
      </s:bottom>
      <s:diagonal style="none"/>
    </s:border>
    <s:border>
      <s:left style="thin">
        <s:color indexed="16"/>
      </s:left>
      <s:right style="medium">
        <s:color auto="1"/>
      </s:right>
      <s:top style="medium">
        <s:color auto="1"/>
      </s:top>
      <s:bottom style="medium">
        <s:color auto="1"/>
      </s:bottom>
      <s:diagonal style="none"/>
    </s:border>
    <s:border>
      <s:left style="none"/>
      <s:right style="thin">
        <s:color indexed="16"/>
      </s:right>
      <s:top style="none"/>
      <s:bottom style="medium">
        <s:color indexed="16"/>
      </s:bottom>
      <s:diagonal style="none"/>
    </s:border>
    <s:border>
      <s:left style="thin">
        <s:color indexed="16"/>
      </s:left>
      <s:right style="thin">
        <s:color indexed="16"/>
      </s:right>
      <s:top style="none"/>
      <s:bottom style="medium">
        <s:color indexed="16"/>
      </s:bottom>
      <s:diagonal style="none"/>
    </s:border>
    <s:border>
      <s:left style="thin">
        <s:color indexed="16"/>
      </s:left>
      <s:right style="thin">
        <s:color indexed="16"/>
      </s:right>
      <s:top style="none"/>
      <s:bottom style="thin">
        <s:color indexed="16"/>
      </s:bottom>
      <s:diagonal style="none"/>
    </s:border>
    <s:border>
      <s:left style="thin">
        <s:color indexed="16"/>
      </s:left>
      <s:right style="thin">
        <s:color auto="1"/>
      </s:right>
      <s:top style="none"/>
      <s:bottom style="thin">
        <s:color indexed="16"/>
      </s:bottom>
      <s:diagonal style="none"/>
    </s:border>
    <s:border>
      <s:left style="none"/>
      <s:right style="thin">
        <s:color indexed="16"/>
      </s:right>
      <s:top style="none"/>
      <s:bottom style="thin">
        <s:color indexed="16"/>
      </s:bottom>
      <s:diagonal style="none"/>
    </s:border>
    <s:border>
      <s:left style="thin">
        <s:color indexed="16"/>
      </s:left>
      <s:right style="none"/>
      <s:top style="none"/>
      <s:bottom style="thin">
        <s:color indexed="16"/>
      </s:bottom>
      <s:diagonal style="none"/>
    </s:border>
    <s:border>
      <s:left style="none"/>
      <s:right style="thin">
        <s:color indexed="16"/>
      </s:right>
      <s:top style="thin">
        <s:color indexed="16"/>
      </s:top>
      <s:bottom style="thin">
        <s:color indexed="16"/>
      </s:bottom>
      <s:diagonal style="none"/>
    </s:border>
    <s:border>
      <s:left style="thin">
        <s:color indexed="16"/>
      </s:left>
      <s:right style="thin">
        <s:color indexed="16"/>
      </s:right>
      <s:top style="thin">
        <s:color indexed="16"/>
      </s:top>
      <s:bottom style="thin">
        <s:color indexed="16"/>
      </s:bottom>
      <s:diagonal style="none"/>
    </s:border>
    <s:border>
      <s:left style="thin">
        <s:color indexed="16"/>
      </s:left>
      <s:right style="thin">
        <s:color auto="1"/>
      </s:right>
      <s:top style="thin">
        <s:color indexed="16"/>
      </s:top>
      <s:bottom style="thin">
        <s:color indexed="16"/>
      </s:bottom>
      <s:diagonal style="none"/>
    </s:border>
    <s:border>
      <s:left style="thin">
        <s:color indexed="16"/>
      </s:left>
      <s:right style="none"/>
      <s:top style="thin">
        <s:color indexed="16"/>
      </s:top>
      <s:bottom style="thin">
        <s:color indexed="16"/>
      </s:bottom>
      <s:diagonal style="none"/>
    </s:border>
    <s:border>
      <s:left style="thin">
        <s:color indexed="16"/>
      </s:left>
      <s:right style="thin">
        <s:color indexed="16"/>
      </s:right>
      <s:top style="thin">
        <s:color indexed="16"/>
      </s:top>
      <s:bottom style="none"/>
      <s:diagonal style="none"/>
    </s:border>
    <s:border>
      <s:left style="thin">
        <s:color theme="1"/>
      </s:left>
      <s:right style="none"/>
      <s:top style="none"/>
      <s:bottom style="thin">
        <s:color theme="1"/>
      </s:bottom>
      <s:diagonal style="none"/>
    </s:border>
    <s:border>
      <s:left style="medium">
        <s:color auto="1"/>
      </s:left>
      <s:right style="thin">
        <s:color indexed="16"/>
      </s:right>
      <s:top style="thin">
        <s:color indexed="16"/>
      </s:top>
      <s:bottom style="none"/>
      <s:diagonal style="none"/>
    </s:border>
    <s:border>
      <s:left style="thin">
        <s:color indexed="16"/>
      </s:left>
      <s:right style="thin">
        <s:color auto="1"/>
      </s:right>
      <s:top style="thin">
        <s:color indexed="16"/>
      </s:top>
      <s:bottom style="none"/>
      <s:diagonal style="none"/>
    </s:border>
    <s:border>
      <s:left style="none"/>
      <s:right style="thin">
        <s:color indexed="16"/>
      </s:right>
      <s:top style="thin">
        <s:color indexed="16"/>
      </s:top>
      <s:bottom style="none"/>
      <s:diagonal style="none"/>
    </s:border>
    <s:border>
      <s:left style="medium">
        <s:color auto="1"/>
      </s:left>
      <s:right style="thin">
        <s:color indexed="16"/>
      </s:right>
      <s:top style="medium">
        <s:color auto="1"/>
      </s:top>
      <s:bottom style="medium">
        <s:color auto="1"/>
      </s:bottom>
      <s:diagonal style="none"/>
    </s:border>
  </s:borders>
  <s:cellStyleXfs count="4">
    <s:xf numFmtId="0" fontId="0" fillId="0" borderId="0" applyNumberFormat="1" applyFont="1" applyFill="1" applyBorder="1"/>
    <s:xf numFmtId="9" fontId="0" fillId="0" borderId="0" applyNumberFormat="1" applyFont="1" applyFill="1" applyBorder="0" applyProtection="0"/>
    <s:xf numFmtId="160" fontId="0" fillId="0" borderId="0" applyNumberFormat="1" applyFont="1" applyFill="1" applyBorder="0" applyProtection="0"/>
    <s:xf numFmtId="0" fontId="1" fillId="0" borderId="0" applyNumberFormat="1" applyFont="1" applyFill="1" applyBorder="1"/>
  </s:cellStyleXfs>
  <s:cellXfs count="955">
    <s:xf numFmtId="0" fontId="0" fillId="0" borderId="0" xfId="0"/>
    <s:xf numFmtId="0" fontId="2" fillId="0" borderId="0" xfId="0" applyFont="1"/>
    <s:xf numFmtId="0" fontId="3" fillId="0" borderId="0" xfId="0" applyFont="1"/>
    <s:xf numFmtId="161" fontId="4" fillId="2" borderId="0" xfId="0" applyNumberFormat="1" applyFont="1" applyFill="1" applyAlignment="1">
      <s:alignment horizontal="center" vertical="center" mc:Ignorable="vyd"/>
    </s:xf>
    <s:xf numFmtId="0" fontId="5" fillId="2" borderId="0" xfId="0" applyFont="1" applyFill="1"/>
    <s:xf numFmtId="0" fontId="2" fillId="2" borderId="0" xfId="0" applyFont="1" applyFill="1"/>
    <s:xf numFmtId="0" fontId="6" fillId="2" borderId="0" xfId="0" applyFont="1" applyFill="1"/>
    <s:xf numFmtId="0" fontId="7" fillId="2" borderId="0" xfId="0" applyFont="1" applyFill="1" applyAlignment="1">
      <s:alignment horizontal="center" mc:Ignorable="vyd"/>
    </s:xf>
    <s:xf numFmtId="0" fontId="8" fillId="2" borderId="0" xfId="0" applyFont="1" applyFill="1" applyAlignment="1">
      <s:alignment horizontal="center" vertical="top" mc:Ignorable="vyd"/>
    </s:xf>
    <s:xf numFmtId="0" fontId="9" fillId="2" borderId="0" xfId="0" applyFont="1" applyFill="1" applyAlignment="1">
      <s:alignment vertical="top" mc:Ignorable="vyd"/>
    </s:xf>
    <s:xf numFmtId="0" fontId="9" fillId="2" borderId="0" xfId="0" applyFont="1" applyFill="1"/>
    <s:xf numFmtId="0" fontId="10" fillId="3" borderId="1" xfId="0" applyFont="1" applyFill="1" applyBorder="1" applyAlignment="1" applyProtection="1">
      <s:alignment horizontal="center" vertical="center" wrapText="1" mc:Ignorable="vyd"/>
      <s:protection locked="0"/>
    </s:xf>
    <s:xf numFmtId="0" fontId="10" fillId="3" borderId="2" xfId="0" applyFont="1" applyFill="1" applyBorder="1" applyAlignment="1" applyProtection="1">
      <s:alignment horizontal="center" vertical="center" wrapText="1" mc:Ignorable="vyd"/>
      <s:protection locked="0"/>
    </s:xf>
    <s:xf numFmtId="0" fontId="10" fillId="3" borderId="3" xfId="0" applyFont="1" applyFill="1" applyBorder="1" applyAlignment="1" applyProtection="1">
      <s:alignment horizontal="center" vertical="center" wrapText="1" mc:Ignorable="vyd"/>
      <s:protection locked="0"/>
    </s:xf>
    <s:xf numFmtId="161" fontId="11" fillId="2" borderId="0" xfId="0" applyNumberFormat="1" applyFont="1" applyFill="1" applyAlignment="1">
      <s:alignment horizontal="center" vertical="center" mc:Ignorable="vyd"/>
    </s:xf>
    <s:xf numFmtId="3" fontId="5" fillId="2" borderId="4" xfId="0" applyNumberFormat="1" applyFont="1" applyFill="1" applyBorder="1" applyAlignment="1" applyProtection="1">
      <s:alignment horizontal="center" mc:Ignorable="vyd"/>
      <s:protection locked="0"/>
    </s:xf>
    <s:xf numFmtId="3" fontId="5" fillId="2" borderId="5" xfId="0" applyNumberFormat="1" applyFont="1" applyFill="1" applyBorder="1" applyAlignment="1" applyProtection="1">
      <s:alignment horizontal="center" mc:Ignorable="vyd"/>
      <s:protection locked="0"/>
    </s:xf>
    <s:xf numFmtId="9" fontId="5" fillId="2" borderId="6" xfId="1" applyNumberFormat="1" applyFont="1" applyFill="1" applyBorder="1" applyProtection="1"/>
    <s:xf numFmtId="0" fontId="10" fillId="3" borderId="7" xfId="0" applyFont="1" applyFill="1" applyBorder="1" applyAlignment="1" applyProtection="1">
      <s:alignment horizontal="center" vertical="center" wrapText="1" mc:Ignorable="vyd"/>
      <s:protection locked="0"/>
    </s:xf>
    <s:xf numFmtId="0" fontId="10" fillId="3" borderId="8" xfId="0" applyFont="1" applyFill="1" applyBorder="1" applyAlignment="1" applyProtection="1">
      <s:alignment horizontal="center" vertical="center" wrapText="1" mc:Ignorable="vyd"/>
      <s:protection locked="0"/>
    </s:xf>
    <s:xf numFmtId="0" fontId="10" fillId="3" borderId="9" xfId="0" applyFont="1" applyFill="1" applyBorder="1" applyAlignment="1" applyProtection="1">
      <s:alignment horizontal="center" vertical="center" wrapText="1" mc:Ignorable="vyd"/>
      <s:protection locked="0"/>
    </s:xf>
    <s:xf numFmtId="0" fontId="6" fillId="2" borderId="0" xfId="0" applyFont="1" applyFill="1" applyAlignment="1">
      <s:alignment horizontal="center" vertical="top" mc:Ignorable="vyd"/>
    </s:xf>
    <s:xf numFmtId="0" fontId="6" fillId="2" borderId="0" xfId="0" applyFont="1" applyFill="1" applyAlignment="1">
      <s:alignment vertical="top" mc:Ignorable="vyd"/>
    </s:xf>
    <s:xf numFmtId="0" fontId="12" fillId="2" borderId="0" xfId="0" applyFont="1" applyFill="1"/>
    <s:xf numFmtId="0" fontId="2" fillId="2" borderId="0" xfId="0" applyFont="1" applyFill="1" applyAlignment="1">
      <s:alignment horizontal="center" mc:Ignorable="vyd"/>
    </s:xf>
    <s:xf numFmtId="0" fontId="13" fillId="2" borderId="10" xfId="0" applyFont="1" applyFill="1" applyBorder="1" applyAlignment="1">
      <s:alignment horizontal="center" vertical="center" mc:Ignorable="vyd"/>
    </s:xf>
    <s:xf numFmtId="0" fontId="13" fillId="2" borderId="11" xfId="0" applyFont="1" applyFill="1" applyBorder="1" applyAlignment="1">
      <s:alignment horizontal="center" vertical="center" mc:Ignorable="vyd"/>
    </s:xf>
    <s:xf numFmtId="0" fontId="13" fillId="2" borderId="12" xfId="0" applyFont="1" applyFill="1" applyBorder="1" applyAlignment="1">
      <s:alignment horizontal="center" vertical="center" mc:Ignorable="vyd"/>
    </s:xf>
    <s:xf numFmtId="162" fontId="6" fillId="2" borderId="0" xfId="1" applyNumberFormat="1" applyFont="1" applyFill="1" applyAlignment="1" applyProtection="1">
      <s:alignment vertical="center" mc:Ignorable="vyd"/>
    </s:xf>
    <s:xf numFmtId="162" fontId="2" fillId="2" borderId="0" xfId="0" applyNumberFormat="1" applyFont="1" applyFill="1"/>
    <s:xf numFmtId="0" fontId="11" fillId="2" borderId="13" xfId="0" applyFont="1" applyFill="1" applyBorder="1" applyAlignment="1">
      <s:alignment horizontal="left" vertical="center" wrapText="1" mc:Ignorable="vyd"/>
    </s:xf>
    <s:xf numFmtId="3" fontId="11" fillId="2" borderId="14" xfId="0" applyNumberFormat="1" applyFont="1" applyFill="1" applyBorder="1" applyAlignment="1">
      <s:alignment horizontal="center" vertical="center" mc:Ignorable="vyd"/>
    </s:xf>
    <s:xf numFmtId="3" fontId="11" fillId="2" borderId="15" xfId="0" applyNumberFormat="1" applyFont="1" applyFill="1" applyBorder="1" applyAlignment="1">
      <s:alignment horizontal="center" vertical="center" mc:Ignorable="vyd"/>
    </s:xf>
    <s:xf numFmtId="3" fontId="11" fillId="2" borderId="15" xfId="0" applyNumberFormat="1" applyFont="1" applyFill="1" applyBorder="1" applyAlignment="1">
      <s:alignment horizontal="center" vertical="center" wrapText="1" mc:Ignorable="vyd"/>
    </s:xf>
    <s:xf numFmtId="0" fontId="14" fillId="2" borderId="15" xfId="0" applyFont="1" applyFill="1" applyBorder="1" applyAlignment="1">
      <s:alignment horizontal="center" vertical="center" wrapText="1" mc:Ignorable="vyd"/>
    </s:xf>
    <s:xf numFmtId="0" fontId="11" fillId="2" borderId="16" xfId="0" applyFont="1" applyFill="1" applyBorder="1" applyAlignment="1">
      <s:alignment horizontal="center" vertical="center" wrapText="1" mc:Ignorable="vyd"/>
    </s:xf>
    <s:xf numFmtId="0" fontId="11" fillId="2" borderId="13" xfId="0" applyFont="1" applyFill="1" applyBorder="1" applyAlignment="1">
      <s:alignment horizontal="center" vertical="center" wrapText="1" mc:Ignorable="vyd"/>
    </s:xf>
    <s:xf numFmtId="0" fontId="11" fillId="2" borderId="11" xfId="0" applyFont="1" applyFill="1" applyBorder="1" applyAlignment="1">
      <s:alignment horizontal="center" vertical="center" wrapText="1" mc:Ignorable="vyd"/>
    </s:xf>
    <s:xf numFmtId="0" fontId="11" fillId="2" borderId="12" xfId="0" applyFont="1" applyFill="1" applyBorder="1" applyAlignment="1">
      <s:alignment horizontal="center" vertical="center" wrapText="1" mc:Ignorable="vyd"/>
    </s:xf>
    <s:xf numFmtId="0" fontId="15" fillId="0" borderId="17" xfId="0" applyFont="1" applyBorder="1" applyAlignment="1">
      <s:alignment horizontal="left" vertical="center" mc:Ignorable="vyd"/>
    </s:xf>
    <s:xf numFmtId="3" fontId="15" fillId="0" borderId="18" xfId="0" applyNumberFormat="1" applyFont="1" applyBorder="1" applyAlignment="1">
      <s:alignment horizontal="center" vertical="center" mc:Ignorable="vyd"/>
    </s:xf>
    <s:xf numFmtId="3" fontId="15" fillId="4" borderId="19" xfId="0" applyNumberFormat="1" applyFont="1" applyFill="1" applyBorder="1" applyAlignment="1">
      <s:alignment horizontal="center" vertical="center" mc:Ignorable="vyd"/>
    </s:xf>
    <s:xf numFmtId="10" fontId="16" fillId="4" borderId="19" xfId="1" applyNumberFormat="1" applyFont="1" applyFill="1" applyBorder="1" applyAlignment="1" applyProtection="1">
      <s:alignment horizontal="center" vertical="center" mc:Ignorable="vyd"/>
    </s:xf>
    <s:xf numFmtId="3" fontId="17" fillId="0" borderId="19" xfId="0" applyNumberFormat="1" applyFont="1" applyBorder="1" applyAlignment="1">
      <s:alignment horizontal="center" vertical="center" mc:Ignorable="vyd"/>
    </s:xf>
    <s:xf numFmtId="10" fontId="14" fillId="0" borderId="20" xfId="1" applyNumberFormat="1" applyFont="1" applyBorder="1" applyAlignment="1" applyProtection="1">
      <s:alignment horizontal="center" vertical="center" mc:Ignorable="vyd"/>
    </s:xf>
    <s:xf numFmtId="3" fontId="6" fillId="0" borderId="20" xfId="0" applyNumberFormat="1" applyFont="1" applyBorder="1" applyAlignment="1">
      <s:alignment horizontal="center" vertical="center" mc:Ignorable="vyd"/>
    </s:xf>
    <s:xf numFmtId="3" fontId="6" fillId="3" borderId="21" xfId="0" applyNumberFormat="1" applyFont="1" applyFill="1" applyBorder="1" applyAlignment="1" applyProtection="1">
      <s:alignment horizontal="center" vertical="center" mc:Ignorable="vyd"/>
      <s:protection locked="0"/>
    </s:xf>
    <s:xf numFmtId="3" fontId="6" fillId="0" borderId="22" xfId="0" applyNumberFormat="1" applyFont="1" applyBorder="1" applyAlignment="1">
      <s:alignment horizontal="center" vertical="center" mc:Ignorable="vyd"/>
    </s:xf>
    <s:xf numFmtId="162" fontId="6" fillId="0" borderId="23" xfId="1" applyNumberFormat="1" applyFont="1" applyBorder="1" applyAlignment="1" applyProtection="1">
      <s:alignment horizontal="center" vertical="center" mc:Ignorable="vyd"/>
    </s:xf>
    <s:xf numFmtId="0" fontId="6" fillId="0" borderId="24" xfId="0" applyFont="1" applyBorder="1" applyAlignment="1">
      <s:alignment horizontal="left" vertical="center" mc:Ignorable="vyd"/>
    </s:xf>
    <s:xf numFmtId="3" fontId="18" fillId="4" borderId="25" xfId="0" applyNumberFormat="1" applyFont="1" applyFill="1" applyBorder="1" applyAlignment="1">
      <s:alignment horizontal="center" vertical="center" mc:Ignorable="vyd"/>
    </s:xf>
    <s:xf numFmtId="3" fontId="6" fillId="4" borderId="26" xfId="0" applyNumberFormat="1" applyFont="1" applyFill="1" applyBorder="1" applyAlignment="1">
      <s:alignment horizontal="center" vertical="center" mc:Ignorable="vyd"/>
    </s:xf>
    <s:xf numFmtId="10" fontId="6" fillId="4" borderId="26" xfId="1" applyNumberFormat="1" applyFont="1" applyFill="1" applyBorder="1" applyAlignment="1" applyProtection="1">
      <s:alignment horizontal="center" vertical="center" mc:Ignorable="vyd"/>
    </s:xf>
    <s:xf numFmtId="3" fontId="17" fillId="0" borderId="26" xfId="0" applyNumberFormat="1" applyFont="1" applyBorder="1" applyAlignment="1">
      <s:alignment horizontal="center" vertical="center" mc:Ignorable="vyd"/>
    </s:xf>
    <s:xf numFmtId="10" fontId="19" fillId="0" borderId="27" xfId="1" applyNumberFormat="1" applyFont="1" applyBorder="1" applyAlignment="1" applyProtection="1">
      <s:alignment horizontal="center" vertical="center" mc:Ignorable="vyd"/>
    </s:xf>
    <s:xf numFmtId="3" fontId="6" fillId="0" borderId="27" xfId="0" applyNumberFormat="1" applyFont="1" applyBorder="1" applyAlignment="1">
      <s:alignment horizontal="center" vertical="center" mc:Ignorable="vyd"/>
    </s:xf>
    <s:xf numFmtId="3" fontId="6" fillId="4" borderId="24" xfId="0" applyNumberFormat="1" applyFont="1" applyFill="1" applyBorder="1" applyAlignment="1" applyProtection="1">
      <s:alignment horizontal="center" vertical="center" mc:Ignorable="vyd"/>
      <s:protection locked="0"/>
    </s:xf>
    <s:xf numFmtId="3" fontId="6" fillId="0" borderId="25" xfId="0" applyNumberFormat="1" applyFont="1" applyBorder="1" applyAlignment="1">
      <s:alignment horizontal="center" vertical="center" mc:Ignorable="vyd"/>
    </s:xf>
    <s:xf numFmtId="162" fontId="6" fillId="0" borderId="28" xfId="1" applyNumberFormat="1" applyFont="1" applyBorder="1" applyAlignment="1" applyProtection="1">
      <s:alignment horizontal="center" vertical="center" mc:Ignorable="vyd"/>
    </s:xf>
    <s:xf numFmtId="0" fontId="15" fillId="0" borderId="24" xfId="0" applyFont="1" applyBorder="1" applyAlignment="1">
      <s:alignment horizontal="left" vertical="center" mc:Ignorable="vyd"/>
    </s:xf>
    <s:xf numFmtId="3" fontId="15" fillId="4" borderId="25" xfId="0" applyNumberFormat="1" applyFont="1" applyFill="1" applyBorder="1" applyAlignment="1">
      <s:alignment horizontal="center" vertical="center" mc:Ignorable="vyd"/>
    </s:xf>
    <s:xf numFmtId="3" fontId="15" fillId="4" borderId="26" xfId="0" applyNumberFormat="1" applyFont="1" applyFill="1" applyBorder="1" applyAlignment="1">
      <s:alignment horizontal="center" vertical="center" mc:Ignorable="vyd"/>
    </s:xf>
    <s:xf numFmtId="10" fontId="15" fillId="4" borderId="26" xfId="1" applyNumberFormat="1" applyFont="1" applyFill="1" applyBorder="1" applyAlignment="1" applyProtection="1">
      <s:alignment horizontal="center" vertical="center" mc:Ignorable="vyd"/>
    </s:xf>
    <s:xf numFmtId="10" fontId="17" fillId="0" borderId="27" xfId="1" applyNumberFormat="1" applyFont="1" applyBorder="1" applyAlignment="1" applyProtection="1">
      <s:alignment horizontal="center" vertical="center" mc:Ignorable="vyd"/>
    </s:xf>
    <s:xf numFmtId="3" fontId="15" fillId="0" borderId="27" xfId="0" applyNumberFormat="1" applyFont="1" applyBorder="1" applyAlignment="1">
      <s:alignment horizontal="center" vertical="center" mc:Ignorable="vyd"/>
    </s:xf>
    <s:xf numFmtId="3" fontId="15" fillId="4" borderId="24" xfId="0" applyNumberFormat="1" applyFont="1" applyFill="1" applyBorder="1" applyAlignment="1">
      <s:alignment horizontal="center" vertical="center" mc:Ignorable="vyd"/>
    </s:xf>
    <s:xf numFmtId="3" fontId="15" fillId="0" borderId="25" xfId="0" applyNumberFormat="1" applyFont="1" applyBorder="1" applyAlignment="1">
      <s:alignment horizontal="center" vertical="center" mc:Ignorable="vyd"/>
    </s:xf>
    <s:xf numFmtId="162" fontId="15" fillId="0" borderId="28" xfId="1" applyNumberFormat="1" applyFont="1" applyBorder="1" applyAlignment="1" applyProtection="1">
      <s:alignment horizontal="center" vertical="center" mc:Ignorable="vyd"/>
    </s:xf>
    <s:xf numFmtId="3" fontId="18" fillId="3" borderId="25" xfId="0" applyNumberFormat="1" applyFont="1" applyFill="1" applyBorder="1" applyAlignment="1">
      <s:alignment horizontal="center" vertical="center" mc:Ignorable="vyd"/>
    </s:xf>
    <s:xf numFmtId="3" fontId="6" fillId="3" borderId="24" xfId="0" applyNumberFormat="1" applyFont="1" applyFill="1" applyBorder="1" applyAlignment="1">
      <s:alignment horizontal="center" vertical="center" mc:Ignorable="vyd"/>
    </s:xf>
    <s:xf numFmtId="4" fontId="18" fillId="3" borderId="25" xfId="0" applyNumberFormat="1" applyFont="1" applyFill="1" applyBorder="1" applyAlignment="1">
      <s:alignment horizontal="center" vertical="center" mc:Ignorable="vyd"/>
    </s:xf>
    <s:xf numFmtId="4" fontId="6" fillId="4" borderId="26" xfId="0" applyNumberFormat="1" applyFont="1" applyFill="1" applyBorder="1" applyAlignment="1">
      <s:alignment horizontal="center" vertical="center" mc:Ignorable="vyd"/>
    </s:xf>
    <s:xf numFmtId="4" fontId="17" fillId="0" borderId="26" xfId="0" applyNumberFormat="1" applyFont="1" applyBorder="1" applyAlignment="1">
      <s:alignment horizontal="center" vertical="center" mc:Ignorable="vyd"/>
    </s:xf>
    <s:xf numFmtId="4" fontId="6" fillId="0" borderId="27" xfId="0" applyNumberFormat="1" applyFont="1" applyBorder="1" applyAlignment="1">
      <s:alignment horizontal="center" vertical="center" mc:Ignorable="vyd"/>
    </s:xf>
    <s:xf numFmtId="4" fontId="6" fillId="3" borderId="24" xfId="0" applyNumberFormat="1" applyFont="1" applyFill="1" applyBorder="1" applyAlignment="1" applyProtection="1">
      <s:alignment horizontal="center" vertical="center" mc:Ignorable="vyd"/>
      <s:protection locked="0"/>
    </s:xf>
    <s:xf numFmtId="3" fontId="6" fillId="3" borderId="24" xfId="0" applyNumberFormat="1" applyFont="1" applyFill="1" applyBorder="1" applyAlignment="1" applyProtection="1">
      <s:alignment horizontal="center" vertical="center" mc:Ignorable="vyd"/>
      <s:protection locked="0"/>
    </s:xf>
    <s:xf numFmtId="3" fontId="6" fillId="5" borderId="26" xfId="0" applyNumberFormat="1" applyFont="1" applyFill="1" applyBorder="1" applyAlignment="1">
      <s:alignment horizontal="center" vertical="center" mc:Ignorable="vyd"/>
    </s:xf>
    <s:xf numFmtId="10" fontId="6" fillId="2" borderId="0" xfId="1" applyNumberFormat="1" applyFont="1" applyFill="1" applyAlignment="1" applyProtection="1">
      <s:alignment horizontal="center" vertical="center" mc:Ignorable="vyd"/>
    </s:xf>
    <s:xf numFmtId="10" fontId="19" fillId="0" borderId="26" xfId="1" applyNumberFormat="1" applyFont="1" applyBorder="1" applyAlignment="1" applyProtection="1">
      <s:alignment horizontal="center" vertical="center" mc:Ignorable="vyd"/>
    </s:xf>
    <s:xf numFmtId="3" fontId="20" fillId="0" borderId="26" xfId="0" applyNumberFormat="1" applyFont="1" applyBorder="1" applyAlignment="1">
      <s:alignment horizontal="center" vertical="center" mc:Ignorable="vyd"/>
    </s:xf>
    <s:xf numFmtId="10" fontId="14" fillId="0" borderId="26" xfId="1" applyNumberFormat="1" applyFont="1" applyBorder="1" applyAlignment="1" applyProtection="1">
      <s:alignment horizontal="center" vertical="center" mc:Ignorable="vyd"/>
    </s:xf>
    <s:xf numFmtId="162" fontId="6" fillId="4" borderId="29" xfId="1" applyNumberFormat="1" applyFont="1" applyFill="1" applyBorder="1" applyAlignment="1" applyProtection="1">
      <s:alignment horizontal="center" vertical="center" wrapText="1" mc:Ignorable="vyd"/>
    </s:xf>
    <s:xf numFmtId="162" fontId="6" fillId="4" borderId="19" xfId="1" applyNumberFormat="1" applyFont="1" applyFill="1" applyBorder="1" applyAlignment="1" applyProtection="1">
      <s:alignment horizontal="center" vertical="center" wrapText="1" mc:Ignorable="vyd"/>
    </s:xf>
    <s:xf numFmtId="3" fontId="6" fillId="6" borderId="26" xfId="1" applyNumberFormat="1" applyFont="1" applyFill="1" applyBorder="1" applyAlignment="1" applyProtection="1">
      <s:alignment horizontal="center" vertical="center" mc:Ignorable="vyd"/>
    </s:xf>
    <s:xf numFmtId="3" fontId="18" fillId="4" borderId="30" xfId="0" applyNumberFormat="1" applyFont="1" applyFill="1" applyBorder="1" applyAlignment="1">
      <s:alignment horizontal="center" vertical="center" mc:Ignorable="vyd"/>
    </s:xf>
    <s:xf numFmtId="3" fontId="6" fillId="4" borderId="29" xfId="0" applyNumberFormat="1" applyFont="1" applyFill="1" applyBorder="1" applyAlignment="1">
      <s:alignment horizontal="center" vertical="center" mc:Ignorable="vyd"/>
    </s:xf>
    <s:xf numFmtId="3" fontId="20" fillId="0" borderId="29" xfId="0" applyNumberFormat="1" applyFont="1" applyBorder="1" applyAlignment="1">
      <s:alignment horizontal="center" vertical="center" mc:Ignorable="vyd"/>
    </s:xf>
    <s:xf numFmtId="10" fontId="14" fillId="0" borderId="31" xfId="1" applyNumberFormat="1" applyFont="1" applyBorder="1" applyAlignment="1" applyProtection="1">
      <s:alignment horizontal="center" vertical="center" mc:Ignorable="vyd"/>
    </s:xf>
    <s:xf numFmtId="3" fontId="6" fillId="3" borderId="32" xfId="0" applyNumberFormat="1" applyFont="1" applyFill="1" applyBorder="1" applyAlignment="1" applyProtection="1">
      <s:alignment horizontal="center" vertical="center" mc:Ignorable="vyd"/>
      <s:protection locked="0"/>
    </s:xf>
    <s:xf numFmtId="0" fontId="15" fillId="0" borderId="33" xfId="0" applyFont="1" applyBorder="1" applyAlignment="1">
      <s:alignment horizontal="left" vertical="center" mc:Ignorable="vyd"/>
    </s:xf>
    <s:xf numFmtId="10" fontId="15" fillId="3" borderId="34" xfId="1" applyNumberFormat="1" applyFont="1" applyFill="1" applyBorder="1" applyAlignment="1" applyProtection="1">
      <s:alignment horizontal="center" vertical="center" mc:Ignorable="vyd"/>
    </s:xf>
    <s:xf numFmtId="10" fontId="15" fillId="4" borderId="35" xfId="1" applyNumberFormat="1" applyFont="1" applyFill="1" applyBorder="1" applyAlignment="1" applyProtection="1">
      <s:alignment horizontal="center" vertical="center" mc:Ignorable="vyd"/>
    </s:xf>
    <s:xf numFmtId="162" fontId="20" fillId="0" borderId="35" xfId="1" applyNumberFormat="1" applyFont="1" applyBorder="1" applyAlignment="1" applyProtection="1">
      <s:alignment horizontal="center" vertical="center" mc:Ignorable="vyd"/>
    </s:xf>
    <s:xf numFmtId="10" fontId="20" fillId="0" borderId="36" xfId="1" applyNumberFormat="1" applyFont="1" applyBorder="1" applyAlignment="1" applyProtection="1">
      <s:alignment horizontal="center" vertical="center" mc:Ignorable="vyd"/>
    </s:xf>
    <s:xf numFmtId="162" fontId="18" fillId="0" borderId="36" xfId="1" applyNumberFormat="1" applyFont="1" applyBorder="1" applyAlignment="1" applyProtection="1">
      <s:alignment horizontal="center" vertical="center" mc:Ignorable="vyd"/>
    </s:xf>
    <s:xf numFmtId="162" fontId="18" fillId="3" borderId="33" xfId="1" applyNumberFormat="1" applyFont="1" applyFill="1" applyBorder="1" applyAlignment="1" applyProtection="1">
      <s:alignment horizontal="center" vertical="center" mc:Ignorable="vyd"/>
      <s:protection locked="0"/>
    </s:xf>
    <s:xf numFmtId="3" fontId="18" fillId="0" borderId="34" xfId="0" applyNumberFormat="1" applyFont="1" applyBorder="1" applyAlignment="1">
      <s:alignment horizontal="center" vertical="center" mc:Ignorable="vyd"/>
    </s:xf>
    <s:xf numFmtId="162" fontId="18" fillId="0" borderId="37" xfId="1" applyNumberFormat="1" applyFont="1" applyBorder="1" applyAlignment="1" applyProtection="1">
      <s:alignment horizontal="center" vertical="center" mc:Ignorable="vyd"/>
    </s:xf>
    <s:xf numFmtId="0" fontId="13" fillId="7" borderId="27" xfId="0" applyFont="1" applyFill="1" applyBorder="1" applyAlignment="1">
      <s:alignment horizontal="center" vertical="center" mc:Ignorable="vyd"/>
    </s:xf>
    <s:xf numFmtId="0" fontId="13" fillId="7" borderId="38" xfId="0" applyFont="1" applyFill="1" applyBorder="1" applyAlignment="1">
      <s:alignment horizontal="center" vertical="center" mc:Ignorable="vyd"/>
    </s:xf>
    <s:xf numFmtId="0" fontId="13" fillId="7" borderId="25" xfId="0" applyFont="1" applyFill="1" applyBorder="1" applyAlignment="1">
      <s:alignment horizontal="center" vertical="center" mc:Ignorable="vyd"/>
    </s:xf>
    <s:xf numFmtId="0" fontId="13" fillId="7" borderId="30" xfId="0" applyFont="1" applyFill="1" applyBorder="1" applyAlignment="1">
      <s:alignment horizontal="center" vertical="center" mc:Ignorable="vyd"/>
    </s:xf>
    <s:xf numFmtId="0" fontId="11" fillId="7" borderId="29" xfId="0" applyFont="1" applyFill="1" applyBorder="1" applyAlignment="1">
      <s:alignment horizontal="center" vertical="center" wrapText="1" mc:Ignorable="vyd"/>
    </s:xf>
    <s:xf numFmtId="0" fontId="21" fillId="7" borderId="29" xfId="0" applyFont="1" applyFill="1" applyBorder="1" applyAlignment="1">
      <s:alignment horizontal="center" vertical="center" mc:Ignorable="vyd"/>
    </s:xf>
    <s:xf numFmtId="0" fontId="11" fillId="7" borderId="26" xfId="0" applyFont="1" applyFill="1" applyBorder="1" applyAlignment="1">
      <s:alignment horizontal="center" vertical="center" wrapText="1" mc:Ignorable="vyd"/>
    </s:xf>
    <s:xf numFmtId="0" fontId="11" fillId="8" borderId="26" xfId="0" applyFont="1" applyFill="1" applyBorder="1" applyAlignment="1">
      <s:alignment horizontal="center" vertical="center" wrapText="1" mc:Ignorable="vyd"/>
    </s:xf>
    <s:xf numFmtId="0" fontId="11" fillId="8" borderId="27" xfId="0" applyFont="1" applyFill="1" applyBorder="1" applyAlignment="1">
      <s:alignment horizontal="center" vertical="center" wrapText="1" mc:Ignorable="vyd"/>
    </s:xf>
    <s:xf numFmtId="0" fontId="11" fillId="8" borderId="39" xfId="0" applyFont="1" applyFill="1" applyBorder="1" applyAlignment="1">
      <s:alignment horizontal="center" vertical="center" wrapText="1" mc:Ignorable="vyd"/>
    </s:xf>
    <s:xf numFmtId="0" fontId="11" fillId="7" borderId="25" xfId="0" applyFont="1" applyFill="1" applyBorder="1" applyAlignment="1">
      <s:alignment horizontal="center" vertical="center" wrapText="1" mc:Ignorable="vyd"/>
    </s:xf>
    <s:xf numFmtId="0" fontId="22" fillId="7" borderId="26" xfId="0" applyFont="1" applyFill="1" applyBorder="1" applyAlignment="1">
      <s:alignment horizontal="center" vertical="center" wrapText="1" mc:Ignorable="vyd"/>
    </s:xf>
    <s:xf numFmtId="3" fontId="3" fillId="0" borderId="0" xfId="0" applyNumberFormat="1" applyFont="1"/>
    <s:xf numFmtId="0" fontId="21" fillId="7" borderId="19" xfId="0" applyFont="1" applyFill="1" applyBorder="1" applyAlignment="1">
      <s:alignment horizontal="center" vertical="center" mc:Ignorable="vyd"/>
    </s:xf>
    <s:xf numFmtId="0" fontId="6" fillId="7" borderId="26" xfId="0" applyFont="1" applyFill="1" applyBorder="1" applyAlignment="1">
      <s:alignment horizontal="center" vertical="top" wrapText="1" mc:Ignorable="vyd"/>
    </s:xf>
    <s:xf numFmtId="0" fontId="6" fillId="7" borderId="27" xfId="0" applyFont="1" applyFill="1" applyBorder="1" applyAlignment="1">
      <s:alignment horizontal="center" vertical="top" wrapText="1" mc:Ignorable="vyd"/>
    </s:xf>
    <s:xf numFmtId="0" fontId="6" fillId="7" borderId="40" xfId="0" applyFont="1" applyFill="1" applyBorder="1" applyAlignment="1">
      <s:alignment horizontal="center" vertical="top" wrapText="1" mc:Ignorable="vyd"/>
    </s:xf>
    <s:xf numFmtId="0" fontId="6" fillId="7" borderId="0" xfId="0" applyFont="1" applyFill="1" applyAlignment="1">
      <s:alignment horizontal="center" vertical="top" wrapText="1" mc:Ignorable="vyd"/>
    </s:xf>
    <s:xf numFmtId="0" fontId="11" fillId="7" borderId="19" xfId="0" applyFont="1" applyFill="1" applyBorder="1" applyAlignment="1">
      <s:alignment horizontal="center" vertical="center" wrapText="1" mc:Ignorable="vyd"/>
    </s:xf>
    <s:xf numFmtId="0" fontId="11" fillId="7" borderId="26" xfId="0" applyFont="1" applyFill="1" applyBorder="1" applyAlignment="1">
      <s:alignment horizontal="center" vertical="top" wrapText="1" mc:Ignorable="vyd"/>
    </s:xf>
    <s:xf numFmtId="0" fontId="0" fillId="9" borderId="0" xfId="0" applyFill="1"/>
    <s:xf numFmtId="0" fontId="23" fillId="9" borderId="29" xfId="0" applyFont="1" applyFill="1" applyBorder="1" applyAlignment="1">
      <s:alignment horizontal="center" vertical="center" mc:Ignorable="vyd"/>
    </s:xf>
    <s:xf numFmtId="16" fontId="6" fillId="9" borderId="26" xfId="0" applyNumberFormat="1" applyFont="1" applyFill="1" applyBorder="1" applyAlignment="1">
      <s:alignment horizontal="center" vertical="top" mc:Ignorable="vyd"/>
    </s:xf>
    <s:xf numFmtId="0" fontId="6" fillId="9" borderId="26" xfId="0" applyFont="1" applyFill="1" applyBorder="1" applyAlignment="1">
      <s:alignment horizontal="center" vertical="top" mc:Ignorable="vyd"/>
    </s:xf>
    <s:xf numFmtId="4" fontId="6" fillId="9" borderId="25" xfId="0" applyNumberFormat="1" applyFont="1" applyFill="1" applyBorder="1" applyAlignment="1">
      <s:alignment horizontal="center" vertical="top" mc:Ignorable="vyd"/>
    </s:xf>
    <s:xf numFmtId="3" fontId="6" fillId="9" borderId="25" xfId="0" applyNumberFormat="1" applyFont="1" applyFill="1" applyBorder="1" applyAlignment="1">
      <s:alignment horizontal="center" vertical="top" mc:Ignorable="vyd"/>
    </s:xf>
    <s:xf numFmtId="3" fontId="6" fillId="9" borderId="26" xfId="0" applyNumberFormat="1" applyFont="1" applyFill="1" applyBorder="1" applyAlignment="1">
      <s:alignment horizontal="center" vertical="top" mc:Ignorable="vyd"/>
    </s:xf>
    <s:xf numFmtId="4" fontId="6" fillId="9" borderId="26" xfId="0" applyNumberFormat="1" applyFont="1" applyFill="1" applyBorder="1" applyAlignment="1">
      <s:alignment horizontal="center" vertical="top" mc:Ignorable="vyd"/>
    </s:xf>
    <s:xf numFmtId="3" fontId="6" fillId="9" borderId="22" xfId="0" applyNumberFormat="1" applyFont="1" applyFill="1" applyBorder="1" applyAlignment="1">
      <s:alignment horizontal="center" vertical="top" mc:Ignorable="vyd"/>
    </s:xf>
    <s:xf numFmtId="3" fontId="6" fillId="0" borderId="22" xfId="0" applyNumberFormat="1" applyFont="1" applyBorder="1" applyAlignment="1">
      <s:alignment horizontal="center" vertical="top" mc:Ignorable="vyd"/>
    </s:xf>
    <s:xf numFmtId="10" fontId="6" fillId="10" borderId="26" xfId="0" applyNumberFormat="1" applyFont="1" applyFill="1" applyBorder="1" applyAlignment="1">
      <s:alignment horizontal="center" vertical="top" mc:Ignorable="vyd"/>
    </s:xf>
    <s:xf numFmtId="9" fontId="2" fillId="9" borderId="26" xfId="0" applyNumberFormat="1" applyFont="1" applyFill="1" applyBorder="1" applyAlignment="1">
      <s:alignment horizontal="center" vertical="center" mc:Ignorable="vyd"/>
    </s:xf>
    <s:xf numFmtId="3" fontId="24" fillId="9" borderId="26" xfId="0" applyNumberFormat="1" applyFont="1" applyFill="1" applyBorder="1" applyAlignment="1">
      <s:alignment horizontal="center" mc:Ignorable="vyd"/>
    </s:xf>
    <s:xf numFmtId="3" fontId="6" fillId="9" borderId="26" xfId="0" applyNumberFormat="1" applyFont="1" applyFill="1" applyBorder="1" applyAlignment="1">
      <s:alignment horizontal="center" mc:Ignorable="vyd"/>
    </s:xf>
    <s:xf numFmtId="2" fontId="6" fillId="9" borderId="26" xfId="0" applyNumberFormat="1" applyFont="1" applyFill="1" applyBorder="1" applyAlignment="1">
      <s:alignment horizontal="right" mc:Ignorable="vyd"/>
    </s:xf>
    <s:xf numFmtId="0" fontId="3" fillId="9" borderId="0" xfId="0" applyFont="1" applyFill="1"/>
    <s:xf numFmtId="162" fontId="3" fillId="9" borderId="0" xfId="0" applyNumberFormat="1" applyFont="1" applyFill="1"/>
    <s:xf numFmtId="0" fontId="0" fillId="10" borderId="0" xfId="0" applyFill="1"/>
    <s:xf numFmtId="0" fontId="0" fillId="10" borderId="40" xfId="0" applyFill="1" applyBorder="1" applyAlignment="1">
      <s:alignment horizontal="center" vertical="center" mc:Ignorable="vyd"/>
    </s:xf>
    <s:xf numFmtId="16" fontId="6" fillId="10" borderId="25" xfId="0" applyNumberFormat="1" applyFont="1" applyFill="1" applyBorder="1" applyAlignment="1">
      <s:alignment horizontal="center" vertical="top" mc:Ignorable="vyd"/>
    </s:xf>
    <s:xf numFmtId="0" fontId="6" fillId="10" borderId="26" xfId="0" applyFont="1" applyFill="1" applyBorder="1" applyAlignment="1">
      <s:alignment horizontal="center" vertical="top" mc:Ignorable="vyd"/>
    </s:xf>
    <s:xf numFmtId="4" fontId="6" fillId="10" borderId="22" xfId="0" applyNumberFormat="1" applyFont="1" applyFill="1" applyBorder="1" applyAlignment="1">
      <s:alignment horizontal="center" vertical="top" mc:Ignorable="vyd"/>
    </s:xf>
    <s:xf numFmtId="3" fontId="6" fillId="10" borderId="22" xfId="0" applyNumberFormat="1" applyFont="1" applyFill="1" applyBorder="1" applyAlignment="1">
      <s:alignment horizontal="center" vertical="top" mc:Ignorable="vyd"/>
    </s:xf>
    <s:xf numFmtId="3" fontId="6" fillId="10" borderId="26" xfId="0" applyNumberFormat="1" applyFont="1" applyFill="1" applyBorder="1" applyAlignment="1">
      <s:alignment horizontal="center" vertical="top" mc:Ignorable="vyd"/>
    </s:xf>
    <s:xf numFmtId="4" fontId="6" fillId="10" borderId="26" xfId="0" applyNumberFormat="1" applyFont="1" applyFill="1" applyBorder="1" applyAlignment="1">
      <s:alignment horizontal="center" vertical="top" mc:Ignorable="vyd"/>
    </s:xf>
    <s:xf numFmtId="3" fontId="6" fillId="10" borderId="25" xfId="0" applyNumberFormat="1" applyFont="1" applyFill="1" applyBorder="1" applyAlignment="1">
      <s:alignment horizontal="center" vertical="top" mc:Ignorable="vyd"/>
    </s:xf>
    <s:xf numFmtId="9" fontId="2" fillId="10" borderId="26" xfId="0" applyNumberFormat="1" applyFont="1" applyFill="1" applyBorder="1" applyAlignment="1">
      <s:alignment horizontal="center" vertical="center" mc:Ignorable="vyd"/>
    </s:xf>
    <s:xf numFmtId="3" fontId="24" fillId="10" borderId="26" xfId="0" applyNumberFormat="1" applyFont="1" applyFill="1" applyBorder="1" applyAlignment="1">
      <s:alignment horizontal="center" mc:Ignorable="vyd"/>
    </s:xf>
    <s:xf numFmtId="3" fontId="6" fillId="10" borderId="26" xfId="0" applyNumberFormat="1" applyFont="1" applyFill="1" applyBorder="1" applyAlignment="1">
      <s:alignment horizontal="center" mc:Ignorable="vyd"/>
    </s:xf>
    <s:xf numFmtId="2" fontId="6" fillId="10" borderId="26" xfId="0" applyNumberFormat="1" applyFont="1" applyFill="1" applyBorder="1" applyAlignment="1">
      <s:alignment horizontal="right" mc:Ignorable="vyd"/>
    </s:xf>
    <s:xf numFmtId="162" fontId="3" fillId="10" borderId="0" xfId="0" applyNumberFormat="1" applyFont="1" applyFill="1"/>
    <s:xf numFmtId="0" fontId="3" fillId="10" borderId="0" xfId="0" applyFont="1" applyFill="1"/>
    <s:xf numFmtId="0" fontId="0" fillId="10" borderId="41" xfId="0" applyFill="1" applyBorder="1" applyAlignment="1">
      <s:alignment horizontal="center" vertical="center" mc:Ignorable="vyd"/>
    </s:xf>
    <s:xf numFmtId="3" fontId="6" fillId="10" borderId="19" xfId="0" applyNumberFormat="1" applyFont="1" applyFill="1" applyBorder="1" applyAlignment="1">
      <s:alignment horizontal="center" vertical="top" mc:Ignorable="vyd"/>
    </s:xf>
    <s:xf numFmtId="0" fontId="0" fillId="10" borderId="0" xfId="0" applyFill="1" applyAlignment="1">
      <s:alignment horizontal="center" vertical="center" mc:Ignorable="vyd"/>
    </s:xf>
    <s:xf numFmtId="16" fontId="6" fillId="10" borderId="26" xfId="0" applyNumberFormat="1" applyFont="1" applyFill="1" applyBorder="1" applyAlignment="1">
      <s:alignment horizontal="center" vertical="top" mc:Ignorable="vyd"/>
    </s:xf>
    <s:xf numFmtId="162" fontId="3" fillId="10" borderId="0" xfId="0" applyNumberFormat="1" applyFont="1" applyFill="1" applyAlignment="1">
      <s:alignment vertical="center" mc:Ignorable="vyd"/>
    </s:xf>
    <s:xf numFmtId="0" fontId="25" fillId="10" borderId="0" xfId="0" applyFont="1" applyFill="1"/>
    <s:xf numFmtId="0" fontId="2" fillId="10" borderId="26" xfId="0" applyFont="1" applyFill="1" applyBorder="1" applyAlignment="1">
      <s:alignment horizontal="center" vertical="center" mc:Ignorable="vyd"/>
    </s:xf>
    <s:xf numFmtId="3" fontId="6" fillId="10" borderId="29" xfId="0" applyNumberFormat="1" applyFont="1" applyFill="1" applyBorder="1" applyAlignment="1">
      <s:alignment horizontal="center" vertical="top" mc:Ignorable="vyd"/>
    </s:xf>
    <s:xf numFmtId="0" fontId="23" fillId="10" borderId="26" xfId="0" applyFont="1" applyFill="1" applyBorder="1" applyAlignment="1">
      <s:alignment horizontal="center" vertical="center" mc:Ignorable="vyd"/>
    </s:xf>
    <s:xf numFmtId="0" fontId="23" fillId="0" borderId="26" xfId="0" applyFont="1" applyBorder="1" applyAlignment="1">
      <s:alignment horizontal="center" vertical="center" mc:Ignorable="vyd"/>
    </s:xf>
    <s:xf numFmtId="16" fontId="6" fillId="0" borderId="26" xfId="0" applyNumberFormat="1" applyFont="1" applyBorder="1" applyAlignment="1">
      <s:alignment horizontal="center" vertical="top" mc:Ignorable="vyd"/>
    </s:xf>
    <s:xf numFmtId="0" fontId="6" fillId="0" borderId="26" xfId="0" applyFont="1" applyBorder="1" applyAlignment="1">
      <s:alignment horizontal="center" vertical="top" mc:Ignorable="vyd"/>
    </s:xf>
    <s:xf numFmtId="4" fontId="6" fillId="0" borderId="22" xfId="0" applyNumberFormat="1" applyFont="1" applyBorder="1" applyAlignment="1">
      <s:alignment horizontal="center" vertical="top" mc:Ignorable="vyd"/>
    </s:xf>
    <s:xf numFmtId="0" fontId="6" fillId="0" borderId="22" xfId="0" applyFont="1" applyBorder="1" applyAlignment="1">
      <s:alignment horizontal="center" vertical="top" mc:Ignorable="vyd"/>
    </s:xf>
    <s:xf numFmtId="3" fontId="6" fillId="0" borderId="26" xfId="0" applyNumberFormat="1" applyFont="1" applyBorder="1" applyAlignment="1">
      <s:alignment horizontal="center" vertical="top" mc:Ignorable="vyd"/>
    </s:xf>
    <s:xf numFmtId="4" fontId="6" fillId="0" borderId="26" xfId="0" applyNumberFormat="1" applyFont="1" applyBorder="1" applyAlignment="1">
      <s:alignment horizontal="center" vertical="top" mc:Ignorable="vyd"/>
    </s:xf>
    <s:xf numFmtId="3" fontId="6" fillId="0" borderId="25" xfId="0" applyNumberFormat="1" applyFont="1" applyBorder="1" applyAlignment="1">
      <s:alignment horizontal="center" vertical="top" mc:Ignorable="vyd"/>
    </s:xf>
    <s:xf numFmtId="10" fontId="6" fillId="0" borderId="26" xfId="0" applyNumberFormat="1" applyFont="1" applyBorder="1" applyAlignment="1">
      <s:alignment horizontal="center" vertical="top" mc:Ignorable="vyd"/>
    </s:xf>
    <s:xf numFmtId="9" fontId="2" fillId="0" borderId="26" xfId="0" applyNumberFormat="1" applyFont="1" applyBorder="1" applyAlignment="1">
      <s:alignment horizontal="center" vertical="center" mc:Ignorable="vyd"/>
    </s:xf>
    <s:xf numFmtId="3" fontId="24" fillId="0" borderId="26" xfId="0" applyNumberFormat="1" applyFont="1" applyBorder="1" applyAlignment="1">
      <s:alignment horizontal="center" mc:Ignorable="vyd"/>
    </s:xf>
    <s:xf numFmtId="3" fontId="6" fillId="0" borderId="26" xfId="0" applyNumberFormat="1" applyFont="1" applyBorder="1" applyAlignment="1">
      <s:alignment horizontal="center" mc:Ignorable="vyd"/>
    </s:xf>
    <s:xf numFmtId="2" fontId="6" fillId="0" borderId="26" xfId="0" applyNumberFormat="1" applyFont="1" applyBorder="1" applyAlignment="1">
      <s:alignment horizontal="right" mc:Ignorable="vyd"/>
    </s:xf>
    <s:xf numFmtId="162" fontId="3" fillId="0" borderId="0" xfId="0" applyNumberFormat="1" applyFont="1"/>
    <s:xf numFmtId="0" fontId="23" fillId="0" borderId="19" xfId="0" applyFont="1" applyBorder="1" applyAlignment="1">
      <s:alignment horizontal="center" vertical="center" mc:Ignorable="vyd"/>
    </s:xf>
    <s:xf numFmtId="3" fontId="11" fillId="0" borderId="26" xfId="0" applyNumberFormat="1" applyFont="1" applyBorder="1" applyAlignment="1">
      <s:alignment horizontal="center" vertical="top" mc:Ignorable="vyd"/>
    </s:xf>
    <s:xf numFmtId="0" fontId="23" fillId="10" borderId="19" xfId="0" applyFont="1" applyFill="1" applyBorder="1" applyAlignment="1">
      <s:alignment horizontal="center" vertical="center" mc:Ignorable="vyd"/>
    </s:xf>
    <s:xf numFmtId="3" fontId="11" fillId="10" borderId="26" xfId="0" applyNumberFormat="1" applyFont="1" applyFill="1" applyBorder="1" applyAlignment="1">
      <s:alignment horizontal="center" vertical="top" mc:Ignorable="vyd"/>
    </s:xf>
    <s:xf numFmtId="0" fontId="6" fillId="0" borderId="38" xfId="0" applyFont="1" applyBorder="1" applyAlignment="1">
      <s:alignment horizontal="center" vertical="top" mc:Ignorable="vyd"/>
    </s:xf>
    <s:xf numFmtId="160" fontId="3" fillId="0" borderId="0" xfId="0" applyNumberFormat="1" applyFont="1"/>
    <s:xf numFmtId="0" fontId="6" fillId="0" borderId="27" xfId="0" applyFont="1" applyBorder="1" applyAlignment="1">
      <s:alignment horizontal="center" vertical="top" mc:Ignorable="vyd"/>
    </s:xf>
    <s:xf numFmtId="0" fontId="6" fillId="10" borderId="27" xfId="0" applyFont="1" applyFill="1" applyBorder="1" applyAlignment="1">
      <s:alignment horizontal="center" vertical="top" mc:Ignorable="vyd"/>
    </s:xf>
    <s:xf numFmtId="0" fontId="26" fillId="10" borderId="0" xfId="0" applyFont="1" applyFill="1"/>
    <s:xf numFmtId="0" fontId="27" fillId="10" borderId="19" xfId="0" applyFont="1" applyFill="1" applyBorder="1" applyAlignment="1">
      <s:alignment horizontal="center" vertical="center" mc:Ignorable="vyd"/>
    </s:xf>
    <s:xf numFmtId="16" fontId="28" fillId="10" borderId="26" xfId="0" applyNumberFormat="1" applyFont="1" applyFill="1" applyBorder="1" applyAlignment="1">
      <s:alignment horizontal="center" vertical="top" mc:Ignorable="vyd"/>
    </s:xf>
    <s:xf numFmtId="0" fontId="28" fillId="10" borderId="38" xfId="0" applyFont="1" applyFill="1" applyBorder="1" applyAlignment="1">
      <s:alignment horizontal="center" vertical="top" mc:Ignorable="vyd"/>
    </s:xf>
    <s:xf numFmtId="4" fontId="28" fillId="10" borderId="26" xfId="0" applyNumberFormat="1" applyFont="1" applyFill="1" applyBorder="1" applyAlignment="1">
      <s:alignment horizontal="center" vertical="top" mc:Ignorable="vyd"/>
    </s:xf>
    <s:xf numFmtId="3" fontId="28" fillId="10" borderId="22" xfId="0" applyNumberFormat="1" applyFont="1" applyFill="1" applyBorder="1" applyAlignment="1">
      <s:alignment horizontal="center" vertical="top" mc:Ignorable="vyd"/>
    </s:xf>
    <s:xf numFmtId="3" fontId="28" fillId="10" borderId="26" xfId="0" applyNumberFormat="1" applyFont="1" applyFill="1" applyBorder="1" applyAlignment="1">
      <s:alignment horizontal="center" vertical="top" mc:Ignorable="vyd"/>
    </s:xf>
    <s:xf numFmtId="3" fontId="28" fillId="10" borderId="25" xfId="0" applyNumberFormat="1" applyFont="1" applyFill="1" applyBorder="1" applyAlignment="1">
      <s:alignment horizontal="center" vertical="top" mc:Ignorable="vyd"/>
    </s:xf>
    <s:xf numFmtId="10" fontId="28" fillId="10" borderId="26" xfId="0" applyNumberFormat="1" applyFont="1" applyFill="1" applyBorder="1" applyAlignment="1">
      <s:alignment horizontal="center" vertical="top" mc:Ignorable="vyd"/>
    </s:xf>
    <s:xf numFmtId="9" fontId="29" fillId="10" borderId="26" xfId="0" applyNumberFormat="1" applyFont="1" applyFill="1" applyBorder="1" applyAlignment="1">
      <s:alignment horizontal="center" vertical="center" mc:Ignorable="vyd"/>
    </s:xf>
    <s:xf numFmtId="3" fontId="19" fillId="10" borderId="26" xfId="0" applyNumberFormat="1" applyFont="1" applyFill="1" applyBorder="1" applyAlignment="1">
      <s:alignment horizontal="center" mc:Ignorable="vyd"/>
    </s:xf>
    <s:xf numFmtId="3" fontId="28" fillId="10" borderId="26" xfId="0" applyNumberFormat="1" applyFont="1" applyFill="1" applyBorder="1" applyAlignment="1">
      <s:alignment horizontal="center" mc:Ignorable="vyd"/>
    </s:xf>
    <s:xf numFmtId="2" fontId="28" fillId="10" borderId="26" xfId="0" applyNumberFormat="1" applyFont="1" applyFill="1" applyBorder="1" applyAlignment="1">
      <s:alignment horizontal="right" mc:Ignorable="vyd"/>
    </s:xf>
    <s:xf numFmtId="162" fontId="30" fillId="10" borderId="0" xfId="0" applyNumberFormat="1" applyFont="1" applyFill="1"/>
    <s:xf numFmtId="160" fontId="30" fillId="10" borderId="0" xfId="0" applyNumberFormat="1" applyFont="1" applyFill="1"/>
    <s:xf numFmtId="0" fontId="30" fillId="10" borderId="0" xfId="0" applyFont="1" applyFill="1"/>
    <s:xf numFmtId="160" fontId="3" fillId="10" borderId="0" xfId="0" applyNumberFormat="1" applyFont="1" applyFill="1"/>
    <s:xf numFmtId="3" fontId="6" fillId="0" borderId="0" xfId="0" applyNumberFormat="1" applyFont="1" applyAlignment="1">
      <s:alignment horizontal="center" vertical="top" mc:Ignorable="vyd"/>
    </s:xf>
    <s:xf numFmtId="3" fontId="6" fillId="0" borderId="19" xfId="0" applyNumberFormat="1" applyFont="1" applyBorder="1" applyAlignment="1">
      <s:alignment horizontal="center" vertical="top" mc:Ignorable="vyd"/>
    </s:xf>
    <s:xf numFmtId="0" fontId="6" fillId="10" borderId="38" xfId="0" applyFont="1" applyFill="1" applyBorder="1" applyAlignment="1">
      <s:alignment horizontal="center" vertical="top" mc:Ignorable="vyd"/>
    </s:xf>
    <s:xf numFmtId="0" fontId="11" fillId="10" borderId="26" xfId="0" applyFont="1" applyFill="1" applyBorder="1" applyAlignment="1">
      <s:alignment horizontal="center" vertical="top" mc:Ignorable="vyd"/>
    </s:xf>
    <s:xf numFmtId="162" fontId="6" fillId="11" borderId="26" xfId="0" applyNumberFormat="1" applyFont="1" applyFill="1" applyBorder="1" applyAlignment="1">
      <s:alignment horizontal="center" vertical="top" mc:Ignorable="vyd"/>
    </s:xf>
    <s:xf numFmtId="162" fontId="2" fillId="10" borderId="26" xfId="0" applyNumberFormat="1" applyFont="1" applyFill="1" applyBorder="1" applyAlignment="1">
      <s:alignment horizontal="center" vertical="center" mc:Ignorable="vyd"/>
    </s:xf>
    <s:xf numFmtId="3" fontId="6" fillId="10" borderId="26" xfId="0" applyNumberFormat="1" applyFont="1" applyFill="1" applyBorder="1" applyAlignment="1">
      <s:alignment horizontal="right" mc:Ignorable="vyd"/>
    </s:xf>
    <s:xf numFmtId="0" fontId="6" fillId="0" borderId="0" xfId="0" applyFont="1" applyAlignment="1">
      <s:alignment horizontal="center" vertical="top" mc:Ignorable="vyd"/>
    </s:xf>
    <s:xf numFmtId="0" fontId="6" fillId="0" borderId="0" xfId="0" applyFont="1"/>
    <s:xf numFmtId="3" fontId="31" fillId="0" borderId="0" xfId="0" applyNumberFormat="1" applyFont="1"/>
    <s:xf numFmtId="162" fontId="6" fillId="0" borderId="0" xfId="1" applyNumberFormat="1" applyFont="1" applyProtection="1"/>
    <s:xf numFmtId="0" fontId="6" fillId="0" borderId="0" xfId="0" applyFont="1" applyAlignment="1">
      <s:alignment vertical="top" mc:Ignorable="vyd"/>
    </s:xf>
    <s:xf numFmtId="162" fontId="6" fillId="0" borderId="0" xfId="0" applyNumberFormat="1" applyFont="1" applyAlignment="1">
      <s:alignment vertical="top" mc:Ignorable="vyd"/>
    </s:xf>
    <s:xf numFmtId="3" fontId="6" fillId="0" borderId="0" xfId="0" applyNumberFormat="1" applyFont="1"/>
    <s:xf numFmtId="9" fontId="31" fillId="0" borderId="0" xfId="1" applyNumberFormat="1" applyFont="1" applyProtection="1"/>
    <s:xf numFmtId="4" fontId="2" fillId="0" borderId="0" xfId="0" applyNumberFormat="1" applyFont="1"/>
    <s:xf numFmtId="3" fontId="2" fillId="0" borderId="0" xfId="0" applyNumberFormat="1" applyFont="1"/>
    <s:xf numFmtId="10" fontId="0" fillId="0" borderId="0" xfId="1" applyNumberFormat="1"/>
    <s:xf numFmtId="1" fontId="2" fillId="0" borderId="0" xfId="0" applyNumberFormat="1" applyFont="1"/>
    <s:xf numFmtId="0" fontId="2" fillId="0" borderId="0" xfId="0" applyFont="1" applyAlignment="1">
      <s:alignment wrapText="1" mc:Ignorable="vyd"/>
    </s:xf>
    <s:xf numFmtId="0" fontId="32" fillId="0" borderId="0" xfId="0" applyFont="1"/>
    <s:xf numFmtId="0" fontId="33" fillId="10" borderId="1" xfId="0" applyFont="1" applyFill="1" applyBorder="1" applyAlignment="1">
      <s:alignment horizontal="center" vertical="center" mc:Ignorable="vyd"/>
    </s:xf>
    <s:xf numFmtId="0" fontId="33" fillId="10" borderId="2" xfId="0" applyFont="1" applyFill="1" applyBorder="1" applyAlignment="1">
      <s:alignment horizontal="center" vertical="center" mc:Ignorable="vyd"/>
    </s:xf>
    <s:xf numFmtId="0" fontId="33" fillId="10" borderId="3" xfId="0" applyFont="1" applyFill="1" applyBorder="1" applyAlignment="1">
      <s:alignment horizontal="center" vertical="center" mc:Ignorable="vyd"/>
    </s:xf>
    <s:xf numFmtId="0" fontId="33" fillId="10" borderId="7" xfId="0" applyFont="1" applyFill="1" applyBorder="1" applyAlignment="1">
      <s:alignment horizontal="center" vertical="center" mc:Ignorable="vyd"/>
    </s:xf>
    <s:xf numFmtId="0" fontId="33" fillId="10" borderId="8" xfId="0" applyFont="1" applyFill="1" applyBorder="1" applyAlignment="1">
      <s:alignment horizontal="center" vertical="center" mc:Ignorable="vyd"/>
    </s:xf>
    <s:xf numFmtId="0" fontId="33" fillId="10" borderId="9" xfId="0" applyFont="1" applyFill="1" applyBorder="1" applyAlignment="1">
      <s:alignment horizontal="center" vertical="center" mc:Ignorable="vyd"/>
    </s:xf>
    <s:xf numFmtId="0" fontId="33" fillId="0" borderId="0" xfId="0" applyFont="1" applyAlignment="1">
      <s:alignment horizontal="center" vertical="center" mc:Ignorable="vyd"/>
    </s:xf>
    <s:xf numFmtId="0" fontId="33" fillId="0" borderId="42" xfId="0" applyFont="1" applyBorder="1" applyAlignment="1">
      <s:alignment horizontal="center" vertical="center" mc:Ignorable="vyd"/>
    </s:xf>
    <s:xf numFmtId="16" fontId="33" fillId="0" borderId="43" xfId="0" applyNumberFormat="1" applyFont="1" applyBorder="1" applyAlignment="1">
      <s:alignment horizontal="center" vertical="center" mc:Ignorable="vyd"/>
    </s:xf>
    <s:xf numFmtId="16" fontId="33" fillId="0" borderId="44" xfId="0" applyNumberFormat="1" applyFont="1" applyBorder="1" applyAlignment="1">
      <s:alignment horizontal="center" vertical="center" mc:Ignorable="vyd"/>
    </s:xf>
    <s:xf numFmtId="0" fontId="34" fillId="0" borderId="13" xfId="0" applyFont="1" applyBorder="1" applyAlignment="1">
      <s:alignment horizontal="left" vertical="center" wrapText="1" mc:Ignorable="vyd"/>
    </s:xf>
    <s:xf numFmtId="9" fontId="34" fillId="0" borderId="15" xfId="0" applyNumberFormat="1" applyFont="1" applyBorder="1" applyAlignment="1">
      <s:alignment horizontal="center" vertical="center" wrapText="1" mc:Ignorable="vyd"/>
    </s:xf>
    <s:xf numFmtId="9" fontId="34" fillId="12" borderId="15" xfId="0" applyNumberFormat="1" applyFont="1" applyFill="1" applyBorder="1" applyAlignment="1">
      <s:alignment horizontal="center" vertical="center" wrapText="1" mc:Ignorable="vyd"/>
    </s:xf>
    <s:xf numFmtId="9" fontId="34" fillId="0" borderId="16" xfId="0" applyNumberFormat="1" applyFont="1" applyBorder="1" applyAlignment="1">
      <s:alignment horizontal="center" vertical="center" wrapText="1" mc:Ignorable="vyd"/>
    </s:xf>
    <s:xf numFmtId="10" fontId="34" fillId="0" borderId="45" xfId="0" applyNumberFormat="1" applyFont="1" applyBorder="1" applyAlignment="1">
      <s:alignment horizontal="center" vertical="center" wrapText="1" mc:Ignorable="vyd"/>
    </s:xf>
    <s:xf numFmtId="0" fontId="34" fillId="0" borderId="21" xfId="0" applyFont="1" applyBorder="1" applyAlignment="1">
      <s:alignment horizontal="left" vertical="center" wrapText="1" mc:Ignorable="vyd"/>
    </s:xf>
    <s:xf numFmtId="9" fontId="34" fillId="0" borderId="46" xfId="0" applyNumberFormat="1" applyFont="1" applyBorder="1" applyAlignment="1">
      <s:alignment horizontal="center" vertical="center" wrapText="1" mc:Ignorable="vyd"/>
    </s:xf>
    <s:xf numFmtId="9" fontId="34" fillId="0" borderId="19" xfId="0" applyNumberFormat="1" applyFont="1" applyBorder="1" applyAlignment="1">
      <s:alignment horizontal="center" vertical="center" wrapText="1" mc:Ignorable="vyd"/>
    </s:xf>
    <s:xf numFmtId="9" fontId="34" fillId="12" borderId="19" xfId="0" applyNumberFormat="1" applyFont="1" applyFill="1" applyBorder="1" applyAlignment="1">
      <s:alignment horizontal="center" vertical="center" wrapText="1" mc:Ignorable="vyd"/>
    </s:xf>
    <s:xf numFmtId="9" fontId="34" fillId="0" borderId="23" xfId="0" applyNumberFormat="1" applyFont="1" applyBorder="1" applyAlignment="1">
      <s:alignment horizontal="center" vertical="center" wrapText="1" mc:Ignorable="vyd"/>
    </s:xf>
    <s:xf numFmtId="10" fontId="34" fillId="0" borderId="47" xfId="0" applyNumberFormat="1" applyFont="1" applyBorder="1" applyAlignment="1">
      <s:alignment horizontal="center" vertical="center" wrapText="1" mc:Ignorable="vyd"/>
    </s:xf>
    <s:xf numFmtId="9" fontId="34" fillId="9" borderId="19" xfId="0" applyNumberFormat="1" applyFont="1" applyFill="1" applyBorder="1" applyAlignment="1">
      <s:alignment horizontal="center" vertical="center" wrapText="1" mc:Ignorable="vyd"/>
    </s:xf>
    <s:xf numFmtId="9" fontId="34" fillId="12" borderId="26" xfId="0" applyNumberFormat="1" applyFont="1" applyFill="1" applyBorder="1" applyAlignment="1">
      <s:alignment horizontal="center" vertical="center" wrapText="1" mc:Ignorable="vyd"/>
    </s:xf>
    <s:xf numFmtId="9" fontId="34" fillId="12" borderId="23" xfId="0" applyNumberFormat="1" applyFont="1" applyFill="1" applyBorder="1" applyAlignment="1">
      <s:alignment horizontal="center" vertical="center" wrapText="1" mc:Ignorable="vyd"/>
    </s:xf>
    <s:xf numFmtId="0" fontId="34" fillId="0" borderId="48" xfId="0" applyFont="1" applyBorder="1" applyAlignment="1">
      <s:alignment horizontal="left" vertical="center" wrapText="1" mc:Ignorable="vyd"/>
    </s:xf>
    <s:xf numFmtId="9" fontId="34" fillId="0" borderId="49" xfId="0" applyNumberFormat="1" applyFont="1" applyBorder="1" applyAlignment="1">
      <s:alignment horizontal="center" vertical="center" wrapText="1" mc:Ignorable="vyd"/>
    </s:xf>
    <s:xf numFmtId="9" fontId="34" fillId="0" borderId="0" xfId="0" applyNumberFormat="1" applyFont="1" applyAlignment="1">
      <s:alignment horizontal="center" vertical="center" wrapText="1" mc:Ignorable="vyd"/>
    </s:xf>
    <s:xf numFmtId="9" fontId="34" fillId="0" borderId="50" xfId="0" applyNumberFormat="1" applyFont="1" applyBorder="1" applyAlignment="1">
      <s:alignment horizontal="center" vertical="center" wrapText="1" mc:Ignorable="vyd"/>
    </s:xf>
    <s:xf numFmtId="0" fontId="34" fillId="0" borderId="33" xfId="0" applyFont="1" applyBorder="1" applyAlignment="1">
      <s:alignment horizontal="left" vertical="center" wrapText="1" mc:Ignorable="vyd"/>
    </s:xf>
    <s:xf numFmtId="9" fontId="34" fillId="0" borderId="35" xfId="0" applyNumberFormat="1" applyFont="1" applyBorder="1" applyAlignment="1">
      <s:alignment horizontal="center" vertical="center" wrapText="1" mc:Ignorable="vyd"/>
    </s:xf>
    <s:xf numFmtId="9" fontId="34" fillId="12" borderId="35" xfId="0" applyNumberFormat="1" applyFont="1" applyFill="1" applyBorder="1" applyAlignment="1">
      <s:alignment horizontal="center" vertical="center" wrapText="1" mc:Ignorable="vyd"/>
    </s:xf>
    <s:xf numFmtId="9" fontId="34" fillId="0" borderId="37" xfId="0" applyNumberFormat="1" applyFont="1" applyBorder="1" applyAlignment="1">
      <s:alignment horizontal="center" vertical="center" wrapText="1" mc:Ignorable="vyd"/>
    </s:xf>
    <s:xf numFmtId="0" fontId="34" fillId="0" borderId="0" xfId="0" applyFont="1" applyAlignment="1">
      <s:alignment horizontal="left" vertical="center" wrapText="1" mc:Ignorable="vyd"/>
    </s:xf>
    <s:xf numFmtId="1" fontId="34" fillId="0" borderId="0" xfId="0" applyNumberFormat="1" applyFont="1" applyAlignment="1">
      <s:alignment horizontal="center" vertical="center" wrapText="1" mc:Ignorable="vyd"/>
    </s:xf>
    <s:xf numFmtId="0" fontId="34" fillId="0" borderId="15" xfId="0" applyFont="1" applyBorder="1" applyAlignment="1">
      <s:alignment horizontal="center" vertical="center" wrapText="1" mc:Ignorable="vyd"/>
    </s:xf>
    <s:xf numFmtId="0" fontId="34" fillId="12" borderId="15" xfId="0" applyFont="1" applyFill="1" applyBorder="1" applyAlignment="1">
      <s:alignment horizontal="center" vertical="center" wrapText="1" mc:Ignorable="vyd"/>
    </s:xf>
    <s:xf numFmtId="9" fontId="34" fillId="0" borderId="51" xfId="0" applyNumberFormat="1" applyFont="1" applyBorder="1" applyAlignment="1">
      <s:alignment horizontal="center" vertical="center" wrapText="1" mc:Ignorable="vyd"/>
    </s:xf>
    <s:xf numFmtId="1" fontId="34" fillId="9" borderId="13" xfId="0" applyNumberFormat="1" applyFont="1" applyFill="1" applyBorder="1" applyAlignment="1">
      <s:alignment horizontal="center" vertical="center" wrapText="1" mc:Ignorable="vyd"/>
    </s:xf>
    <s:xf numFmtId="1" fontId="34" fillId="0" borderId="46" xfId="0" applyNumberFormat="1" applyFont="1" applyBorder="1" applyAlignment="1">
      <s:alignment horizontal="center" vertical="center" wrapText="1" mc:Ignorable="vyd"/>
    </s:xf>
    <s:xf numFmtId="1" fontId="34" fillId="0" borderId="19" xfId="0" applyNumberFormat="1" applyFont="1" applyBorder="1" applyAlignment="1">
      <s:alignment horizontal="center" vertical="center" wrapText="1" mc:Ignorable="vyd"/>
    </s:xf>
    <s:xf numFmtId="1" fontId="34" fillId="12" borderId="19" xfId="0" applyNumberFormat="1" applyFont="1" applyFill="1" applyBorder="1" applyAlignment="1">
      <s:alignment horizontal="center" vertical="center" wrapText="1" mc:Ignorable="vyd"/>
    </s:xf>
    <s:xf numFmtId="1" fontId="34" fillId="0" borderId="23" xfId="0" applyNumberFormat="1" applyFont="1" applyBorder="1" applyAlignment="1">
      <s:alignment horizontal="center" vertical="center" wrapText="1" mc:Ignorable="vyd"/>
    </s:xf>
    <s:xf numFmtId="1" fontId="34" fillId="9" borderId="21" xfId="0" applyNumberFormat="1" applyFont="1" applyFill="1" applyBorder="1" applyAlignment="1">
      <s:alignment horizontal="center" vertical="center" wrapText="1" mc:Ignorable="vyd"/>
    </s:xf>
    <s:xf numFmtId="1" fontId="34" fillId="12" borderId="24" xfId="0" applyNumberFormat="1" applyFont="1" applyFill="1" applyBorder="1" applyAlignment="1">
      <s:alignment horizontal="center" vertical="center" wrapText="1" mc:Ignorable="vyd"/>
    </s:xf>
    <s:xf numFmtId="1" fontId="34" fillId="0" borderId="49" xfId="0" applyNumberFormat="1" applyFont="1" applyBorder="1" applyAlignment="1">
      <s:alignment horizontal="center" vertical="center" wrapText="1" mc:Ignorable="vyd"/>
    </s:xf>
    <s:xf numFmtId="1" fontId="34" fillId="0" borderId="50" xfId="0" applyNumberFormat="1" applyFont="1" applyBorder="1" applyAlignment="1">
      <s:alignment horizontal="center" vertical="center" wrapText="1" mc:Ignorable="vyd"/>
    </s:xf>
    <s:xf numFmtId="1" fontId="34" fillId="0" borderId="24" xfId="0" applyNumberFormat="1" applyFont="1" applyBorder="1" applyAlignment="1">
      <s:alignment horizontal="center" vertical="center" wrapText="1" mc:Ignorable="vyd"/>
    </s:xf>
    <s:xf numFmtId="1" fontId="34" fillId="0" borderId="35" xfId="0" applyNumberFormat="1" applyFont="1" applyBorder="1" applyAlignment="1">
      <s:alignment horizontal="center" vertical="center" wrapText="1" mc:Ignorable="vyd"/>
    </s:xf>
    <s:xf numFmtId="1" fontId="34" fillId="12" borderId="35" xfId="0" applyNumberFormat="1" applyFont="1" applyFill="1" applyBorder="1" applyAlignment="1">
      <s:alignment horizontal="center" vertical="center" wrapText="1" mc:Ignorable="vyd"/>
    </s:xf>
    <s:xf numFmtId="1" fontId="34" fillId="0" borderId="37" xfId="0" applyNumberFormat="1" applyFont="1" applyBorder="1" applyAlignment="1">
      <s:alignment horizontal="center" vertical="center" wrapText="1" mc:Ignorable="vyd"/>
    </s:xf>
    <s:xf numFmtId="1" fontId="34" fillId="9" borderId="47" xfId="0" applyNumberFormat="1" applyFont="1" applyFill="1" applyBorder="1" applyAlignment="1">
      <s:alignment horizontal="center" vertical="center" wrapText="1" mc:Ignorable="vyd"/>
    </s:xf>
    <s:xf numFmtId="0" fontId="31" fillId="0" borderId="0" xfId="0" applyFont="1"/>
    <s:xf numFmtId="0" fontId="16" fillId="13" borderId="10" xfId="0" applyFont="1" applyFill="1" applyBorder="1" applyAlignment="1">
      <s:alignment horizontal="center" vertical="center" mc:Ignorable="vyd"/>
    </s:xf>
    <s:xf numFmtId="0" fontId="16" fillId="13" borderId="11" xfId="0" applyFont="1" applyFill="1" applyBorder="1" applyAlignment="1">
      <s:alignment horizontal="center" vertical="center" mc:Ignorable="vyd"/>
    </s:xf>
    <s:xf numFmtId="0" fontId="16" fillId="13" borderId="12" xfId="0" applyFont="1" applyFill="1" applyBorder="1" applyAlignment="1">
      <s:alignment horizontal="center" vertical="center" mc:Ignorable="vyd"/>
    </s:xf>
    <s:xf numFmtId="0" fontId="11" fillId="13" borderId="1" xfId="0" applyFont="1" applyFill="1" applyBorder="1" applyAlignment="1">
      <s:alignment horizontal="center" vertical="center" wrapText="1" mc:Ignorable="vyd"/>
    </s:xf>
    <s:xf numFmtId="0" fontId="11" fillId="13" borderId="2" xfId="0" applyFont="1" applyFill="1" applyBorder="1" applyAlignment="1">
      <s:alignment horizontal="center" vertical="center" wrapText="1" mc:Ignorable="vyd"/>
    </s:xf>
    <s:xf numFmtId="0" fontId="11" fillId="13" borderId="3" xfId="0" applyFont="1" applyFill="1" applyBorder="1" applyAlignment="1">
      <s:alignment horizontal="center" vertical="center" wrapText="1" mc:Ignorable="vyd"/>
    </s:xf>
    <s:xf numFmtId="3" fontId="11" fillId="13" borderId="10" xfId="0" applyNumberFormat="1" applyFont="1" applyFill="1" applyBorder="1" applyAlignment="1">
      <s:alignment horizontal="center" vertical="center" mc:Ignorable="vyd"/>
    </s:xf>
    <s:xf numFmtId="3" fontId="11" fillId="13" borderId="11" xfId="0" applyNumberFormat="1" applyFont="1" applyFill="1" applyBorder="1" applyAlignment="1">
      <s:alignment horizontal="center" vertical="center" mc:Ignorable="vyd"/>
    </s:xf>
    <s:xf numFmtId="3" fontId="11" fillId="13" borderId="10" xfId="0" applyNumberFormat="1" applyFont="1" applyFill="1" applyBorder="1" applyAlignment="1">
      <s:alignment horizontal="center" vertical="center" wrapText="1" mc:Ignorable="vyd"/>
    </s:xf>
    <s:xf numFmtId="3" fontId="11" fillId="13" borderId="11" xfId="0" applyNumberFormat="1" applyFont="1" applyFill="1" applyBorder="1" applyAlignment="1">
      <s:alignment horizontal="center" vertical="center" wrapText="1" mc:Ignorable="vyd"/>
    </s:xf>
    <s:xf numFmtId="3" fontId="11" fillId="13" borderId="52" xfId="0" applyNumberFormat="1" applyFont="1" applyFill="1" applyBorder="1" applyAlignment="1">
      <s:alignment horizontal="center" vertical="center" wrapText="1" mc:Ignorable="vyd"/>
    </s:xf>
    <s:xf numFmtId="3" fontId="11" fillId="13" borderId="51" xfId="0" applyNumberFormat="1" applyFont="1" applyFill="1" applyBorder="1" applyAlignment="1">
      <s:alignment horizontal="center" vertical="center" wrapText="1" mc:Ignorable="vyd"/>
    </s:xf>
    <s:xf numFmtId="3" fontId="11" fillId="13" borderId="12" xfId="0" applyNumberFormat="1" applyFont="1" applyFill="1" applyBorder="1" applyAlignment="1">
      <s:alignment horizontal="center" vertical="center" wrapText="1" mc:Ignorable="vyd"/>
    </s:xf>
    <s:xf numFmtId="0" fontId="11" fillId="13" borderId="7" xfId="0" applyFont="1" applyFill="1" applyBorder="1" applyAlignment="1">
      <s:alignment horizontal="center" vertical="center" wrapText="1" mc:Ignorable="vyd"/>
    </s:xf>
    <s:xf numFmtId="0" fontId="11" fillId="13" borderId="8" xfId="0" applyFont="1" applyFill="1" applyBorder="1" applyAlignment="1">
      <s:alignment horizontal="center" vertical="center" wrapText="1" mc:Ignorable="vyd"/>
    </s:xf>
    <s:xf numFmtId="0" fontId="11" fillId="13" borderId="9" xfId="0" applyFont="1" applyFill="1" applyBorder="1" applyAlignment="1">
      <s:alignment horizontal="center" vertical="center" wrapText="1" mc:Ignorable="vyd"/>
    </s:xf>
    <s:xf numFmtId="3" fontId="11" fillId="13" borderId="7" xfId="0" applyNumberFormat="1" applyFont="1" applyFill="1" applyBorder="1" applyAlignment="1">
      <s:alignment horizontal="center" vertical="center" mc:Ignorable="vyd"/>
    </s:xf>
    <s:xf numFmtId="3" fontId="11" fillId="13" borderId="53" xfId="0" applyNumberFormat="1" applyFont="1" applyFill="1" applyBorder="1" applyAlignment="1">
      <s:alignment horizontal="center" vertical="center" mc:Ignorable="vyd"/>
    </s:xf>
    <s:xf numFmtId="3" fontId="11" fillId="13" borderId="54" xfId="0" applyNumberFormat="1" applyFont="1" applyFill="1" applyBorder="1" applyAlignment="1">
      <s:alignment horizontal="center" vertical="center" mc:Ignorable="vyd"/>
    </s:xf>
    <s:xf numFmtId="3" fontId="11" fillId="13" borderId="55" xfId="0" applyNumberFormat="1" applyFont="1" applyFill="1" applyBorder="1" applyAlignment="1">
      <s:alignment horizontal="center" vertical="center" wrapText="1" mc:Ignorable="vyd"/>
    </s:xf>
    <s:xf numFmtId="3" fontId="11" fillId="13" borderId="56" xfId="0" applyNumberFormat="1" applyFont="1" applyFill="1" applyBorder="1" applyAlignment="1">
      <s:alignment horizontal="center" vertical="center" wrapText="1" mc:Ignorable="vyd"/>
    </s:xf>
    <s:xf numFmtId="3" fontId="11" fillId="13" borderId="57" xfId="0" applyNumberFormat="1" applyFont="1" applyFill="1" applyBorder="1" applyAlignment="1">
      <s:alignment horizontal="center" vertical="center" mc:Ignorable="vyd"/>
    </s:xf>
    <s:xf numFmtId="0" fontId="11" fillId="13" borderId="50" xfId="0" applyFont="1" applyFill="1" applyBorder="1" applyAlignment="1">
      <s:alignment horizontal="center" vertical="center" wrapText="1" mc:Ignorable="vyd"/>
    </s:xf>
    <s:xf numFmtId="3" fontId="11" fillId="13" borderId="14" xfId="0" applyNumberFormat="1" applyFont="1" applyFill="1" applyBorder="1" applyAlignment="1">
      <s:alignment horizontal="center" vertical="center" wrapText="1" mc:Ignorable="vyd"/>
    </s:xf>
    <s:xf numFmtId="0" fontId="15" fillId="0" borderId="21" xfId="0" applyFont="1" applyBorder="1" applyAlignment="1">
      <s:alignment horizontal="left" vertical="center" mc:Ignorable="vyd"/>
    </s:xf>
    <s:xf numFmtId="10" fontId="27" fillId="0" borderId="58" xfId="0" applyNumberFormat="1" applyFont="1" applyBorder="1" applyAlignment="1">
      <s:alignment horizontal="center" vertical="center" mc:Ignorable="vyd"/>
    </s:xf>
    <s:xf numFmtId="163" fontId="27" fillId="0" borderId="59" xfId="0" applyNumberFormat="1" applyFont="1" applyBorder="1" applyAlignment="1">
      <s:alignment horizontal="center" vertical="center" mc:Ignorable="vyd"/>
    </s:xf>
    <s:xf numFmtId="10" fontId="27" fillId="0" borderId="60" xfId="0" applyNumberFormat="1" applyFont="1" applyBorder="1" applyAlignment="1">
      <s:alignment horizontal="center" vertical="center" mc:Ignorable="vyd"/>
    </s:xf>
    <s:xf numFmtId="10" fontId="28" fillId="0" borderId="58" xfId="1" applyNumberFormat="1" applyFont="1" applyBorder="1" applyAlignment="1" applyProtection="1">
      <s:alignment horizontal="center" vertical="center" mc:Ignorable="vyd"/>
    </s:xf>
    <s:xf numFmtId="163" fontId="28" fillId="0" borderId="61" xfId="1" applyNumberFormat="1" applyFont="1" applyBorder="1" applyAlignment="1" applyProtection="1">
      <s:alignment horizontal="center" vertical="center" mc:Ignorable="vyd"/>
    </s:xf>
    <s:xf numFmtId="10" fontId="6" fillId="0" borderId="62" xfId="0" applyNumberFormat="1" applyFont="1" applyBorder="1" applyAlignment="1">
      <s:alignment horizontal="center" vertical="center" mc:Ignorable="vyd"/>
    </s:xf>
    <s:xf numFmtId="10" fontId="27" fillId="0" borderId="63" xfId="0" applyNumberFormat="1" applyFont="1" applyBorder="1" applyAlignment="1">
      <s:alignment horizontal="center" vertical="center" mc:Ignorable="vyd"/>
    </s:xf>
    <s:xf numFmtId="1" fontId="27" fillId="0" borderId="38" xfId="0" applyNumberFormat="1" applyFont="1" applyBorder="1" applyAlignment="1">
      <s:alignment horizontal="center" vertical="center" mc:Ignorable="vyd"/>
    </s:xf>
    <s:xf numFmtId="10" fontId="28" fillId="0" borderId="27" xfId="0" applyNumberFormat="1" applyFont="1" applyBorder="1" applyAlignment="1">
      <s:alignment horizontal="center" vertical="center" mc:Ignorable="vyd"/>
    </s:xf>
    <s:xf numFmtId="10" fontId="28" fillId="0" borderId="63" xfId="1" applyNumberFormat="1" applyFont="1" applyBorder="1" applyAlignment="1" applyProtection="1">
      <s:alignment horizontal="center" vertical="center" mc:Ignorable="vyd"/>
    </s:xf>
    <s:xf numFmtId="1" fontId="28" fillId="0" borderId="26" xfId="1" applyNumberFormat="1" applyFont="1" applyBorder="1" applyAlignment="1" applyProtection="1">
      <s:alignment horizontal="center" vertical="center" mc:Ignorable="vyd"/>
    </s:xf>
    <s:xf numFmtId="10" fontId="27" fillId="0" borderId="27" xfId="0" applyNumberFormat="1" applyFont="1" applyBorder="1" applyAlignment="1">
      <s:alignment horizontal="center" vertical="center" mc:Ignorable="vyd"/>
    </s:xf>
    <s:xf numFmtId="10" fontId="6" fillId="0" borderId="28" xfId="0" applyNumberFormat="1" applyFont="1" applyBorder="1" applyAlignment="1">
      <s:alignment horizontal="center" vertical="center" mc:Ignorable="vyd"/>
    </s:xf>
    <s:xf numFmtId="163" fontId="27" fillId="0" borderId="38" xfId="0" applyNumberFormat="1" applyFont="1" applyBorder="1" applyAlignment="1">
      <s:alignment horizontal="center" vertical="center" mc:Ignorable="vyd"/>
    </s:xf>
    <s:xf numFmtId="163" fontId="28" fillId="0" borderId="26" xfId="1" applyNumberFormat="1" applyFont="1" applyBorder="1" applyAlignment="1" applyProtection="1">
      <s:alignment horizontal="center" vertical="center" mc:Ignorable="vyd"/>
    </s:xf>
    <s:xf numFmtId="2" fontId="27" fillId="0" borderId="38" xfId="0" applyNumberFormat="1" applyFont="1" applyBorder="1" applyAlignment="1">
      <s:alignment horizontal="center" vertical="center" mc:Ignorable="vyd"/>
    </s:xf>
    <s:xf numFmtId="2" fontId="28" fillId="0" borderId="26" xfId="1" applyNumberFormat="1" applyFont="1" applyBorder="1" applyAlignment="1" applyProtection="1">
      <s:alignment horizontal="center" vertical="center" mc:Ignorable="vyd"/>
    </s:xf>
    <s:xf numFmtId="0" fontId="6" fillId="0" borderId="32" xfId="0" applyFont="1" applyBorder="1" applyAlignment="1">
      <s:alignment horizontal="left" vertical="center" mc:Ignorable="vyd"/>
    </s:xf>
    <s:xf numFmtId="10" fontId="27" fillId="0" borderId="64" xfId="0" applyNumberFormat="1" applyFont="1" applyBorder="1" applyAlignment="1">
      <s:alignment horizontal="center" vertical="center" mc:Ignorable="vyd"/>
    </s:xf>
    <s:xf numFmtId="163" fontId="27" fillId="0" borderId="65" xfId="0" applyNumberFormat="1" applyFont="1" applyBorder="1" applyAlignment="1">
      <s:alignment horizontal="center" vertical="center" mc:Ignorable="vyd"/>
    </s:xf>
    <s:xf numFmtId="10" fontId="28" fillId="0" borderId="31" xfId="0" applyNumberFormat="1" applyFont="1" applyBorder="1" applyAlignment="1">
      <s:alignment horizontal="center" vertical="center" mc:Ignorable="vyd"/>
    </s:xf>
    <s:xf numFmtId="10" fontId="28" fillId="0" borderId="66" xfId="1" applyNumberFormat="1" applyFont="1" applyBorder="1" applyAlignment="1" applyProtection="1">
      <s:alignment horizontal="center" vertical="center" mc:Ignorable="vyd"/>
    </s:xf>
    <s:xf numFmtId="163" fontId="28" fillId="0" borderId="35" xfId="1" applyNumberFormat="1" applyFont="1" applyBorder="1" applyAlignment="1" applyProtection="1">
      <s:alignment horizontal="center" vertical="center" mc:Ignorable="vyd"/>
    </s:xf>
    <s:xf numFmtId="10" fontId="27" fillId="0" borderId="36" xfId="0" applyNumberFormat="1" applyFont="1" applyBorder="1" applyAlignment="1">
      <s:alignment horizontal="center" vertical="center" mc:Ignorable="vyd"/>
    </s:xf>
    <s:xf numFmtId="10" fontId="6" fillId="0" borderId="37" xfId="0" applyNumberFormat="1" applyFont="1" applyBorder="1" applyAlignment="1">
      <s:alignment horizontal="center" vertical="center" mc:Ignorable="vyd"/>
    </s:xf>
    <s:xf numFmtId="0" fontId="6" fillId="0" borderId="13" xfId="0" applyFont="1" applyBorder="1" applyAlignment="1">
      <s:alignment horizontal="left" vertical="center" mc:Ignorable="vyd"/>
    </s:xf>
    <s:xf numFmtId="164" fontId="27" fillId="0" borderId="10" xfId="0" applyNumberFormat="1" applyFont="1" applyBorder="1" applyAlignment="1">
      <s:alignment horizontal="center" vertical="center" mc:Ignorable="vyd"/>
    </s:xf>
    <s:xf numFmtId="164" fontId="27" fillId="0" borderId="11" xfId="0" applyNumberFormat="1" applyFont="1" applyBorder="1" applyAlignment="1">
      <s:alignment horizontal="center" vertical="center" mc:Ignorable="vyd"/>
    </s:xf>
    <s:xf numFmtId="164" fontId="27" fillId="0" borderId="12" xfId="0" applyNumberFormat="1" applyFont="1" applyBorder="1" applyAlignment="1">
      <s:alignment horizontal="center" vertical="center" mc:Ignorable="vyd"/>
    </s:xf>
    <s:xf numFmtId="164" fontId="28" fillId="0" borderId="7" xfId="1" applyNumberFormat="1" applyFont="1" applyBorder="1" applyAlignment="1" applyProtection="1">
      <s:alignment horizontal="center" vertical="center" mc:Ignorable="vyd"/>
    </s:xf>
    <s:xf numFmtId="164" fontId="28" fillId="0" borderId="8" xfId="1" applyNumberFormat="1" applyFont="1" applyBorder="1" applyAlignment="1" applyProtection="1">
      <s:alignment horizontal="center" vertical="center" mc:Ignorable="vyd"/>
    </s:xf>
    <s:xf numFmtId="164" fontId="28" fillId="0" borderId="67" xfId="1" applyNumberFormat="1" applyFont="1" applyBorder="1" applyAlignment="1" applyProtection="1">
      <s:alignment horizontal="center" vertical="center" mc:Ignorable="vyd"/>
    </s:xf>
    <s:xf numFmtId="164" fontId="28" fillId="0" borderId="68" xfId="1" applyNumberFormat="1" applyFont="1" applyBorder="1" applyAlignment="1" applyProtection="1">
      <s:alignment horizontal="center" vertical="center" mc:Ignorable="vyd"/>
    </s:xf>
    <s:xf numFmtId="164" fontId="28" fillId="0" borderId="69" xfId="1" applyNumberFormat="1" applyFont="1" applyBorder="1" applyAlignment="1" applyProtection="1">
      <s:alignment horizontal="center" vertical="center" mc:Ignorable="vyd"/>
    </s:xf>
    <s:xf numFmtId="164" fontId="28" fillId="0" borderId="10" xfId="1" applyNumberFormat="1" applyFont="1" applyBorder="1" applyAlignment="1" applyProtection="1">
      <s:alignment horizontal="center" vertical="center" mc:Ignorable="vyd"/>
    </s:xf>
    <s:xf numFmtId="164" fontId="28" fillId="0" borderId="11" xfId="1" applyNumberFormat="1" applyFont="1" applyBorder="1" applyAlignment="1" applyProtection="1">
      <s:alignment horizontal="center" vertical="center" mc:Ignorable="vyd"/>
    </s:xf>
    <s:xf numFmtId="164" fontId="28" fillId="0" borderId="12" xfId="1" applyNumberFormat="1" applyFont="1" applyBorder="1" applyAlignment="1" applyProtection="1">
      <s:alignment horizontal="center" vertical="center" mc:Ignorable="vyd"/>
    </s:xf>
    <s:xf numFmtId="3" fontId="15" fillId="3" borderId="58" xfId="0" applyNumberFormat="1" applyFont="1" applyFill="1" applyBorder="1" applyAlignment="1">
      <s:alignment horizontal="center" vertical="center" mc:Ignorable="vyd"/>
    </s:xf>
    <s:xf numFmtId="10" fontId="18" fillId="4" borderId="25" xfId="0" applyNumberFormat="1" applyFont="1" applyFill="1" applyBorder="1" applyAlignment="1">
      <s:alignment horizontal="center" vertical="center" mc:Ignorable="vyd"/>
    </s:xf>
    <s:xf numFmtId="0" fontId="9" fillId="2" borderId="70" xfId="0" applyFont="1" applyFill="1" applyBorder="1" applyAlignment="1">
      <s:alignment horizontal="center" vertical="top" mc:Ignorable="vyd"/>
    </s:xf>
    <s:xf numFmtId="0" fontId="10" fillId="3" borderId="31" xfId="0" applyFont="1" applyFill="1" applyBorder="1" applyAlignment="1" applyProtection="1">
      <s:alignment horizontal="center" vertical="center" wrapText="1" mc:Ignorable="vyd"/>
      <s:protection locked="0"/>
    </s:xf>
    <s:xf numFmtId="0" fontId="10" fillId="3" borderId="65" xfId="0" applyFont="1" applyFill="1" applyBorder="1" applyAlignment="1" applyProtection="1">
      <s:alignment horizontal="center" vertical="center" wrapText="1" mc:Ignorable="vyd"/>
      <s:protection locked="0"/>
    </s:xf>
    <s:xf numFmtId="0" fontId="10" fillId="3" borderId="30" xfId="0" applyFont="1" applyFill="1" applyBorder="1" applyAlignment="1" applyProtection="1">
      <s:alignment horizontal="center" vertical="center" wrapText="1" mc:Ignorable="vyd"/>
      <s:protection locked="0"/>
    </s:xf>
    <s:xf numFmtId="3" fontId="5" fillId="2" borderId="71" xfId="0" applyNumberFormat="1" applyFont="1" applyFill="1" applyBorder="1" applyAlignment="1" applyProtection="1">
      <s:alignment horizontal="center" mc:Ignorable="vyd"/>
      <s:protection locked="0"/>
    </s:xf>
    <s:xf numFmtId="9" fontId="5" fillId="2" borderId="71" xfId="1" applyNumberFormat="1" applyFont="1" applyFill="1" applyBorder="1" applyProtection="1"/>
    <s:xf numFmtId="0" fontId="10" fillId="3" borderId="20" xfId="0" applyFont="1" applyFill="1" applyBorder="1" applyAlignment="1" applyProtection="1">
      <s:alignment horizontal="center" vertical="center" wrapText="1" mc:Ignorable="vyd"/>
      <s:protection locked="0"/>
    </s:xf>
    <s:xf numFmtId="0" fontId="10" fillId="3" borderId="70" xfId="0" applyFont="1" applyFill="1" applyBorder="1" applyAlignment="1" applyProtection="1">
      <s:alignment horizontal="center" vertical="center" wrapText="1" mc:Ignorable="vyd"/>
      <s:protection locked="0"/>
    </s:xf>
    <s:xf numFmtId="0" fontId="10" fillId="3" borderId="22" xfId="0" applyFont="1" applyFill="1" applyBorder="1" applyAlignment="1" applyProtection="1">
      <s:alignment horizontal="center" vertical="center" wrapText="1" mc:Ignorable="vyd"/>
      <s:protection locked="0"/>
    </s:xf>
    <s:xf numFmtId="0" fontId="11" fillId="2" borderId="42" xfId="0" applyFont="1" applyFill="1" applyBorder="1" applyAlignment="1">
      <s:alignment horizontal="left" vertical="center" wrapText="1" mc:Ignorable="vyd"/>
    </s:xf>
    <s:xf numFmtId="3" fontId="15" fillId="0" borderId="58" xfId="0" applyNumberFormat="1" applyFont="1" applyBorder="1" applyAlignment="1">
      <s:alignment horizontal="center" vertical="center" mc:Ignorable="vyd"/>
    </s:xf>
    <s:xf numFmtId="162" fontId="16" fillId="4" borderId="19" xfId="1" applyNumberFormat="1" applyFont="1" applyFill="1" applyBorder="1" applyAlignment="1" applyProtection="1">
      <s:alignment horizontal="center" vertical="center" mc:Ignorable="vyd"/>
    </s:xf>
    <s:xf numFmtId="162" fontId="14" fillId="0" borderId="20" xfId="1" applyNumberFormat="1" applyFont="1" applyBorder="1" applyAlignment="1" applyProtection="1">
      <s:alignment horizontal="center" vertical="center" mc:Ignorable="vyd"/>
    </s:xf>
    <s:xf numFmtId="162" fontId="6" fillId="4" borderId="26" xfId="1" applyNumberFormat="1" applyFont="1" applyFill="1" applyBorder="1" applyAlignment="1" applyProtection="1">
      <s:alignment horizontal="center" vertical="center" mc:Ignorable="vyd"/>
    </s:xf>
    <s:xf numFmtId="162" fontId="19" fillId="0" borderId="27" xfId="1" applyNumberFormat="1" applyFont="1" applyBorder="1" applyAlignment="1" applyProtection="1">
      <s:alignment horizontal="center" vertical="center" mc:Ignorable="vyd"/>
    </s:xf>
    <s:xf numFmtId="162" fontId="15" fillId="4" borderId="26" xfId="1" applyNumberFormat="1" applyFont="1" applyFill="1" applyBorder="1" applyAlignment="1" applyProtection="1">
      <s:alignment horizontal="center" vertical="center" mc:Ignorable="vyd"/>
    </s:xf>
    <s:xf numFmtId="162" fontId="17" fillId="0" borderId="27" xfId="1" applyNumberFormat="1" applyFont="1" applyBorder="1" applyAlignment="1" applyProtection="1">
      <s:alignment horizontal="center" vertical="center" mc:Ignorable="vyd"/>
    </s:xf>
    <s:xf numFmtId="3" fontId="18" fillId="3" borderId="30" xfId="0" applyNumberFormat="1" applyFont="1" applyFill="1" applyBorder="1" applyAlignment="1">
      <s:alignment horizontal="center" vertical="center" mc:Ignorable="vyd"/>
    </s:xf>
    <s:xf numFmtId="162" fontId="6" fillId="4" borderId="29" xfId="1" applyNumberFormat="1" applyFont="1" applyFill="1" applyBorder="1" applyAlignment="1" applyProtection="1">
      <s:alignment horizontal="center" vertical="center" mc:Ignorable="vyd"/>
    </s:xf>
    <s:xf numFmtId="162" fontId="14" fillId="0" borderId="31" xfId="1" applyNumberFormat="1" applyFont="1" applyBorder="1" applyAlignment="1" applyProtection="1">
      <s:alignment horizontal="center" vertical="center" mc:Ignorable="vyd"/>
    </s:xf>
    <s:xf numFmtId="162" fontId="6" fillId="4" borderId="26" xfId="1" applyNumberFormat="1" applyFont="1" applyFill="1" applyBorder="1" applyAlignment="1" applyProtection="1">
      <s:alignment horizontal="center" vertical="center" wrapText="1" mc:Ignorable="vyd"/>
    </s:xf>
    <s:xf numFmtId="3" fontId="6" fillId="4" borderId="32" xfId="0" applyNumberFormat="1" applyFont="1" applyFill="1" applyBorder="1" applyAlignment="1" applyProtection="1">
      <s:alignment horizontal="center" vertical="center" mc:Ignorable="vyd"/>
      <s:protection locked="0"/>
    </s:xf>
    <s:xf numFmtId="162" fontId="15" fillId="14" borderId="34" xfId="0" applyNumberFormat="1" applyFont="1" applyFill="1" applyBorder="1" applyAlignment="1">
      <s:alignment horizontal="center" vertical="center" mc:Ignorable="vyd"/>
    </s:xf>
    <s:xf numFmtId="162" fontId="15" fillId="4" borderId="35" xfId="1" applyNumberFormat="1" applyFont="1" applyFill="1" applyBorder="1" applyAlignment="1" applyProtection="1">
      <s:alignment horizontal="center" vertical="center" mc:Ignorable="vyd"/>
    </s:xf>
    <s:xf numFmtId="162" fontId="20" fillId="0" borderId="36" xfId="1" applyNumberFormat="1" applyFont="1" applyBorder="1" applyAlignment="1" applyProtection="1">
      <s:alignment horizontal="center" vertical="center" mc:Ignorable="vyd"/>
    </s:xf>
    <s:xf numFmtId="0" fontId="13" fillId="15" borderId="26" xfId="0" applyFont="1" applyFill="1" applyBorder="1" applyAlignment="1">
      <s:alignment horizontal="center" vertical="center" mc:Ignorable="vyd"/>
    </s:xf>
    <s:xf numFmtId="0" fontId="11" fillId="15" borderId="26" xfId="0" applyFont="1" applyFill="1" applyBorder="1" applyAlignment="1">
      <s:alignment horizontal="center" vertical="center" wrapText="1" mc:Ignorable="vyd"/>
    </s:xf>
    <s:xf numFmtId="0" fontId="11" fillId="8" borderId="0" xfId="0" applyFont="1" applyFill="1" applyAlignment="1">
      <s:alignment horizontal="center" vertical="center" wrapText="1" mc:Ignorable="vyd"/>
    </s:xf>
    <s:xf numFmtId="0" fontId="22" fillId="15" borderId="26" xfId="0" applyFont="1" applyFill="1" applyBorder="1" applyAlignment="1">
      <s:alignment horizontal="center" vertical="center" wrapText="1" mc:Ignorable="vyd"/>
    </s:xf>
    <s:xf numFmtId="0" fontId="2" fillId="0" borderId="56" xfId="0" applyFont="1" applyBorder="1"/>
    <s:xf numFmtId="0" fontId="6" fillId="15" borderId="25" xfId="0" applyFont="1" applyFill="1" applyBorder="1" applyAlignment="1">
      <s:alignment horizontal="center" vertical="top" wrapText="1" mc:Ignorable="vyd"/>
    </s:xf>
    <s:xf numFmtId="0" fontId="6" fillId="15" borderId="29" xfId="0" applyFont="1" applyFill="1" applyBorder="1" applyAlignment="1">
      <s:alignment horizontal="center" vertical="top" wrapText="1" mc:Ignorable="vyd"/>
    </s:xf>
    <s:xf numFmtId="0" fontId="6" fillId="15" borderId="26" xfId="0" applyFont="1" applyFill="1" applyBorder="1" applyAlignment="1">
      <s:alignment horizontal="center" vertical="top" wrapText="1" mc:Ignorable="vyd"/>
    </s:xf>
    <s:xf numFmtId="0" fontId="11" fillId="15" borderId="26" xfId="0" applyFont="1" applyFill="1" applyBorder="1" applyAlignment="1">
      <s:alignment horizontal="center" vertical="top" wrapText="1" mc:Ignorable="vyd"/>
    </s:xf>
    <s:xf numFmtId="160" fontId="6" fillId="0" borderId="26" xfId="0" applyNumberFormat="1" applyFont="1" applyBorder="1" applyAlignment="1">
      <s:alignment horizontal="center" vertical="center" mc:Ignorable="vyd"/>
    </s:xf>
    <s:xf numFmtId="16" fontId="6" fillId="0" borderId="25" xfId="0" applyNumberFormat="1" applyFont="1" applyBorder="1" applyAlignment="1">
      <s:alignment horizontal="center" vertical="top" mc:Ignorable="vyd"/>
    </s:xf>
    <s:xf numFmtId="4" fontId="6" fillId="0" borderId="19" xfId="0" applyNumberFormat="1" applyFont="1" applyBorder="1" applyAlignment="1">
      <s:alignment horizontal="center" vertical="top" mc:Ignorable="vyd"/>
    </s:xf>
    <s:xf numFmtId="162" fontId="3" fillId="0" borderId="0" xfId="0" applyNumberFormat="1" applyFont="1" applyAlignment="1">
      <s:alignment vertical="center" mc:Ignorable="vyd"/>
    </s:xf>
    <s:xf numFmtId="0" fontId="6" fillId="0" borderId="19" xfId="0" applyFont="1" applyBorder="1" applyAlignment="1">
      <s:alignment horizontal="center" vertical="top" mc:Ignorable="vyd"/>
    </s:xf>
    <s:xf numFmtId="3" fontId="6" fillId="0" borderId="49" xfId="0" applyNumberFormat="1" applyFont="1" applyBorder="1" applyAlignment="1">
      <s:alignment horizontal="center" vertical="top" mc:Ignorable="vyd"/>
    </s:xf>
    <s:xf numFmtId="4" fontId="6" fillId="0" borderId="29" xfId="0" applyNumberFormat="1" applyFont="1" applyBorder="1" applyAlignment="1">
      <s:alignment horizontal="center" vertical="top" mc:Ignorable="vyd"/>
    </s:xf>
    <s:xf numFmtId="3" fontId="6" fillId="0" borderId="29" xfId="0" applyNumberFormat="1" applyFont="1" applyBorder="1" applyAlignment="1">
      <s:alignment horizontal="center" vertical="top" mc:Ignorable="vyd"/>
    </s:xf>
    <s:xf numFmtId="4" fontId="6" fillId="0" borderId="0" xfId="0" applyNumberFormat="1" applyFont="1" applyAlignment="1">
      <s:alignment horizontal="center" vertical="top" mc:Ignorable="vyd"/>
    </s:xf>
    <s:xf numFmtId="9" fontId="2" fillId="0" borderId="0" xfId="0" applyNumberFormat="1" applyFont="1" applyAlignment="1">
      <s:alignment horizontal="center" vertical="center" mc:Ignorable="vyd"/>
    </s:xf>
    <s:xf numFmtId="3" fontId="6" fillId="0" borderId="0" xfId="0" applyNumberFormat="1" applyFont="1" applyAlignment="1">
      <s:alignment horizontal="center" mc:Ignorable="vyd"/>
    </s:xf>
    <s:xf numFmtId="10" fontId="6" fillId="0" borderId="0" xfId="0" applyNumberFormat="1" applyFont="1" applyAlignment="1">
      <s:alignment horizontal="center" vertical="top" mc:Ignorable="vyd"/>
    </s:xf>
    <s:xf numFmtId="3" fontId="24" fillId="0" borderId="0" xfId="0" applyNumberFormat="1" applyFont="1" applyAlignment="1">
      <s:alignment horizontal="center" mc:Ignorable="vyd"/>
    </s:xf>
    <s:xf numFmtId="162" fontId="6" fillId="0" borderId="26" xfId="0" applyNumberFormat="1" applyFont="1" applyBorder="1" applyAlignment="1">
      <s:alignment horizontal="center" vertical="top" mc:Ignorable="vyd"/>
    </s:xf>
    <s:xf numFmtId="162" fontId="2" fillId="0" borderId="0" xfId="1" applyNumberFormat="1" applyFont="1" applyProtection="1"/>
    <s:xf numFmtId="3" fontId="6" fillId="0" borderId="20" xfId="0" applyNumberFormat="1" applyFont="1" applyBorder="1" applyAlignment="1">
      <s:alignment horizontal="center" vertical="top" mc:Ignorable="vyd"/>
    </s:xf>
    <s:xf numFmtId="3" fontId="6" fillId="0" borderId="40" xfId="0" applyNumberFormat="1" applyFont="1" applyBorder="1" applyAlignment="1">
      <s:alignment horizontal="center" vertical="top" mc:Ignorable="vyd"/>
    </s:xf>
    <s:xf numFmtId="160" fontId="2" fillId="0" borderId="0" xfId="0" applyNumberFormat="1" applyFont="1"/>
    <s:xf numFmtId="4" fontId="6" fillId="0" borderId="26" xfId="0" applyNumberFormat="1" applyFont="1" applyBorder="1" applyAlignment="1" applyProtection="1">
      <s:alignment horizontal="center" vertical="top" mc:Ignorable="vyd"/>
      <s:protection locked="0"/>
    </s:xf>
    <s:xf numFmtId="3" fontId="6" fillId="0" borderId="26" xfId="0" applyNumberFormat="1" applyFont="1" applyBorder="1" applyAlignment="1" applyProtection="1">
      <s:alignment horizontal="center" vertical="top" mc:Ignorable="vyd"/>
      <s:protection locked="0"/>
    </s:xf>
    <s:xf numFmtId="2" fontId="6" fillId="0" borderId="26" xfId="0" applyNumberFormat="1" applyFont="1" applyBorder="1" applyAlignment="1">
      <s:alignment horizontal="center" vertical="center" mc:Ignorable="vyd"/>
    </s:xf>
    <s:xf numFmtId="162" fontId="2" fillId="0" borderId="0" xfId="1" applyNumberFormat="1" applyFont="1" applyAlignment="1" applyProtection="1">
      <s:alignment vertical="center" mc:Ignorable="vyd"/>
    </s:xf>
    <s:xf numFmtId="0" fontId="11" fillId="11" borderId="27" xfId="0" applyFont="1" applyFill="1" applyBorder="1" applyAlignment="1">
      <s:alignment horizontal="center" vertical="top" mc:Ignorable="vyd"/>
    </s:xf>
    <s:xf numFmtId="0" fontId="11" fillId="11" borderId="25" xfId="0" applyFont="1" applyFill="1" applyBorder="1" applyAlignment="1">
      <s:alignment horizontal="center" vertical="top" mc:Ignorable="vyd"/>
    </s:xf>
    <s:xf numFmtId="3" fontId="6" fillId="11" borderId="26" xfId="0" applyNumberFormat="1" applyFont="1" applyFill="1" applyBorder="1" applyAlignment="1">
      <s:alignment horizontal="center" vertical="top" mc:Ignorable="vyd"/>
    </s:xf>
    <s:xf numFmtId="4" fontId="6" fillId="11" borderId="26" xfId="0" applyNumberFormat="1" applyFont="1" applyFill="1" applyBorder="1" applyAlignment="1">
      <s:alignment horizontal="center" vertical="top" mc:Ignorable="vyd"/>
    </s:xf>
    <s:xf numFmtId="9" fontId="2" fillId="11" borderId="26" xfId="1" applyNumberFormat="1" applyFont="1" applyFill="1" applyBorder="1" applyAlignment="1" applyProtection="1">
      <s:alignment horizontal="center" vertical="center" mc:Ignorable="vyd"/>
    </s:xf>
    <s:xf numFmtId="3" fontId="6" fillId="11" borderId="26" xfId="0" applyNumberFormat="1" applyFont="1" applyFill="1" applyBorder="1" applyAlignment="1">
      <s:alignment horizontal="center" mc:Ignorable="vyd"/>
    </s:xf>
    <s:xf numFmtId="3" fontId="6" fillId="11" borderId="26" xfId="0" applyNumberFormat="1" applyFont="1" applyFill="1" applyBorder="1" applyAlignment="1">
      <s:alignment horizontal="right" mc:Ignorable="vyd"/>
    </s:xf>
    <s:xf numFmtId="160" fontId="6" fillId="0" borderId="26" xfId="0" applyNumberFormat="1" applyFont="1" applyBorder="1" applyAlignment="1">
      <s:alignment horizontal="right" mc:Ignorable="vyd"/>
    </s:xf>
    <s:xf numFmtId="0" fontId="2" fillId="0" borderId="0" xfId="0" applyFont="1" applyAlignment="1">
      <s:alignment horizontal="right" mc:Ignorable="vyd"/>
    </s:xf>
    <s:xf numFmtId="0" fontId="2" fillId="2" borderId="0" xfId="0" applyFont="1" applyFill="1" applyAlignment="1">
      <s:alignment horizontal="right" mc:Ignorable="vyd"/>
    </s:xf>
    <s:xf numFmtId="3" fontId="11" fillId="2" borderId="53" xfId="0" applyNumberFormat="1" applyFont="1" applyFill="1" applyBorder="1" applyAlignment="1">
      <s:alignment horizontal="center" vertical="center" mc:Ignorable="vyd"/>
    </s:xf>
    <s:xf numFmtId="3" fontId="11" fillId="2" borderId="68" xfId="0" applyNumberFormat="1" applyFont="1" applyFill="1" applyBorder="1" applyAlignment="1">
      <s:alignment horizontal="center" vertical="center" mc:Ignorable="vyd"/>
    </s:xf>
    <s:xf numFmtId="3" fontId="11" fillId="2" borderId="68" xfId="0" applyNumberFormat="1" applyFont="1" applyFill="1" applyBorder="1" applyAlignment="1">
      <s:alignment horizontal="center" vertical="center" wrapText="1" mc:Ignorable="vyd"/>
    </s:xf>
    <s:xf numFmtId="0" fontId="14" fillId="2" borderId="68" xfId="0" applyFont="1" applyFill="1" applyBorder="1" applyAlignment="1">
      <s:alignment horizontal="center" vertical="center" wrapText="1" mc:Ignorable="vyd"/>
    </s:xf>
    <s:xf numFmtId="0" fontId="11" fillId="2" borderId="54" xfId="0" applyFont="1" applyFill="1" applyBorder="1" applyAlignment="1">
      <s:alignment horizontal="center" vertical="center" wrapText="1" mc:Ignorable="vyd"/>
    </s:xf>
    <s:xf numFmtId="0" fontId="11" fillId="2" borderId="8" xfId="0" applyFont="1" applyFill="1" applyBorder="1" applyAlignment="1">
      <s:alignment horizontal="center" vertical="center" wrapText="1" mc:Ignorable="vyd"/>
    </s:xf>
    <s:xf numFmtId="0" fontId="11" fillId="2" borderId="9" xfId="0" applyFont="1" applyFill="1" applyBorder="1" applyAlignment="1">
      <s:alignment horizontal="center" vertical="center" wrapText="1" mc:Ignorable="vyd"/>
    </s:xf>
    <s:xf numFmtId="3" fontId="6" fillId="3" borderId="17" xfId="0" applyNumberFormat="1" applyFont="1" applyFill="1" applyBorder="1" applyAlignment="1" applyProtection="1">
      <s:alignment horizontal="center" vertical="center" mc:Ignorable="vyd"/>
      <s:protection locked="0"/>
    </s:xf>
    <s:xf numFmtId="0" fontId="22" fillId="15" borderId="26" xfId="0" applyFont="1" applyFill="1" applyBorder="1" applyAlignment="1">
      <s:alignment horizontal="right" vertical="center" wrapText="1" mc:Ignorable="vyd"/>
    </s:xf>
    <s:xf numFmtId="0" fontId="11" fillId="15" borderId="26" xfId="0" applyFont="1" applyFill="1" applyBorder="1" applyAlignment="1">
      <s:alignment horizontal="right" vertical="top" wrapText="1" mc:Ignorable="vyd"/>
    </s:xf>
    <s:xf numFmtId="3" fontId="24" fillId="0" borderId="25" xfId="0" applyNumberFormat="1" applyFont="1" applyBorder="1" applyAlignment="1">
      <s:alignment horizontal="center" mc:Ignorable="vyd"/>
    </s:xf>
    <s:xf numFmtId="3" fontId="6" fillId="0" borderId="25" xfId="0" applyNumberFormat="1" applyFont="1" applyBorder="1" applyAlignment="1">
      <s:alignment horizontal="center" mc:Ignorable="vyd"/>
    </s:xf>
    <s:xf numFmtId="3" fontId="6" fillId="0" borderId="27" xfId="0" applyNumberFormat="1" applyFont="1" applyBorder="1" applyAlignment="1">
      <s:alignment horizontal="center" mc:Ignorable="vyd"/>
    </s:xf>
    <s:xf numFmtId="9" fontId="2" fillId="0" borderId="25" xfId="0" applyNumberFormat="1" applyFont="1" applyBorder="1" applyAlignment="1">
      <s:alignment horizontal="center" vertical="center" mc:Ignorable="vyd"/>
    </s:xf>
    <s:xf numFmtId="9" fontId="2" fillId="0" borderId="26" xfId="1" applyNumberFormat="1" applyFont="1" applyBorder="1" applyAlignment="1" applyProtection="1">
      <s:alignment horizontal="center" vertical="center" mc:Ignorable="vyd"/>
    </s:xf>
    <s:xf numFmtId="160" fontId="6" fillId="0" borderId="26" xfId="2" applyNumberFormat="1" applyFont="1" applyBorder="1" applyAlignment="1" applyProtection="1">
      <s:alignment horizontal="right" mc:Ignorable="vyd"/>
    </s:xf>
    <s:xf numFmtId="3" fontId="6" fillId="0" borderId="57" xfId="0" applyNumberFormat="1" applyFont="1" applyBorder="1" applyAlignment="1">
      <s:alignment horizontal="center" vertical="top" mc:Ignorable="vyd"/>
    </s:xf>
    <s:xf numFmtId="0" fontId="11" fillId="11" borderId="26" xfId="0" applyFont="1" applyFill="1" applyBorder="1" applyAlignment="1">
      <s:alignment horizontal="center" vertical="top" mc:Ignorable="vyd"/>
    </s:xf>
    <s:xf numFmtId="0" fontId="13" fillId="15" borderId="29" xfId="0" applyFont="1" applyFill="1" applyBorder="1" applyAlignment="1">
      <s:alignment horizontal="center" vertical="center" mc:Ignorable="vyd"/>
    </s:xf>
    <s:xf numFmtId="0" fontId="6" fillId="15" borderId="19" xfId="0" applyFont="1" applyFill="1" applyBorder="1" applyAlignment="1">
      <s:alignment horizontal="center" vertical="top" wrapText="1" mc:Ignorable="vyd"/>
    </s:xf>
    <s:xf numFmtId="3" fontId="6" fillId="0" borderId="56" xfId="0" applyNumberFormat="1" applyFont="1" applyBorder="1" applyAlignment="1">
      <s:alignment horizontal="center" vertical="top" mc:Ignorable="vyd"/>
    </s:xf>
    <s:xf numFmtId="4" fontId="6" fillId="0" borderId="27" xfId="0" applyNumberFormat="1" applyFont="1" applyBorder="1" applyAlignment="1">
      <s:alignment horizontal="center" vertical="top" mc:Ignorable="vyd"/>
    </s:xf>
    <s:xf numFmtId="0" fontId="6" fillId="0" borderId="29" xfId="0" applyFont="1" applyBorder="1" applyAlignment="1">
      <s:alignment horizontal="center" vertical="top" mc:Ignorable="vyd"/>
    </s:xf>
    <s:xf numFmtId="16" fontId="6" fillId="0" borderId="27" xfId="0" applyNumberFormat="1" applyFont="1" applyBorder="1" applyAlignment="1">
      <s:alignment horizontal="center" vertical="top" mc:Ignorable="vyd"/>
    </s:xf>
    <s:xf numFmtId="0" fontId="6" fillId="0" borderId="40" xfId="0" applyFont="1" applyBorder="1" applyAlignment="1">
      <s:alignment horizontal="center" vertical="top" mc:Ignorable="vyd"/>
    </s:xf>
    <s:xf numFmtId="4" fontId="6" fillId="0" borderId="25" xfId="0" applyNumberFormat="1" applyFont="1" applyBorder="1" applyAlignment="1">
      <s:alignment horizontal="center" vertical="top" mc:Ignorable="vyd"/>
    </s:xf>
    <s:xf numFmtId="0" fontId="6" fillId="0" borderId="39" xfId="0" applyFont="1" applyBorder="1" applyAlignment="1">
      <s:alignment horizontal="center" vertical="top" mc:Ignorable="vyd"/>
    </s:xf>
    <s:xf numFmtId="4" fontId="6" fillId="0" borderId="30" xfId="0" applyNumberFormat="1" applyFont="1" applyBorder="1" applyAlignment="1">
      <s:alignment horizontal="center" vertical="top" mc:Ignorable="vyd"/>
    </s:xf>
    <s:xf numFmtId="4" fontId="6" fillId="0" borderId="72" xfId="0" applyNumberFormat="1" applyFont="1" applyBorder="1" applyAlignment="1">
      <s:alignment horizontal="center" vertical="top" mc:Ignorable="vyd"/>
    </s:xf>
    <s:xf numFmtId="4" fontId="6" fillId="0" borderId="38" xfId="0" applyNumberFormat="1" applyFont="1" applyBorder="1" applyAlignment="1">
      <s:alignment horizontal="center" vertical="top" mc:Ignorable="vyd"/>
    </s:xf>
    <s:xf numFmtId="16" fontId="6" fillId="0" borderId="73" xfId="0" applyNumberFormat="1" applyFont="1" applyBorder="1" applyAlignment="1">
      <s:alignment horizontal="center" vertical="top" mc:Ignorable="vyd"/>
    </s:xf>
    <s:xf numFmtId="0" fontId="6" fillId="0" borderId="41" xfId="0" applyFont="1" applyBorder="1" applyAlignment="1">
      <s:alignment horizontal="center" vertical="top" mc:Ignorable="vyd"/>
    </s:xf>
    <s:xf numFmtId="4" fontId="6" fillId="0" borderId="40" xfId="0" applyNumberFormat="1" applyFont="1" applyBorder="1" applyAlignment="1">
      <s:alignment horizontal="center" vertical="top" mc:Ignorable="vyd"/>
    </s:xf>
    <s:xf numFmtId="0" fontId="6" fillId="0" borderId="74" xfId="0" applyFont="1" applyBorder="1" applyAlignment="1">
      <s:alignment horizontal="center" vertical="top" mc:Ignorable="vyd"/>
    </s:xf>
    <s:xf numFmtId="4" fontId="6" fillId="0" borderId="39" xfId="0" applyNumberFormat="1" applyFont="1" applyBorder="1" applyAlignment="1">
      <s:alignment horizontal="center" vertical="top" mc:Ignorable="vyd"/>
    </s:xf>
    <s:xf numFmtId="0" fontId="0" fillId="0" borderId="65" xfId="0" applyBorder="1"/>
    <s:xf numFmtId="3" fontId="6" fillId="0" borderId="19" xfId="0" applyNumberFormat="1" applyFont="1" applyBorder="1" applyAlignment="1" applyProtection="1">
      <s:alignment horizontal="center" vertical="top" mc:Ignorable="vyd"/>
      <s:protection locked="0"/>
    </s:xf>
    <s:xf numFmtId="0" fontId="0" fillId="16" borderId="0" xfId="0" applyFill="1"/>
    <s:xf numFmtId="0" fontId="0" fillId="9" borderId="65" xfId="0" applyFill="1" applyBorder="1"/>
    <s:xf numFmtId="0" fontId="6" fillId="9" borderId="27" xfId="0" applyFont="1" applyFill="1" applyBorder="1" applyAlignment="1">
      <s:alignment horizontal="center" vertical="top" mc:Ignorable="vyd"/>
    </s:xf>
    <s:xf numFmtId="4" fontId="6" fillId="9" borderId="19" xfId="0" applyNumberFormat="1" applyFont="1" applyFill="1" applyBorder="1" applyAlignment="1">
      <s:alignment horizontal="center" vertical="top" mc:Ignorable="vyd"/>
    </s:xf>
    <s:xf numFmtId="3" fontId="6" fillId="9" borderId="19" xfId="0" applyNumberFormat="1" applyFont="1" applyFill="1" applyBorder="1" applyAlignment="1">
      <s:alignment horizontal="center" vertical="top" mc:Ignorable="vyd"/>
    </s:xf>
    <s:xf numFmtId="3" fontId="11" fillId="9" borderId="19" xfId="0" applyNumberFormat="1" applyFont="1" applyFill="1" applyBorder="1" applyAlignment="1">
      <s:alignment horizontal="center" vertical="top" mc:Ignorable="vyd"/>
    </s:xf>
    <s:xf numFmtId="4" fontId="6" fillId="16" borderId="26" xfId="0" applyNumberFormat="1" applyFont="1" applyFill="1" applyBorder="1" applyAlignment="1">
      <s:alignment horizontal="center" vertical="top" mc:Ignorable="vyd"/>
    </s:xf>
    <s:xf numFmtId="3" fontId="24" fillId="16" borderId="26" xfId="0" applyNumberFormat="1" applyFont="1" applyFill="1" applyBorder="1" applyAlignment="1">
      <s:alignment horizontal="center" mc:Ignorable="vyd"/>
    </s:xf>
    <s:xf numFmtId="3" fontId="6" fillId="16" borderId="26" xfId="0" applyNumberFormat="1" applyFont="1" applyFill="1" applyBorder="1" applyAlignment="1">
      <s:alignment horizontal="center" mc:Ignorable="vyd"/>
    </s:xf>
    <s:xf numFmtId="160" fontId="6" fillId="9" borderId="26" xfId="0" applyNumberFormat="1" applyFont="1" applyFill="1" applyBorder="1" applyAlignment="1">
      <s:alignment horizontal="right" mc:Ignorable="vyd"/>
    </s:xf>
    <s:xf numFmtId="162" fontId="2" fillId="16" borderId="0" xfId="1" applyNumberFormat="1" applyFont="1" applyFill="1" applyProtection="1"/>
    <s:xf numFmtId="162" fontId="2" fillId="16" borderId="0" xfId="1" applyNumberFormat="1" applyFont="1" applyFill="1" applyAlignment="1" applyProtection="1">
      <s:alignment vertical="center" mc:Ignorable="vyd"/>
    </s:xf>
    <s:xf numFmtId="3" fontId="11" fillId="0" borderId="19" xfId="0" applyNumberFormat="1" applyFont="1" applyBorder="1" applyAlignment="1">
      <s:alignment horizontal="center" vertical="top" mc:Ignorable="vyd"/>
    </s:xf>
    <s:xf numFmtId="0" fontId="9" fillId="2" borderId="70" xfId="0" applyFont="1" applyFill="1" applyBorder="1" applyAlignment="1">
      <s:alignment horizontal="left" vertical="center" mc:Ignorable="vyd"/>
    </s:xf>
    <s:xf numFmtId="0" fontId="11" fillId="2" borderId="48" xfId="0" applyFont="1" applyFill="1" applyBorder="1" applyAlignment="1">
      <s:alignment horizontal="left" vertical="center" wrapText="1" mc:Ignorable="vyd"/>
    </s:xf>
    <s:xf numFmtId="0" fontId="11" fillId="2" borderId="69" xfId="0" applyFont="1" applyFill="1" applyBorder="1" applyAlignment="1">
      <s:alignment horizontal="center" vertical="center" wrapText="1" mc:Ignorable="vyd"/>
    </s:xf>
    <s:xf numFmtId="3" fontId="15" fillId="0" borderId="0" xfId="0" applyNumberFormat="1" applyFont="1" applyAlignment="1">
      <s:alignment horizontal="center" vertical="center" mc:Ignorable="vyd"/>
    </s:xf>
    <s:xf numFmtId="4" fontId="20" fillId="0" borderId="26" xfId="0" applyNumberFormat="1" applyFont="1" applyBorder="1" applyAlignment="1">
      <s:alignment horizontal="center" vertical="center" mc:Ignorable="vyd"/>
    </s:xf>
    <s:xf numFmtId="162" fontId="19" fillId="0" borderId="31" xfId="1" applyNumberFormat="1" applyFont="1" applyBorder="1" applyAlignment="1" applyProtection="1">
      <s:alignment horizontal="center" vertical="center" mc:Ignorable="vyd"/>
    </s:xf>
    <s:xf numFmtId="0" fontId="11" fillId="8" borderId="25" xfId="0" applyFont="1" applyFill="1" applyBorder="1" applyAlignment="1">
      <s:alignment horizontal="center" vertical="center" wrapText="1" mc:Ignorable="vyd"/>
    </s:xf>
    <s:xf numFmtId="0" fontId="6" fillId="7" borderId="75" xfId="0" applyFont="1" applyFill="1" applyBorder="1" applyAlignment="1">
      <s:alignment horizontal="center" vertical="top" wrapText="1" mc:Ignorable="vyd"/>
    </s:xf>
    <s:xf numFmtId="0" fontId="6" fillId="7" borderId="25" xfId="0" applyFont="1" applyFill="1" applyBorder="1" applyAlignment="1">
      <s:alignment horizontal="center" vertical="top" wrapText="1" mc:Ignorable="vyd"/>
    </s:xf>
    <s:xf numFmtId="3" fontId="6" fillId="0" borderId="70" xfId="0" applyNumberFormat="1" applyFont="1" applyBorder="1" applyAlignment="1">
      <s:alignment horizontal="center" vertical="top" mc:Ignorable="vyd"/>
    </s:xf>
    <s:xf numFmtId="3" fontId="6" fillId="0" borderId="76" xfId="0" applyNumberFormat="1" applyFont="1" applyBorder="1" applyAlignment="1">
      <s:alignment horizontal="center" vertical="top" mc:Ignorable="vyd"/>
    </s:xf>
    <s:xf numFmtId="0" fontId="25" fillId="0" borderId="0" xfId="0" applyFont="1"/>
    <s:xf numFmtId="3" fontId="6" fillId="0" borderId="27" xfId="0" applyNumberFormat="1" applyFont="1" applyBorder="1" applyAlignment="1">
      <s:alignment horizontal="center" vertical="top" mc:Ignorable="vyd"/>
    </s:xf>
    <s:xf numFmtId="3" fontId="6" fillId="0" borderId="75" xfId="0" applyNumberFormat="1" applyFont="1" applyBorder="1" applyAlignment="1">
      <s:alignment horizontal="center" vertical="top" mc:Ignorable="vyd"/>
    </s:xf>
    <s:xf numFmtId="3" fontId="6" fillId="0" borderId="77" xfId="0" applyNumberFormat="1" applyFont="1" applyBorder="1" applyAlignment="1">
      <s:alignment horizontal="center" vertical="top" mc:Ignorable="vyd"/>
    </s:xf>
    <s:xf numFmtId="0" fontId="23" fillId="0" borderId="49" xfId="0" applyFont="1" applyBorder="1" applyAlignment="1">
      <s:alignment horizontal="center" vertical="center" mc:Ignorable="vyd"/>
    </s:xf>
    <s:xf numFmtId="16" fontId="6" fillId="0" borderId="29" xfId="0" applyNumberFormat="1" applyFont="1" applyBorder="1" applyAlignment="1">
      <s:alignment horizontal="center" vertical="top" mc:Ignorable="vyd"/>
    </s:xf>
    <s:xf numFmtId="3" fontId="6" fillId="0" borderId="39" xfId="0" applyNumberFormat="1" applyFont="1" applyBorder="1" applyAlignment="1">
      <s:alignment horizontal="center" vertical="top" mc:Ignorable="vyd"/>
    </s:xf>
    <s:xf numFmtId="10" fontId="6" fillId="0" borderId="29" xfId="0" applyNumberFormat="1" applyFont="1" applyBorder="1" applyAlignment="1">
      <s:alignment horizontal="center" vertical="top" mc:Ignorable="vyd"/>
    </s:xf>
    <s:xf numFmtId="9" fontId="2" fillId="0" borderId="29" xfId="0" applyNumberFormat="1" applyFont="1" applyBorder="1" applyAlignment="1">
      <s:alignment horizontal="center" vertical="center" mc:Ignorable="vyd"/>
    </s:xf>
    <s:xf numFmtId="3" fontId="24" fillId="0" borderId="29" xfId="0" applyNumberFormat="1" applyFont="1" applyBorder="1" applyAlignment="1">
      <s:alignment horizontal="center" mc:Ignorable="vyd"/>
    </s:xf>
    <s:xf numFmtId="3" fontId="6" fillId="0" borderId="29" xfId="0" applyNumberFormat="1" applyFont="1" applyBorder="1" applyAlignment="1">
      <s:alignment horizontal="center" mc:Ignorable="vyd"/>
    </s:xf>
    <s:xf numFmtId="160" fontId="6" fillId="0" borderId="29" xfId="0" applyNumberFormat="1" applyFont="1" applyBorder="1" applyAlignment="1">
      <s:alignment horizontal="right" mc:Ignorable="vyd"/>
    </s:xf>
    <s:xf numFmtId="16" fontId="6" fillId="0" borderId="19" xfId="0" applyNumberFormat="1" applyFont="1" applyBorder="1" applyAlignment="1">
      <s:alignment horizontal="center" vertical="top" mc:Ignorable="vyd"/>
    </s:xf>
    <s:xf numFmtId="0" fontId="6" fillId="0" borderId="20" xfId="0" applyFont="1" applyBorder="1" applyAlignment="1">
      <s:alignment horizontal="center" vertical="top" mc:Ignorable="vyd"/>
    </s:xf>
    <s:xf numFmtId="3" fontId="6" fillId="0" borderId="41" xfId="0" applyNumberFormat="1" applyFont="1" applyBorder="1" applyAlignment="1">
      <s:alignment horizontal="center" vertical="top" mc:Ignorable="vyd"/>
    </s:xf>
    <s:xf numFmtId="10" fontId="6" fillId="0" borderId="49" xfId="0" applyNumberFormat="1" applyFont="1" applyBorder="1" applyAlignment="1">
      <s:alignment horizontal="center" vertical="top" mc:Ignorable="vyd"/>
    </s:xf>
    <s:xf numFmtId="3" fontId="24" fillId="0" borderId="19" xfId="0" applyNumberFormat="1" applyFont="1" applyBorder="1" applyAlignment="1">
      <s:alignment horizontal="center" mc:Ignorable="vyd"/>
    </s:xf>
    <s:xf numFmtId="3" fontId="6" fillId="0" borderId="19" xfId="0" applyNumberFormat="1" applyFont="1" applyBorder="1" applyAlignment="1">
      <s:alignment horizontal="center" mc:Ignorable="vyd"/>
    </s:xf>
    <s:xf numFmtId="160" fontId="6" fillId="0" borderId="19" xfId="0" applyNumberFormat="1" applyFont="1" applyBorder="1" applyAlignment="1">
      <s:alignment horizontal="right" mc:Ignorable="vyd"/>
    </s:xf>
    <s:xf numFmtId="0" fontId="2" fillId="0" borderId="0" xfId="0" applyFont="1" applyAlignment="1">
      <s:alignment horizontal="center" mc:Ignorable="vyd"/>
    </s:xf>
    <s:xf numFmtId="16" fontId="6" fillId="0" borderId="26" xfId="0" applyNumberFormat="1" applyFont="1" applyBorder="1" applyAlignment="1" applyProtection="1">
      <s:alignment horizontal="center" vertical="top" mc:Ignorable="vyd"/>
      <s:protection locked="0"/>
    </s:xf>
    <s:xf numFmtId="3" fontId="6" fillId="11" borderId="19" xfId="0" applyNumberFormat="1" applyFont="1" applyFill="1" applyBorder="1" applyAlignment="1">
      <s:alignment horizontal="center" vertical="top" mc:Ignorable="vyd"/>
    </s:xf>
    <s:xf numFmtId="17" fontId="16" fillId="17" borderId="78" xfId="0" applyNumberFormat="1" applyFont="1" applyFill="1" applyBorder="1" applyAlignment="1">
      <s:alignment horizontal="left" vertical="center" wrapText="1" mc:Ignorable="vyd"/>
    </s:xf>
    <s:xf numFmtId="17" fontId="16" fillId="17" borderId="59" xfId="0" applyNumberFormat="1" applyFont="1" applyFill="1" applyBorder="1" applyAlignment="1">
      <s:alignment horizontal="left" vertical="center" wrapText="1" mc:Ignorable="vyd"/>
    </s:xf>
    <s:xf numFmtId="17" fontId="16" fillId="17" borderId="18" xfId="0" applyNumberFormat="1" applyFont="1" applyFill="1" applyBorder="1" applyAlignment="1">
      <s:alignment horizontal="left" vertical="center" wrapText="1" mc:Ignorable="vyd"/>
    </s:xf>
    <s:xf numFmtId="0" fontId="11" fillId="0" borderId="79" xfId="0" applyFont="1" applyBorder="1" applyAlignment="1">
      <s:alignment horizontal="center" vertical="center" mc:Ignorable="vyd"/>
    </s:xf>
    <s:xf numFmtId="0" fontId="6" fillId="0" borderId="2" xfId="0" applyFont="1" applyBorder="1" applyAlignment="1">
      <s:alignment horizontal="center" vertical="center" mc:Ignorable="vyd"/>
    </s:xf>
    <s:xf numFmtId="0" fontId="6" fillId="0" borderId="3" xfId="0" applyFont="1" applyBorder="1" applyAlignment="1">
      <s:alignment horizontal="center" vertical="center" mc:Ignorable="vyd"/>
    </s:xf>
    <s:xf numFmtId="0" fontId="16" fillId="18" borderId="80" xfId="0" applyFont="1" applyFill="1" applyBorder="1" applyAlignment="1">
      <s:alignment horizontal="left" vertical="center" wrapText="1" mc:Ignorable="vyd"/>
    </s:xf>
    <s:xf numFmtId="0" fontId="16" fillId="18" borderId="38" xfId="0" applyFont="1" applyFill="1" applyBorder="1" applyAlignment="1">
      <s:alignment horizontal="left" vertical="center" wrapText="1" mc:Ignorable="vyd"/>
    </s:xf>
    <s:xf numFmtId="0" fontId="16" fillId="18" borderId="25" xfId="0" applyFont="1" applyFill="1" applyBorder="1" applyAlignment="1">
      <s:alignment horizontal="left" vertical="center" wrapText="1" mc:Ignorable="vyd"/>
    </s:xf>
    <s:xf numFmtId="0" fontId="16" fillId="19" borderId="26" xfId="0" applyFont="1" applyFill="1" applyBorder="1" applyAlignment="1">
      <s:alignment horizontal="center" vertical="center" mc:Ignorable="vyd"/>
    </s:xf>
    <s:xf numFmtId="9" fontId="11" fillId="0" borderId="20" xfId="0" applyNumberFormat="1" applyFont="1" applyBorder="1" applyAlignment="1">
      <s:alignment horizontal="center" vertical="center" mc:Ignorable="vyd"/>
    </s:xf>
    <s:xf numFmtId="0" fontId="6" fillId="0" borderId="0" xfId="0" applyFont="1" applyAlignment="1">
      <s:alignment horizontal="center" vertical="center" mc:Ignorable="vyd"/>
    </s:xf>
    <s:xf numFmtId="0" fontId="6" fillId="0" borderId="70" xfId="0" applyFont="1" applyBorder="1" applyAlignment="1">
      <s:alignment horizontal="center" vertical="center" mc:Ignorable="vyd"/>
    </s:xf>
    <s:xf numFmtId="0" fontId="6" fillId="0" borderId="81" xfId="0" applyFont="1" applyBorder="1" applyAlignment="1">
      <s:alignment horizontal="center" vertical="center" mc:Ignorable="vyd"/>
    </s:xf>
    <s:xf numFmtId="0" fontId="35" fillId="20" borderId="26" xfId="0" applyFont="1" applyFill="1" applyBorder="1" applyAlignment="1">
      <s:alignment horizontal="center" vertical="center" wrapText="1" mc:Ignorable="vyd"/>
    </s:xf>
    <s:xf numFmtId="0" fontId="35" fillId="20" borderId="81" xfId="0" applyFont="1" applyFill="1" applyBorder="1" applyAlignment="1">
      <s:alignment horizontal="center" vertical="center" wrapText="1" mc:Ignorable="vyd"/>
    </s:xf>
    <s:xf numFmtId="0" fontId="35" fillId="20" borderId="17" xfId="0" applyFont="1" applyFill="1" applyBorder="1" applyAlignment="1">
      <s:alignment horizontal="center" vertical="center" wrapText="1" mc:Ignorable="vyd"/>
    </s:xf>
    <s:xf numFmtId="0" fontId="35" fillId="20" borderId="58" xfId="0" applyFont="1" applyFill="1" applyBorder="1" applyAlignment="1">
      <s:alignment horizontal="center" vertical="center" wrapText="1" mc:Ignorable="vyd"/>
    </s:xf>
    <s:xf numFmtId="0" fontId="35" fillId="20" borderId="61" xfId="0" applyFont="1" applyFill="1" applyBorder="1" applyAlignment="1">
      <s:alignment horizontal="center" vertical="center" wrapText="1" mc:Ignorable="vyd"/>
    </s:xf>
    <s:xf numFmtId="0" fontId="35" fillId="20" borderId="62" xfId="0" applyFont="1" applyFill="1" applyBorder="1" applyAlignment="1">
      <s:alignment horizontal="center" vertical="center" wrapText="1" mc:Ignorable="vyd"/>
    </s:xf>
    <s:xf numFmtId="0" fontId="35" fillId="20" borderId="70" xfId="0" applyFont="1" applyFill="1" applyBorder="1" applyAlignment="1">
      <s:alignment horizontal="center" vertical="center" wrapText="1" mc:Ignorable="vyd"/>
    </s:xf>
    <s:xf numFmtId="0" fontId="35" fillId="20" borderId="82" xfId="0" applyFont="1" applyFill="1" applyBorder="1" applyAlignment="1">
      <s:alignment horizontal="center" vertical="center" wrapText="1" mc:Ignorable="vyd"/>
    </s:xf>
    <s:xf numFmtId="0" fontId="35" fillId="20" borderId="21" xfId="0" applyFont="1" applyFill="1" applyBorder="1" applyAlignment="1">
      <s:alignment horizontal="center" vertical="center" wrapText="1" mc:Ignorable="vyd"/>
    </s:xf>
    <s:xf numFmtId="0" fontId="0" fillId="0" borderId="0" xfId="0" applyAlignment="1">
      <s:alignment vertical="center" mc:Ignorable="vyd"/>
    </s:xf>
    <s:xf numFmtId="0" fontId="16" fillId="21" borderId="26" xfId="0" applyFont="1" applyFill="1" applyBorder="1" applyAlignment="1">
      <s:alignment horizontal="left" vertical="center" wrapText="1" mc:Ignorable="vyd"/>
    </s:xf>
    <s:xf numFmtId="165" fontId="16" fillId="21" borderId="26" xfId="0" applyNumberFormat="1" applyFont="1" applyFill="1" applyBorder="1" applyAlignment="1">
      <s:alignment horizontal="right" vertical="center" wrapText="1" mc:Ignorable="vyd"/>
    </s:xf>
    <s:xf numFmtId="165" fontId="16" fillId="21" borderId="83" xfId="0" applyNumberFormat="1" applyFont="1" applyFill="1" applyBorder="1" applyAlignment="1">
      <s:alignment horizontal="right" vertical="center" wrapText="1" mc:Ignorable="vyd"/>
    </s:xf>
    <s:xf numFmtId="165" fontId="16" fillId="21" borderId="24" xfId="0" applyNumberFormat="1" applyFont="1" applyFill="1" applyBorder="1" applyAlignment="1">
      <s:alignment horizontal="right" vertical="center" wrapText="1" mc:Ignorable="vyd"/>
    </s:xf>
    <s:xf numFmtId="165" fontId="16" fillId="21" borderId="63" xfId="0" applyNumberFormat="1" applyFont="1" applyFill="1" applyBorder="1" applyAlignment="1">
      <s:alignment horizontal="right" vertical="center" wrapText="1" mc:Ignorable="vyd"/>
    </s:xf>
    <s:xf numFmtId="165" fontId="16" fillId="0" borderId="28" xfId="0" applyNumberFormat="1" applyFont="1" applyBorder="1" applyAlignment="1">
      <s:alignment horizontal="right" vertical="center" wrapText="1" mc:Ignorable="vyd"/>
    </s:xf>
    <s:xf numFmtId="165" fontId="16" fillId="0" borderId="84" xfId="0" applyNumberFormat="1" applyFont="1" applyBorder="1" applyAlignment="1">
      <s:alignment horizontal="right" vertical="center" wrapText="1" mc:Ignorable="vyd"/>
    </s:xf>
    <s:xf numFmtId="165" fontId="16" fillId="21" borderId="85" xfId="0" applyNumberFormat="1" applyFont="1" applyFill="1" applyBorder="1" applyAlignment="1">
      <s:alignment horizontal="right" vertical="center" wrapText="1" mc:Ignorable="vyd"/>
    </s:xf>
    <s:xf numFmtId="0" fontId="36" fillId="18" borderId="55" xfId="0" applyFont="1" applyFill="1" applyBorder="1" applyAlignment="1">
      <s:alignment horizontal="left" vertical="top" mc:Ignorable="vyd"/>
    </s:xf>
    <s:xf numFmtId="0" fontId="37" fillId="18" borderId="0" xfId="0" applyFont="1" applyFill="1" applyAlignment="1">
      <s:alignment horizontal="left" vertical="top" mc:Ignorable="vyd"/>
    </s:xf>
    <s:xf numFmtId="0" fontId="36" fillId="18" borderId="0" xfId="0" applyFont="1" applyFill="1" applyAlignment="1">
      <s:alignment horizontal="left" vertical="top" mc:Ignorable="vyd"/>
    </s:xf>
    <s:xf numFmtId="2" fontId="36" fillId="18" borderId="0" xfId="0" applyNumberFormat="1" applyFont="1" applyFill="1" applyAlignment="1">
      <s:alignment horizontal="right" vertical="top" mc:Ignorable="vyd"/>
    </s:xf>
    <s:xf numFmtId="0" fontId="6" fillId="18" borderId="0" xfId="0" applyFont="1" applyFill="1" applyAlignment="1">
      <s:alignment horizontal="left" mc:Ignorable="vyd"/>
    </s:xf>
    <s:xf numFmtId="0" fontId="6" fillId="18" borderId="86" xfId="0" applyFont="1" applyFill="1" applyBorder="1" applyAlignment="1">
      <s:alignment horizontal="left" mc:Ignorable="vyd"/>
    </s:xf>
    <s:xf numFmtId="0" fontId="36" fillId="18" borderId="87" xfId="0" applyFont="1" applyFill="1" applyBorder="1" applyAlignment="1">
      <s:alignment horizontal="center" vertical="center" mc:Ignorable="vyd"/>
    </s:xf>
    <s:xf numFmtId="0" fontId="36" fillId="18" borderId="26" xfId="0" applyFont="1" applyFill="1" applyBorder="1" applyAlignment="1">
      <s:alignment horizontal="center" vertical="center" mc:Ignorable="vyd"/>
    </s:xf>
    <s:xf numFmtId="0" fontId="36" fillId="18" borderId="0" xfId="0" applyFont="1" applyFill="1" applyAlignment="1">
      <s:alignment horizontal="center" vertical="center" mc:Ignorable="vyd"/>
    </s:xf>
    <s:xf numFmtId="0" fontId="6" fillId="18" borderId="0" xfId="0" applyFont="1" applyFill="1" applyAlignment="1">
      <s:alignment horizontal="center" vertical="center" mc:Ignorable="vyd"/>
    </s:xf>
    <s:xf numFmtId="0" fontId="6" fillId="18" borderId="86" xfId="0" applyFont="1" applyFill="1" applyBorder="1" applyAlignment="1">
      <s:alignment horizontal="center" vertical="center" mc:Ignorable="vyd"/>
    </s:xf>
    <s:xf numFmtId="0" fontId="36" fillId="18" borderId="87" xfId="0" applyFont="1" applyFill="1" applyBorder="1" applyAlignment="1">
      <s:alignment horizontal="left" vertical="top" mc:Ignorable="vyd"/>
    </s:xf>
    <s:xf numFmtId="14" fontId="36" fillId="18" borderId="26" xfId="0" applyNumberFormat="1" applyFont="1" applyFill="1" applyBorder="1" applyAlignment="1">
      <s:alignment horizontal="center" vertical="top" mc:Ignorable="vyd"/>
    </s:xf>
    <s:xf numFmtId="4" fontId="36" fillId="18" borderId="26" xfId="0" applyNumberFormat="1" applyFont="1" applyFill="1" applyBorder="1" applyAlignment="1">
      <s:alignment horizontal="right" vertical="top" mc:Ignorable="vyd"/>
    </s:xf>
    <s:xf numFmtId="0" fontId="36" fillId="18" borderId="26" xfId="0" applyFont="1" applyFill="1" applyBorder="1" applyAlignment="1">
      <s:alignment horizontal="left" vertical="top" wrapText="1" mc:Ignorable="vyd"/>
    </s:xf>
    <s:xf numFmtId="4" fontId="36" fillId="18" borderId="26" xfId="0" applyNumberFormat="1" applyFont="1" applyFill="1" applyBorder="1" applyAlignment="1">
      <s:alignment horizontal="center" vertical="top" mc:Ignorable="vyd"/>
    </s:xf>
    <s:xf numFmtId="0" fontId="36" fillId="9" borderId="55" xfId="0" applyFont="1" applyFill="1" applyBorder="1" applyAlignment="1">
      <s:alignment horizontal="left" vertical="top" mc:Ignorable="vyd"/>
    </s:xf>
    <s:xf numFmtId="14" fontId="36" fillId="9" borderId="0" xfId="0" applyNumberFormat="1" applyFont="1" applyFill="1" applyAlignment="1">
      <s:alignment horizontal="center" vertical="top" mc:Ignorable="vyd"/>
    </s:xf>
    <s:xf numFmtId="4" fontId="36" fillId="9" borderId="0" xfId="0" applyNumberFormat="1" applyFont="1" applyFill="1" applyAlignment="1">
      <s:alignment horizontal="right" vertical="top" mc:Ignorable="vyd"/>
    </s:xf>
    <s:xf numFmtId="0" fontId="36" fillId="9" borderId="0" xfId="0" applyFont="1" applyFill="1" applyAlignment="1">
      <s:alignment horizontal="left" vertical="top" wrapText="1" mc:Ignorable="vyd"/>
    </s:xf>
    <s:xf numFmtId="0" fontId="36" fillId="9" borderId="0" xfId="0" applyFont="1" applyFill="1" applyAlignment="1">
      <s:alignment horizontal="left" vertical="top" mc:Ignorable="vyd"/>
    </s:xf>
    <s:xf numFmtId="14" fontId="38" fillId="9" borderId="0" xfId="0" applyNumberFormat="1" applyFont="1" applyFill="1" applyAlignment="1">
      <s:alignment horizontal="center" vertical="top" mc:Ignorable="vyd"/>
    </s:xf>
    <s:xf numFmtId="4" fontId="38" fillId="9" borderId="0" xfId="0" applyNumberFormat="1" applyFont="1" applyFill="1" applyAlignment="1">
      <s:alignment horizontal="right" vertical="top" mc:Ignorable="vyd"/>
    </s:xf>
    <s:xf numFmtId="0" fontId="38" fillId="9" borderId="0" xfId="0" applyFont="1" applyFill="1" applyAlignment="1">
      <s:alignment horizontal="left" vertical="top" wrapText="1" mc:Ignorable="vyd"/>
    </s:xf>
    <s:xf numFmtId="14" fontId="36" fillId="18" borderId="0" xfId="0" applyNumberFormat="1" applyFont="1" applyFill="1" applyAlignment="1">
      <s:alignment horizontal="center" vertical="top" mc:Ignorable="vyd"/>
    </s:xf>
    <s:xf numFmtId="4" fontId="36" fillId="18" borderId="0" xfId="0" applyNumberFormat="1" applyFont="1" applyFill="1" applyAlignment="1">
      <s:alignment horizontal="right" vertical="top" mc:Ignorable="vyd"/>
    </s:xf>
    <s:xf numFmtId="0" fontId="36" fillId="18" borderId="0" xfId="0" applyFont="1" applyFill="1" applyAlignment="1">
      <s:alignment horizontal="left" vertical="top" wrapText="1" mc:Ignorable="vyd"/>
    </s:xf>
    <s:xf numFmtId="0" fontId="36" fillId="22" borderId="55" xfId="0" applyFont="1" applyFill="1" applyBorder="1" applyAlignment="1">
      <s:alignment horizontal="left" vertical="top" mc:Ignorable="vyd"/>
    </s:xf>
    <s:xf numFmtId="0" fontId="36" fillId="22" borderId="0" xfId="0" applyFont="1" applyFill="1" applyAlignment="1">
      <s:alignment horizontal="left" vertical="top" mc:Ignorable="vyd"/>
    </s:xf>
    <s:xf numFmtId="4" fontId="37" fillId="22" borderId="0" xfId="0" applyNumberFormat="1" applyFont="1" applyFill="1" applyAlignment="1">
      <s:alignment horizontal="right" vertical="top" mc:Ignorable="vyd"/>
    </s:xf>
    <s:xf numFmtId="0" fontId="36" fillId="22" borderId="0" xfId="0" applyFont="1" applyFill="1" applyAlignment="1">
      <s:alignment horizontal="right" vertical="top" mc:Ignorable="vyd"/>
    </s:xf>
    <s:xf numFmtId="0" fontId="6" fillId="22" borderId="0" xfId="0" applyFont="1" applyFill="1" applyAlignment="1">
      <s:alignment horizontal="left" mc:Ignorable="vyd"/>
    </s:xf>
    <s:xf numFmtId="2" fontId="37" fillId="22" borderId="0" xfId="0" applyNumberFormat="1" applyFont="1" applyFill="1" applyAlignment="1">
      <s:alignment horizontal="left" vertical="top" mc:Ignorable="vyd"/>
    </s:xf>
    <s:xf numFmtId="2" fontId="37" fillId="22" borderId="0" xfId="0" applyNumberFormat="1" applyFont="1" applyFill="1" applyAlignment="1">
      <s:alignment horizontal="right" vertical="top" mc:Ignorable="vyd"/>
    </s:xf>
    <s:xf numFmtId="0" fontId="6" fillId="22" borderId="86" xfId="0" applyFont="1" applyFill="1" applyBorder="1" applyAlignment="1">
      <s:alignment horizontal="left" mc:Ignorable="vyd"/>
    </s:xf>
    <s:xf numFmtId="0" fontId="36" fillId="18" borderId="0" xfId="0" applyFont="1" applyFill="1" applyAlignment="1">
      <s:alignment horizontal="center" vertical="center" wrapText="1" mc:Ignorable="vyd"/>
    </s:xf>
    <s:xf numFmtId="0" fontId="36" fillId="18" borderId="55" xfId="0" applyFont="1" applyFill="1" applyBorder="1" applyAlignment="1">
      <s:alignment horizontal="center" vertical="center" wrapText="1" mc:Ignorable="vyd"/>
    </s:xf>
    <s:xf numFmtId="0" fontId="37" fillId="18" borderId="0" xfId="0" applyFont="1" applyFill="1" applyAlignment="1">
      <s:alignment horizontal="left" vertical="top" wrapText="1" mc:Ignorable="vyd"/>
    </s:xf>
    <s:xf numFmtId="0" fontId="11" fillId="18" borderId="0" xfId="0" applyFont="1" applyFill="1" applyAlignment="1">
      <s:alignment horizontal="left" mc:Ignorable="vyd"/>
    </s:xf>
    <s:xf numFmtId="0" fontId="6" fillId="18" borderId="0" xfId="0" applyFont="1" applyFill="1" applyAlignment="1">
      <s:alignment horizontal="left" wrapText="1" mc:Ignorable="vyd"/>
    </s:xf>
    <s:xf numFmtId="0" fontId="6" fillId="18" borderId="0" xfId="0" applyFont="1" applyFill="1" applyAlignment="1">
      <s:alignment horizontal="center" vertical="center" wrapText="1" mc:Ignorable="vyd"/>
    </s:xf>
    <s:xf numFmtId="0" fontId="6" fillId="18" borderId="86" xfId="0" applyFont="1" applyFill="1" applyBorder="1" applyAlignment="1">
      <s:alignment horizontal="center" vertical="center" wrapText="1" mc:Ignorable="vyd"/>
    </s:xf>
    <s:xf numFmtId="0" fontId="36" fillId="18" borderId="26" xfId="0" applyFont="1" applyFill="1" applyBorder="1" applyAlignment="1">
      <s:alignment horizontal="center" vertical="center" wrapText="1" mc:Ignorable="vyd"/>
    </s:xf>
    <s:xf numFmtId="1" fontId="36" fillId="18" borderId="26" xfId="0" applyNumberFormat="1" applyFont="1" applyFill="1" applyBorder="1" applyAlignment="1">
      <s:alignment horizontal="center" vertical="top" mc:Ignorable="vyd"/>
    </s:xf>
    <s:xf numFmtId="0" fontId="36" fillId="18" borderId="26" xfId="0" applyFont="1" applyFill="1" applyBorder="1" applyAlignment="1">
      <s:alignment horizontal="left" vertical="top" mc:Ignorable="vyd"/>
    </s:xf>
    <s:xf numFmtId="166" fontId="36" fillId="18" borderId="26" xfId="0" applyNumberFormat="1" applyFont="1" applyFill="1" applyBorder="1" applyAlignment="1">
      <s:alignment horizontal="center" vertical="top" mc:Ignorable="vyd"/>
    </s:xf>
    <s:xf numFmtId="2" fontId="36" fillId="18" borderId="26" xfId="0" applyNumberFormat="1" applyFont="1" applyFill="1" applyBorder="1" applyAlignment="1">
      <s:alignment horizontal="center" vertical="top" mc:Ignorable="vyd"/>
    </s:xf>
    <s:xf numFmtId="4" fontId="37" fillId="18" borderId="26" xfId="0" applyNumberFormat="1" applyFont="1" applyFill="1" applyBorder="1" applyAlignment="1">
      <s:alignment vertical="top" indent="1" mc:Ignorable="vyd"/>
    </s:xf>
    <s:xf numFmtId="4" fontId="36" fillId="18" borderId="56" xfId="0" applyNumberFormat="1" applyFont="1" applyFill="1" applyBorder="1" applyAlignment="1">
      <s:alignment horizontal="left" vertical="top" mc:Ignorable="vyd"/>
    </s:xf>
    <s:xf numFmtId="10" fontId="36" fillId="18" borderId="26" xfId="0" applyNumberFormat="1" applyFont="1" applyFill="1" applyBorder="1" applyAlignment="1">
      <s:alignment horizontal="center" vertical="top" mc:Ignorable="vyd"/>
    </s:xf>
    <s:xf numFmtId="0" fontId="36" fillId="18" borderId="55" xfId="0" applyFont="1" applyFill="1" applyBorder="1" applyAlignment="1">
      <s:alignment horizontal="left" vertical="top" wrapText="1" mc:Ignorable="vyd"/>
    </s:xf>
    <s:xf numFmtId="1" fontId="36" fillId="18" borderId="26" xfId="0" applyNumberFormat="1" applyFont="1" applyFill="1" applyBorder="1" applyAlignment="1">
      <s:alignment horizontal="center" vertical="top" wrapText="1" mc:Ignorable="vyd"/>
    </s:xf>
    <s:xf numFmtId="0" fontId="6" fillId="18" borderId="26" xfId="0" applyFont="1" applyFill="1" applyBorder="1" applyAlignment="1">
      <s:alignment horizontal="left" vertical="center" mc:Ignorable="vyd"/>
    </s:xf>
    <s:xf numFmtId="166" fontId="36" fillId="18" borderId="26" xfId="0" applyNumberFormat="1" applyFont="1" applyFill="1" applyBorder="1" applyAlignment="1">
      <s:alignment horizontal="center" vertical="top" wrapText="1" mc:Ignorable="vyd"/>
    </s:xf>
    <s:xf numFmtId="4" fontId="36" fillId="18" borderId="0" xfId="0" applyNumberFormat="1" applyFont="1" applyFill="1" applyAlignment="1">
      <s:alignment horizontal="left" vertical="top" wrapText="1" mc:Ignorable="vyd"/>
    </s:xf>
    <s:xf numFmtId="10" fontId="36" fillId="18" borderId="26" xfId="0" applyNumberFormat="1" applyFont="1" applyFill="1" applyBorder="1" applyAlignment="1">
      <s:alignment horizontal="center" vertical="top" wrapText="1" mc:Ignorable="vyd"/>
    </s:xf>
    <s:xf numFmtId="0" fontId="6" fillId="18" borderId="86" xfId="0" applyFont="1" applyFill="1" applyBorder="1" applyAlignment="1">
      <s:alignment horizontal="left" wrapText="1" mc:Ignorable="vyd"/>
    </s:xf>
    <s:xf numFmtId="0" fontId="6" fillId="18" borderId="55" xfId="0" applyFont="1" applyFill="1" applyBorder="1" applyAlignment="1">
      <s:alignment horizontal="center" vertical="center" wrapText="1" mc:Ignorable="vyd"/>
    </s:xf>
    <s:xf numFmtId="0" fontId="6" fillId="18" borderId="26" xfId="0" applyFont="1" applyFill="1" applyBorder="1" applyAlignment="1">
      <s:alignment horizontal="center" vertical="center" wrapText="1" mc:Ignorable="vyd"/>
    </s:xf>
    <s:xf numFmtId="166" fontId="6" fillId="18" borderId="26" xfId="0" applyNumberFormat="1" applyFont="1" applyFill="1" applyBorder="1" applyAlignment="1">
      <s:alignment horizontal="center" vertical="center" wrapText="1" mc:Ignorable="vyd"/>
    </s:xf>
    <s:xf numFmtId="2" fontId="6" fillId="18" borderId="26" xfId="0" applyNumberFormat="1" applyFont="1" applyFill="1" applyBorder="1" applyAlignment="1">
      <s:alignment horizontal="center" vertical="center" wrapText="1" mc:Ignorable="vyd"/>
    </s:xf>
    <s:xf numFmtId="4" fontId="11" fillId="18" borderId="26" xfId="0" applyNumberFormat="1" applyFont="1" applyFill="1" applyBorder="1" applyAlignment="1">
      <s:alignment vertical="center" wrapText="1" mc:Ignorable="vyd"/>
    </s:xf>
    <s:xf numFmtId="0" fontId="6" fillId="18" borderId="56" xfId="0" applyFont="1" applyFill="1" applyBorder="1" applyAlignment="1">
      <s:alignment horizontal="center" vertical="center" wrapText="1" mc:Ignorable="vyd"/>
    </s:xf>
    <s:xf numFmtId="0" fontId="6" fillId="18" borderId="26" xfId="0" applyFont="1" applyFill="1" applyBorder="1" applyAlignment="1">
      <s:alignment horizontal="left" vertical="center" wrapText="1" mc:Ignorable="vyd"/>
    </s:xf>
    <s:xf numFmtId="10" fontId="6" fillId="18" borderId="26" xfId="0" applyNumberFormat="1" applyFont="1" applyFill="1" applyBorder="1" applyAlignment="1">
      <s:alignment horizontal="center" vertical="center" wrapText="1" mc:Ignorable="vyd"/>
    </s:xf>
    <s:xf numFmtId="0" fontId="36" fillId="18" borderId="0" xfId="0" applyFont="1" applyFill="1" applyAlignment="1">
      <s:alignment horizontal="left" vertical="center" mc:Ignorable="vyd"/>
    </s:xf>
    <s:xf numFmtId="166" fontId="36" fillId="18" borderId="0" xfId="0" applyNumberFormat="1" applyFont="1" applyFill="1" applyAlignment="1">
      <s:alignment horizontal="center" vertical="center" wrapText="1" mc:Ignorable="vyd"/>
    </s:xf>
    <s:xf numFmtId="2" fontId="37" fillId="18" borderId="0" xfId="0" applyNumberFormat="1" applyFont="1" applyFill="1" applyAlignment="1">
      <s:alignment horizontal="right" vertical="center" wrapText="1" mc:Ignorable="vyd"/>
    </s:xf>
    <s:xf numFmtId="4" fontId="11" fillId="22" borderId="0" xfId="0" applyNumberFormat="1" applyFont="1" applyFill="1" applyAlignment="1">
      <s:alignment horizontal="right" mc:Ignorable="vyd"/>
    </s:xf>
    <s:xf numFmtId="0" fontId="6" fillId="22" borderId="0" xfId="0" applyFont="1" applyFill="1" applyAlignment="1">
      <s:alignment horizontal="right" mc:Ignorable="vyd"/>
    </s:xf>
    <s:xf numFmtId="0" fontId="6" fillId="18" borderId="55" xfId="0" applyFont="1" applyFill="1" applyBorder="1" applyAlignment="1">
      <s:alignment horizontal="left" mc:Ignorable="vyd"/>
    </s:xf>
    <s:xf numFmtId="0" fontId="6" fillId="0" borderId="0" xfId="0" applyFont="1" applyAlignment="1">
      <s:alignment horizontal="left" mc:Ignorable="vyd"/>
    </s:xf>
    <s:xf numFmtId="0" fontId="6" fillId="0" borderId="86" xfId="0" applyFont="1" applyBorder="1"/>
    <s:xf numFmtId="0" fontId="6" fillId="18" borderId="55" xfId="0" applyFont="1" applyFill="1" applyBorder="1" applyAlignment="1">
      <s:alignment horizontal="left" wrapText="1" mc:Ignorable="vyd"/>
    </s:xf>
    <s:xf numFmtId="0" fontId="37" fillId="18" borderId="70" xfId="0" applyFont="1" applyFill="1" applyBorder="1" applyAlignment="1">
      <s:alignment horizontal="left" vertical="top" wrapText="1" mc:Ignorable="vyd"/>
    </s:xf>
    <s:xf numFmtId="0" fontId="6" fillId="18" borderId="70" xfId="0" applyFont="1" applyFill="1" applyBorder="1" applyAlignment="1">
      <s:alignment horizontal="left" wrapText="1" mc:Ignorable="vyd"/>
    </s:xf>
    <s:xf numFmtId="0" fontId="6" fillId="18" borderId="81" xfId="0" applyFont="1" applyFill="1" applyBorder="1" applyAlignment="1">
      <s:alignment horizontal="left" wrapText="1" mc:Ignorable="vyd"/>
    </s:xf>
    <s:xf numFmtId="0" fontId="6" fillId="18" borderId="88" xfId="0" applyFont="1" applyFill="1" applyBorder="1" applyAlignment="1">
      <s:alignment horizontal="center" vertical="center" wrapText="1" mc:Ignorable="vyd"/>
    </s:xf>
    <s:xf numFmtId="0" fontId="36" fillId="18" borderId="27" xfId="0" applyFont="1" applyFill="1" applyBorder="1" applyAlignment="1">
      <s:alignment horizontal="center" vertical="center" wrapText="1" mc:Ignorable="vyd"/>
    </s:xf>
    <s:xf numFmtId="0" fontId="36" fillId="18" borderId="25" xfId="0" applyFont="1" applyFill="1" applyBorder="1" applyAlignment="1">
      <s:alignment horizontal="center" vertical="center" wrapText="1" mc:Ignorable="vyd"/>
    </s:xf>
    <s:xf numFmtId="0" fontId="36" fillId="18" borderId="26" xfId="0" applyFont="1" applyFill="1" applyBorder="1" applyAlignment="1">
      <s:alignment horizontal="center" vertical="center" wrapText="1" indent="1" mc:Ignorable="vyd"/>
    </s:xf>
    <s:xf numFmtId="0" fontId="36" fillId="18" borderId="28" xfId="0" applyFont="1" applyFill="1" applyBorder="1" applyAlignment="1">
      <s:alignment horizontal="center" vertical="center" wrapText="1" indent="1" mc:Ignorable="vyd"/>
    </s:xf>
    <s:xf numFmtId="0" fontId="6" fillId="18" borderId="88" xfId="0" applyFont="1" applyFill="1" applyBorder="1" applyAlignment="1">
      <s:alignment horizontal="left" wrapText="1" mc:Ignorable="vyd"/>
    </s:xf>
    <s:xf numFmtId="0" fontId="36" fillId="18" borderId="27" xfId="0" applyFont="1" applyFill="1" applyBorder="1" applyAlignment="1">
      <s:alignment horizontal="left" vertical="top" mc:Ignorable="vyd"/>
    </s:xf>
    <s:xf numFmtId="0" fontId="36" fillId="18" borderId="25" xfId="0" applyFont="1" applyFill="1" applyBorder="1" applyAlignment="1">
      <s:alignment horizontal="left" vertical="top" mc:Ignorable="vyd"/>
    </s:xf>
    <s:xf numFmtId="4" fontId="36" fillId="18" borderId="26" xfId="0" applyNumberFormat="1" applyFont="1" applyFill="1" applyBorder="1" applyAlignment="1">
      <s:alignment horizontal="right" vertical="top" wrapText="1" mc:Ignorable="vyd"/>
    </s:xf>
    <s:xf numFmtId="2" fontId="37" fillId="18" borderId="26" xfId="0" applyNumberFormat="1" applyFont="1" applyFill="1" applyBorder="1" applyAlignment="1">
      <s:alignment vertical="top" indent="1" mc:Ignorable="vyd"/>
    </s:xf>
    <s:xf numFmtId="3" fontId="36" fillId="18" borderId="26" xfId="0" applyNumberFormat="1" applyFont="1" applyFill="1" applyBorder="1" applyAlignment="1">
      <s:alignment horizontal="left" vertical="top" mc:Ignorable="vyd"/>
    </s:xf>
    <s:xf numFmtId="166" fontId="36" fillId="18" borderId="26" xfId="0" applyNumberFormat="1" applyFont="1" applyFill="1" applyBorder="1" applyAlignment="1">
      <s:alignment vertical="top" mc:Ignorable="vyd"/>
    </s:xf>
    <s:xf numFmtId="166" fontId="36" fillId="18" borderId="0" xfId="0" applyNumberFormat="1" applyFont="1" applyFill="1" applyAlignment="1">
      <s:alignment vertical="top" wrapText="1" mc:Ignorable="vyd"/>
    </s:xf>
    <s:xf numFmtId="4" fontId="6" fillId="18" borderId="26" xfId="0" applyNumberFormat="1" applyFont="1" applyFill="1" applyBorder="1" applyAlignment="1">
      <s:alignment vertical="top" mc:Ignorable="vyd"/>
    </s:xf>
    <s:xf numFmtId="10" fontId="36" fillId="18" borderId="0" xfId="0" applyNumberFormat="1" applyFont="1" applyFill="1" applyAlignment="1">
      <s:alignment horizontal="center" vertical="top" mc:Ignorable="vyd"/>
    </s:xf>
    <s:xf numFmtId="2" fontId="19" fillId="18" borderId="28" xfId="0" applyNumberFormat="1" applyFont="1" applyFill="1" applyBorder="1" applyAlignment="1">
      <s:alignment horizontal="right" vertical="top" indent="1" mc:Ignorable="vyd"/>
    </s:xf>
    <s:xf numFmtId="0" fontId="31" fillId="0" borderId="27" xfId="0" applyFont="1" applyBorder="1" applyAlignment="1">
      <s:alignment horizontal="left" vertical="center" mc:Ignorable="vyd"/>
    </s:xf>
    <s:xf numFmtId="0" fontId="31" fillId="0" borderId="25" xfId="0" applyFont="1" applyBorder="1" applyAlignment="1">
      <s:alignment horizontal="left" vertical="center" mc:Ignorable="vyd"/>
    </s:xf>
    <s:xf numFmtId="4" fontId="36" fillId="18" borderId="26" xfId="0" applyNumberFormat="1" applyFont="1" applyFill="1" applyBorder="1" applyAlignment="1">
      <s:alignment horizontal="right" vertical="center" wrapText="1" mc:Ignorable="vyd"/>
    </s:xf>
    <s:xf numFmtId="2" fontId="37" fillId="18" borderId="26" xfId="0" applyNumberFormat="1" applyFont="1" applyFill="1" applyBorder="1" applyAlignment="1">
      <s:alignment vertical="top" mc:Ignorable="vyd"/>
    </s:xf>
    <s:xf numFmtId="0" fontId="36" fillId="18" borderId="49" xfId="0" applyFont="1" applyFill="1" applyBorder="1" applyAlignment="1">
      <s:alignment horizontal="center" vertical="center" wrapText="1" mc:Ignorable="vyd"/>
    </s:xf>
    <s:xf numFmtId="0" fontId="31" fillId="0" borderId="26" xfId="0" applyFont="1" applyBorder="1"/>
    <s:xf numFmtId="166" fontId="36" fillId="18" borderId="26" xfId="0" applyNumberFormat="1" applyFont="1" applyFill="1" applyBorder="1" applyAlignment="1">
      <s:alignment vertical="center" wrapText="1" mc:Ignorable="vyd"/>
    </s:xf>
    <s:xf numFmtId="0" fontId="6" fillId="18" borderId="26" xfId="0" applyFont="1" applyFill="1" applyBorder="1" applyAlignment="1">
      <s:alignment vertical="top" mc:Ignorable="vyd"/>
    </s:xf>
    <s:xf numFmtId="0" fontId="31" fillId="0" borderId="67" xfId="0" applyFont="1" applyBorder="1"/>
    <s:xf numFmtId="0" fontId="36" fillId="18" borderId="35" xfId="0" applyFont="1" applyFill="1" applyBorder="1" applyAlignment="1">
      <s:alignment horizontal="left" vertical="center" mc:Ignorable="vyd"/>
    </s:xf>
    <s:xf numFmtId="0" fontId="31" fillId="0" borderId="54" xfId="0" applyFont="1" applyBorder="1" applyAlignment="1">
      <s:alignment horizontal="left" vertical="center" mc:Ignorable="vyd"/>
    </s:xf>
    <s:xf numFmtId="0" fontId="31" fillId="0" borderId="53" xfId="0" applyFont="1" applyBorder="1" applyAlignment="1">
      <s:alignment horizontal="left" vertical="center" mc:Ignorable="vyd"/>
    </s:xf>
    <s:xf numFmtId="10" fontId="36" fillId="18" borderId="35" xfId="0" applyNumberFormat="1" applyFont="1" applyFill="1" applyBorder="1" applyAlignment="1">
      <s:alignment horizontal="center" vertical="center" mc:Ignorable="vyd"/>
    </s:xf>
    <s:xf numFmtId="4" fontId="36" fillId="18" borderId="35" xfId="0" applyNumberFormat="1" applyFont="1" applyFill="1" applyBorder="1" applyAlignment="1">
      <s:alignment horizontal="right" vertical="center" wrapText="1" mc:Ignorable="vyd"/>
    </s:xf>
    <s:xf numFmtId="2" fontId="37" fillId="18" borderId="35" xfId="0" applyNumberFormat="1" applyFont="1" applyFill="1" applyBorder="1" applyAlignment="1">
      <s:alignment vertical="center" mc:Ignorable="vyd"/>
    </s:xf>
    <s:xf numFmtId="0" fontId="31" fillId="0" borderId="68" xfId="0" applyFont="1" applyBorder="1"/>
    <s:xf numFmtId="3" fontId="36" fillId="18" borderId="68" xfId="0" applyNumberFormat="1" applyFont="1" applyFill="1" applyBorder="1" applyAlignment="1">
      <s:alignment horizontal="left" vertical="top" mc:Ignorable="vyd"/>
    </s:xf>
    <s:xf numFmtId="166" fontId="31" fillId="0" borderId="68" xfId="0" applyNumberFormat="1" applyFont="1" applyBorder="1"/>
    <s:xf numFmtId="10" fontId="36" fillId="18" borderId="68" xfId="0" applyNumberFormat="1" applyFont="1" applyFill="1" applyBorder="1" applyAlignment="1">
      <s:alignment horizontal="center" vertical="top" mc:Ignorable="vyd"/>
    </s:xf>
    <s:xf numFmtId="2" fontId="21" fillId="0" borderId="69" xfId="0" applyNumberFormat="1" applyFont="1" applyBorder="1" applyAlignment="1">
      <s:alignment horizontal="right" mc:Ignorable="vyd"/>
    </s:xf>
    <s:xf numFmtId="9" fontId="11" fillId="0" borderId="0" xfId="0" applyNumberFormat="1" applyFont="1" applyAlignment="1">
      <s:alignment horizontal="center" vertical="center" mc:Ignorable="vyd"/>
    </s:xf>
    <s:xf numFmtId="0" fontId="6" fillId="0" borderId="89" xfId="0" applyFont="1" applyBorder="1" applyAlignment="1">
      <s:alignment horizontal="center" vertical="center" mc:Ignorable="vyd"/>
    </s:xf>
    <s:xf numFmtId="0" fontId="35" fillId="20" borderId="80" xfId="0" applyFont="1" applyFill="1" applyBorder="1" applyAlignment="1">
      <s:alignment horizontal="center" vertical="center" wrapText="1" mc:Ignorable="vyd"/>
    </s:xf>
    <s:xf numFmtId="0" fontId="35" fillId="20" borderId="38" xfId="0" applyFont="1" applyFill="1" applyBorder="1" applyAlignment="1">
      <s:alignment horizontal="center" vertical="center" wrapText="1" mc:Ignorable="vyd"/>
    </s:xf>
    <s:xf numFmtId="0" fontId="35" fillId="20" borderId="90" xfId="0" applyFont="1" applyFill="1" applyBorder="1" applyAlignment="1">
      <s:alignment horizontal="center" vertical="center" wrapText="1" mc:Ignorable="vyd"/>
    </s:xf>
    <s:xf numFmtId="0" fontId="35" fillId="20" borderId="91" xfId="0" applyFont="1" applyFill="1" applyBorder="1" applyAlignment="1">
      <s:alignment horizontal="center" vertical="center" wrapText="1" mc:Ignorable="vyd"/>
    </s:xf>
    <s:xf numFmtId="0" fontId="35" fillId="20" borderId="92" xfId="0" applyFont="1" applyFill="1" applyBorder="1" applyAlignment="1">
      <s:alignment horizontal="center" vertical="center" wrapText="1" mc:Ignorable="vyd"/>
    </s:xf>
    <s:xf numFmtId="0" fontId="35" fillId="20" borderId="93" xfId="0" applyFont="1" applyFill="1" applyBorder="1" applyAlignment="1">
      <s:alignment horizontal="center" vertical="center" wrapText="1" mc:Ignorable="vyd"/>
    </s:xf>
    <s:xf numFmtId="0" fontId="16" fillId="21" borderId="94" xfId="0" applyFont="1" applyFill="1" applyBorder="1" applyAlignment="1">
      <s:alignment horizontal="left" vertical="top" wrapText="1" mc:Ignorable="vyd"/>
    </s:xf>
    <s:xf numFmtId="0" fontId="16" fillId="21" borderId="70" xfId="0" applyFont="1" applyFill="1" applyBorder="1" applyAlignment="1">
      <s:alignment horizontal="left" vertical="top" wrapText="1" mc:Ignorable="vyd"/>
    </s:xf>
    <s:xf numFmtId="0" fontId="16" fillId="21" borderId="95" xfId="0" applyFont="1" applyFill="1" applyBorder="1" applyAlignment="1">
      <s:alignment horizontal="left" vertical="top" wrapText="1" mc:Ignorable="vyd"/>
    </s:xf>
    <s:xf numFmtId="165" fontId="16" fillId="21" borderId="96" xfId="0" applyNumberFormat="1" applyFont="1" applyFill="1" applyBorder="1" applyAlignment="1">
      <s:alignment horizontal="right" vertical="top" wrapText="1" indent="1" mc:Ignorable="vyd"/>
    </s:xf>
    <s:xf numFmtId="165" fontId="16" fillId="21" borderId="82" xfId="0" applyNumberFormat="1" applyFont="1" applyFill="1" applyBorder="1" applyAlignment="1">
      <s:alignment horizontal="right" vertical="top" wrapText="1" mc:Ignorable="vyd"/>
    </s:xf>
    <s:xf numFmtId="165" fontId="16" fillId="21" borderId="21" xfId="0" applyNumberFormat="1" applyFont="1" applyFill="1" applyBorder="1" applyAlignment="1">
      <s:alignment horizontal="right" vertical="top" wrapText="1" indent="1" mc:Ignorable="vyd"/>
    </s:xf>
    <s:xf numFmtId="165" fontId="16" fillId="21" borderId="46" xfId="0" applyNumberFormat="1" applyFont="1" applyFill="1" applyBorder="1" applyAlignment="1">
      <s:alignment horizontal="right" vertical="top" wrapText="1" indent="1" mc:Ignorable="vyd"/>
    </s:xf>
    <s:xf numFmtId="165" fontId="16" fillId="21" borderId="19" xfId="0" applyNumberFormat="1" applyFont="1" applyFill="1" applyBorder="1" applyAlignment="1">
      <s:alignment horizontal="right" vertical="top" wrapText="1" indent="1" mc:Ignorable="vyd"/>
    </s:xf>
    <s:xf numFmtId="165" fontId="16" fillId="0" borderId="23" xfId="0" applyNumberFormat="1" applyFont="1" applyBorder="1" applyAlignment="1">
      <s:alignment horizontal="right" vertical="top" wrapText="1" indent="1" mc:Ignorable="vyd"/>
    </s:xf>
    <s:xf numFmtId="165" fontId="16" fillId="0" borderId="97" xfId="0" applyNumberFormat="1" applyFont="1" applyBorder="1" applyAlignment="1">
      <s:alignment horizontal="right" vertical="top" wrapText="1" indent="1" mc:Ignorable="vyd"/>
    </s:xf>
    <s:xf numFmtId="165" fontId="16" fillId="21" borderId="82" xfId="0" applyNumberFormat="1" applyFont="1" applyFill="1" applyBorder="1" applyAlignment="1">
      <s:alignment horizontal="right" vertical="top" wrapText="1" indent="1" mc:Ignorable="vyd"/>
    </s:xf>
    <s:xf numFmtId="165" fontId="16" fillId="21" borderId="21" xfId="0" applyNumberFormat="1" applyFont="1" applyFill="1" applyBorder="1" applyAlignment="1">
      <s:alignment horizontal="right" vertical="top" wrapText="1" mc:Ignorable="vyd"/>
    </s:xf>
    <s:xf numFmtId="0" fontId="37" fillId="18" borderId="98" xfId="0" applyFont="1" applyFill="1" applyBorder="1" applyAlignment="1">
      <s:alignment horizontal="left" vertical="top" mc:Ignorable="vyd"/>
    </s:xf>
    <s:xf numFmtId="0" fontId="36" fillId="18" borderId="98" xfId="0" applyFont="1" applyFill="1" applyBorder="1" applyAlignment="1">
      <s:alignment horizontal="left" vertical="top" mc:Ignorable="vyd"/>
    </s:xf>
    <s:xf numFmtId="0" fontId="36" fillId="18" borderId="99" xfId="0" applyFont="1" applyFill="1" applyBorder="1" applyAlignment="1">
      <s:alignment horizontal="center" vertical="center" mc:Ignorable="vyd"/>
    </s:xf>
    <s:xf numFmtId="0" fontId="36" fillId="18" borderId="100" xfId="0" applyFont="1" applyFill="1" applyBorder="1" applyAlignment="1">
      <s:alignment horizontal="center" vertical="center" mc:Ignorable="vyd"/>
    </s:xf>
    <s:xf numFmtId="0" fontId="36" fillId="18" borderId="101" xfId="0" applyFont="1" applyFill="1" applyBorder="1" applyAlignment="1">
      <s:alignment horizontal="center" vertical="center" mc:Ignorable="vyd"/>
    </s:xf>
    <s:xf numFmtId="0" fontId="36" fillId="18" borderId="102" xfId="0" applyFont="1" applyFill="1" applyBorder="1" applyAlignment="1">
      <s:alignment horizontal="center" vertical="center" mc:Ignorable="vyd"/>
    </s:xf>
    <s:xf numFmtId="0" fontId="36" fillId="18" borderId="99" xfId="0" applyFont="1" applyFill="1" applyBorder="1" applyAlignment="1">
      <s:alignment horizontal="left" vertical="top" mc:Ignorable="vyd"/>
    </s:xf>
    <s:xf numFmtId="14" fontId="36" fillId="18" borderId="100" xfId="0" applyNumberFormat="1" applyFont="1" applyFill="1" applyBorder="1" applyAlignment="1">
      <s:alignment horizontal="center" vertical="top" mc:Ignorable="vyd"/>
    </s:xf>
    <s:xf numFmtId="4" fontId="36" fillId="18" borderId="101" xfId="0" applyNumberFormat="1" applyFont="1" applyFill="1" applyBorder="1" applyAlignment="1">
      <s:alignment horizontal="center" vertical="top" mc:Ignorable="vyd"/>
    </s:xf>
    <s:xf numFmtId="4" fontId="36" fillId="18" borderId="102" xfId="0" applyNumberFormat="1" applyFont="1" applyFill="1" applyBorder="1" applyAlignment="1">
      <s:alignment horizontal="center" vertical="top" mc:Ignorable="vyd"/>
    </s:xf>
    <s:xf numFmtId="0" fontId="36" fillId="18" borderId="101" xfId="0" applyFont="1" applyFill="1" applyBorder="1" applyAlignment="1">
      <s:alignment horizontal="left" vertical="top" wrapText="1" mc:Ignorable="vyd"/>
    </s:xf>
    <s:xf numFmtId="0" fontId="36" fillId="18" borderId="102" xfId="0" applyFont="1" applyFill="1" applyBorder="1" applyAlignment="1">
      <s:alignment horizontal="left" vertical="top" wrapText="1" mc:Ignorable="vyd"/>
    </s:xf>
    <s:xf numFmtId="0" fontId="36" fillId="18" borderId="103" xfId="0" applyFont="1" applyFill="1" applyBorder="1" applyAlignment="1">
      <s:alignment horizontal="left" vertical="top" mc:Ignorable="vyd"/>
    </s:xf>
    <s:xf numFmtId="0" fontId="36" fillId="9" borderId="65" xfId="0" applyFont="1" applyFill="1" applyBorder="1" applyAlignment="1">
      <s:alignment horizontal="left" vertical="top" wrapText="1" mc:Ignorable="vyd"/>
    </s:xf>
    <s:xf numFmtId="0" fontId="11" fillId="18" borderId="70" xfId="0" applyFont="1" applyFill="1" applyBorder="1" applyAlignment="1">
      <s:alignment horizontal="left" mc:Ignorable="vyd"/>
    </s:xf>
    <s:xf numFmtId="0" fontId="36" fillId="18" borderId="87" xfId="0" applyFont="1" applyFill="1" applyBorder="1" applyAlignment="1">
      <s:alignment horizontal="center" vertical="center" wrapText="1" mc:Ignorable="vyd"/>
    </s:xf>
    <s:xf numFmtId="0" fontId="36" fillId="18" borderId="100" xfId="0" applyFont="1" applyFill="1" applyBorder="1" applyAlignment="1">
      <s:alignment horizontal="center" vertical="center" wrapText="1" mc:Ignorable="vyd"/>
    </s:xf>
    <s:xf numFmtId="0" fontId="36" fillId="18" borderId="104" xfId="0" applyFont="1" applyFill="1" applyBorder="1" applyAlignment="1">
      <s:alignment horizontal="center" vertical="center" wrapText="1" mc:Ignorable="vyd"/>
    </s:xf>
    <s:xf numFmtId="1" fontId="36" fillId="18" borderId="100" xfId="0" applyNumberFormat="1" applyFont="1" applyFill="1" applyBorder="1" applyAlignment="1">
      <s:alignment horizontal="center" vertical="top" mc:Ignorable="vyd"/>
    </s:xf>
    <s:xf numFmtId="0" fontId="36" fillId="18" borderId="100" xfId="0" applyFont="1" applyFill="1" applyBorder="1" applyAlignment="1">
      <s:alignment horizontal="left" vertical="top" mc:Ignorable="vyd"/>
    </s:xf>
    <s:xf numFmtId="166" fontId="36" fillId="18" borderId="0" xfId="0" applyNumberFormat="1" applyFont="1" applyFill="1" applyAlignment="1">
      <s:alignment horizontal="center" vertical="top" mc:Ignorable="vyd"/>
    </s:xf>
    <s:xf numFmtId="2" fontId="36" fillId="18" borderId="100" xfId="0" applyNumberFormat="1" applyFont="1" applyFill="1" applyBorder="1" applyAlignment="1">
      <s:alignment horizontal="center" vertical="top" mc:Ignorable="vyd"/>
    </s:xf>
    <s:xf numFmtId="4" fontId="37" fillId="18" borderId="100" xfId="0" applyNumberFormat="1" applyFont="1" applyFill="1" applyBorder="1" applyAlignment="1">
      <s:alignment horizontal="right" vertical="top" indent="1" mc:Ignorable="vyd"/>
    </s:xf>
    <s:xf numFmtId="4" fontId="36" fillId="18" borderId="104" xfId="0" applyNumberFormat="1" applyFont="1" applyFill="1" applyBorder="1" applyAlignment="1">
      <s:alignment horizontal="left" vertical="top" mc:Ignorable="vyd"/>
    </s:xf>
    <s:xf numFmtId="166" fontId="36" fillId="18" borderId="100" xfId="0" applyNumberFormat="1" applyFont="1" applyFill="1" applyBorder="1" applyAlignment="1">
      <s:alignment horizontal="center" vertical="center" wrapText="1" mc:Ignorable="vyd"/>
    </s:xf>
    <s:xf numFmtId="0" fontId="36" fillId="18" borderId="26" xfId="0" applyFont="1" applyFill="1" applyBorder="1" applyAlignment="1">
      <s:alignment horizontal="left" vertical="center" wrapText="1" mc:Ignorable="vyd"/>
    </s:xf>
    <s:xf numFmtId="0" fontId="6" fillId="18" borderId="81" xfId="0" applyFont="1" applyFill="1" applyBorder="1" applyAlignment="1">
      <s:alignment horizontal="left" mc:Ignorable="vyd"/>
    </s:xf>
    <s:xf numFmtId="0" fontId="6" fillId="18" borderId="87" xfId="0" applyFont="1" applyFill="1" applyBorder="1" applyAlignment="1">
      <s:alignment horizontal="center" vertical="center" wrapText="1" mc:Ignorable="vyd"/>
    </s:xf>
    <s:xf numFmtId="0" fontId="36" fillId="18" borderId="101" xfId="0" applyFont="1" applyFill="1" applyBorder="1" applyAlignment="1">
      <s:alignment horizontal="center" vertical="center" wrapText="1" mc:Ignorable="vyd"/>
    </s:xf>
    <s:xf numFmtId="0" fontId="36" fillId="18" borderId="102" xfId="0" applyFont="1" applyFill="1" applyBorder="1" applyAlignment="1">
      <s:alignment horizontal="center" vertical="center" wrapText="1" mc:Ignorable="vyd"/>
    </s:xf>
    <s:xf numFmtId="0" fontId="36" fillId="18" borderId="28" xfId="0" applyFont="1" applyFill="1" applyBorder="1" applyAlignment="1">
      <s:alignment horizontal="center" vertical="center" wrapText="1" mc:Ignorable="vyd"/>
    </s:xf>
    <s:xf numFmtId="0" fontId="6" fillId="18" borderId="87" xfId="0" applyFont="1" applyFill="1" applyBorder="1" applyAlignment="1">
      <s:alignment horizontal="left" mc:Ignorable="vyd"/>
    </s:xf>
    <s:xf numFmtId="0" fontId="36" fillId="18" borderId="101" xfId="0" applyFont="1" applyFill="1" applyBorder="1" applyAlignment="1">
      <s:alignment horizontal="left" vertical="top" mc:Ignorable="vyd"/>
    </s:xf>
    <s:xf numFmtId="0" fontId="36" fillId="18" borderId="102" xfId="0" applyFont="1" applyFill="1" applyBorder="1" applyAlignment="1">
      <s:alignment horizontal="left" vertical="top" mc:Ignorable="vyd"/>
    </s:xf>
    <s:xf numFmtId="10" fontId="36" fillId="18" borderId="100" xfId="0" applyNumberFormat="1" applyFont="1" applyFill="1" applyBorder="1" applyAlignment="1">
      <s:alignment horizontal="center" vertical="top" mc:Ignorable="vyd"/>
    </s:xf>
    <s:xf numFmtId="2" fontId="37" fillId="18" borderId="100" xfId="0" applyNumberFormat="1" applyFont="1" applyFill="1" applyBorder="1" applyAlignment="1">
      <s:alignment horizontal="right" vertical="top" indent="1" mc:Ignorable="vyd"/>
    </s:xf>
    <s:xf numFmtId="166" fontId="36" fillId="18" borderId="0" xfId="0" applyNumberFormat="1" applyFont="1" applyFill="1" applyAlignment="1">
      <s:alignment vertical="top" mc:Ignorable="vyd"/>
    </s:xf>
    <s:xf numFmtId="4" fontId="6" fillId="18" borderId="0" xfId="0" applyNumberFormat="1" applyFont="1" applyFill="1" applyAlignment="1">
      <s:alignment vertical="top" mc:Ignorable="vyd"/>
    </s:xf>
    <s:xf numFmtId="0" fontId="36" fillId="18" borderId="101" xfId="0" applyFont="1" applyFill="1" applyBorder="1" applyAlignment="1">
      <s:alignment horizontal="left" vertical="center" mc:Ignorable="vyd"/>
    </s:xf>
    <s:xf numFmtId="0" fontId="36" fillId="18" borderId="102" xfId="0" applyFont="1" applyFill="1" applyBorder="1" applyAlignment="1">
      <s:alignment horizontal="left" vertical="center" mc:Ignorable="vyd"/>
    </s:xf>
    <s:xf numFmtId="4" fontId="36" fillId="18" borderId="100" xfId="0" applyNumberFormat="1" applyFont="1" applyFill="1" applyBorder="1" applyAlignment="1">
      <s:alignment horizontal="right" vertical="center" wrapText="1" mc:Ignorable="vyd"/>
    </s:xf>
    <s:xf numFmtId="0" fontId="36" fillId="18" borderId="26" xfId="0" applyFont="1" applyFill="1" applyBorder="1" applyAlignment="1">
      <s:alignment vertical="center" mc:Ignorable="vyd"/>
    </s:xf>
    <s:xf numFmtId="0" fontId="2" fillId="0" borderId="7" xfId="0" applyFont="1" applyBorder="1"/>
    <s:xf numFmtId="0" fontId="2" fillId="0" borderId="105" xfId="0" applyFont="1" applyBorder="1"/>
    <s:xf numFmtId="0" fontId="2" fillId="0" borderId="8" xfId="0" applyFont="1" applyBorder="1"/>
    <s:xf numFmtId="0" fontId="2" fillId="0" borderId="106" xfId="0" applyFont="1" applyBorder="1"/>
    <s:xf numFmtId="0" fontId="0" fillId="0" borderId="107" xfId="0" applyBorder="1"/>
    <s:xf numFmtId="0" fontId="16" fillId="21" borderId="108" xfId="0" applyFont="1" applyFill="1" applyBorder="1" applyAlignment="1">
      <s:alignment horizontal="left" vertical="top" wrapText="1" mc:Ignorable="vyd"/>
    </s:xf>
    <s:xf numFmtId="0" fontId="16" fillId="21" borderId="109" xfId="0" applyFont="1" applyFill="1" applyBorder="1" applyAlignment="1">
      <s:alignment horizontal="left" vertical="top" wrapText="1" mc:Ignorable="vyd"/>
    </s:xf>
    <s:xf numFmtId="0" fontId="16" fillId="21" borderId="110" xfId="0" applyFont="1" applyFill="1" applyBorder="1" applyAlignment="1">
      <s:alignment horizontal="left" vertical="top" wrapText="1" mc:Ignorable="vyd"/>
    </s:xf>
    <s:xf numFmtId="165" fontId="16" fillId="21" borderId="111" xfId="0" applyNumberFormat="1" applyFont="1" applyFill="1" applyBorder="1" applyAlignment="1">
      <s:alignment horizontal="right" vertical="top" wrapText="1" indent="1" mc:Ignorable="vyd"/>
    </s:xf>
    <s:xf numFmtId="165" fontId="16" fillId="21" borderId="112" xfId="0" applyNumberFormat="1" applyFont="1" applyFill="1" applyBorder="1" applyAlignment="1">
      <s:alignment horizontal="right" vertical="top" wrapText="1" mc:Ignorable="vyd"/>
    </s:xf>
    <s:xf numFmtId="165" fontId="16" fillId="21" borderId="47" xfId="0" applyNumberFormat="1" applyFont="1" applyFill="1" applyBorder="1" applyAlignment="1">
      <s:alignment horizontal="right" vertical="top" wrapText="1" indent="1" mc:Ignorable="vyd"/>
    </s:xf>
    <s:xf numFmtId="165" fontId="16" fillId="21" borderId="66" xfId="0" applyNumberFormat="1" applyFont="1" applyFill="1" applyBorder="1" applyAlignment="1">
      <s:alignment horizontal="right" vertical="top" wrapText="1" indent="1" mc:Ignorable="vyd"/>
    </s:xf>
    <s:xf numFmtId="165" fontId="16" fillId="21" borderId="35" xfId="0" applyNumberFormat="1" applyFont="1" applyFill="1" applyBorder="1" applyAlignment="1">
      <s:alignment horizontal="right" vertical="top" wrapText="1" indent="1" mc:Ignorable="vyd"/>
    </s:xf>
    <s:xf numFmtId="165" fontId="16" fillId="0" borderId="37" xfId="0" applyNumberFormat="1" applyFont="1" applyBorder="1" applyAlignment="1">
      <s:alignment horizontal="right" vertical="top" wrapText="1" indent="1" mc:Ignorable="vyd"/>
    </s:xf>
    <s:xf numFmtId="165" fontId="16" fillId="0" borderId="113" xfId="0" applyNumberFormat="1" applyFont="1" applyBorder="1" applyAlignment="1">
      <s:alignment horizontal="right" vertical="top" wrapText="1" indent="1" mc:Ignorable="vyd"/>
    </s:xf>
    <s:xf numFmtId="165" fontId="16" fillId="21" borderId="112" xfId="0" applyNumberFormat="1" applyFont="1" applyFill="1" applyBorder="1" applyAlignment="1">
      <s:alignment horizontal="right" vertical="top" wrapText="1" indent="1" mc:Ignorable="vyd"/>
    </s:xf>
    <s:xf numFmtId="165" fontId="16" fillId="21" borderId="114" xfId="0" applyNumberFormat="1" applyFont="1" applyFill="1" applyBorder="1" applyAlignment="1">
      <s:alignment horizontal="right" vertical="top" wrapText="1" mc:Ignorable="vyd"/>
    </s:xf>
    <s:xf numFmtId="0" fontId="36" fillId="18" borderId="115" xfId="0" applyFont="1" applyFill="1" applyBorder="1" applyAlignment="1">
      <s:alignment horizontal="left" vertical="top" mc:Ignorable="vyd"/>
    </s:xf>
    <s:xf numFmtId="0" fontId="6" fillId="18" borderId="116" xfId="0" applyFont="1" applyFill="1" applyBorder="1" applyAlignment="1">
      <s:alignment horizontal="left" mc:Ignorable="vyd"/>
    </s:xf>
    <s:xf numFmtId="0" fontId="36" fillId="18" borderId="55" xfId="0" applyFont="1" applyFill="1" applyBorder="1" applyAlignment="1">
      <s:alignment horizontal="center" vertical="center" mc:Ignorable="vyd"/>
    </s:xf>
    <s:xf numFmtId="4" fontId="37" fillId="18" borderId="26" xfId="0" applyNumberFormat="1" applyFont="1" applyFill="1" applyBorder="1" applyAlignment="1">
      <s:alignment horizontal="right" vertical="top" indent="1" mc:Ignorable="vyd"/>
    </s:xf>
    <s:xf numFmtId="166" fontId="36" fillId="18" borderId="26" xfId="0" applyNumberFormat="1" applyFont="1" applyFill="1" applyBorder="1" applyAlignment="1">
      <s:alignment horizontal="center" vertical="center" wrapText="1" mc:Ignorable="vyd"/>
    </s:xf>
    <s:xf numFmtId="2" fontId="36" fillId="18" borderId="26" xfId="0" applyNumberFormat="1" applyFont="1" applyFill="1" applyBorder="1" applyAlignment="1">
      <s:alignment horizontal="center" vertical="top" wrapText="1" mc:Ignorable="vyd"/>
    </s:xf>
    <s:xf numFmtId="4" fontId="37" fillId="18" borderId="26" xfId="0" applyNumberFormat="1" applyFont="1" applyFill="1" applyBorder="1" applyAlignment="1">
      <s:alignment horizontal="right" vertical="top" wrapText="1" indent="1" mc:Ignorable="vyd"/>
    </s:xf>
    <s:xf numFmtId="0" fontId="36" fillId="18" borderId="56" xfId="0" applyFont="1" applyFill="1" applyBorder="1" applyAlignment="1">
      <s:alignment horizontal="center" vertical="center" wrapText="1" mc:Ignorable="vyd"/>
    </s:xf>
    <s:xf numFmtId="0" fontId="36" fillId="18" borderId="27" xfId="0" applyFont="1" applyFill="1" applyBorder="1" applyAlignment="1">
      <s:alignment horizontal="left" vertical="center" mc:Ignorable="vyd"/>
    </s:xf>
    <s:xf numFmtId="0" fontId="36" fillId="18" borderId="25" xfId="0" applyFont="1" applyFill="1" applyBorder="1" applyAlignment="1">
      <s:alignment horizontal="left" vertical="center" mc:Ignorable="vyd"/>
    </s:xf>
    <s:xf numFmtId="2" fontId="19" fillId="18" borderId="28" xfId="0" applyNumberFormat="1" applyFont="1" applyFill="1" applyBorder="1" applyAlignment="1">
      <s:alignment horizontal="right" vertical="top" mc:Ignorable="vyd"/>
    </s:xf>
    <s:xf numFmtId="0" fontId="2" fillId="0" borderId="67" xfId="0" applyFont="1" applyBorder="1"/>
    <s:xf numFmtId="0" fontId="36" fillId="18" borderId="35" xfId="0" applyFont="1" applyFill="1" applyBorder="1" applyAlignment="1">
      <s:alignment horizontal="left" vertical="top" mc:Ignorable="vyd"/>
    </s:xf>
    <s:xf numFmtId="0" fontId="31" fillId="0" borderId="36" xfId="0" applyFont="1" applyBorder="1" applyAlignment="1">
      <s:alignment horizontal="left" vertical="center" mc:Ignorable="vyd"/>
    </s:xf>
    <s:xf numFmtId="0" fontId="31" fillId="0" borderId="34" xfId="0" applyFont="1" applyBorder="1" applyAlignment="1">
      <s:alignment horizontal="left" vertical="center" mc:Ignorable="vyd"/>
    </s:xf>
    <s:xf numFmtId="0" fontId="2" fillId="0" borderId="68" xfId="0" applyFont="1" applyBorder="1"/>
    <s:xf numFmtId="3" fontId="36" fillId="18" borderId="35" xfId="0" applyNumberFormat="1" applyFont="1" applyFill="1" applyBorder="1" applyAlignment="1">
      <s:alignment horizontal="left" vertical="top" mc:Ignorable="vyd"/>
    </s:xf>
    <s:xf numFmtId="0" fontId="31" fillId="0" borderId="35" xfId="0" applyFont="1" applyBorder="1"/>
    <s:xf numFmtId="166" fontId="31" fillId="0" borderId="35" xfId="0" applyNumberFormat="1" applyFont="1" applyBorder="1"/>
    <s:xf numFmtId="10" fontId="36" fillId="18" borderId="35" xfId="0" applyNumberFormat="1" applyFont="1" applyFill="1" applyBorder="1" applyAlignment="1">
      <s:alignment horizontal="center" vertical="top" mc:Ignorable="vyd"/>
    </s:xf>
    <s:xf numFmtId="2" fontId="21" fillId="0" borderId="37" xfId="0" applyNumberFormat="1" applyFont="1" applyBorder="1" applyAlignment="1">
      <s:alignment horizontal="right" mc:Ignorable="vyd"/>
    </s:xf>
    <s:xf numFmtId="0" fontId="16" fillId="18" borderId="117" xfId="0" applyFont="1" applyFill="1" applyBorder="1" applyAlignment="1">
      <s:alignment horizontal="left" vertical="center" wrapText="1" mc:Ignorable="vyd"/>
    </s:xf>
    <s:xf numFmtId="0" fontId="16" fillId="18" borderId="65" xfId="0" applyFont="1" applyFill="1" applyBorder="1" applyAlignment="1">
      <s:alignment horizontal="left" vertical="center" wrapText="1" mc:Ignorable="vyd"/>
    </s:xf>
    <s:xf numFmtId="0" fontId="16" fillId="18" borderId="30" xfId="0" applyFont="1" applyFill="1" applyBorder="1" applyAlignment="1">
      <s:alignment horizontal="left" vertical="center" wrapText="1" mc:Ignorable="vyd"/>
    </s:xf>
    <s:xf numFmtId="0" fontId="16" fillId="19" borderId="29" xfId="0" applyFont="1" applyFill="1" applyBorder="1" applyAlignment="1">
      <s:alignment horizontal="center" vertical="center" mc:Ignorable="vyd"/>
    </s:xf>
    <s:xf numFmtId="0" fontId="6" fillId="0" borderId="8" xfId="0" applyFont="1" applyBorder="1" applyAlignment="1">
      <s:alignment horizontal="center" vertical="center" mc:Ignorable="vyd"/>
    </s:xf>
    <s:xf numFmtId="0" fontId="6" fillId="0" borderId="109" xfId="0" applyFont="1" applyBorder="1" applyAlignment="1">
      <s:alignment horizontal="center" vertical="center" mc:Ignorable="vyd"/>
    </s:xf>
    <s:xf numFmtId="0" fontId="35" fillId="20" borderId="27" xfId="0" applyFont="1" applyFill="1" applyBorder="1" applyAlignment="1">
      <s:alignment horizontal="center" vertical="center" wrapText="1" mc:Ignorable="vyd"/>
    </s:xf>
    <s:xf numFmtId="0" fontId="16" fillId="21" borderId="26" xfId="0" applyFont="1" applyFill="1" applyBorder="1" applyAlignment="1">
      <s:alignment horizontal="left" vertical="top" wrapText="1" mc:Ignorable="vyd"/>
    </s:xf>
    <s:xf numFmtId="165" fontId="16" fillId="21" borderId="26" xfId="0" applyNumberFormat="1" applyFont="1" applyFill="1" applyBorder="1" applyAlignment="1">
      <s:alignment horizontal="right" vertical="top" wrapText="1" indent="1" mc:Ignorable="vyd"/>
    </s:xf>
    <s:xf numFmtId="165" fontId="16" fillId="21" borderId="27" xfId="0" applyNumberFormat="1" applyFont="1" applyFill="1" applyBorder="1" applyAlignment="1">
      <s:alignment horizontal="right" vertical="top" wrapText="1" mc:Ignorable="vyd"/>
    </s:xf>
    <s:xf numFmtId="165" fontId="16" fillId="21" borderId="67" xfId="0" applyNumberFormat="1" applyFont="1" applyFill="1" applyBorder="1" applyAlignment="1">
      <s:alignment horizontal="right" vertical="top" wrapText="1" indent="1" mc:Ignorable="vyd"/>
    </s:xf>
    <s:xf numFmtId="165" fontId="16" fillId="21" borderId="68" xfId="0" applyNumberFormat="1" applyFont="1" applyFill="1" applyBorder="1" applyAlignment="1">
      <s:alignment horizontal="right" vertical="top" wrapText="1" indent="1" mc:Ignorable="vyd"/>
    </s:xf>
    <s:xf numFmtId="165" fontId="16" fillId="0" borderId="69" xfId="0" applyNumberFormat="1" applyFont="1" applyBorder="1" applyAlignment="1">
      <s:alignment horizontal="right" vertical="top" wrapText="1" indent="1" mc:Ignorable="vyd"/>
    </s:xf>
    <s:xf numFmtId="0" fontId="36" fillId="18" borderId="118" xfId="0" applyFont="1" applyFill="1" applyBorder="1" applyAlignment="1">
      <s:alignment horizontal="center" vertical="center" mc:Ignorable="vyd"/>
    </s:xf>
    <s:xf numFmtId="0" fontId="36" fillId="18" borderId="118" xfId="0" applyFont="1" applyFill="1" applyBorder="1" applyAlignment="1">
      <s:alignment horizontal="left" vertical="top" mc:Ignorable="vyd"/>
    </s:xf>
    <s:xf numFmtId="0" fontId="37" fillId="22" borderId="55" xfId="0" applyFont="1" applyFill="1" applyBorder="1" applyAlignment="1">
      <s:alignment horizontal="left" vertical="top" mc:Ignorable="vyd"/>
    </s:xf>
    <s:xf numFmtId="0" fontId="37" fillId="22" borderId="0" xfId="0" applyFont="1" applyFill="1" applyAlignment="1">
      <s:alignment horizontal="left" vertical="top" mc:Ignorable="vyd"/>
    </s:xf>
    <s:xf numFmtId="0" fontId="37" fillId="18" borderId="70" xfId="0" applyFont="1" applyFill="1" applyBorder="1" applyAlignment="1">
      <s:alignment horizontal="left" vertical="top" mc:Ignorable="vyd"/>
    </s:xf>
    <s:xf numFmtId="0" fontId="6" fillId="18" borderId="70" xfId="0" applyFont="1" applyFill="1" applyBorder="1" applyAlignment="1">
      <s:alignment horizontal="left" mc:Ignorable="vyd"/>
    </s:xf>
    <s:xf numFmtId="2" fontId="37" fillId="18" borderId="26" xfId="0" applyNumberFormat="1" applyFont="1" applyFill="1" applyBorder="1" applyAlignment="1">
      <s:alignment horizontal="right" vertical="top" indent="1" mc:Ignorable="vyd"/>
    </s:xf>
    <s:xf numFmtId="0" fontId="36" fillId="18" borderId="56" xfId="0" applyFont="1" applyFill="1" applyBorder="1" applyAlignment="1">
      <s:alignment horizontal="left" vertical="top" mc:Ignorable="vyd"/>
    </s:xf>
    <s:xf numFmtId="0" fontId="36" fillId="18" borderId="26" xfId="0" applyFont="1" applyFill="1" applyBorder="1" applyAlignment="1">
      <s:alignment horizontal="left" vertical="center" mc:Ignorable="vyd"/>
    </s:xf>
    <s:xf numFmtId="0" fontId="35" fillId="20" borderId="119" xfId="0" applyFont="1" applyFill="1" applyBorder="1" applyAlignment="1">
      <s:alignment horizontal="center" vertical="center" wrapText="1" mc:Ignorable="vyd"/>
    </s:xf>
    <s:xf numFmtId="0" fontId="35" fillId="20" borderId="120" xfId="0" applyFont="1" applyFill="1" applyBorder="1" applyAlignment="1">
      <s:alignment horizontal="center" vertical="center" wrapText="1" mc:Ignorable="vyd"/>
    </s:xf>
    <s:xf numFmtId="0" fontId="35" fillId="20" borderId="121" xfId="0" applyFont="1" applyFill="1" applyBorder="1" applyAlignment="1">
      <s:alignment horizontal="center" vertical="center" wrapText="1" mc:Ignorable="vyd"/>
    </s:xf>
    <s:xf numFmtId="0" fontId="35" fillId="20" borderId="0" xfId="0" applyFont="1" applyFill="1" applyAlignment="1">
      <s:alignment horizontal="center" vertical="center" wrapText="1" mc:Ignorable="vyd"/>
    </s:xf>
    <s:xf numFmtId="0" fontId="35" fillId="20" borderId="112" xfId="0" applyFont="1" applyFill="1" applyBorder="1" applyAlignment="1">
      <s:alignment horizontal="center" vertical="center" wrapText="1" mc:Ignorable="vyd"/>
    </s:xf>
    <s:xf numFmtId="0" fontId="35" fillId="20" borderId="122" xfId="0" applyFont="1" applyFill="1" applyBorder="1" applyAlignment="1">
      <s:alignment horizontal="center" vertical="center" wrapText="1" mc:Ignorable="vyd"/>
    </s:xf>
    <s:xf numFmtId="0" fontId="35" fillId="20" borderId="123" xfId="0" applyFont="1" applyFill="1" applyBorder="1" applyAlignment="1">
      <s:alignment horizontal="center" vertical="center" wrapText="1" mc:Ignorable="vyd"/>
    </s:xf>
    <s:xf numFmtId="0" fontId="35" fillId="20" borderId="124" xfId="0" applyFont="1" applyFill="1" applyBorder="1" applyAlignment="1">
      <s:alignment horizontal="center" vertical="center" wrapText="1" mc:Ignorable="vyd"/>
    </s:xf>
    <s:xf numFmtId="0" fontId="35" fillId="20" borderId="42" xfId="0" applyFont="1" applyFill="1" applyBorder="1" applyAlignment="1">
      <s:alignment horizontal="center" vertical="center" wrapText="1" mc:Ignorable="vyd"/>
    </s:xf>
    <s:xf numFmtId="0" fontId="35" fillId="20" borderId="125" xfId="0" applyFont="1" applyFill="1" applyBorder="1" applyAlignment="1">
      <s:alignment horizontal="center" vertical="center" wrapText="1" mc:Ignorable="vyd"/>
    </s:xf>
    <s:xf numFmtId="0" fontId="16" fillId="21" borderId="126" xfId="0" applyFont="1" applyFill="1" applyBorder="1" applyAlignment="1">
      <s:alignment horizontal="left" vertical="top" wrapText="1" mc:Ignorable="vyd"/>
    </s:xf>
    <s:xf numFmtId="0" fontId="16" fillId="21" borderId="127" xfId="0" applyFont="1" applyFill="1" applyBorder="1" applyAlignment="1">
      <s:alignment horizontal="left" vertical="top" wrapText="1" mc:Ignorable="vyd"/>
    </s:xf>
    <s:xf numFmtId="0" fontId="16" fillId="21" borderId="128" xfId="0" applyFont="1" applyFill="1" applyBorder="1" applyAlignment="1">
      <s:alignment horizontal="left" vertical="top" wrapText="1" mc:Ignorable="vyd"/>
    </s:xf>
    <s:xf numFmtId="165" fontId="16" fillId="21" borderId="129" xfId="0" applyNumberFormat="1" applyFont="1" applyFill="1" applyBorder="1" applyAlignment="1">
      <s:alignment horizontal="right" vertical="top" wrapText="1" indent="1" mc:Ignorable="vyd"/>
    </s:xf>
    <s:xf numFmtId="165" fontId="16" fillId="21" borderId="124" xfId="0" applyNumberFormat="1" applyFont="1" applyFill="1" applyBorder="1" applyAlignment="1">
      <s:alignment horizontal="right" vertical="top" wrapText="1" mc:Ignorable="vyd"/>
    </s:xf>
    <s:xf numFmtId="165" fontId="16" fillId="21" borderId="130" xfId="0" applyNumberFormat="1" applyFont="1" applyFill="1" applyBorder="1" applyAlignment="1">
      <s:alignment horizontal="right" vertical="top" wrapText="1" indent="1" mc:Ignorable="vyd"/>
    </s:xf>
    <s:xf numFmtId="165" fontId="16" fillId="0" borderId="123" xfId="0" applyNumberFormat="1" applyFont="1" applyBorder="1" applyAlignment="1">
      <s:alignment horizontal="right" vertical="top" wrapText="1" indent="1" mc:Ignorable="vyd"/>
    </s:xf>
    <s:xf numFmtId="165" fontId="16" fillId="21" borderId="124" xfId="0" applyNumberFormat="1" applyFont="1" applyFill="1" applyBorder="1" applyAlignment="1">
      <s:alignment horizontal="right" vertical="top" wrapText="1" indent="1" mc:Ignorable="vyd"/>
    </s:xf>
    <s:xf numFmtId="165" fontId="16" fillId="21" borderId="125" xfId="0" applyNumberFormat="1" applyFont="1" applyFill="1" applyBorder="1" applyAlignment="1">
      <s:alignment horizontal="right" vertical="top" wrapText="1" mc:Ignorable="vyd"/>
    </s:xf>
    <s:xf numFmtId="0" fontId="16" fillId="23" borderId="131" xfId="0" applyFont="1" applyFill="1" applyBorder="1" applyProtection="1">
      <s:protection locked="0"/>
    </s:xf>
    <s:xf numFmtId="167" fontId="39" fillId="24" borderId="132" xfId="0" applyNumberFormat="1" applyFont="1" applyFill="1" applyBorder="1" applyAlignment="1" applyProtection="1">
      <s:alignment horizontal="left" mc:Ignorable="vyd"/>
      <s:protection locked="0"/>
    </s:xf>
    <s:xf numFmtId="0" fontId="35" fillId="23" borderId="133" xfId="0" applyFont="1" applyFill="1" applyBorder="1" applyProtection="1">
      <s:protection locked="0"/>
    </s:xf>
    <s:xf numFmtId="0" fontId="40" fillId="24" borderId="134" xfId="0" applyFont="1" applyFill="1" applyBorder="1" applyProtection="1">
      <s:protection locked="0"/>
    </s:xf>
    <s:xf numFmtId="0" fontId="35" fillId="23" borderId="0" xfId="0" applyFont="1" applyFill="1" applyProtection="1">
      <s:protection locked="0"/>
    </s:xf>
    <s:xf numFmtId="0" fontId="41" fillId="24" borderId="134" xfId="0" applyFont="1" applyFill="1" applyBorder="1" applyProtection="1">
      <s:protection locked="0"/>
    </s:xf>
    <s:xf numFmtId="0" fontId="40" fillId="24" borderId="135" xfId="0" applyFont="1" applyFill="1" applyBorder="1" applyProtection="1">
      <s:protection locked="0"/>
    </s:xf>
    <s:xf numFmtId="0" fontId="42" fillId="23" borderId="136" xfId="0" applyFont="1" applyFill="1" applyBorder="1" applyAlignment="1" applyProtection="1">
      <s:alignment horizontal="center" mc:Ignorable="vyd"/>
      <s:protection locked="0"/>
    </s:xf>
    <s:xf numFmtId="0" fontId="42" fillId="23" borderId="137" xfId="0" applyFont="1" applyFill="1" applyBorder="1" applyAlignment="1" applyProtection="1">
      <s:alignment horizontal="center" mc:Ignorable="vyd"/>
      <s:protection locked="0"/>
    </s:xf>
    <s:xf numFmtId="3" fontId="43" fillId="25" borderId="136" xfId="0" applyNumberFormat="1" applyFont="1" applyFill="1" applyBorder="1" applyAlignment="1" applyProtection="1">
      <s:alignment horizontal="center" mc:Ignorable="vyd"/>
      <s:protection locked="0"/>
    </s:xf>
    <s:xf numFmtId="3" fontId="43" fillId="25" borderId="138" xfId="0" applyNumberFormat="1" applyFont="1" applyFill="1" applyBorder="1" applyAlignment="1" applyProtection="1">
      <s:alignment horizontal="center" mc:Ignorable="vyd"/>
      <s:protection locked="0"/>
    </s:xf>
    <s:xf numFmtId="3" fontId="43" fillId="25" borderId="137" xfId="0" applyNumberFormat="1" applyFont="1" applyFill="1" applyBorder="1" applyAlignment="1" applyProtection="1">
      <s:alignment horizontal="center" mc:Ignorable="vyd"/>
      <s:protection locked="0"/>
    </s:xf>
    <s:xf numFmtId="0" fontId="16" fillId="23" borderId="139" xfId="0" applyFont="1" applyFill="1" applyBorder="1" applyAlignment="1" applyProtection="1">
      <s:alignment horizontal="center" wrapText="1" mc:Ignorable="vyd"/>
      <s:protection locked="0"/>
    </s:xf>
    <s:xf numFmtId="0" fontId="35" fillId="23" borderId="136" xfId="0" applyFont="1" applyFill="1" applyBorder="1" applyAlignment="1" applyProtection="1">
      <s:alignment horizontal="left" wrapText="1" mc:Ignorable="vyd"/>
      <s:protection locked="0"/>
    </s:xf>
    <s:xf numFmtId="0" fontId="35" fillId="23" borderId="138" xfId="0" applyFont="1" applyFill="1" applyBorder="1" applyAlignment="1" applyProtection="1">
      <s:alignment horizontal="left" wrapText="1" mc:Ignorable="vyd"/>
      <s:protection locked="0"/>
    </s:xf>
    <s:xf numFmtId="0" fontId="35" fillId="23" borderId="137" xfId="0" applyFont="1" applyFill="1" applyBorder="1" applyAlignment="1" applyProtection="1">
      <s:alignment horizontal="left" wrapText="1" mc:Ignorable="vyd"/>
      <s:protection locked="0"/>
    </s:xf>
    <s:xf numFmtId="0" fontId="16" fillId="25" borderId="140" xfId="0" applyFont="1" applyFill="1" applyBorder="1" applyAlignment="1" applyProtection="1">
      <s:alignment horizontal="center" mc:Ignorable="vyd"/>
      <s:protection locked="0"/>
    </s:xf>
    <s:xf numFmtId="0" fontId="35" fillId="26" borderId="0" xfId="0" applyFont="1" applyFill="1" applyProtection="1">
      <s:protection locked="0"/>
    </s:xf>
    <s:xf numFmtId="0" fontId="16" fillId="23" borderId="141" xfId="0" applyFont="1" applyFill="1" applyBorder="1" applyProtection="1">
      <s:protection locked="0"/>
    </s:xf>
    <s:xf numFmtId="2" fontId="16" fillId="23" borderId="139" xfId="1" applyNumberFormat="1" applyFont="1" applyFill="1" applyBorder="1" applyAlignment="1" applyProtection="1">
      <s:alignment horizontal="center" mc:Ignorable="vyd"/>
      <s:protection locked="0"/>
    </s:xf>
    <s:xf numFmtId="0" fontId="35" fillId="23" borderId="133" xfId="0" applyFont="1" applyFill="1" applyBorder="1" applyAlignment="1" applyProtection="1">
      <s:alignment horizontal="left" wrapText="1" mc:Ignorable="vyd"/>
      <s:protection locked="0"/>
    </s:xf>
    <s:xf numFmtId="3" fontId="44" fillId="25" borderId="142" xfId="0" applyNumberFormat="1" applyFont="1" applyFill="1" applyBorder="1" applyAlignment="1" applyProtection="1">
      <s:alignment horizontal="center" mc:Ignorable="vyd"/>
      <s:protection hidden="1"/>
    </s:xf>
    <s:xf numFmtId="10" fontId="35" fillId="26" borderId="0" xfId="0" applyNumberFormat="1" applyFont="1" applyFill="1" applyProtection="1">
      <s:protection locked="0"/>
    </s:xf>
    <s:xf numFmtId="0" fontId="16" fillId="23" borderId="136" xfId="0" applyFont="1" applyFill="1" applyBorder="1"/>
    <s:xf numFmtId="0" fontId="35" fillId="23" borderId="138" xfId="0" applyFont="1" applyFill="1" applyBorder="1"/>
    <s:xf numFmtId="0" fontId="13" fillId="23" borderId="143" xfId="0" applyFont="1" applyFill="1" applyBorder="1"/>
    <s:xf numFmtId="0" fontId="13" fillId="27" borderId="144" xfId="0" applyFont="1" applyFill="1" applyBorder="1" applyProtection="1">
      <s:protection locked="0"/>
    </s:xf>
    <s:xf numFmtId="0" fontId="13" fillId="27" borderId="145" xfId="0" applyFont="1" applyFill="1" applyBorder="1" applyProtection="1">
      <s:protection locked="0"/>
    </s:xf>
    <s:xf numFmtId="0" fontId="13" fillId="27" borderId="14" xfId="0" applyFont="1" applyFill="1" applyBorder="1" applyProtection="1">
      <s:protection locked="0"/>
    </s:xf>
    <s:xf numFmtId="0" fontId="13" fillId="27" borderId="146" xfId="0" applyFont="1" applyFill="1" applyBorder="1" applyProtection="1">
      <s:protection locked="0"/>
    </s:xf>
    <s:xf numFmtId="0" fontId="13" fillId="27" borderId="147" xfId="0" applyFont="1" applyFill="1" applyBorder="1" applyProtection="1">
      <s:protection locked="0"/>
    </s:xf>
    <s:xf numFmtId="0" fontId="35" fillId="28" borderId="148" xfId="0" applyFont="1" applyFill="1" applyBorder="1"/>
    <s:xf numFmtId="0" fontId="16" fillId="29" borderId="148" xfId="0" applyFont="1" applyFill="1" applyBorder="1" applyAlignment="1" applyProtection="1">
      <s:alignment horizontal="center" vertical="center" wrapText="1" mc:Ignorable="vyd"/>
      <s:protection hidden="1"/>
    </s:xf>
    <s:xf numFmtId="0" fontId="16" fillId="29" borderId="149" xfId="0" applyFont="1" applyFill="1" applyBorder="1" applyAlignment="1" applyProtection="1">
      <s:alignment horizontal="center" vertical="center" wrapText="1" mc:Ignorable="vyd"/>
      <s:protection hidden="1"/>
    </s:xf>
    <s:xf numFmtId="0" fontId="44" fillId="26" borderId="149" xfId="0" applyFont="1" applyFill="1" applyBorder="1" applyAlignment="1" applyProtection="1">
      <s:alignment horizontal="center" vertical="center" wrapText="1" mc:Ignorable="vyd"/>
      <s:protection hidden="1"/>
    </s:xf>
    <s:xf numFmtId="0" fontId="16" fillId="23" borderId="131" xfId="0" applyFont="1" applyFill="1" applyBorder="1"/>
    <s:xf numFmtId="0" fontId="35" fillId="23" borderId="0" xfId="0" applyFont="1" applyFill="1"/>
    <s:xf numFmtId="0" fontId="35" fillId="23" borderId="150" xfId="0" applyFont="1" applyFill="1" applyBorder="1"/>
    <s:xf numFmtId="0" fontId="35" fillId="23" borderId="151" xfId="0" applyFont="1" applyFill="1" applyBorder="1" applyProtection="1">
      <s:protection locked="0"/>
    </s:xf>
    <s:xf numFmtId="0" fontId="35" fillId="23" borderId="152" xfId="0" applyFont="1" applyFill="1" applyBorder="1" applyProtection="1">
      <s:protection locked="0"/>
    </s:xf>
    <s:xf numFmtId="0" fontId="35" fillId="23" borderId="153" xfId="0" applyFont="1" applyFill="1" applyBorder="1" applyProtection="1">
      <s:protection locked="0"/>
    </s:xf>
    <s:xf numFmtId="0" fontId="35" fillId="28" borderId="151" xfId="0" applyFont="1" applyFill="1" applyBorder="1"/>
    <s:xf numFmtId="0" fontId="16" fillId="29" borderId="151" xfId="0" applyFont="1" applyFill="1" applyBorder="1" applyAlignment="1" applyProtection="1">
      <s:alignment horizontal="center" vertical="center" wrapText="1" mc:Ignorable="vyd"/>
      <s:protection hidden="1"/>
    </s:xf>
    <s:xf numFmtId="0" fontId="44" fillId="26" borderId="151" xfId="0" applyFont="1" applyFill="1" applyBorder="1" applyAlignment="1" applyProtection="1">
      <s:alignment horizontal="center" vertical="center" wrapText="1" mc:Ignorable="vyd"/>
      <s:protection hidden="1"/>
    </s:xf>
    <s:xf numFmtId="0" fontId="16" fillId="23" borderId="154" xfId="0" applyFont="1" applyFill="1" applyBorder="1" applyAlignment="1">
      <s:alignment vertical="center" wrapText="1" mc:Ignorable="vyd"/>
    </s:xf>
    <s:xf numFmtId="0" fontId="16" fillId="23" borderId="155" xfId="0" applyFont="1" applyFill="1" applyBorder="1" applyAlignment="1">
      <s:alignment horizontal="center" vertical="center" mc:Ignorable="vyd"/>
    </s:xf>
    <s:xf numFmtId="0" fontId="44" fillId="23" borderId="143" xfId="0" applyFont="1" applyFill="1" applyBorder="1" applyAlignment="1">
      <s:alignment horizontal="center" vertical="center" mc:Ignorable="vyd"/>
    </s:xf>
    <s:xf numFmtId="0" fontId="44" fillId="23" borderId="144" xfId="0" applyFont="1" applyFill="1" applyBorder="1" applyAlignment="1" applyProtection="1">
      <s:alignment horizontal="center" vertical="center" mc:Ignorable="vyd"/>
      <s:protection locked="0"/>
    </s:xf>
    <s:xf numFmtId="0" fontId="44" fillId="23" borderId="145" xfId="0" applyFont="1" applyFill="1" applyBorder="1" applyAlignment="1" applyProtection="1">
      <s:alignment horizontal="center" vertical="center" mc:Ignorable="vyd"/>
      <s:protection locked="0"/>
    </s:xf>
    <s:xf numFmtId="0" fontId="44" fillId="23" borderId="146" xfId="0" applyFont="1" applyFill="1" applyBorder="1" applyAlignment="1" applyProtection="1">
      <s:alignment horizontal="center" vertical="center" mc:Ignorable="vyd"/>
      <s:protection locked="0"/>
    </s:xf>
    <s:xf numFmtId="0" fontId="44" fillId="28" borderId="144" xfId="0" applyFont="1" applyFill="1" applyBorder="1" applyAlignment="1">
      <s:alignment horizontal="center" vertical="center" mc:Ignorable="vyd"/>
    </s:xf>
    <s:xf numFmtId="0" fontId="16" fillId="29" borderId="144" xfId="0" applyFont="1" applyFill="1" applyBorder="1" applyAlignment="1" applyProtection="1">
      <s:alignment horizontal="center" vertical="center" wrapText="1" mc:Ignorable="vyd"/>
      <s:protection hidden="1"/>
    </s:xf>
    <s:xf numFmtId="0" fontId="16" fillId="29" borderId="156" xfId="0" applyFont="1" applyFill="1" applyBorder="1" applyAlignment="1" applyProtection="1">
      <s:alignment horizontal="center" vertical="center" wrapText="1" mc:Ignorable="vyd"/>
      <s:protection hidden="1"/>
    </s:xf>
    <s:xf numFmtId="0" fontId="16" fillId="29" borderId="157" xfId="0" applyFont="1" applyFill="1" applyBorder="1" applyAlignment="1" applyProtection="1">
      <s:alignment horizontal="center" vertical="center" wrapText="1" mc:Ignorable="vyd"/>
      <s:protection hidden="1"/>
    </s:xf>
    <s:xf numFmtId="0" fontId="16" fillId="29" borderId="158" xfId="0" applyFont="1" applyFill="1" applyBorder="1" applyAlignment="1" applyProtection="1">
      <s:alignment horizontal="center" vertical="center" wrapText="1" mc:Ignorable="vyd"/>
      <s:protection hidden="1"/>
    </s:xf>
    <s:xf numFmtId="0" fontId="44" fillId="26" borderId="158" xfId="0" applyFont="1" applyFill="1" applyBorder="1" applyAlignment="1" applyProtection="1">
      <s:alignment horizontal="center" vertical="center" wrapText="1" mc:Ignorable="vyd"/>
      <s:protection hidden="1"/>
    </s:xf>
    <s:xf numFmtId="0" fontId="16" fillId="23" borderId="159" xfId="0" applyFont="1" applyFill="1" applyBorder="1" applyProtection="1">
      <s:protection locked="0"/>
    </s:xf>
    <s:xf numFmtId="0" fontId="35" fillId="0" borderId="159" xfId="0" applyFont="1" applyBorder="1" applyProtection="1">
      <s:protection locked="0"/>
    </s:xf>
    <s:xf numFmtId="0" fontId="35" fillId="0" borderId="160" xfId="0" applyFont="1" applyBorder="1" applyProtection="1">
      <s:protection locked="0"/>
    </s:xf>
    <s:xf numFmtId="0" fontId="35" fillId="0" borderId="161" xfId="0" applyFont="1" applyBorder="1" applyProtection="1">
      <s:protection locked="0"/>
    </s:xf>
    <s:xf numFmtId="0" fontId="2" fillId="0" borderId="159" xfId="0" applyFont="1" applyBorder="1" applyProtection="1">
      <s:protection locked="0"/>
    </s:xf>
    <s:xf numFmtId="0" fontId="35" fillId="0" borderId="162" xfId="0" applyFont="1" applyBorder="1" applyProtection="1">
      <s:protection locked="0"/>
    </s:xf>
    <s:xf numFmtId="3" fontId="35" fillId="28" borderId="26" xfId="0" applyNumberFormat="1" applyFont="1" applyFill="1" applyBorder="1" applyAlignment="1" applyProtection="1">
      <s:alignment horizontal="center" mc:Ignorable="vyd"/>
      <s:protection hidden="1"/>
    </s:xf>
    <s:xf numFmtId="4" fontId="35" fillId="29" borderId="163" xfId="0" applyNumberFormat="1" applyFont="1" applyFill="1" applyBorder="1" applyAlignment="1" applyProtection="1">
      <s:alignment horizontal="center" mc:Ignorable="vyd"/>
      <s:protection hidden="1"/>
    </s:xf>
    <s:xf numFmtId="3" fontId="35" fillId="29" borderId="159" xfId="0" applyNumberFormat="1" applyFont="1" applyFill="1" applyBorder="1" applyAlignment="1" applyProtection="1">
      <s:alignment horizontal="center" mc:Ignorable="vyd"/>
      <s:protection hidden="1"/>
    </s:xf>
    <s:xf numFmtId="3" fontId="35" fillId="0" borderId="159" xfId="0" applyNumberFormat="1" applyFont="1" applyBorder="1" applyAlignment="1" applyProtection="1">
      <s:alignment horizontal="center" mc:Ignorable="vyd"/>
      <s:protection hidden="1"/>
    </s:xf>
    <s:xf numFmtId="0" fontId="16" fillId="23" borderId="164" xfId="0" applyFont="1" applyFill="1" applyBorder="1" applyProtection="1">
      <s:protection locked="0"/>
    </s:xf>
    <s:xf numFmtId="0" fontId="35" fillId="0" borderId="164" xfId="0" applyFont="1" applyBorder="1" applyProtection="1">
      <s:protection locked="0"/>
    </s:xf>
    <s:xf numFmtId="0" fontId="35" fillId="0" borderId="165" xfId="0" applyFont="1" applyBorder="1" applyProtection="1">
      <s:protection locked="0"/>
    </s:xf>
    <s:xf numFmtId="0" fontId="35" fillId="0" borderId="163" xfId="0" applyFont="1" applyBorder="1" applyProtection="1">
      <s:protection locked="0"/>
    </s:xf>
    <s:xf numFmtId="0" fontId="2" fillId="0" borderId="164" xfId="0" applyFont="1" applyBorder="1" applyProtection="1">
      <s:protection locked="0"/>
    </s:xf>
    <s:xf numFmtId="0" fontId="35" fillId="0" borderId="166" xfId="0" applyFont="1" applyBorder="1" applyProtection="1">
      <s:protection locked="0"/>
    </s:xf>
    <s:xf numFmtId="3" fontId="35" fillId="29" borderId="164" xfId="0" applyNumberFormat="1" applyFont="1" applyFill="1" applyBorder="1" applyAlignment="1" applyProtection="1">
      <s:alignment horizontal="center" mc:Ignorable="vyd"/>
      <s:protection hidden="1"/>
    </s:xf>
    <s:xf numFmtId="3" fontId="35" fillId="0" borderId="164" xfId="0" applyNumberFormat="1" applyFont="1" applyBorder="1" applyAlignment="1" applyProtection="1">
      <s:alignment horizontal="center" mc:Ignorable="vyd"/>
      <s:protection hidden="1"/>
    </s:xf>
    <s:xf numFmtId="0" fontId="35" fillId="9" borderId="164" xfId="0" applyFont="1" applyFill="1" applyBorder="1" applyProtection="1">
      <s:protection locked="0"/>
    </s:xf>
    <s:xf numFmtId="0" fontId="45" fillId="0" borderId="164" xfId="0" applyFont="1" applyBorder="1" applyProtection="1">
      <s:protection locked="0"/>
    </s:xf>
    <s:xf numFmtId="0" fontId="45" fillId="9" borderId="164" xfId="0" applyFont="1" applyFill="1" applyBorder="1" applyProtection="1">
      <s:protection locked="0"/>
    </s:xf>
    <s:xf numFmtId="0" fontId="46" fillId="0" borderId="26" xfId="0" applyFont="1" applyBorder="1"/>
    <s:xf numFmtId="0" fontId="46" fillId="0" borderId="167" xfId="0" applyFont="1" applyBorder="1" applyProtection="1">
      <s:protection locked="0"/>
    </s:xf>
    <s:xf numFmtId="0" fontId="46" fillId="0" borderId="29" xfId="0" applyFont="1" applyBorder="1"/>
    <s:xf numFmtId="0" fontId="46" fillId="30" borderId="26" xfId="0" applyFont="1" applyFill="1" applyBorder="1"/>
    <s:xf numFmtId="0" fontId="46" fillId="30" borderId="29" xfId="0" applyFont="1" applyFill="1" applyBorder="1"/>
    <s:xf numFmtId="0" fontId="46" fillId="30" borderId="167" xfId="0" applyFont="1" applyFill="1" applyBorder="1" applyProtection="1">
      <s:protection locked="0"/>
    </s:xf>
    <s:xf numFmtId="0" fontId="46" fillId="30" borderId="31" xfId="0" applyFont="1" applyFill="1" applyBorder="1"/>
    <s:xf numFmtId="0" fontId="46" fillId="0" borderId="164" xfId="0" applyFont="1" applyBorder="1" applyProtection="1">
      <s:protection locked="0"/>
    </s:xf>
    <s:xf numFmtId="0" fontId="46" fillId="0" borderId="26" xfId="0" applyFont="1" applyBorder="1" applyProtection="1">
      <s:protection locked="0"/>
    </s:xf>
    <s:xf numFmtId="0" fontId="46" fillId="30" borderId="70" xfId="0" applyFont="1" applyFill="1" applyBorder="1" applyProtection="1">
      <s:protection locked="0"/>
    </s:xf>
    <s:xf numFmtId="0" fontId="46" fillId="30" borderId="26" xfId="0" applyFont="1" applyFill="1" applyBorder="1" applyProtection="1">
      <s:protection locked="0"/>
    </s:xf>
    <s:xf numFmtId="0" fontId="35" fillId="30" borderId="26" xfId="0" applyFont="1" applyFill="1" applyBorder="1" applyProtection="1">
      <s:protection locked="0"/>
    </s:xf>
    <s:xf numFmtId="3" fontId="35" fillId="28" borderId="25" xfId="0" applyNumberFormat="1" applyFont="1" applyFill="1" applyBorder="1" applyAlignment="1" applyProtection="1">
      <s:alignment horizontal="center" mc:Ignorable="vyd"/>
      <s:protection hidden="1"/>
    </s:xf>
    <s:xf numFmtId="0" fontId="46" fillId="9" borderId="26" xfId="0" applyFont="1" applyFill="1" applyBorder="1"/>
    <s:xf numFmtId="0" fontId="46" fillId="31" borderId="29" xfId="0" applyFont="1" applyFill="1" applyBorder="1" applyProtection="1">
      <s:protection locked="0"/>
    </s:xf>
    <s:xf numFmtId="0" fontId="46" fillId="32" borderId="29" xfId="0" applyFont="1" applyFill="1" applyBorder="1" applyProtection="1">
      <s:protection locked="0"/>
    </s:xf>
    <s:xf numFmtId="0" fontId="46" fillId="32" borderId="26" xfId="0" applyFont="1" applyFill="1" applyBorder="1" applyProtection="1">
      <s:protection locked="0"/>
    </s:xf>
    <s:xf numFmtId="0" fontId="46" fillId="9" borderId="0" xfId="0" applyFont="1" applyFill="1"/>
    <s:xf numFmtId="0" fontId="46" fillId="32" borderId="74" xfId="0" applyFont="1" applyFill="1" applyBorder="1" applyProtection="1">
      <s:protection locked="0"/>
    </s:xf>
    <s:xf numFmtId="0" fontId="46" fillId="31" borderId="26" xfId="0" applyFont="1" applyFill="1" applyBorder="1" applyProtection="1">
      <s:protection locked="0"/>
    </s:xf>
    <s:xf numFmtId="0" fontId="46" fillId="9" borderId="40" xfId="0" applyFont="1" applyFill="1" applyBorder="1"/>
    <s:xf numFmtId="0" fontId="46" fillId="32" borderId="22" xfId="0" applyFont="1" applyFill="1" applyBorder="1" applyProtection="1">
      <s:protection locked="0"/>
    </s:xf>
    <s:xf numFmtId="0" fontId="46" fillId="32" borderId="168" xfId="0" applyFont="1" applyFill="1" applyBorder="1" applyProtection="1">
      <s:protection locked="0"/>
    </s:xf>
    <s:xf numFmtId="0" fontId="46" fillId="33" borderId="26" xfId="0" applyFont="1" applyFill="1" applyBorder="1"/>
    <s:xf numFmtId="0" fontId="46" fillId="33" borderId="0" xfId="0" applyFont="1" applyFill="1"/>
    <s:xf numFmtId="0" fontId="46" fillId="34" borderId="26" xfId="0" applyFont="1" applyFill="1" applyBorder="1"/>
    <s:xf numFmtId="0" fontId="46" fillId="9" borderId="29" xfId="0" applyFont="1" applyFill="1" applyBorder="1"/>
    <s:xf numFmtId="0" fontId="46" fillId="31" borderId="27" xfId="0" applyFont="1" applyFill="1" applyBorder="1" applyProtection="1">
      <s:protection locked="0"/>
    </s:xf>
    <s:xf numFmtId="0" fontId="46" fillId="32" borderId="77" xfId="0" applyFont="1" applyFill="1" applyBorder="1" applyProtection="1">
      <s:protection locked="0"/>
    </s:xf>
    <s:xf numFmtId="0" fontId="46" fillId="9" borderId="31" xfId="0" applyFont="1" applyFill="1" applyBorder="1"/>
    <s:xf numFmtId="0" fontId="46" fillId="0" borderId="0" xfId="0" applyFont="1"/>
    <s:xf numFmtId="0" fontId="46" fillId="35" borderId="26" xfId="0" applyFont="1" applyFill="1" applyBorder="1"/>
    <s:xf numFmtId="0" fontId="46" fillId="9" borderId="27" xfId="0" applyFont="1" applyFill="1" applyBorder="1"/>
    <s:xf numFmtId="0" fontId="46" fillId="36" borderId="26" xfId="0" applyFont="1" applyFill="1" applyBorder="1"/>
    <s:xf numFmtId="0" fontId="45" fillId="23" borderId="169" xfId="0" applyFont="1" applyFill="1" applyBorder="1" applyProtection="1">
      <s:protection locked="0"/>
    </s:xf>
    <s:xf numFmtId="0" fontId="46" fillId="0" borderId="170" xfId="0" applyFont="1" applyBorder="1" applyProtection="1">
      <s:protection locked="0"/>
    </s:xf>
    <s:xf numFmtId="0" fontId="46" fillId="37" borderId="26" xfId="0" applyFont="1" applyFill="1" applyBorder="1"/>
    <s:xf numFmtId="0" fontId="46" fillId="30" borderId="19" xfId="0" applyFont="1" applyFill="1" applyBorder="1"/>
    <s:xf numFmtId="0" fontId="46" fillId="37" borderId="19" xfId="0" applyFont="1" applyFill="1" applyBorder="1"/>
    <s:xf numFmtId="0" fontId="46" fillId="32" borderId="19" xfId="0" applyFont="1" applyFill="1" applyBorder="1" applyProtection="1">
      <s:protection locked="0"/>
    </s:xf>
    <s:xf numFmtId="0" fontId="46" fillId="32" borderId="38" xfId="0" applyFont="1" applyFill="1" applyBorder="1" applyProtection="1">
      <s:protection locked="0"/>
    </s:xf>
    <s:xf numFmtId="0" fontId="46" fillId="32" borderId="41" xfId="0" applyFont="1" applyFill="1" applyBorder="1" applyProtection="1">
      <s:protection locked="0"/>
    </s:xf>
    <s:xf numFmtId="0" fontId="46" fillId="37" borderId="25" xfId="0" applyFont="1" applyFill="1" applyBorder="1"/>
    <s:xf numFmtId="0" fontId="46" fillId="30" borderId="25" xfId="0" applyFont="1" applyFill="1" applyBorder="1"/>
    <s:xf numFmtId="3" fontId="35" fillId="28" borderId="30" xfId="0" applyNumberFormat="1" applyFont="1" applyFill="1" applyBorder="1" applyAlignment="1" applyProtection="1">
      <s:alignment horizontal="center" mc:Ignorable="vyd"/>
      <s:protection hidden="1"/>
    </s:xf>
    <s:xf numFmtId="4" fontId="35" fillId="29" borderId="171" xfId="0" applyNumberFormat="1" applyFont="1" applyFill="1" applyBorder="1" applyAlignment="1" applyProtection="1">
      <s:alignment horizontal="center" mc:Ignorable="vyd"/>
      <s:protection hidden="1"/>
    </s:xf>
    <s:xf numFmtId="3" fontId="35" fillId="29" borderId="167" xfId="0" applyNumberFormat="1" applyFont="1" applyFill="1" applyBorder="1" applyAlignment="1" applyProtection="1">
      <s:alignment horizontal="center" mc:Ignorable="vyd"/>
      <s:protection hidden="1"/>
    </s:xf>
    <s:xf numFmtId="3" fontId="35" fillId="0" borderId="167" xfId="0" applyNumberFormat="1" applyFont="1" applyBorder="1" applyAlignment="1" applyProtection="1">
      <s:alignment horizontal="center" mc:Ignorable="vyd"/>
      <s:protection hidden="1"/>
    </s:xf>
    <s:xf numFmtId="3" fontId="16" fillId="38" borderId="172" xfId="0" applyNumberFormat="1" applyFont="1" applyFill="1" applyBorder="1" applyAlignment="1" applyProtection="1">
      <s:alignment horizontal="center" mc:Ignorable="vyd"/>
      <s:protection locked="0" hidden="1"/>
    </s:xf>
    <s:xf numFmtId="3" fontId="16" fillId="28" borderId="144" xfId="0" applyNumberFormat="1" applyFont="1" applyFill="1" applyBorder="1" applyAlignment="1" applyProtection="1">
      <s:alignment horizontal="center" mc:Ignorable="vyd"/>
      <s:protection locked="0" hidden="1"/>
    </s:xf>
    <s:xf numFmtId="3" fontId="16" fillId="28" borderId="145" xfId="0" applyNumberFormat="1" applyFont="1" applyFill="1" applyBorder="1" applyAlignment="1" applyProtection="1">
      <s:alignment horizontal="center" mc:Ignorable="vyd"/>
      <s:protection locked="0" hidden="1"/>
    </s:xf>
    <s:xf numFmtId="3" fontId="16" fillId="28" borderId="146" xfId="0" applyNumberFormat="1" applyFont="1" applyFill="1" applyBorder="1" applyAlignment="1" applyProtection="1">
      <s:alignment horizontal="center" mc:Ignorable="vyd"/>
      <s:protection locked="0" hidden="1"/>
    </s:xf>
    <s:xf numFmtId="3" fontId="16" fillId="28" borderId="144" xfId="0" applyNumberFormat="1" applyFont="1" applyFill="1" applyBorder="1" applyAlignment="1" applyProtection="1">
      <s:alignment horizontal="center" mc:Ignorable="vyd"/>
      <s:protection hidden="1"/>
    </s:xf>
    <s:xf numFmtId="4" fontId="16" fillId="28" borderId="144" xfId="0" applyNumberFormat="1" applyFont="1" applyFill="1" applyBorder="1" applyAlignment="1" applyProtection="1">
      <s:alignment horizontal="center" mc:Ignorable="vyd"/>
      <s:protection hidden="1"/>
    </s:xf>
    <s:xf numFmtId="3" fontId="16" fillId="28" borderId="156" xfId="0" applyNumberFormat="1" applyFont="1" applyFill="1" applyBorder="1" applyAlignment="1" applyProtection="1">
      <s:alignment horizontal="center" mc:Ignorable="vyd"/>
      <s:protection hidden="1"/>
    </s:xf>
    <s:xf numFmtId="0" fontId="9" fillId="2" borderId="0" xfId="0" applyFont="1" applyFill="1" applyAlignment="1">
      <s:alignment horizontal="left" vertical="top" mc:Ignorable="vyd"/>
    </s:xf>
    <s:xf numFmtId="0" fontId="10" fillId="3" borderId="26" xfId="0" applyFont="1" applyFill="1" applyBorder="1" applyAlignment="1" applyProtection="1">
      <s:alignment horizontal="center" vertical="center" wrapText="1" mc:Ignorable="vyd"/>
      <s:protection locked="0"/>
    </s:xf>
    <s:xf numFmtId="0" fontId="11" fillId="2" borderId="15" xfId="0" applyFont="1" applyFill="1" applyBorder="1" applyAlignment="1">
      <s:alignment horizontal="center" vertical="center" wrapText="1" mc:Ignorable="vyd"/>
    </s:xf>
    <s:xf numFmtId="0" fontId="11" fillId="2" borderId="51" xfId="0" applyFont="1" applyFill="1" applyBorder="1" applyAlignment="1">
      <s:alignment horizontal="center" vertical="center" wrapText="1" mc:Ignorable="vyd"/>
    </s:xf>
    <s:xf numFmtId="3" fontId="6" fillId="0" borderId="19" xfId="0" applyNumberFormat="1" applyFont="1" applyBorder="1" applyAlignment="1">
      <s:alignment horizontal="center" vertical="center" mc:Ignorable="vyd"/>
    </s:xf>
    <s:xf numFmtId="3" fontId="6" fillId="3" borderId="70" xfId="0" applyNumberFormat="1" applyFont="1" applyFill="1" applyBorder="1" applyAlignment="1" applyProtection="1">
      <s:alignment horizontal="center" vertical="center" mc:Ignorable="vyd"/>
      <s:protection locked="0"/>
    </s:xf>
    <s:xf numFmtId="3" fontId="6" fillId="0" borderId="26" xfId="0" applyNumberFormat="1" applyFont="1" applyBorder="1" applyAlignment="1">
      <s:alignment horizontal="center" vertical="center" mc:Ignorable="vyd"/>
    </s:xf>
    <s:xf numFmtId="3" fontId="6" fillId="4" borderId="38" xfId="0" applyNumberFormat="1" applyFont="1" applyFill="1" applyBorder="1" applyAlignment="1" applyProtection="1">
      <s:alignment horizontal="center" vertical="center" mc:Ignorable="vyd"/>
      <s:protection locked="0"/>
    </s:xf>
    <s:xf numFmtId="3" fontId="15" fillId="0" borderId="26" xfId="0" applyNumberFormat="1" applyFont="1" applyBorder="1" applyAlignment="1">
      <s:alignment horizontal="center" vertical="center" mc:Ignorable="vyd"/>
    </s:xf>
    <s:xf numFmtId="3" fontId="6" fillId="3" borderId="25" xfId="0" applyNumberFormat="1" applyFont="1" applyFill="1" applyBorder="1" applyAlignment="1">
      <s:alignment horizontal="center" vertical="center" mc:Ignorable="vyd"/>
    </s:xf>
    <s:xf numFmtId="4" fontId="6" fillId="0" borderId="26" xfId="0" applyNumberFormat="1" applyFont="1" applyBorder="1" applyAlignment="1">
      <s:alignment horizontal="center" vertical="center" mc:Ignorable="vyd"/>
    </s:xf>
    <s:xf numFmtId="4" fontId="6" fillId="3" borderId="38" xfId="0" applyNumberFormat="1" applyFont="1" applyFill="1" applyBorder="1" applyAlignment="1" applyProtection="1">
      <s:alignment horizontal="center" vertical="center" mc:Ignorable="vyd"/>
      <s:protection locked="0"/>
    </s:xf>
    <s:xf numFmtId="3" fontId="6" fillId="3" borderId="38" xfId="0" applyNumberFormat="1" applyFont="1" applyFill="1" applyBorder="1" applyAlignment="1" applyProtection="1">
      <s:alignment horizontal="center" vertical="center" mc:Ignorable="vyd"/>
      <s:protection locked="0"/>
    </s:xf>
    <s:xf numFmtId="3" fontId="6" fillId="3" borderId="65" xfId="0" applyNumberFormat="1" applyFont="1" applyFill="1" applyBorder="1" applyAlignment="1" applyProtection="1">
      <s:alignment horizontal="center" vertical="center" mc:Ignorable="vyd"/>
      <s:protection locked="0"/>
    </s:xf>
    <s:xf numFmtId="3" fontId="6" fillId="4" borderId="65" xfId="0" applyNumberFormat="1" applyFont="1" applyFill="1" applyBorder="1" applyAlignment="1" applyProtection="1">
      <s:alignment horizontal="center" vertical="center" mc:Ignorable="vyd"/>
      <s:protection locked="0"/>
    </s:xf>
    <s:xf numFmtId="162" fontId="18" fillId="0" borderId="35" xfId="1" applyNumberFormat="1" applyFont="1" applyBorder="1" applyAlignment="1" applyProtection="1">
      <s:alignment horizontal="center" vertical="center" mc:Ignorable="vyd"/>
    </s:xf>
    <s:xf numFmtId="162" fontId="18" fillId="3" borderId="106" xfId="1" applyNumberFormat="1" applyFont="1" applyFill="1" applyBorder="1" applyAlignment="1" applyProtection="1">
      <s:alignment horizontal="center" vertical="center" mc:Ignorable="vyd"/>
      <s:protection locked="0"/>
    </s:xf>
    <s:xf numFmtId="3" fontId="18" fillId="0" borderId="35" xfId="0" applyNumberFormat="1" applyFont="1" applyBorder="1" applyAlignment="1">
      <s:alignment horizontal="center" vertical="center" mc:Ignorable="vyd"/>
    </s:xf>
    <s:xf numFmtId="4" fontId="6" fillId="10" borderId="19" xfId="0" applyNumberFormat="1" applyFont="1" applyFill="1" applyBorder="1" applyAlignment="1">
      <s:alignment horizontal="center" vertical="top" mc:Ignorable="vyd"/>
    </s:xf>
    <s:xf numFmtId="10" fontId="6" fillId="9" borderId="26" xfId="0" applyNumberFormat="1" applyFont="1" applyFill="1" applyBorder="1" applyAlignment="1">
      <s:alignment horizontal="center" vertical="top" mc:Ignorable="vyd"/>
    </s:xf>
    <s:xf numFmtId="160" fontId="3" fillId="9" borderId="0" xfId="0" applyNumberFormat="1" applyFont="1" applyFill="1"/>
    <s:xf numFmtId="0" fontId="6" fillId="10" borderId="0" xfId="0" applyFont="1" applyFill="1" applyAlignment="1">
      <s:alignment horizontal="center" vertical="top" mc:Ignorable="vyd"/>
    </s:xf>
    <s:xf numFmtId="3" fontId="6" fillId="10" borderId="0" xfId="0" applyNumberFormat="1" applyFont="1" applyFill="1" applyAlignment="1">
      <s:alignment horizontal="center" vertical="top" mc:Ignorable="vyd"/>
    </s:xf>
    <s:xf numFmtId="162" fontId="3" fillId="9" borderId="0" xfId="0" applyNumberFormat="1" applyFont="1" applyFill="1" applyAlignment="1">
      <s:alignment vertical="center" mc:Ignorable="vyd"/>
    </s:xf>
    <s:xf numFmtId="3" fontId="24" fillId="9" borderId="25" xfId="0" applyNumberFormat="1" applyFont="1" applyFill="1" applyBorder="1" applyAlignment="1">
      <s:alignment horizontal="center" mc:Ignorable="vyd"/>
    </s:xf>
    <s:xf numFmtId="3" fontId="6" fillId="9" borderId="25" xfId="0" applyNumberFormat="1" applyFont="1" applyFill="1" applyBorder="1" applyAlignment="1">
      <s:alignment horizontal="center" mc:Ignorable="vyd"/>
    </s:xf>
    <s:xf numFmtId="2" fontId="6" fillId="9" borderId="25" xfId="0" applyNumberFormat="1" applyFont="1" applyFill="1" applyBorder="1" applyAlignment="1">
      <s:alignment horizontal="right" mc:Ignorable="vyd"/>
    </s:xf>
    <s:xf numFmtId="160" fontId="6" fillId="10" borderId="26" xfId="0" applyNumberFormat="1" applyFont="1" applyFill="1" applyBorder="1" applyAlignment="1">
      <s:alignment horizontal="right" mc:Ignorable="vyd"/>
    </s:xf>
    <s:xf numFmtId="0" fontId="23" fillId="9" borderId="19" xfId="0" applyFont="1" applyFill="1" applyBorder="1" applyAlignment="1">
      <s:alignment horizontal="center" vertical="center" mc:Ignorable="vyd"/>
    </s:xf>
    <s:xf numFmtId="0" fontId="6" fillId="9" borderId="0" xfId="0" applyFont="1" applyFill="1" applyAlignment="1">
      <s:alignment horizontal="center" vertical="top" mc:Ignorable="vyd"/>
    </s:xf>
    <s:xf numFmtId="3" fontId="6" fillId="9" borderId="0" xfId="0" applyNumberFormat="1" applyFont="1" applyFill="1" applyAlignment="1">
      <s:alignment horizontal="center" vertical="top" mc:Ignorable="vyd"/>
    </s:xf>
    <s:xf numFmtId="3" fontId="6" fillId="9" borderId="56" xfId="0" applyNumberFormat="1" applyFont="1" applyFill="1" applyBorder="1" applyAlignment="1">
      <s:alignment horizontal="center" vertical="top" mc:Ignorable="vyd"/>
    </s:xf>
    <s:xf numFmtId="4" fontId="6" fillId="9" borderId="27" xfId="0" applyNumberFormat="1" applyFont="1" applyFill="1" applyBorder="1" applyAlignment="1">
      <s:alignment horizontal="center" vertical="top" mc:Ignorable="vyd"/>
    </s:xf>
    <s:xf numFmtId="3" fontId="6" fillId="9" borderId="40" xfId="0" applyNumberFormat="1" applyFont="1" applyFill="1" applyBorder="1" applyAlignment="1">
      <s:alignment horizontal="center" vertical="top" mc:Ignorable="vyd"/>
    </s:xf>
    <s:xf numFmtId="10" fontId="6" fillId="9" borderId="25" xfId="0" applyNumberFormat="1" applyFont="1" applyFill="1" applyBorder="1" applyAlignment="1">
      <s:alignment horizontal="center" vertical="top" mc:Ignorable="vyd"/>
    </s:xf>
    <s:xf numFmtId="0" fontId="6" fillId="9" borderId="19" xfId="0" applyFont="1" applyFill="1" applyBorder="1" applyAlignment="1">
      <s:alignment horizontal="center" vertical="top" mc:Ignorable="vyd"/>
    </s:xf>
    <s:xf numFmtId="10" fontId="6" fillId="10" borderId="25" xfId="0" applyNumberFormat="1" applyFont="1" applyFill="1" applyBorder="1" applyAlignment="1">
      <s:alignment horizontal="center" vertical="top" mc:Ignorable="vyd"/>
    </s:xf>
    <s:xf numFmtId="9" fontId="2" fillId="10" borderId="0" xfId="0" applyNumberFormat="1" applyFont="1" applyFill="1" applyAlignment="1">
      <s:alignment horizontal="center" vertical="center" mc:Ignorable="vyd"/>
    </s:xf>
    <s:xf numFmtId="3" fontId="6" fillId="10" borderId="0" xfId="0" applyNumberFormat="1" applyFont="1" applyFill="1" applyAlignment="1">
      <s:alignment horizontal="center" mc:Ignorable="vyd"/>
    </s:xf>
    <s:xf numFmtId="10" fontId="6" fillId="10" borderId="0" xfId="0" applyNumberFormat="1" applyFont="1" applyFill="1" applyAlignment="1">
      <s:alignment horizontal="center" vertical="top" mc:Ignorable="vyd"/>
    </s:xf>
    <s:xf numFmtId="3" fontId="24" fillId="10" borderId="0" xfId="0" applyNumberFormat="1" applyFont="1" applyFill="1" applyAlignment="1">
      <s:alignment horizontal="center" mc:Ignorable="vyd"/>
    </s:xf>
    <s:xf numFmtId="9" fontId="2" fillId="9" borderId="0" xfId="0" applyNumberFormat="1" applyFont="1" applyFill="1" applyAlignment="1">
      <s:alignment horizontal="center" vertical="center" mc:Ignorable="vyd"/>
    </s:xf>
    <s:xf numFmtId="3" fontId="6" fillId="9" borderId="0" xfId="0" applyNumberFormat="1" applyFont="1" applyFill="1" applyAlignment="1">
      <s:alignment horizontal="center" mc:Ignorable="vyd"/>
    </s:xf>
    <s:xf numFmtId="0" fontId="23" fillId="9" borderId="26" xfId="0" applyFont="1" applyFill="1" applyBorder="1" applyAlignment="1">
      <s:alignment horizontal="center" vertical="center" mc:Ignorable="vyd"/>
    </s:xf>
    <s:xf numFmtId="3" fontId="6" fillId="9" borderId="39" xfId="0" applyNumberFormat="1" applyFont="1" applyFill="1" applyBorder="1" applyAlignment="1">
      <s:alignment horizontal="center" vertical="top" mc:Ignorable="vyd"/>
    </s:xf>
    <s:xf numFmtId="3" fontId="6" fillId="9" borderId="30" xfId="0" applyNumberFormat="1" applyFont="1" applyFill="1" applyBorder="1" applyAlignment="1">
      <s:alignment horizontal="center" vertical="top" mc:Ignorable="vyd"/>
    </s:xf>
    <s:xf numFmtId="3" fontId="6" fillId="9" borderId="29" xfId="0" applyNumberFormat="1" applyFont="1" applyFill="1" applyBorder="1" applyAlignment="1">
      <s:alignment horizontal="center" vertical="top" mc:Ignorable="vyd"/>
    </s:xf>
    <s:xf numFmtId="162" fontId="6" fillId="10" borderId="26" xfId="0" applyNumberFormat="1" applyFont="1" applyFill="1" applyBorder="1" applyAlignment="1">
      <s:alignment horizontal="center" vertical="top" mc:Ignorable="vyd"/>
    </s:xf>
    <s:xf numFmtId="9" fontId="2" fillId="10" borderId="26" xfId="1" applyNumberFormat="1" applyFont="1" applyFill="1" applyBorder="1" applyAlignment="1" applyProtection="1">
      <s:alignment horizontal="center" vertical="center" mc:Ignorable="vyd"/>
    </s:xf>
    <s:xf numFmtId="162" fontId="2" fillId="10" borderId="0" xfId="1" applyNumberFormat="1" applyFont="1" applyFill="1" applyProtection="1"/>
    <s:xf numFmtId="160" fontId="2" fillId="10" borderId="0" xfId="0" applyNumberFormat="1" applyFont="1" applyFill="1"/>
    <s:xf numFmtId="0" fontId="6" fillId="9" borderId="38" xfId="0" applyFont="1" applyFill="1" applyBorder="1" applyAlignment="1">
      <s:alignment horizontal="center" vertical="top" mc:Ignorable="vyd"/>
    </s:xf>
    <s:xf numFmtId="4" fontId="6" fillId="9" borderId="0" xfId="0" applyNumberFormat="1" applyFont="1" applyFill="1" applyAlignment="1">
      <s:alignment horizontal="center" vertical="top" mc:Ignorable="vyd"/>
    </s:xf>
  </s:cellXfs>
  <s:cellStyles count="4">
    <s:cellStyle name="Обычный" xfId="0" builtinId="0"/>
    <s:cellStyle name="Процентный" xfId="1" builtinId="5"/>
    <s:cellStyle name="Финансовый" xfId="2" builtinId="3"/>
    <s:cellStyle name="TableStyleLight1" xfId="3"/>
  </s:cellStyles>
  <s:dxfs count="5"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</s:dxfs>
  <s:tableStyles count="0" defaultTableStyle="TableStyleMedium2" defaultPivotStyle="PivotStyleLight16"/>
  <s:extLst>
    <s:ext uri="{EB79DEF2-80B8-43e5-95BD-54CBDDF9020C}">
      <x14:slicerStyles defaultSlicerStyle="SlicerStyleLight1"/>
    </s:ext>
  </s:extLst>
</s:styleSheet>
</file>

<file path=xl/_rels/workbook.xml.rels><?xml version="1.0" ?><Relationships xmlns="http://schemas.openxmlformats.org/package/2006/relationships"><Relationship Id="rId18" Type="http://schemas.openxmlformats.org/officeDocument/2006/relationships/styles" Target="styles.xml"/><Relationship Target="theme/theme1.xml" Type="http://schemas.openxmlformats.org/officeDocument/2006/relationships/theme" Id="rId19"/><Relationship Target="sharedStrings.xml" Type="http://schemas.openxmlformats.org/officeDocument/2006/relationships/sharedStrings" Id="rId20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/Relationships>
</file>

<file path=xl/charts/chart1.xml><?xml version="1.0" encoding="utf-8"?>
<c:chartSpace xmlns:a="http://schemas.openxmlformats.org/drawingml/2006/main" xmlns:vyd="http://volga.yandex.com/schemas/document/model" xmlns:c="http://schemas.openxmlformats.org/drawingml/2006/chart" xmlns:mc="http://schemas.openxmlformats.org/markup-compatibility/2006">
  <c:date1904 val="0"/>
  <c:lang val="ru-RU"/>
  <c:roundedCorners val="0"/>
  <c:chart>
    <c:autoTitleDeleted val="1"/>
    <c:plotArea>
      <c:layout>
        <c:manualLayout>
          <c:layoutTarget val="inner"/>
          <c:xMode val="edge"/>
          <c:yMode val="edge"/>
          <c:x val="0.195"/>
          <c:y val="0.297"/>
          <c:w val="0.764"/>
          <c:h val="0.645"/>
        </c:manualLayout>
      </c:layout>
      <c:lineChart>
        <c:grouping val="standard"/>
        <c:varyColors val="0"/>
        <c:ser>
          <c:idx val="0"/>
          <c:order val="0"/>
          <c:spPr bwMode="auto">
            <a:prstGeom prst="rect">
              <a:avLst/>
            </a:prstGeom>
            <a:ln w="12600">
              <a:solidFill>
                <a:srgbClr val="5B9BD5"/>
              </a:solidFill>
              <a:round/>
            </a:ln>
          </c:spPr>
          <c:marker>
            <c:symbol val="diamond"/>
            <c:size val="2"/>
            <c:spPr bwMode="auto">
              <a:prstGeom prst="rect">
                <a:avLst/>
              </a:prstGeom>
              <a:solidFill>
                <a:srgbClr val="5B9BD5"/>
              </a:solidFill>
            </c:spPr>
          </c:marker>
          <c:dLbls>
            <c:spPr bwMode="auto">
              <a:prstGeom prst="rect">
                <a:avLst/>
              </a:prstGeom>
              <a:noFill/>
              <a:ln>
                <a:noFill/>
                <a:bevel/>
              </a:ln>
              <a:effectLst/>
            </c:spPr>
            <c:txPr>
              <a:bodyPr wrap="none"/>
              <a:lstStyle/>
              <a:p>
                <a:pPr>
                  <a:defRPr sz="1000" b="0" strike="noStrike" spc="0">
                    <a:solidFill>
                      <a:srgbClr val="333333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 xml:space="preserve">
</c:separator>
            <c:showLeaderLines val="0"/>
          </c:dLbls>
          <c:cat>
            <c:strRef>
              <c:f xml:space="preserve">'Сейтджелилова А.Э.'!$B$25:$B$47</c:f>
              <c:strCache>
                <c:ptCount val="13"/>
                <c:pt idx="0">
                  <c:v>16.янв</c:v>
                </c:pt>
                <c:pt idx="1">
                  <c:v>17.янв</c:v>
                </c:pt>
                <c:pt idx="2">
                  <c:v>18.янв</c:v>
                </c:pt>
                <c:pt idx="3">
                  <c:v>20.янв</c:v>
                </c:pt>
                <c:pt idx="4">
                  <c:v>21.янв</c:v>
                </c:pt>
                <c:pt idx="5">
                  <c:v>22.янв</c:v>
                </c:pt>
                <c:pt idx="6">
                  <c:v>23.янв</c:v>
                </c:pt>
                <c:pt idx="7">
                  <c:v>24.янв</c:v>
                </c:pt>
                <c:pt idx="8">
                  <c:v>27.янв</c:v>
                </c:pt>
                <c:pt idx="9">
                  <c:v>28.янв</c:v>
                </c:pt>
                <c:pt idx="10">
                  <c:v>29.янв.</c:v>
                </c:pt>
                <c:pt idx="11">
                  <c:v>30.янв</c:v>
                </c:pt>
                <c:pt idx="12">
                  <c:v>31.янв</c:v>
                </c:pt>
              </c:strCache>
            </c:strRef>
          </c:cat>
          <c:val>
            <c:numRef>
              <c:f xml:space="preserve">'Сейтджелилова А.Э.'!$D$25:$D$47</c:f>
              <c:numCache>
                <c:formatCode>#,##0.00</c:formatCode>
                <c:ptCount val="23"/>
                <c:pt idx="0">
                  <c:v>0</c:v>
                </c:pt>
                <c:pt idx="1">
                  <c:v>15970</c:v>
                </c:pt>
                <c:pt idx="2">
                  <c:v>0</c:v>
                </c:pt>
                <c:pt idx="3">
                  <c:v>0</c:v>
                </c:pt>
                <c:pt idx="4">
                  <c:v>68258</c:v>
                </c:pt>
                <c:pt idx="5">
                  <c:v>0</c:v>
                </c:pt>
                <c:pt idx="6">
                  <c:v>23228</c:v>
                </c:pt>
                <c:pt idx="7">
                  <c:v>16272</c:v>
                </c:pt>
                <c:pt idx="8">
                  <c:v>28856</c:v>
                </c:pt>
                <c:pt idx="9">
                  <c:v>-6355</c:v>
                </c:pt>
                <c:pt idx="12">
                  <c:v>19004</c:v>
                </c:pt>
              </c:numCache>
            </c:numRef>
          </c:val>
          <c:smooth val="1"/>
        </c:ser>
        <c:ser>
          <c:idx val="1"/>
          <c:order val="1"/>
          <c:spPr bwMode="auto">
            <a:prstGeom prst="rect">
              <a:avLst/>
            </a:prstGeom>
            <a:ln w="12600">
              <a:solidFill>
                <a:srgbClr val="ED7D31"/>
              </a:solidFill>
              <a:round/>
            </a:ln>
          </c:spPr>
          <c:marker>
            <c:symbol val="square"/>
            <c:size val="2"/>
            <c:spPr bwMode="auto">
              <a:prstGeom prst="rect">
                <a:avLst/>
              </a:prstGeom>
              <a:solidFill>
                <a:srgbClr val="ED7D31"/>
              </a:solidFill>
            </c:spPr>
          </c:marker>
          <c:dLbls>
            <c:spPr bwMode="auto">
              <a:prstGeom prst="rect">
                <a:avLst/>
              </a:prstGeom>
              <a:noFill/>
              <a:ln>
                <a:noFill/>
                <a:bevel/>
              </a:ln>
              <a:effectLst/>
            </c:spPr>
            <c:txPr>
              <a:bodyPr wrap="none"/>
              <a:lstStyle/>
              <a:p>
                <a:pPr>
                  <a:defRPr sz="1000" b="0" strike="noStrike" spc="0">
                    <a:solidFill>
                      <a:srgbClr val="333333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 xml:space="preserve">
</c:separator>
            <c:showLeaderLines val="0"/>
          </c:dLbls>
          <c:cat>
            <c:strRef>
              <c:f xml:space="preserve">'Сейтджелилова А.Э.'!$B$25:$B$47</c:f>
              <c:strCache>
                <c:ptCount val="13"/>
                <c:pt idx="0">
                  <c:v>16.янв</c:v>
                </c:pt>
                <c:pt idx="1">
                  <c:v>17.янв</c:v>
                </c:pt>
                <c:pt idx="2">
                  <c:v>18.янв</c:v>
                </c:pt>
                <c:pt idx="3">
                  <c:v>20.янв</c:v>
                </c:pt>
                <c:pt idx="4">
                  <c:v>21.янв</c:v>
                </c:pt>
                <c:pt idx="5">
                  <c:v>22.янв</c:v>
                </c:pt>
                <c:pt idx="6">
                  <c:v>23.янв</c:v>
                </c:pt>
                <c:pt idx="7">
                  <c:v>24.янв</c:v>
                </c:pt>
                <c:pt idx="8">
                  <c:v>27.янв</c:v>
                </c:pt>
                <c:pt idx="9">
                  <c:v>28.янв</c:v>
                </c:pt>
                <c:pt idx="10">
                  <c:v>29.янв.</c:v>
                </c:pt>
                <c:pt idx="11">
                  <c:v>30.янв</c:v>
                </c:pt>
                <c:pt idx="12">
                  <c:v>31.янв</c:v>
                </c:pt>
              </c:strCache>
            </c:strRef>
          </c:cat>
          <c:val>
            <c:numRef>
              <c:f xml:space="preserve">'Сейтджелилова А.Э.'!$O$25:$O$47</c:f>
              <c:numCache>
                <c:formatCode>#,##0</c:formatCode>
                <c:ptCount val="23"/>
                <c:pt idx="4">
                  <c:v>36688</c:v>
                </c:pt>
              </c:numCache>
            </c:numRef>
          </c:val>
          <c:smooth val="1"/>
        </c:ser>
        <c:ser>
          <c:idx val="2"/>
          <c:order val="2"/>
          <c:spPr bwMode="auto">
            <a:prstGeom prst="rect">
              <a:avLst/>
            </a:prstGeom>
            <a:ln w="12600">
              <a:solidFill>
                <a:srgbClr val="A5A5A5"/>
              </a:solidFill>
              <a:round/>
            </a:ln>
          </c:spPr>
          <c:marker>
            <c:symbol val="triangle"/>
            <c:size val="2"/>
            <c:spPr bwMode="auto">
              <a:prstGeom prst="rect">
                <a:avLst/>
              </a:prstGeom>
              <a:solidFill>
                <a:srgbClr val="A5A5A5"/>
              </a:solidFill>
            </c:spPr>
          </c:marker>
          <c:dLbls>
            <c:spPr bwMode="auto">
              <a:prstGeom prst="rect">
                <a:avLst/>
              </a:prstGeom>
              <a:noFill/>
              <a:ln>
                <a:noFill/>
                <a:round/>
              </a:ln>
              <a:effectLst/>
            </c:spPr>
            <c:txPr>
              <a:bodyPr wrap="none"/>
              <a:lstStyle/>
              <a:p>
                <a:pPr>
                  <a:defRPr sz="1000" b="0" strike="noStrike" spc="0">
                    <a:solidFill>
                      <a:srgbClr val="333333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 xml:space="preserve">
</c:separator>
            <c:showLeaderLines val="0"/>
          </c:dLbls>
          <c:cat>
            <c:strRef>
              <c:f xml:space="preserve">'Сейтджелилова А.Э.'!$B$25:$B$47</c:f>
              <c:strCache>
                <c:ptCount val="13"/>
                <c:pt idx="0">
                  <c:v>16.янв</c:v>
                </c:pt>
                <c:pt idx="1">
                  <c:v>17.янв</c:v>
                </c:pt>
                <c:pt idx="2">
                  <c:v>18.янв</c:v>
                </c:pt>
                <c:pt idx="3">
                  <c:v>20.янв</c:v>
                </c:pt>
                <c:pt idx="4">
                  <c:v>21.янв</c:v>
                </c:pt>
                <c:pt idx="5">
                  <c:v>22.янв</c:v>
                </c:pt>
                <c:pt idx="6">
                  <c:v>23.янв</c:v>
                </c:pt>
                <c:pt idx="7">
                  <c:v>24.янв</c:v>
                </c:pt>
                <c:pt idx="8">
                  <c:v>27.янв</c:v>
                </c:pt>
                <c:pt idx="9">
                  <c:v>28.янв</c:v>
                </c:pt>
                <c:pt idx="10">
                  <c:v>29.янв.</c:v>
                </c:pt>
                <c:pt idx="11">
                  <c:v>30.янв</c:v>
                </c:pt>
                <c:pt idx="12">
                  <c:v>31.янв</c:v>
                </c:pt>
              </c:strCache>
            </c:strRef>
          </c:cat>
          <c:val>
            <c:numRef>
              <c:f xml:space="preserve">'Сейтджелилова А.Э.'!$P$25:$P$47</c:f>
              <c:numCache>
                <c:formatCode>#,##0</c:formatCode>
                <c:ptCount val="23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hiLowLines>
          <c:spPr bwMode="auto">
            <a:prstGeom prst="rect">
              <a:avLst/>
            </a:prstGeom>
            <a:ln w="0">
              <a:noFill/>
              <a:bevel/>
            </a:ln>
          </c:spPr>
        </c:hiLowLines>
        <c:marker val="1"/>
        <c:smooth val="0"/>
        <c:axId val="76887301"/>
        <c:axId val="76887300"/>
      </c:lineChart>
      <c:valAx>
        <c:axId val="76887300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0">
              <a:solidFill>
                <a:srgbClr val="8B8B8B"/>
              </a:solidFill>
              <a:bevel/>
            </a:ln>
          </c:spPr>
        </c:majorGridlines>
        <c:numFmt formatCode="General" sourceLinked="0"/>
        <c:majorTickMark val="out"/>
        <c:minorTickMark val="none"/>
        <c:tickLblPos val="nextTo"/>
        <c:spPr bwMode="auto">
          <a:prstGeom prst="rect">
            <a:avLst/>
          </a:prstGeom>
          <a:ln w="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0">
                <a:solidFill>
                  <a:srgbClr val="333333"/>
                </a:solidFill>
                <a:latin typeface="Calibri"/>
              </a:defRPr>
            </a:pPr>
            <a:endParaRPr lang="ru-RU"/>
          </a:p>
        </c:txPr>
        <c:crossAx val="76887301"/>
        <c:crosses val="autoZero"/>
        <c:crossesAt val="0"/>
        <c:crossBetween val="midCat"/>
      </c:valAx>
      <c:catAx>
        <c:axId val="768873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 bwMode="auto">
          <a:prstGeom prst="rect">
            <a:avLst/>
          </a:prstGeom>
          <a:ln w="0">
            <a:solidFill>
              <a:srgbClr val="8B8B8B"/>
            </a:solidFill>
          </a:ln>
        </c:spPr>
        <c:txPr>
          <a:bodyPr rot="-5400000"/>
          <a:lstStyle/>
          <a:p>
            <a:pPr>
              <a:defRPr sz="1000" b="0" strike="noStrike" spc="0">
                <a:solidFill>
                  <a:srgbClr val="333333"/>
                </a:solidFill>
                <a:latin typeface="Calibri"/>
              </a:defRPr>
            </a:pPr>
            <a:endParaRPr lang="ru-RU"/>
          </a:p>
        </c:txPr>
        <c:crossAx val="76887300"/>
        <c:crosses val="autoZero"/>
        <c:crossesAt val="0"/>
        <c:auto val="1"/>
        <c:lblAlgn val="ctr"/>
        <c:lblOffset val="100"/>
        <c:noMultiLvlLbl val="1"/>
      </c:catAx>
      <c:spPr bwMode="auto">
        <a:prstGeom prst="rect">
          <a:avLst/>
        </a:prstGeom>
        <a:solidFill>
          <a:srgbClr val="FFFFFF"/>
        </a:solidFill>
        <a:ln w="0">
          <a:noFill/>
        </a:ln>
      </c:spPr>
    </c:plotArea>
    <c:legend mc:Ignorable="vyd">
      <c:legendPos val="r"/>
      <c:layout>
        <c:manualLayout>
          <c:xMode val="edge"/>
          <c:yMode val="edge"/>
          <c:x val="0.794"/>
          <c:y val="0.431"/>
          <c:w val="0.057"/>
          <c:h val="0.173"/>
        </c:manualLayout>
      </c:layout>
      <c:overlay val="0"/>
      <c:spPr bwMode="auto">
        <a:prstGeom prst="rect">
          <a:avLst/>
        </a:prstGeom>
        <a:noFill/>
        <a:ln w="0">
          <a:noFill/>
          <a:miter/>
        </a:ln>
      </c:spPr>
      <c:txPr>
        <a:bodyPr lIns="36000" tIns="36000" rIns="36000" bIns="36000"/>
        <a:lstStyle/>
        <a:p>
          <a:pPr>
            <a:defRPr spc="0" sz="700" b="0" strike="noStrike">
              <a:solidFill>
                <a:srgbClr val="333333"/>
              </a:solidFill>
              <a:latin typeface="Calibri"/>
            </a:defRPr>
          </a:pPr>
          <a:endParaRPr lang="ru-RU"/>
        </a:p>
      </c:txPr>
    </c:legend>
    <c:plotVisOnly val="1"/>
    <c:dispBlanksAs val="zero"/>
    <c:showDLblsOverMax val="1"/>
  </c:chart>
  <c:spPr bwMode="auto">
    <a:xfrm>
      <a:off x="0" y="0"/>
      <a:ext cx="0" cy="0"/>
    </a:xfrm>
    <a:prstGeom prst="rect">
      <a:avLst/>
    </a:prstGeom>
    <a:noFill/>
    <a:ln w="12600">
      <a:noFill/>
      <a:miter/>
    </a:ln>
  </c:spPr>
  <c:printSettings>
    <c:headerFooter/>
    <c:pageMargins l="0.7" r="0.7" t="0.75" b="0.75" header="0.3" footer="0.3"/>
    <c:pageSetup/>
  </c:printSettings>
</c:chartSpace>
</file>

<file path=xl/charts/chart2.xml><?xml version="1.0" encoding="utf-8"?>
<c:chartSpace xmlns:a="http://schemas.openxmlformats.org/drawingml/2006/main" xmlns:vyd="http://volga.yandex.com/schemas/document/model" xmlns:c="http://schemas.openxmlformats.org/drawingml/2006/chart" xmlns:mc="http://schemas.openxmlformats.org/markup-compatibility/2006">
  <c:date1904 val="0"/>
  <c:lang val="ru-RU"/>
  <c:roundedCorners val="0"/>
  <c:chart>
    <c:autoTitleDeleted val="1"/>
    <c:plotArea>
      <c:layout>
        <c:manualLayout>
          <c:layoutTarget val="inner"/>
          <c:xMode val="edge"/>
          <c:yMode val="edge"/>
          <c:x val="0.195"/>
          <c:y val="0.297"/>
          <c:w val="0.764"/>
          <c:h val="0.645"/>
        </c:manualLayout>
      </c:layout>
      <c:lineChart>
        <c:grouping val="standard"/>
        <c:varyColors val="0"/>
        <c:ser>
          <c:idx val="0"/>
          <c:order val="0"/>
          <c:spPr bwMode="auto">
            <a:prstGeom prst="rect">
              <a:avLst/>
            </a:prstGeom>
            <a:ln w="12600">
              <a:solidFill>
                <a:srgbClr val="5B9BD5"/>
              </a:solidFill>
              <a:round/>
            </a:ln>
          </c:spPr>
          <c:marker>
            <c:symbol val="diamond"/>
            <c:size val="2"/>
            <c:spPr bwMode="auto">
              <a:prstGeom prst="rect">
                <a:avLst/>
              </a:prstGeom>
              <a:solidFill>
                <a:srgbClr val="5B9BD5"/>
              </a:solidFill>
            </c:spPr>
          </c:marker>
          <c:dLbls>
            <c:spPr bwMode="auto">
              <a:prstGeom prst="rect">
                <a:avLst/>
              </a:prstGeom>
              <a:noFill/>
              <a:ln>
                <a:noFill/>
                <a:bevel/>
              </a:ln>
              <a:effectLst/>
            </c:spPr>
            <c:txPr>
              <a:bodyPr wrap="none"/>
              <a:lstStyle/>
              <a:p>
                <a:pPr>
                  <a:defRPr sz="1000" b="0" strike="noStrike" spc="0">
                    <a:solidFill>
                      <a:srgbClr val="333333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 xml:space="preserve">
</c:separator>
            <c:showLeaderLines val="0"/>
          </c:dLbls>
          <c:cat>
            <c:numRef>
              <c:f xml:space="preserve">'Козлова В. Э.'!$B$25:$B$47</c:f>
              <c:numCache>
                <c:formatCode>d\-mmm</c:formatCode>
                <c:ptCount val="23"/>
                <c:pt idx="0">
                  <c:v>46024</c:v>
                </c:pt>
                <c:pt idx="1">
                  <c:v>46025</c:v>
                </c:pt>
                <c:pt idx="2">
                  <c:v>46026</c:v>
                </c:pt>
                <c:pt idx="3">
                  <c:v>46027</c:v>
                </c:pt>
                <c:pt idx="4">
                  <c:v>46028</c:v>
                </c:pt>
                <c:pt idx="5">
                  <c:v>46031</c:v>
                </c:pt>
                <c:pt idx="6">
                  <c:v>46032</c:v>
                </c:pt>
                <c:pt idx="7">
                  <c:v>46033</c:v>
                </c:pt>
                <c:pt idx="8">
                  <c:v>46036</c:v>
                </c:pt>
                <c:pt idx="9">
                  <c:v>46037</c:v>
                </c:pt>
                <c:pt idx="10">
                  <c:v>46040</c:v>
                </c:pt>
                <c:pt idx="11">
                  <c:v>46041</c:v>
                </c:pt>
                <c:pt idx="12">
                  <c:v>46042</c:v>
                </c:pt>
                <c:pt idx="13">
                  <c:v>46045</c:v>
                </c:pt>
                <c:pt idx="14">
                  <c:v>46046</c:v>
                </c:pt>
                <c:pt idx="15">
                  <c:v>46047</c:v>
                </c:pt>
                <c:pt idx="16">
                  <c:v>46048</c:v>
                </c:pt>
                <c:pt idx="17">
                  <c:v>46051</c:v>
                </c:pt>
                <c:pt idx="18">
                  <c:v>46052</c:v>
                </c:pt>
              </c:numCache>
            </c:numRef>
          </c:cat>
          <c:val>
            <c:numRef>
              <c:f xml:space="preserve">'Козлова В. Э.'!$D$25:$D$47</c:f>
              <c:numCache>
                <c:formatCode>#,##0.00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12983</c:v>
                </c:pt>
                <c:pt idx="4">
                  <c:v>65051.979999999996</c:v>
                </c:pt>
                <c:pt idx="5">
                  <c:v>0</c:v>
                </c:pt>
                <c:pt idx="6">
                  <c:v>13086</c:v>
                </c:pt>
                <c:pt idx="7">
                  <c:v>0</c:v>
                </c:pt>
                <c:pt idx="8">
                  <c:v>26804</c:v>
                </c:pt>
                <c:pt idx="9">
                  <c:v>0</c:v>
                </c:pt>
                <c:pt idx="10">
                  <c:v>21509</c:v>
                </c:pt>
                <c:pt idx="11">
                  <c:v>24125</c:v>
                </c:pt>
                <c:pt idx="12">
                  <c:v>17518</c:v>
                </c:pt>
                <c:pt idx="13">
                  <c:v>29187</c:v>
                </c:pt>
                <c:pt idx="14">
                  <c:v>42565</c:v>
                </c:pt>
                <c:pt idx="16">
                  <c:v>5001</c:v>
                </c:pt>
                <c:pt idx="18">
                  <c:v>5001</c:v>
                </c:pt>
              </c:numCache>
            </c:numRef>
          </c:val>
          <c:smooth val="1"/>
        </c:ser>
        <c:ser>
          <c:idx val="1"/>
          <c:order val="1"/>
          <c:spPr bwMode="auto">
            <a:prstGeom prst="rect">
              <a:avLst/>
            </a:prstGeom>
            <a:ln w="12600">
              <a:solidFill>
                <a:srgbClr val="ED7D31"/>
              </a:solidFill>
              <a:round/>
            </a:ln>
          </c:spPr>
          <c:marker>
            <c:symbol val="square"/>
            <c:size val="2"/>
            <c:spPr bwMode="auto">
              <a:prstGeom prst="rect">
                <a:avLst/>
              </a:prstGeom>
              <a:solidFill>
                <a:srgbClr val="ED7D31"/>
              </a:solidFill>
            </c:spPr>
          </c:marker>
          <c:dLbls>
            <c:spPr bwMode="auto">
              <a:prstGeom prst="rect">
                <a:avLst/>
              </a:prstGeom>
              <a:noFill/>
              <a:ln>
                <a:noFill/>
                <a:bevel/>
              </a:ln>
              <a:effectLst/>
            </c:spPr>
            <c:txPr>
              <a:bodyPr wrap="none"/>
              <a:lstStyle/>
              <a:p>
                <a:pPr>
                  <a:defRPr sz="1000" b="0" strike="noStrike" spc="0">
                    <a:solidFill>
                      <a:srgbClr val="333333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 xml:space="preserve">
</c:separator>
            <c:showLeaderLines val="0"/>
          </c:dLbls>
          <c:cat>
            <c:numRef>
              <c:f xml:space="preserve">'Козлова В. Э.'!$B$25:$B$47</c:f>
              <c:numCache>
                <c:formatCode>d\-mmm</c:formatCode>
                <c:ptCount val="23"/>
                <c:pt idx="0">
                  <c:v>46024</c:v>
                </c:pt>
                <c:pt idx="1">
                  <c:v>46025</c:v>
                </c:pt>
                <c:pt idx="2">
                  <c:v>46026</c:v>
                </c:pt>
                <c:pt idx="3">
                  <c:v>46027</c:v>
                </c:pt>
                <c:pt idx="4">
                  <c:v>46028</c:v>
                </c:pt>
                <c:pt idx="5">
                  <c:v>46031</c:v>
                </c:pt>
                <c:pt idx="6">
                  <c:v>46032</c:v>
                </c:pt>
                <c:pt idx="7">
                  <c:v>46033</c:v>
                </c:pt>
                <c:pt idx="8">
                  <c:v>46036</c:v>
                </c:pt>
                <c:pt idx="9">
                  <c:v>46037</c:v>
                </c:pt>
                <c:pt idx="10">
                  <c:v>46040</c:v>
                </c:pt>
                <c:pt idx="11">
                  <c:v>46041</c:v>
                </c:pt>
                <c:pt idx="12">
                  <c:v>46042</c:v>
                </c:pt>
                <c:pt idx="13">
                  <c:v>46045</c:v>
                </c:pt>
                <c:pt idx="14">
                  <c:v>46046</c:v>
                </c:pt>
                <c:pt idx="15">
                  <c:v>46047</c:v>
                </c:pt>
                <c:pt idx="16">
                  <c:v>46048</c:v>
                </c:pt>
                <c:pt idx="17">
                  <c:v>46051</c:v>
                </c:pt>
                <c:pt idx="18">
                  <c:v>46052</c:v>
                </c:pt>
              </c:numCache>
            </c:numRef>
          </c:cat>
          <c:val>
            <c:numRef>
              <c:f xml:space="preserve">'Козлова В. Э.'!$O$25:$O$47</c:f>
              <c:numCache>
                <c:formatCode>#,##0</c:formatCode>
                <c:ptCount val="23"/>
              </c:numCache>
            </c:numRef>
          </c:val>
          <c:smooth val="1"/>
        </c:ser>
        <c:ser>
          <c:idx val="2"/>
          <c:order val="2"/>
          <c:spPr bwMode="auto">
            <a:prstGeom prst="rect">
              <a:avLst/>
            </a:prstGeom>
            <a:ln w="12600">
              <a:solidFill>
                <a:srgbClr val="A5A5A5"/>
              </a:solidFill>
              <a:round/>
            </a:ln>
          </c:spPr>
          <c:marker>
            <c:symbol val="triangle"/>
            <c:size val="2"/>
            <c:spPr bwMode="auto">
              <a:prstGeom prst="rect">
                <a:avLst/>
              </a:prstGeom>
              <a:solidFill>
                <a:srgbClr val="A5A5A5"/>
              </a:solidFill>
            </c:spPr>
          </c:marker>
          <c:dLbls>
            <c:spPr bwMode="auto">
              <a:prstGeom prst="rect">
                <a:avLst/>
              </a:prstGeom>
              <a:noFill/>
              <a:ln>
                <a:noFill/>
                <a:round/>
              </a:ln>
              <a:effectLst/>
            </c:spPr>
            <c:txPr>
              <a:bodyPr wrap="none"/>
              <a:lstStyle/>
              <a:p>
                <a:pPr>
                  <a:defRPr sz="1000" b="0" strike="noStrike" spc="0">
                    <a:solidFill>
                      <a:srgbClr val="333333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 xml:space="preserve">
</c:separator>
            <c:showLeaderLines val="0"/>
          </c:dLbls>
          <c:cat>
            <c:numRef>
              <c:f xml:space="preserve">'Козлова В. Э.'!$B$25:$B$47</c:f>
              <c:numCache>
                <c:formatCode>d\-mmm</c:formatCode>
                <c:ptCount val="23"/>
                <c:pt idx="0">
                  <c:v>46024</c:v>
                </c:pt>
                <c:pt idx="1">
                  <c:v>46025</c:v>
                </c:pt>
                <c:pt idx="2">
                  <c:v>46026</c:v>
                </c:pt>
                <c:pt idx="3">
                  <c:v>46027</c:v>
                </c:pt>
                <c:pt idx="4">
                  <c:v>46028</c:v>
                </c:pt>
                <c:pt idx="5">
                  <c:v>46031</c:v>
                </c:pt>
                <c:pt idx="6">
                  <c:v>46032</c:v>
                </c:pt>
                <c:pt idx="7">
                  <c:v>46033</c:v>
                </c:pt>
                <c:pt idx="8">
                  <c:v>46036</c:v>
                </c:pt>
                <c:pt idx="9">
                  <c:v>46037</c:v>
                </c:pt>
                <c:pt idx="10">
                  <c:v>46040</c:v>
                </c:pt>
                <c:pt idx="11">
                  <c:v>46041</c:v>
                </c:pt>
                <c:pt idx="12">
                  <c:v>46042</c:v>
                </c:pt>
                <c:pt idx="13">
                  <c:v>46045</c:v>
                </c:pt>
                <c:pt idx="14">
                  <c:v>46046</c:v>
                </c:pt>
                <c:pt idx="15">
                  <c:v>46047</c:v>
                </c:pt>
                <c:pt idx="16">
                  <c:v>46048</c:v>
                </c:pt>
                <c:pt idx="17">
                  <c:v>46051</c:v>
                </c:pt>
                <c:pt idx="18">
                  <c:v>46052</c:v>
                </c:pt>
              </c:numCache>
            </c:numRef>
          </c:cat>
          <c:val>
            <c:numRef>
              <c:f xml:space="preserve">'Козлова В. Э.'!$P$25:$P$47</c:f>
              <c:numCache>
                <c:formatCode>#,##0</c:formatCode>
                <c:ptCount val="23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hiLowLines>
          <c:spPr bwMode="auto">
            <a:prstGeom prst="rect">
              <a:avLst/>
            </a:prstGeom>
            <a:ln w="0">
              <a:noFill/>
              <a:bevel/>
            </a:ln>
          </c:spPr>
        </c:hiLowLines>
        <c:marker val="1"/>
        <c:smooth val="0"/>
        <c:axId val="76887301"/>
        <c:axId val="76887300"/>
      </c:lineChart>
      <c:valAx>
        <c:axId val="76887300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0">
              <a:solidFill>
                <a:srgbClr val="8B8B8B"/>
              </a:solidFill>
              <a:bevel/>
            </a:ln>
          </c:spPr>
        </c:majorGridlines>
        <c:numFmt formatCode="General" sourceLinked="0"/>
        <c:majorTickMark val="out"/>
        <c:minorTickMark val="none"/>
        <c:tickLblPos val="nextTo"/>
        <c:spPr bwMode="auto">
          <a:prstGeom prst="rect">
            <a:avLst/>
          </a:prstGeom>
          <a:ln w="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0">
                <a:solidFill>
                  <a:srgbClr val="333333"/>
                </a:solidFill>
                <a:latin typeface="Calibri"/>
              </a:defRPr>
            </a:pPr>
            <a:endParaRPr lang="ru-RU"/>
          </a:p>
        </c:txPr>
        <c:crossAx val="76887301"/>
        <c:crosses val="autoZero"/>
        <c:crossesAt val="0"/>
        <c:crossBetween val="midCat"/>
      </c:valAx>
      <c:dateAx>
        <c:axId val="76887301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 bwMode="auto">
          <a:prstGeom prst="rect">
            <a:avLst/>
          </a:prstGeom>
          <a:ln w="0">
            <a:solidFill>
              <a:srgbClr val="8B8B8B"/>
            </a:solidFill>
          </a:ln>
        </c:spPr>
        <c:txPr>
          <a:bodyPr rot="-5400000"/>
          <a:lstStyle/>
          <a:p>
            <a:pPr>
              <a:defRPr sz="1000" b="0" strike="noStrike" spc="0">
                <a:solidFill>
                  <a:srgbClr val="333333"/>
                </a:solidFill>
                <a:latin typeface="Calibri"/>
              </a:defRPr>
            </a:pPr>
            <a:endParaRPr lang="ru-RU"/>
          </a:p>
        </c:txPr>
        <c:crossAx val="76887300"/>
        <c:crosses val="autoZero"/>
        <c:crossesAt val="0"/>
        <c:auto val="1"/>
        <c:lblOffset val="100"/>
      </c:dateAx>
      <c:spPr bwMode="auto">
        <a:prstGeom prst="rect">
          <a:avLst/>
        </a:prstGeom>
        <a:solidFill>
          <a:srgbClr val="FFFFFF"/>
        </a:solidFill>
        <a:ln w="0">
          <a:noFill/>
        </a:ln>
      </c:spPr>
    </c:plotArea>
    <c:legend mc:Ignorable="vyd">
      <c:legendPos val="r"/>
      <c:layout>
        <c:manualLayout>
          <c:xMode val="edge"/>
          <c:yMode val="edge"/>
          <c:x val="0.794"/>
          <c:y val="0.431"/>
          <c:w val="0.057"/>
          <c:h val="0.173"/>
        </c:manualLayout>
      </c:layout>
      <c:overlay val="0"/>
      <c:spPr bwMode="auto">
        <a:prstGeom prst="rect">
          <a:avLst/>
        </a:prstGeom>
        <a:noFill/>
        <a:ln w="0">
          <a:noFill/>
          <a:miter/>
        </a:ln>
      </c:spPr>
      <c:txPr>
        <a:bodyPr lIns="36000" tIns="36000" rIns="36000" bIns="36000"/>
        <a:lstStyle/>
        <a:p>
          <a:pPr>
            <a:defRPr spc="0" sz="700" b="0" strike="noStrike">
              <a:solidFill>
                <a:srgbClr val="333333"/>
              </a:solidFill>
              <a:latin typeface="Calibri"/>
            </a:defRPr>
          </a:pPr>
          <a:endParaRPr lang="ru-RU"/>
        </a:p>
      </c:txPr>
    </c:legend>
    <c:plotVisOnly val="1"/>
    <c:dispBlanksAs val="zero"/>
    <c:showDLblsOverMax val="1"/>
  </c:chart>
  <c:spPr bwMode="auto">
    <a:xfrm>
      <a:off x="0" y="0"/>
      <a:ext cx="0" cy="0"/>
    </a:xfrm>
    <a:prstGeom prst="rect">
      <a:avLst/>
    </a:prstGeom>
    <a:noFill/>
    <a:ln w="12600">
      <a:noFill/>
      <a:miter/>
    </a:ln>
  </c:spPr>
  <c:printSettings>
    <c:headerFooter/>
    <c:pageMargins l="0.7" r="0.7" t="0.75" b="0.75" header="0.3" footer="0.3"/>
    <c:pageSetup/>
  </c:printSettings>
</c:chartSpace>
</file>

<file path=xl/charts/chart3.xml><?xml version="1.0" encoding="utf-8"?>
<c:chartSpace xmlns:a="http://schemas.openxmlformats.org/drawingml/2006/main" xmlns:vyd="http://volga.yandex.com/schemas/document/model" xmlns:c="http://schemas.openxmlformats.org/drawingml/2006/chart" xmlns:mc="http://schemas.openxmlformats.org/markup-compatibility/2006">
  <c:date1904 val="0"/>
  <c:lang val="ru-RU"/>
  <c:roundedCorners val="0"/>
  <c:chart>
    <c:autoTitleDeleted val="1"/>
    <c:plotArea>
      <c:layout>
        <c:manualLayout>
          <c:layoutTarget val="inner"/>
          <c:xMode val="edge"/>
          <c:yMode val="edge"/>
          <c:x val="0.195"/>
          <c:y val="0.297"/>
          <c:w val="0.764"/>
          <c:h val="0.645"/>
        </c:manualLayout>
      </c:layout>
      <c:lineChart>
        <c:grouping val="standard"/>
        <c:varyColors val="0"/>
        <c:ser>
          <c:idx val="0"/>
          <c:order val="0"/>
          <c:spPr bwMode="auto">
            <a:prstGeom prst="rect">
              <a:avLst/>
            </a:prstGeom>
            <a:ln w="12600">
              <a:solidFill>
                <a:srgbClr val="5B9BD5"/>
              </a:solidFill>
              <a:round/>
            </a:ln>
          </c:spPr>
          <c:marker>
            <c:symbol val="diamond"/>
            <c:size val="2"/>
            <c:spPr bwMode="auto">
              <a:prstGeom prst="rect">
                <a:avLst/>
              </a:prstGeom>
              <a:solidFill>
                <a:srgbClr val="5B9BD5"/>
              </a:solidFill>
            </c:spPr>
          </c:marker>
          <c:dLbls>
            <c:spPr bwMode="auto">
              <a:prstGeom prst="rect">
                <a:avLst/>
              </a:prstGeom>
              <a:noFill/>
              <a:ln>
                <a:noFill/>
                <a:bevel/>
              </a:ln>
              <a:effectLst/>
            </c:spPr>
            <c:txPr>
              <a:bodyPr wrap="none"/>
              <a:lstStyle/>
              <a:p>
                <a:pPr>
                  <a:defRPr sz="1000" b="0" strike="noStrike" spc="0">
                    <a:solidFill>
                      <a:srgbClr val="333333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 xml:space="preserve">
</c:separator>
            <c:showLeaderLines val="0"/>
          </c:dLbls>
          <c:cat>
            <c:numRef>
              <c:f xml:space="preserve">'Корж А. А.'!$B$25:$B$47</c:f>
              <c:numCache>
                <c:formatCode>d\-mmm</c:formatCode>
                <c:ptCount val="23"/>
                <c:pt idx="0">
                  <c:v>46024</c:v>
                </c:pt>
                <c:pt idx="1">
                  <c:v>46025</c:v>
                </c:pt>
                <c:pt idx="2">
                  <c:v>46026</c:v>
                </c:pt>
                <c:pt idx="3">
                  <c:v>46027</c:v>
                </c:pt>
                <c:pt idx="4">
                  <c:v>46029</c:v>
                </c:pt>
                <c:pt idx="5">
                  <c:v>46030</c:v>
                </c:pt>
                <c:pt idx="6">
                  <c:v>46033</c:v>
                </c:pt>
                <c:pt idx="7">
                  <c:v>46034</c:v>
                </c:pt>
                <c:pt idx="8">
                  <c:v>46035</c:v>
                </c:pt>
                <c:pt idx="9">
                  <c:v>46038</c:v>
                </c:pt>
                <c:pt idx="10">
                  <c:v>46039</c:v>
                </c:pt>
                <c:pt idx="11">
                  <c:v>46040</c:v>
                </c:pt>
                <c:pt idx="12">
                  <c:v>46043</c:v>
                </c:pt>
                <c:pt idx="13">
                  <c:v>46044</c:v>
                </c:pt>
                <c:pt idx="14">
                  <c:v>46045</c:v>
                </c:pt>
                <c:pt idx="15">
                  <c:v>46048</c:v>
                </c:pt>
                <c:pt idx="16">
                  <c:v>46049</c:v>
                </c:pt>
                <c:pt idx="17">
                  <c:v>46050</c:v>
                </c:pt>
                <c:pt idx="18">
                  <c:v>46053</c:v>
                </c:pt>
              </c:numCache>
            </c:numRef>
          </c:cat>
          <c:val>
            <c:numRef>
              <c:f xml:space="preserve">'Корж А. А.'!$D$25:$D$47</c:f>
              <c:numCache>
                <c:formatCode>#,##0.00</c:formatCode>
                <c:ptCount val="23"/>
                <c:pt idx="0">
                  <c:v>29366</c:v>
                </c:pt>
                <c:pt idx="1">
                  <c:v>6284</c:v>
                </c:pt>
                <c:pt idx="2">
                  <c:v>63331</c:v>
                </c:pt>
                <c:pt idx="3">
                  <c:v>15172</c:v>
                </c:pt>
                <c:pt idx="4">
                  <c:v>3893</c:v>
                </c:pt>
                <c:pt idx="5">
                  <c:v>0</c:v>
                </c:pt>
                <c:pt idx="6">
                  <c:v>12204</c:v>
                </c:pt>
                <c:pt idx="7">
                  <c:v>3593</c:v>
                </c:pt>
                <c:pt idx="8">
                  <c:v>5393</c:v>
                </c:pt>
                <c:pt idx="9">
                  <c:v>93718</c:v>
                </c:pt>
                <c:pt idx="10">
                  <c:v>14784</c:v>
                </c:pt>
                <c:pt idx="11">
                  <c:v>0</c:v>
                </c:pt>
                <c:pt idx="12">
                  <c:v>25667</c:v>
                </c:pt>
                <c:pt idx="13">
                  <c:v>45691</c:v>
                </c:pt>
                <c:pt idx="14">
                  <c:v>27087</c:v>
                </c:pt>
                <c:pt idx="15">
                  <c:v>13769</c:v>
                </c:pt>
                <c:pt idx="16">
                  <c:v>102342</c:v>
                </c:pt>
                <c:pt idx="17">
                  <c:v>15883</c:v>
                </c:pt>
                <c:pt idx="18">
                  <c:v>26958</c:v>
                </c:pt>
              </c:numCache>
            </c:numRef>
          </c:val>
          <c:smooth val="1"/>
        </c:ser>
        <c:ser>
          <c:idx val="1"/>
          <c:order val="1"/>
          <c:spPr bwMode="auto">
            <a:prstGeom prst="rect">
              <a:avLst/>
            </a:prstGeom>
            <a:ln w="12600">
              <a:solidFill>
                <a:srgbClr val="ED7D31"/>
              </a:solidFill>
              <a:round/>
            </a:ln>
          </c:spPr>
          <c:marker>
            <c:symbol val="square"/>
            <c:size val="2"/>
            <c:spPr bwMode="auto">
              <a:prstGeom prst="rect">
                <a:avLst/>
              </a:prstGeom>
              <a:solidFill>
                <a:srgbClr val="ED7D31"/>
              </a:solidFill>
            </c:spPr>
          </c:marker>
          <c:dLbls>
            <c:spPr bwMode="auto">
              <a:prstGeom prst="rect">
                <a:avLst/>
              </a:prstGeom>
              <a:noFill/>
              <a:ln>
                <a:noFill/>
                <a:bevel/>
              </a:ln>
              <a:effectLst/>
            </c:spPr>
            <c:txPr>
              <a:bodyPr wrap="none"/>
              <a:lstStyle/>
              <a:p>
                <a:pPr>
                  <a:defRPr sz="1000" b="0" strike="noStrike" spc="0">
                    <a:solidFill>
                      <a:srgbClr val="333333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 xml:space="preserve">
</c:separator>
            <c:showLeaderLines val="0"/>
          </c:dLbls>
          <c:cat>
            <c:numRef>
              <c:f xml:space="preserve">'Корж А. А.'!$B$25:$B$47</c:f>
              <c:numCache>
                <c:formatCode>d\-mmm</c:formatCode>
                <c:ptCount val="23"/>
                <c:pt idx="0">
                  <c:v>46024</c:v>
                </c:pt>
                <c:pt idx="1">
                  <c:v>46025</c:v>
                </c:pt>
                <c:pt idx="2">
                  <c:v>46026</c:v>
                </c:pt>
                <c:pt idx="3">
                  <c:v>46027</c:v>
                </c:pt>
                <c:pt idx="4">
                  <c:v>46029</c:v>
                </c:pt>
                <c:pt idx="5">
                  <c:v>46030</c:v>
                </c:pt>
                <c:pt idx="6">
                  <c:v>46033</c:v>
                </c:pt>
                <c:pt idx="7">
                  <c:v>46034</c:v>
                </c:pt>
                <c:pt idx="8">
                  <c:v>46035</c:v>
                </c:pt>
                <c:pt idx="9">
                  <c:v>46038</c:v>
                </c:pt>
                <c:pt idx="10">
                  <c:v>46039</c:v>
                </c:pt>
                <c:pt idx="11">
                  <c:v>46040</c:v>
                </c:pt>
                <c:pt idx="12">
                  <c:v>46043</c:v>
                </c:pt>
                <c:pt idx="13">
                  <c:v>46044</c:v>
                </c:pt>
                <c:pt idx="14">
                  <c:v>46045</c:v>
                </c:pt>
                <c:pt idx="15">
                  <c:v>46048</c:v>
                </c:pt>
                <c:pt idx="16">
                  <c:v>46049</c:v>
                </c:pt>
                <c:pt idx="17">
                  <c:v>46050</c:v>
                </c:pt>
                <c:pt idx="18">
                  <c:v>46053</c:v>
                </c:pt>
              </c:numCache>
            </c:numRef>
          </c:cat>
          <c:val>
            <c:numRef>
              <c:f xml:space="preserve">'Корж А. А.'!$O$25:$O$47</c:f>
              <c:numCache>
                <c:formatCode>#,##0</c:formatCode>
                <c:ptCount val="23"/>
                <c:pt idx="14">
                  <c:v>8990</c:v>
                </c:pt>
              </c:numCache>
            </c:numRef>
          </c:val>
          <c:smooth val="1"/>
        </c:ser>
        <c:ser>
          <c:idx val="2"/>
          <c:order val="2"/>
          <c:spPr bwMode="auto">
            <a:prstGeom prst="rect">
              <a:avLst/>
            </a:prstGeom>
            <a:ln w="12600">
              <a:solidFill>
                <a:srgbClr val="A5A5A5"/>
              </a:solidFill>
              <a:round/>
            </a:ln>
          </c:spPr>
          <c:marker>
            <c:symbol val="triangle"/>
            <c:size val="2"/>
            <c:spPr bwMode="auto">
              <a:prstGeom prst="rect">
                <a:avLst/>
              </a:prstGeom>
              <a:solidFill>
                <a:srgbClr val="A5A5A5"/>
              </a:solidFill>
            </c:spPr>
          </c:marker>
          <c:dLbls>
            <c:spPr bwMode="auto">
              <a:prstGeom prst="rect">
                <a:avLst/>
              </a:prstGeom>
              <a:noFill/>
              <a:ln>
                <a:noFill/>
                <a:round/>
              </a:ln>
              <a:effectLst/>
            </c:spPr>
            <c:txPr>
              <a:bodyPr wrap="none"/>
              <a:lstStyle/>
              <a:p>
                <a:pPr>
                  <a:defRPr sz="1000" b="0" strike="noStrike" spc="0">
                    <a:solidFill>
                      <a:srgbClr val="333333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 xml:space="preserve">
</c:separator>
            <c:showLeaderLines val="0"/>
          </c:dLbls>
          <c:cat>
            <c:numRef>
              <c:f xml:space="preserve">'Корж А. А.'!$B$25:$B$47</c:f>
              <c:numCache>
                <c:formatCode>d\-mmm</c:formatCode>
                <c:ptCount val="23"/>
                <c:pt idx="0">
                  <c:v>46024</c:v>
                </c:pt>
                <c:pt idx="1">
                  <c:v>46025</c:v>
                </c:pt>
                <c:pt idx="2">
                  <c:v>46026</c:v>
                </c:pt>
                <c:pt idx="3">
                  <c:v>46027</c:v>
                </c:pt>
                <c:pt idx="4">
                  <c:v>46029</c:v>
                </c:pt>
                <c:pt idx="5">
                  <c:v>46030</c:v>
                </c:pt>
                <c:pt idx="6">
                  <c:v>46033</c:v>
                </c:pt>
                <c:pt idx="7">
                  <c:v>46034</c:v>
                </c:pt>
                <c:pt idx="8">
                  <c:v>46035</c:v>
                </c:pt>
                <c:pt idx="9">
                  <c:v>46038</c:v>
                </c:pt>
                <c:pt idx="10">
                  <c:v>46039</c:v>
                </c:pt>
                <c:pt idx="11">
                  <c:v>46040</c:v>
                </c:pt>
                <c:pt idx="12">
                  <c:v>46043</c:v>
                </c:pt>
                <c:pt idx="13">
                  <c:v>46044</c:v>
                </c:pt>
                <c:pt idx="14">
                  <c:v>46045</c:v>
                </c:pt>
                <c:pt idx="15">
                  <c:v>46048</c:v>
                </c:pt>
                <c:pt idx="16">
                  <c:v>46049</c:v>
                </c:pt>
                <c:pt idx="17">
                  <c:v>46050</c:v>
                </c:pt>
                <c:pt idx="18">
                  <c:v>46053</c:v>
                </c:pt>
              </c:numCache>
            </c:numRef>
          </c:cat>
          <c:val>
            <c:numRef>
              <c:f xml:space="preserve">'Корж А. А.'!$P$25:$P$47</c:f>
              <c:numCache>
                <c:formatCode>#,##0</c:formatCode>
                <c:ptCount val="23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hiLowLines>
          <c:spPr bwMode="auto">
            <a:prstGeom prst="rect">
              <a:avLst/>
            </a:prstGeom>
            <a:ln w="0">
              <a:noFill/>
              <a:bevel/>
            </a:ln>
          </c:spPr>
        </c:hiLowLines>
        <c:marker val="1"/>
        <c:smooth val="0"/>
        <c:axId val="76887299"/>
        <c:axId val="76887298"/>
      </c:lineChart>
      <c:valAx>
        <c:axId val="7688729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0">
              <a:solidFill>
                <a:srgbClr val="8B8B8B"/>
              </a:solidFill>
              <a:bevel/>
            </a:ln>
          </c:spPr>
        </c:majorGridlines>
        <c:numFmt formatCode="General" sourceLinked="0"/>
        <c:majorTickMark val="out"/>
        <c:minorTickMark val="none"/>
        <c:tickLblPos val="nextTo"/>
        <c:spPr bwMode="auto">
          <a:prstGeom prst="rect">
            <a:avLst/>
          </a:prstGeom>
          <a:ln w="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0">
                <a:solidFill>
                  <a:srgbClr val="333333"/>
                </a:solidFill>
                <a:latin typeface="Calibri"/>
              </a:defRPr>
            </a:pPr>
            <a:endParaRPr lang="ru-RU"/>
          </a:p>
        </c:txPr>
        <c:crossAx val="76887299"/>
        <c:crosses val="autoZero"/>
        <c:crossesAt val="0"/>
        <c:crossBetween val="midCat"/>
      </c:valAx>
      <c:dateAx>
        <c:axId val="76887299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 bwMode="auto">
          <a:prstGeom prst="rect">
            <a:avLst/>
          </a:prstGeom>
          <a:ln w="0">
            <a:solidFill>
              <a:srgbClr val="8B8B8B"/>
            </a:solidFill>
          </a:ln>
        </c:spPr>
        <c:txPr>
          <a:bodyPr rot="-5400000"/>
          <a:lstStyle/>
          <a:p>
            <a:pPr>
              <a:defRPr sz="1000" b="0" strike="noStrike" spc="0">
                <a:solidFill>
                  <a:srgbClr val="333333"/>
                </a:solidFill>
                <a:latin typeface="Calibri"/>
              </a:defRPr>
            </a:pPr>
            <a:endParaRPr lang="ru-RU"/>
          </a:p>
        </c:txPr>
        <c:crossAx val="76887298"/>
        <c:crosses val="autoZero"/>
        <c:crossesAt val="0"/>
        <c:auto val="1"/>
        <c:lblOffset val="100"/>
      </c:dateAx>
      <c:spPr bwMode="auto">
        <a:prstGeom prst="rect">
          <a:avLst/>
        </a:prstGeom>
        <a:solidFill>
          <a:srgbClr val="FFFFFF"/>
        </a:solidFill>
        <a:ln w="0">
          <a:noFill/>
        </a:ln>
      </c:spPr>
    </c:plotArea>
    <c:legend mc:Ignorable="vyd">
      <c:legendPos val="r"/>
      <c:layout>
        <c:manualLayout>
          <c:xMode val="edge"/>
          <c:yMode val="edge"/>
          <c:x val="0.794"/>
          <c:y val="0.431"/>
          <c:w val="0.057"/>
          <c:h val="0.173"/>
        </c:manualLayout>
      </c:layout>
      <c:overlay val="0"/>
      <c:spPr bwMode="auto">
        <a:prstGeom prst="rect">
          <a:avLst/>
        </a:prstGeom>
        <a:noFill/>
        <a:ln w="0">
          <a:noFill/>
          <a:miter/>
        </a:ln>
      </c:spPr>
      <c:txPr>
        <a:bodyPr lIns="36000" tIns="36000" rIns="36000" bIns="36000"/>
        <a:lstStyle/>
        <a:p>
          <a:pPr>
            <a:defRPr spc="0" sz="700" b="0" strike="noStrike">
              <a:solidFill>
                <a:srgbClr val="333333"/>
              </a:solidFill>
              <a:latin typeface="Calibri"/>
            </a:defRPr>
          </a:pPr>
          <a:endParaRPr lang="ru-RU"/>
        </a:p>
      </c:txPr>
    </c:legend>
    <c:plotVisOnly val="1"/>
    <c:dispBlanksAs val="zero"/>
    <c:showDLblsOverMax val="1"/>
  </c:chart>
  <c:spPr bwMode="auto">
    <a:xfrm>
      <a:off x="0" y="0"/>
      <a:ext cx="0" cy="0"/>
    </a:xfrm>
    <a:prstGeom prst="rect">
      <a:avLst/>
    </a:prstGeom>
    <a:noFill/>
    <a:ln w="12600">
      <a:noFill/>
      <a:miter/>
    </a:ln>
  </c:spPr>
  <c:printSettings>
    <c:headerFooter/>
    <c:pageMargins l="0.7" r="0.7" t="0.75" b="0.75" header="0.3" footer="0.3"/>
    <c:pageSetup/>
  </c:printSettings>
</c:chartSpace>
</file>

<file path=xl/charts/chart4.xml><?xml version="1.0" encoding="utf-8"?>
<c:chartSpace xmlns:a="http://schemas.openxmlformats.org/drawingml/2006/main" xmlns:vyd="http://volga.yandex.com/schemas/document/model" xmlns:c="http://schemas.openxmlformats.org/drawingml/2006/chart" xmlns:mc="http://schemas.openxmlformats.org/markup-compatibility/2006">
  <c:date1904 val="0"/>
  <c:lang val="ru-RU"/>
  <c:roundedCorners val="0"/>
  <c:chart>
    <c:autoTitleDeleted val="1"/>
    <c:plotArea>
      <c:layout>
        <c:manualLayout>
          <c:layoutTarget val="inner"/>
          <c:xMode val="edge"/>
          <c:yMode val="edge"/>
          <c:x val="0.195"/>
          <c:y val="0.297"/>
          <c:w val="0.764"/>
          <c:h val="0.645"/>
        </c:manualLayout>
      </c:layout>
      <c:lineChart>
        <c:grouping val="standard"/>
        <c:varyColors val="0"/>
        <c:ser>
          <c:idx val="0"/>
          <c:order val="0"/>
          <c:spPr bwMode="auto">
            <a:prstGeom prst="rect">
              <a:avLst/>
            </a:prstGeom>
            <a:ln w="12600">
              <a:solidFill>
                <a:srgbClr val="5B9BD5"/>
              </a:solidFill>
              <a:round/>
            </a:ln>
          </c:spPr>
          <c:marker>
            <c:symbol val="diamond"/>
            <c:size val="2"/>
            <c:spPr bwMode="auto">
              <a:prstGeom prst="rect">
                <a:avLst/>
              </a:prstGeom>
              <a:solidFill>
                <a:srgbClr val="5B9BD5"/>
              </a:solidFill>
            </c:spPr>
          </c:marker>
          <c:dLbls>
            <c:spPr bwMode="auto">
              <a:prstGeom prst="rect">
                <a:avLst/>
              </a:prstGeom>
              <a:noFill/>
              <a:ln>
                <a:noFill/>
                <a:bevel/>
              </a:ln>
              <a:effectLst/>
            </c:spPr>
            <c:txPr>
              <a:bodyPr wrap="none"/>
              <a:lstStyle/>
              <a:p>
                <a:pPr>
                  <a:defRPr sz="1000" b="0" strike="noStrike" spc="0">
                    <a:solidFill>
                      <a:srgbClr val="333333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 xml:space="preserve">
</c:separator>
            <c:showLeaderLines val="0"/>
          </c:dLbls>
          <c:cat>
            <c:numRef>
              <c:f xml:space="preserve">'Свидовская С. А.'!$B$25:$B$47</c:f>
              <c:numCache>
                <c:formatCode>d\-mmm</c:formatCode>
                <c:ptCount val="23"/>
                <c:pt idx="0">
                  <c:v>46024</c:v>
                </c:pt>
                <c:pt idx="1">
                  <c:v>46025</c:v>
                </c:pt>
                <c:pt idx="2">
                  <c:v>46026</c:v>
                </c:pt>
                <c:pt idx="3">
                  <c:v>46029</c:v>
                </c:pt>
                <c:pt idx="4">
                  <c:v>46030</c:v>
                </c:pt>
                <c:pt idx="5">
                  <c:v>46031</c:v>
                </c:pt>
                <c:pt idx="6">
                  <c:v>46033</c:v>
                </c:pt>
                <c:pt idx="7">
                  <c:v>46034</c:v>
                </c:pt>
                <c:pt idx="8">
                  <c:v>46037</c:v>
                </c:pt>
                <c:pt idx="9">
                  <c:v>46038</c:v>
                </c:pt>
                <c:pt idx="10">
                  <c:v>46041</c:v>
                </c:pt>
                <c:pt idx="11">
                  <c:v>46042</c:v>
                </c:pt>
                <c:pt idx="12">
                  <c:v>46043</c:v>
                </c:pt>
                <c:pt idx="13">
                  <c:v>46046</c:v>
                </c:pt>
                <c:pt idx="14">
                  <c:v>46047</c:v>
                </c:pt>
                <c:pt idx="15">
                  <c:v>46048</c:v>
                </c:pt>
                <c:pt idx="16">
                  <c:v>46051</c:v>
                </c:pt>
                <c:pt idx="17">
                  <c:v>46052</c:v>
                </c:pt>
                <c:pt idx="22">
                  <c:v>46036</c:v>
                </c:pt>
              </c:numCache>
            </c:numRef>
          </c:cat>
          <c:val>
            <c:numRef>
              <c:f xml:space="preserve">'Свидовская С. А.'!$D$25:$D$47</c:f>
              <c:numCache>
                <c:formatCode>#,##0.00</c:formatCode>
                <c:ptCount val="23"/>
                <c:pt idx="0">
                  <c:v>22910</c:v>
                </c:pt>
                <c:pt idx="1">
                  <c:v>14775</c:v>
                </c:pt>
                <c:pt idx="2">
                  <c:v>10384</c:v>
                </c:pt>
                <c:pt idx="3">
                  <c:v>8385</c:v>
                </c:pt>
                <c:pt idx="4">
                  <c:v>13378</c:v>
                </c:pt>
                <c:pt idx="5">
                  <c:v>20183</c:v>
                </c:pt>
                <c:pt idx="6">
                  <c:v>0</c:v>
                </c:pt>
                <c:pt idx="7">
                  <c:v>6565</c:v>
                </c:pt>
                <c:pt idx="8">
                  <c:v>17806</c:v>
                </c:pt>
                <c:pt idx="9">
                  <c:v>6322</c:v>
                </c:pt>
                <c:pt idx="10">
                  <c:v>6267</c:v>
                </c:pt>
                <c:pt idx="11">
                  <c:v>0</c:v>
                </c:pt>
                <c:pt idx="12">
                  <c:v>8493</c:v>
                </c:pt>
                <c:pt idx="13">
                  <c:v>52668</c:v>
                </c:pt>
                <c:pt idx="14">
                  <c:v>23266</c:v>
                </c:pt>
                <c:pt idx="15">
                  <c:v>0</c:v>
                </c:pt>
                <c:pt idx="16">
                  <c:v>28447</c:v>
                </c:pt>
                <c:pt idx="17">
                  <c:v>15477</c:v>
                </c:pt>
                <c:pt idx="21">
                  <c:v>5666</c:v>
                </c:pt>
                <c:pt idx="22">
                  <c:v>7031</c:v>
                </c:pt>
              </c:numCache>
            </c:numRef>
          </c:val>
          <c:smooth val="1"/>
        </c:ser>
        <c:ser>
          <c:idx val="1"/>
          <c:order val="1"/>
          <c:spPr bwMode="auto">
            <a:prstGeom prst="rect">
              <a:avLst/>
            </a:prstGeom>
            <a:ln w="12600">
              <a:solidFill>
                <a:srgbClr val="ED7D31"/>
              </a:solidFill>
              <a:round/>
            </a:ln>
          </c:spPr>
          <c:marker>
            <c:symbol val="square"/>
            <c:size val="2"/>
            <c:spPr bwMode="auto">
              <a:prstGeom prst="rect">
                <a:avLst/>
              </a:prstGeom>
              <a:solidFill>
                <a:srgbClr val="ED7D31"/>
              </a:solidFill>
            </c:spPr>
          </c:marker>
          <c:dLbls>
            <c:spPr bwMode="auto">
              <a:prstGeom prst="rect">
                <a:avLst/>
              </a:prstGeom>
              <a:noFill/>
              <a:ln>
                <a:noFill/>
                <a:bevel/>
              </a:ln>
              <a:effectLst/>
            </c:spPr>
            <c:txPr>
              <a:bodyPr wrap="none"/>
              <a:lstStyle/>
              <a:p>
                <a:pPr>
                  <a:defRPr sz="1000" b="0" strike="noStrike" spc="0">
                    <a:solidFill>
                      <a:srgbClr val="333333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 xml:space="preserve">
</c:separator>
            <c:showLeaderLines val="0"/>
          </c:dLbls>
          <c:cat>
            <c:numRef>
              <c:f xml:space="preserve">'Свидовская С. А.'!$B$25:$B$47</c:f>
              <c:numCache>
                <c:formatCode>d\-mmm</c:formatCode>
                <c:ptCount val="23"/>
                <c:pt idx="0">
                  <c:v>46024</c:v>
                </c:pt>
                <c:pt idx="1">
                  <c:v>46025</c:v>
                </c:pt>
                <c:pt idx="2">
                  <c:v>46026</c:v>
                </c:pt>
                <c:pt idx="3">
                  <c:v>46029</c:v>
                </c:pt>
                <c:pt idx="4">
                  <c:v>46030</c:v>
                </c:pt>
                <c:pt idx="5">
                  <c:v>46031</c:v>
                </c:pt>
                <c:pt idx="6">
                  <c:v>46033</c:v>
                </c:pt>
                <c:pt idx="7">
                  <c:v>46034</c:v>
                </c:pt>
                <c:pt idx="8">
                  <c:v>46037</c:v>
                </c:pt>
                <c:pt idx="9">
                  <c:v>46038</c:v>
                </c:pt>
                <c:pt idx="10">
                  <c:v>46041</c:v>
                </c:pt>
                <c:pt idx="11">
                  <c:v>46042</c:v>
                </c:pt>
                <c:pt idx="12">
                  <c:v>46043</c:v>
                </c:pt>
                <c:pt idx="13">
                  <c:v>46046</c:v>
                </c:pt>
                <c:pt idx="14">
                  <c:v>46047</c:v>
                </c:pt>
                <c:pt idx="15">
                  <c:v>46048</c:v>
                </c:pt>
                <c:pt idx="16">
                  <c:v>46051</c:v>
                </c:pt>
                <c:pt idx="17">
                  <c:v>46052</c:v>
                </c:pt>
                <c:pt idx="22">
                  <c:v>46036</c:v>
                </c:pt>
              </c:numCache>
            </c:numRef>
          </c:cat>
          <c:val>
            <c:numRef>
              <c:f xml:space="preserve">'Свидовская С. А.'!$O$25:$O$47</c:f>
              <c:numCache>
                <c:formatCode>#,##0</c:formatCode>
                <c:ptCount val="23"/>
              </c:numCache>
            </c:numRef>
          </c:val>
          <c:smooth val="1"/>
        </c:ser>
        <c:ser>
          <c:idx val="2"/>
          <c:order val="2"/>
          <c:spPr bwMode="auto">
            <a:prstGeom prst="rect">
              <a:avLst/>
            </a:prstGeom>
            <a:ln w="12600">
              <a:solidFill>
                <a:srgbClr val="A5A5A5"/>
              </a:solidFill>
              <a:round/>
            </a:ln>
          </c:spPr>
          <c:marker>
            <c:symbol val="triangle"/>
            <c:size val="2"/>
            <c:spPr bwMode="auto">
              <a:prstGeom prst="rect">
                <a:avLst/>
              </a:prstGeom>
              <a:solidFill>
                <a:srgbClr val="A5A5A5"/>
              </a:solidFill>
            </c:spPr>
          </c:marker>
          <c:dLbls>
            <c:spPr bwMode="auto">
              <a:prstGeom prst="rect">
                <a:avLst/>
              </a:prstGeom>
              <a:noFill/>
              <a:ln>
                <a:noFill/>
                <a:round/>
              </a:ln>
              <a:effectLst/>
            </c:spPr>
            <c:txPr>
              <a:bodyPr wrap="none"/>
              <a:lstStyle/>
              <a:p>
                <a:pPr>
                  <a:defRPr sz="1000" b="0" strike="noStrike" spc="0">
                    <a:solidFill>
                      <a:srgbClr val="333333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 xml:space="preserve">
</c:separator>
            <c:showLeaderLines val="0"/>
          </c:dLbls>
          <c:cat>
            <c:numRef>
              <c:f xml:space="preserve">'Свидовская С. А.'!$B$25:$B$47</c:f>
              <c:numCache>
                <c:formatCode>d\-mmm</c:formatCode>
                <c:ptCount val="23"/>
                <c:pt idx="0">
                  <c:v>46024</c:v>
                </c:pt>
                <c:pt idx="1">
                  <c:v>46025</c:v>
                </c:pt>
                <c:pt idx="2">
                  <c:v>46026</c:v>
                </c:pt>
                <c:pt idx="3">
                  <c:v>46029</c:v>
                </c:pt>
                <c:pt idx="4">
                  <c:v>46030</c:v>
                </c:pt>
                <c:pt idx="5">
                  <c:v>46031</c:v>
                </c:pt>
                <c:pt idx="6">
                  <c:v>46033</c:v>
                </c:pt>
                <c:pt idx="7">
                  <c:v>46034</c:v>
                </c:pt>
                <c:pt idx="8">
                  <c:v>46037</c:v>
                </c:pt>
                <c:pt idx="9">
                  <c:v>46038</c:v>
                </c:pt>
                <c:pt idx="10">
                  <c:v>46041</c:v>
                </c:pt>
                <c:pt idx="11">
                  <c:v>46042</c:v>
                </c:pt>
                <c:pt idx="12">
                  <c:v>46043</c:v>
                </c:pt>
                <c:pt idx="13">
                  <c:v>46046</c:v>
                </c:pt>
                <c:pt idx="14">
                  <c:v>46047</c:v>
                </c:pt>
                <c:pt idx="15">
                  <c:v>46048</c:v>
                </c:pt>
                <c:pt idx="16">
                  <c:v>46051</c:v>
                </c:pt>
                <c:pt idx="17">
                  <c:v>46052</c:v>
                </c:pt>
                <c:pt idx="22">
                  <c:v>46036</c:v>
                </c:pt>
              </c:numCache>
            </c:numRef>
          </c:cat>
          <c:val>
            <c:numRef>
              <c:f xml:space="preserve">'Свидовская С. А.'!#REF!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hiLowLines>
          <c:spPr bwMode="auto">
            <a:prstGeom prst="rect">
              <a:avLst/>
            </a:prstGeom>
            <a:ln w="0">
              <a:noFill/>
              <a:bevel/>
            </a:ln>
          </c:spPr>
        </c:hiLowLines>
        <c:marker val="1"/>
        <c:smooth val="0"/>
        <c:axId val="76887296"/>
        <c:axId val="76887297"/>
      </c:lineChart>
      <c:valAx>
        <c:axId val="76887297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0">
              <a:solidFill>
                <a:srgbClr val="8B8B8B"/>
              </a:solidFill>
              <a:bevel/>
            </a:ln>
          </c:spPr>
        </c:majorGridlines>
        <c:numFmt formatCode="General" sourceLinked="0"/>
        <c:majorTickMark val="out"/>
        <c:minorTickMark val="none"/>
        <c:tickLblPos val="nextTo"/>
        <c:spPr bwMode="auto">
          <a:prstGeom prst="rect">
            <a:avLst/>
          </a:prstGeom>
          <a:ln w="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0">
                <a:solidFill>
                  <a:srgbClr val="333333"/>
                </a:solidFill>
                <a:latin typeface="Calibri"/>
              </a:defRPr>
            </a:pPr>
            <a:endParaRPr lang="ru-RU"/>
          </a:p>
        </c:txPr>
        <c:crossAx val="76887296"/>
        <c:crosses val="autoZero"/>
        <c:crossesAt val="0"/>
        <c:crossBetween val="midCat"/>
      </c:valAx>
      <c:dateAx>
        <c:axId val="7688729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 bwMode="auto">
          <a:prstGeom prst="rect">
            <a:avLst/>
          </a:prstGeom>
          <a:ln w="0">
            <a:solidFill>
              <a:srgbClr val="8B8B8B"/>
            </a:solidFill>
          </a:ln>
        </c:spPr>
        <c:txPr>
          <a:bodyPr rot="-5400000"/>
          <a:lstStyle/>
          <a:p>
            <a:pPr>
              <a:defRPr sz="1000" b="0" strike="noStrike" spc="0">
                <a:solidFill>
                  <a:srgbClr val="333333"/>
                </a:solidFill>
                <a:latin typeface="Calibri"/>
              </a:defRPr>
            </a:pPr>
            <a:endParaRPr lang="ru-RU"/>
          </a:p>
        </c:txPr>
        <c:crossAx val="76887297"/>
        <c:crosses val="autoZero"/>
        <c:crossesAt val="0"/>
        <c:auto val="1"/>
        <c:lblOffset val="100"/>
      </c:dateAx>
      <c:spPr bwMode="auto">
        <a:prstGeom prst="rect">
          <a:avLst/>
        </a:prstGeom>
        <a:solidFill>
          <a:srgbClr val="FFFFFF"/>
        </a:solidFill>
        <a:ln w="0">
          <a:noFill/>
        </a:ln>
      </c:spPr>
    </c:plotArea>
    <c:legend mc:Ignorable="vyd">
      <c:legendPos val="r"/>
      <c:layout>
        <c:manualLayout>
          <c:xMode val="edge"/>
          <c:yMode val="edge"/>
          <c:x val="0.794"/>
          <c:y val="0.431"/>
          <c:w val="0.057"/>
          <c:h val="0.173"/>
        </c:manualLayout>
      </c:layout>
      <c:overlay val="0"/>
      <c:spPr bwMode="auto">
        <a:prstGeom prst="rect">
          <a:avLst/>
        </a:prstGeom>
        <a:noFill/>
        <a:ln w="0">
          <a:noFill/>
          <a:miter/>
        </a:ln>
      </c:spPr>
      <c:txPr>
        <a:bodyPr lIns="36000" tIns="36000" rIns="36000" bIns="36000"/>
        <a:lstStyle/>
        <a:p>
          <a:pPr>
            <a:defRPr spc="0" sz="700" b="0" strike="noStrike">
              <a:solidFill>
                <a:srgbClr val="333333"/>
              </a:solidFill>
              <a:latin typeface="Calibri"/>
            </a:defRPr>
          </a:pPr>
          <a:endParaRPr lang="ru-RU"/>
        </a:p>
      </c:txPr>
    </c:legend>
    <c:plotVisOnly val="1"/>
    <c:dispBlanksAs val="zero"/>
    <c:showDLblsOverMax val="1"/>
  </c:chart>
  <c:spPr bwMode="auto">
    <a:xfrm>
      <a:off x="0" y="0"/>
      <a:ext cx="0" cy="0"/>
    </a:xfrm>
    <a:prstGeom prst="rect">
      <a:avLst/>
    </a:prstGeom>
    <a:noFill/>
    <a:ln w="12600">
      <a:noFill/>
      <a:miter/>
    </a:ln>
  </c:spPr>
  <c:printSettings>
    <c:headerFooter/>
    <c:pageMargins l="0.7" r="0.7" t="0.75" b="0.75" header="0.3" footer="0.3"/>
    <c:pageSetup/>
  </c:printSettings>
</c:chartSpace>
</file>

<file path=xl/charts/chart5.xml><?xml version="1.0" encoding="utf-8"?>
<c:chartSpace xmlns:a="http://schemas.openxmlformats.org/drawingml/2006/main" xmlns:vyd="http://volga.yandex.com/schemas/document/model" xmlns:c="http://schemas.openxmlformats.org/drawingml/2006/chart" xmlns:mc="http://schemas.openxmlformats.org/markup-compatibility/2006">
  <c:date1904 val="0"/>
  <c:lang val="ru-RU"/>
  <c:roundedCorners val="0"/>
  <c:chart>
    <c:autoTitleDeleted val="1"/>
    <c:plotArea>
      <c:layout>
        <c:manualLayout>
          <c:layoutTarget val="inner"/>
          <c:xMode val="edge"/>
          <c:yMode val="edge"/>
          <c:x val="0.195"/>
          <c:y val="0.297"/>
          <c:w val="0.764"/>
          <c:h val="0.645"/>
        </c:manualLayout>
      </c:layout>
      <c:lineChart>
        <c:grouping val="standard"/>
        <c:varyColors val="0"/>
        <c:ser>
          <c:idx val="0"/>
          <c:order val="0"/>
          <c:spPr bwMode="auto">
            <a:prstGeom prst="rect">
              <a:avLst/>
            </a:prstGeom>
            <a:ln w="12600">
              <a:solidFill>
                <a:srgbClr val="5B9BD5"/>
              </a:solidFill>
              <a:round/>
            </a:ln>
          </c:spPr>
          <c:marker>
            <c:symbol val="diamond"/>
            <c:size val="2"/>
            <c:spPr bwMode="auto">
              <a:prstGeom prst="rect">
                <a:avLst/>
              </a:prstGeom>
              <a:solidFill>
                <a:srgbClr val="5B9BD5"/>
              </a:solidFill>
            </c:spPr>
          </c:marker>
          <c:dLbls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333333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 xml:space="preserve">
</c:separator>
            <c:showLeaderLines val="0"/>
          </c:dLbls>
          <c:cat>
            <c:numRef>
              <c:f xml:space="preserve">'Доп сотрудник'!$B$25:$B$47</c:f>
              <c:numCache>
                <c:formatCode>d\-mmm</c:formatCode>
                <c:ptCount val="23"/>
                <c:pt idx="0">
                  <c:v>46036</c:v>
                </c:pt>
                <c:pt idx="1">
                  <c:v>46037</c:v>
                </c:pt>
                <c:pt idx="2">
                  <c:v>46038</c:v>
                </c:pt>
                <c:pt idx="3">
                  <c:v>46039</c:v>
                </c:pt>
                <c:pt idx="4">
                  <c:v>46040</c:v>
                </c:pt>
                <c:pt idx="21">
                  <c:v>46041</c:v>
                </c:pt>
                <c:pt idx="22">
                  <c:v>46031</c:v>
                </c:pt>
              </c:numCache>
            </c:numRef>
          </c:cat>
          <c:val>
            <c:numRef>
              <c:f xml:space="preserve">'Доп сотрудник'!$D$25:$D$47</c:f>
              <c:numCache>
                <c:formatCode>#,##0.00</c:formatCode>
                <c:ptCount val="23"/>
                <c:pt idx="0">
                  <c:v>18613</c:v>
                </c:pt>
                <c:pt idx="1">
                  <c:v>63046</c:v>
                </c:pt>
                <c:pt idx="2">
                  <c:v>0</c:v>
                </c:pt>
                <c:pt idx="3">
                  <c:v>28211</c:v>
                </c:pt>
                <c:pt idx="21">
                  <c:v>13009</c:v>
                </c:pt>
                <c:pt idx="22">
                  <c:v>9993</c:v>
                </c:pt>
              </c:numCache>
            </c:numRef>
          </c:val>
          <c:smooth val="1"/>
        </c:ser>
        <c:ser>
          <c:idx val="1"/>
          <c:order val="1"/>
          <c:spPr bwMode="auto">
            <a:prstGeom prst="rect">
              <a:avLst/>
            </a:prstGeom>
            <a:ln w="12600">
              <a:solidFill>
                <a:srgbClr val="ED7D31"/>
              </a:solidFill>
              <a:round/>
            </a:ln>
          </c:spPr>
          <c:marker>
            <c:symbol val="square"/>
            <c:size val="2"/>
            <c:spPr bwMode="auto">
              <a:prstGeom prst="rect">
                <a:avLst/>
              </a:prstGeom>
              <a:solidFill>
                <a:srgbClr val="ED7D31"/>
              </a:solidFill>
            </c:spPr>
          </c:marker>
          <c:dLbls>
            <c:spPr bwMode="auto">
              <a:prstGeom prst="rect">
                <a:avLst/>
              </a:prstGeom>
              <a:noFill/>
              <a:ln>
                <a:noFill/>
                <a:beve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333333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 xml:space="preserve">
</c:separator>
            <c:showLeaderLines val="0"/>
          </c:dLbls>
          <c:cat>
            <c:numRef>
              <c:f xml:space="preserve">'Доп сотрудник'!$B$25:$B$47</c:f>
              <c:numCache>
                <c:formatCode>d\-mmm</c:formatCode>
                <c:ptCount val="23"/>
                <c:pt idx="0">
                  <c:v>46036</c:v>
                </c:pt>
                <c:pt idx="1">
                  <c:v>46037</c:v>
                </c:pt>
                <c:pt idx="2">
                  <c:v>46038</c:v>
                </c:pt>
                <c:pt idx="3">
                  <c:v>46039</c:v>
                </c:pt>
                <c:pt idx="4">
                  <c:v>46040</c:v>
                </c:pt>
                <c:pt idx="21">
                  <c:v>46041</c:v>
                </c:pt>
                <c:pt idx="22">
                  <c:v>46031</c:v>
                </c:pt>
              </c:numCache>
            </c:numRef>
          </c:cat>
          <c:val>
            <c:numRef>
              <c:f xml:space="preserve">'Доп сотрудник'!$O$25:$O$47</c:f>
              <c:numCache>
                <c:formatCode>#,##0</c:formatCode>
                <c:ptCount val="23"/>
              </c:numCache>
            </c:numRef>
          </c:val>
          <c:smooth val="1"/>
        </c:ser>
        <c:ser>
          <c:idx val="2"/>
          <c:order val="2"/>
          <c:spPr bwMode="auto">
            <a:prstGeom prst="rect">
              <a:avLst/>
            </a:prstGeom>
            <a:ln w="12600">
              <a:solidFill>
                <a:srgbClr val="A5A5A5"/>
              </a:solidFill>
              <a:round/>
            </a:ln>
          </c:spPr>
          <c:marker>
            <c:symbol val="triangle"/>
            <c:size val="2"/>
            <c:spPr bwMode="auto">
              <a:prstGeom prst="rect">
                <a:avLst/>
              </a:prstGeom>
              <a:solidFill>
                <a:srgbClr val="A5A5A5"/>
              </a:solidFill>
            </c:spPr>
          </c:marker>
          <c:dLbls>
            <c:spPr bwMode="auto">
              <a:prstGeom prst="rect">
                <a:avLst/>
              </a:prstGeom>
              <a:noFill/>
              <a:ln>
                <a:noFill/>
                <a:beve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333333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 xml:space="preserve">
</c:separator>
            <c:showLeaderLines val="0"/>
          </c:dLbls>
          <c:cat>
            <c:numRef>
              <c:f xml:space="preserve">'Доп сотрудник'!$B$25:$B$47</c:f>
              <c:numCache>
                <c:formatCode>d\-mmm</c:formatCode>
                <c:ptCount val="23"/>
                <c:pt idx="0">
                  <c:v>46036</c:v>
                </c:pt>
                <c:pt idx="1">
                  <c:v>46037</c:v>
                </c:pt>
                <c:pt idx="2">
                  <c:v>46038</c:v>
                </c:pt>
                <c:pt idx="3">
                  <c:v>46039</c:v>
                </c:pt>
                <c:pt idx="4">
                  <c:v>46040</c:v>
                </c:pt>
                <c:pt idx="21">
                  <c:v>46041</c:v>
                </c:pt>
                <c:pt idx="22">
                  <c:v>46031</c:v>
                </c:pt>
              </c:numCache>
            </c:numRef>
          </c:cat>
          <c:val>
            <c:numRef>
              <c:f xml:space="preserve">'Доп сотрудник'!$P$25:$P$47</c:f>
              <c:numCache>
                <c:formatCode>#,##0</c:formatCode>
                <c:ptCount val="23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hiLowLines>
          <c:spPr bwMode="auto">
            <a:prstGeom prst="rect">
              <a:avLst/>
            </a:prstGeom>
            <a:ln w="0">
              <a:noFill/>
              <a:bevel/>
            </a:ln>
          </c:spPr>
        </c:hiLowLines>
        <c:marker val="1"/>
        <c:smooth val="0"/>
        <c:axId val="76887289"/>
        <c:axId val="60258622"/>
      </c:lineChart>
      <c:valAx>
        <c:axId val="6025862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0">
              <a:solidFill>
                <a:srgbClr val="8B8B8B"/>
              </a:solidFill>
              <a:bevel/>
            </a:ln>
          </c:spPr>
        </c:majorGridlines>
        <c:numFmt formatCode="General" sourceLinked="0"/>
        <c:majorTickMark val="out"/>
        <c:minorTickMark val="none"/>
        <c:tickLblPos val="nextTo"/>
        <c:spPr bwMode="auto">
          <a:prstGeom prst="rect">
            <a:avLst/>
          </a:prstGeom>
          <a:ln w="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333333"/>
                </a:solidFill>
                <a:latin typeface="Calibri"/>
              </a:defRPr>
            </a:pPr>
            <a:endParaRPr lang="ru-RU"/>
          </a:p>
        </c:txPr>
        <c:crossAx val="76887289"/>
        <c:crosses val="autoZero"/>
        <c:crossesAt val="0"/>
        <c:crossBetween val="midCat"/>
      </c:valAx>
      <c:dateAx>
        <c:axId val="76887289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 bwMode="auto">
          <a:prstGeom prst="rect">
            <a:avLst/>
          </a:prstGeom>
          <a:ln w="0">
            <a:solidFill>
              <a:srgbClr val="8B8B8B"/>
            </a:solidFill>
          </a:ln>
        </c:spPr>
        <c:txPr>
          <a:bodyPr rot="-5400000"/>
          <a:lstStyle/>
          <a:p>
            <a:pPr>
              <a:defRPr sz="1000" b="0" strike="noStrike" spc="-1">
                <a:solidFill>
                  <a:srgbClr val="333333"/>
                </a:solidFill>
                <a:latin typeface="Calibri"/>
              </a:defRPr>
            </a:pPr>
            <a:endParaRPr lang="ru-RU"/>
          </a:p>
        </c:txPr>
        <c:crossAx val="60258622"/>
        <c:crosses val="autoZero"/>
        <c:crossesAt val="0"/>
        <c:auto val="1"/>
        <c:lblOffset val="100"/>
      </c:dateAx>
      <c:spPr bwMode="auto">
        <a:prstGeom prst="rect">
          <a:avLst/>
        </a:prstGeom>
        <a:solidFill>
          <a:srgbClr val="FFFFFF"/>
        </a:solidFill>
        <a:ln w="0">
          <a:noFill/>
        </a:ln>
      </c:spPr>
    </c:plotArea>
    <c:legend mc:Ignorable="vyd">
      <c:legendPos val="r"/>
      <c:layout>
        <c:manualLayout>
          <c:xMode val="edge"/>
          <c:yMode val="edge"/>
          <c:x val="0.794"/>
          <c:y val="0.431"/>
          <c:w val="0.057"/>
          <c:h val="0.173"/>
        </c:manualLayout>
      </c:layout>
      <c:overlay val="0"/>
      <c:spPr bwMode="auto">
        <a:prstGeom prst="rect">
          <a:avLst/>
        </a:prstGeom>
        <a:noFill/>
        <a:ln w="0">
          <a:noFill/>
          <a:miter/>
        </a:ln>
      </c:spPr>
      <c:txPr>
        <a:bodyPr lIns="36000" tIns="36000" rIns="36000" bIns="36000"/>
        <a:lstStyle/>
        <a:p>
          <a:pPr>
            <a:defRPr spc="-1" sz="700" b="0" strike="noStrike">
              <a:solidFill>
                <a:srgbClr val="333333"/>
              </a:solidFill>
              <a:latin typeface="Calibri"/>
            </a:defRPr>
          </a:pPr>
          <a:endParaRPr lang="ru-RU"/>
        </a:p>
      </c:txPr>
    </c:legend>
    <c:plotVisOnly val="1"/>
    <c:dispBlanksAs val="zero"/>
    <c:showDLblsOverMax val="1"/>
  </c:chart>
  <c:spPr bwMode="auto">
    <a:xfrm>
      <a:off x="0" y="0"/>
      <a:ext cx="0" cy="0"/>
    </a:xfrm>
    <a:prstGeom prst="rect">
      <a:avLst/>
    </a:prstGeom>
    <a:noFill/>
    <a:ln w="12600">
      <a:noFill/>
      <a:miter/>
    </a:ln>
  </c:spPr>
  <c:printSettings>
    <c:headerFooter/>
    <c:pageMargins l="0.7" r="0.7" t="0.75" b="0.75" header="0.3" footer="0.3"/>
    <c:pageSetup/>
  </c:printSettings>
</c:chartSpace>
</file>

<file path=xl/charts/chart6.xml><?xml version="1.0" encoding="utf-8"?>
<c:chartSpace xmlns:a="http://schemas.openxmlformats.org/drawingml/2006/main" xmlns:vyd="http://volga.yandex.com/schemas/document/model" xmlns:c="http://schemas.openxmlformats.org/drawingml/2006/chart" xmlns:mc="http://schemas.openxmlformats.org/markup-compatibility/2006">
  <c:date1904 val="0"/>
  <c:lang val="ru-RU"/>
  <c:roundedCorners val="0"/>
  <c:chart>
    <c:autoTitleDeleted val="1"/>
    <c:plotArea>
      <c:layout>
        <c:manualLayout>
          <c:layoutTarget val="inner"/>
          <c:xMode val="edge"/>
          <c:yMode val="edge"/>
          <c:x val="0.195"/>
          <c:y val="0.297"/>
          <c:w val="0.764"/>
          <c:h val="0.645"/>
        </c:manualLayout>
      </c:layout>
      <c:lineChart>
        <c:grouping val="standard"/>
        <c:varyColors val="0"/>
        <c:ser>
          <c:idx val="0"/>
          <c:order val="0"/>
          <c:spPr bwMode="auto">
            <a:prstGeom prst="rect">
              <a:avLst/>
            </a:prstGeom>
            <a:ln w="12600">
              <a:solidFill>
                <a:srgbClr val="5B9BD5"/>
              </a:solidFill>
              <a:round/>
            </a:ln>
          </c:spPr>
          <c:marker>
            <c:symbol val="diamond"/>
            <c:size val="2"/>
            <c:spPr bwMode="auto">
              <a:prstGeom prst="rect">
                <a:avLst/>
              </a:prstGeom>
              <a:solidFill>
                <a:srgbClr val="5B9BD5"/>
              </a:solidFill>
            </c:spPr>
          </c:marker>
          <c:dLbls>
            <c:spPr bwMode="auto">
              <a:prstGeom prst="rect">
                <a:avLst/>
              </a:prstGeom>
              <a:noFill/>
              <a:ln>
                <a:noFill/>
                <a:bevel/>
              </a:ln>
              <a:effectLst/>
            </c:spPr>
            <c:txPr>
              <a:bodyPr wrap="none"/>
              <a:lstStyle/>
              <a:p>
                <a:pPr>
                  <a:defRPr sz="1000" b="0" strike="noStrike" spc="0">
                    <a:solidFill>
                      <a:srgbClr val="333333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 xml:space="preserve">
</c:separator>
            <c:showLeaderLines val="0"/>
          </c:dLbls>
          <c:cat>
            <c:numRef>
              <c:f xml:space="preserve">'Стекольщикова А. А.'!$B$25:$B$47</c:f>
              <c:numCache>
                <c:formatCode>d\-mmm</c:formatCode>
                <c:ptCount val="23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</c:numCache>
            </c:numRef>
          </c:cat>
          <c:val>
            <c:numRef>
              <c:f xml:space="preserve">'Стекольщикова А. А.'!$D$25:$D$47</c:f>
              <c:numCache>
                <c:formatCode>#,##0.00</c:formatCode>
                <c:ptCount val="23"/>
                <c:pt idx="0">
                  <c:v>48791</c:v>
                </c:pt>
                <c:pt idx="1">
                  <c:v>0</c:v>
                </c:pt>
                <c:pt idx="2">
                  <c:v>3593</c:v>
                </c:pt>
                <c:pt idx="3">
                  <c:v>16577</c:v>
                </c:pt>
                <c:pt idx="4">
                  <c:v>19465</c:v>
                </c:pt>
              </c:numCache>
            </c:numRef>
          </c:val>
          <c:smooth val="1"/>
        </c:ser>
        <c:ser>
          <c:idx val="1"/>
          <c:order val="1"/>
          <c:spPr bwMode="auto">
            <a:prstGeom prst="rect">
              <a:avLst/>
            </a:prstGeom>
            <a:ln w="12600">
              <a:solidFill>
                <a:srgbClr val="ED7D31"/>
              </a:solidFill>
              <a:round/>
            </a:ln>
          </c:spPr>
          <c:marker>
            <c:symbol val="square"/>
            <c:size val="2"/>
            <c:spPr bwMode="auto">
              <a:prstGeom prst="rect">
                <a:avLst/>
              </a:prstGeom>
              <a:solidFill>
                <a:srgbClr val="ED7D31"/>
              </a:solidFill>
            </c:spPr>
          </c:marker>
          <c:dLbls>
            <c:spPr bwMode="auto">
              <a:prstGeom prst="rect">
                <a:avLst/>
              </a:prstGeom>
              <a:noFill/>
              <a:ln>
                <a:noFill/>
                <a:bevel/>
              </a:ln>
              <a:effectLst/>
            </c:spPr>
            <c:txPr>
              <a:bodyPr wrap="none"/>
              <a:lstStyle/>
              <a:p>
                <a:pPr>
                  <a:defRPr sz="1000" b="0" strike="noStrike" spc="0">
                    <a:solidFill>
                      <a:srgbClr val="333333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 xml:space="preserve">
</c:separator>
            <c:showLeaderLines val="0"/>
          </c:dLbls>
          <c:cat>
            <c:numRef>
              <c:f xml:space="preserve">'Стекольщикова А. А.'!$B$25:$B$47</c:f>
              <c:numCache>
                <c:formatCode>d\-mmm</c:formatCode>
                <c:ptCount val="23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</c:numCache>
            </c:numRef>
          </c:cat>
          <c:val>
            <c:numRef>
              <c:f xml:space="preserve">'Стекольщикова А. А.'!$O$25:$O$47</c:f>
              <c:numCache>
                <c:formatCode>#,##0</c:formatCode>
                <c:ptCount val="23"/>
              </c:numCache>
            </c:numRef>
          </c:val>
          <c:smooth val="1"/>
        </c:ser>
        <c:ser>
          <c:idx val="2"/>
          <c:order val="2"/>
          <c:spPr bwMode="auto">
            <a:prstGeom prst="rect">
              <a:avLst/>
            </a:prstGeom>
            <a:ln w="12600">
              <a:solidFill>
                <a:srgbClr val="A5A5A5"/>
              </a:solidFill>
              <a:round/>
            </a:ln>
          </c:spPr>
          <c:marker>
            <c:symbol val="triangle"/>
            <c:size val="2"/>
            <c:spPr bwMode="auto">
              <a:prstGeom prst="rect">
                <a:avLst/>
              </a:prstGeom>
              <a:solidFill>
                <a:srgbClr val="A5A5A5"/>
              </a:solidFill>
            </c:spPr>
          </c:marker>
          <c:dLbls>
            <c:spPr bwMode="auto">
              <a:prstGeom prst="rect">
                <a:avLst/>
              </a:prstGeom>
              <a:noFill/>
              <a:ln>
                <a:noFill/>
                <a:round/>
              </a:ln>
              <a:effectLst/>
            </c:spPr>
            <c:txPr>
              <a:bodyPr wrap="none"/>
              <a:lstStyle/>
              <a:p>
                <a:pPr>
                  <a:defRPr sz="1000" b="0" strike="noStrike" spc="0">
                    <a:solidFill>
                      <a:srgbClr val="333333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 xml:space="preserve">
</c:separator>
            <c:showLeaderLines val="0"/>
          </c:dLbls>
          <c:cat>
            <c:numRef>
              <c:f xml:space="preserve">'Стекольщикова А. А.'!$B$25:$B$47</c:f>
              <c:numCache>
                <c:formatCode>d\-mmm</c:formatCode>
                <c:ptCount val="23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</c:numCache>
            </c:numRef>
          </c:cat>
          <c:val>
            <c:numRef>
              <c:f xml:space="preserve">'Стекольщикова А. А.'!$P$25:$P$47</c:f>
              <c:numCache>
                <c:formatCode>#,##0</c:formatCode>
                <c:ptCount val="23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hiLowLines>
          <c:spPr bwMode="auto">
            <a:prstGeom prst="rect">
              <a:avLst/>
            </a:prstGeom>
            <a:ln w="0">
              <a:noFill/>
              <a:bevel/>
            </a:ln>
          </c:spPr>
        </c:hiLowLines>
        <c:marker val="1"/>
        <c:smooth val="0"/>
        <c:axId val="76887303"/>
        <c:axId val="76887302"/>
      </c:lineChart>
      <c:valAx>
        <c:axId val="7688730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0">
              <a:solidFill>
                <a:srgbClr val="8B8B8B"/>
              </a:solidFill>
              <a:bevel/>
            </a:ln>
          </c:spPr>
        </c:majorGridlines>
        <c:numFmt formatCode="General" sourceLinked="0"/>
        <c:majorTickMark val="out"/>
        <c:minorTickMark val="none"/>
        <c:tickLblPos val="nextTo"/>
        <c:spPr bwMode="auto">
          <a:prstGeom prst="rect">
            <a:avLst/>
          </a:prstGeom>
          <a:ln w="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0">
                <a:solidFill>
                  <a:srgbClr val="333333"/>
                </a:solidFill>
                <a:latin typeface="Calibri"/>
              </a:defRPr>
            </a:pPr>
            <a:endParaRPr lang="ru-RU"/>
          </a:p>
        </c:txPr>
        <c:crossAx val="76887303"/>
        <c:crosses val="autoZero"/>
        <c:crossesAt val="0"/>
        <c:crossBetween val="midCat"/>
      </c:valAx>
      <c:dateAx>
        <c:axId val="76887303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 bwMode="auto">
          <a:prstGeom prst="rect">
            <a:avLst/>
          </a:prstGeom>
          <a:ln w="0">
            <a:solidFill>
              <a:srgbClr val="8B8B8B"/>
            </a:solidFill>
          </a:ln>
        </c:spPr>
        <c:txPr>
          <a:bodyPr rot="-5400000"/>
          <a:lstStyle/>
          <a:p>
            <a:pPr>
              <a:defRPr sz="1000" b="0" strike="noStrike" spc="0">
                <a:solidFill>
                  <a:srgbClr val="333333"/>
                </a:solidFill>
                <a:latin typeface="Calibri"/>
              </a:defRPr>
            </a:pPr>
            <a:endParaRPr lang="ru-RU"/>
          </a:p>
        </c:txPr>
        <c:crossAx val="76887302"/>
        <c:crosses val="autoZero"/>
        <c:crossesAt val="0"/>
        <c:auto val="1"/>
        <c:lblOffset val="100"/>
      </c:dateAx>
      <c:spPr bwMode="auto">
        <a:prstGeom prst="rect">
          <a:avLst/>
        </a:prstGeom>
        <a:solidFill>
          <a:srgbClr val="FFFFFF"/>
        </a:solidFill>
        <a:ln w="0">
          <a:noFill/>
        </a:ln>
      </c:spPr>
    </c:plotArea>
    <c:legend mc:Ignorable="vyd">
      <c:legendPos val="r"/>
      <c:layout>
        <c:manualLayout>
          <c:xMode val="edge"/>
          <c:yMode val="edge"/>
          <c:x val="0.794"/>
          <c:y val="0.431"/>
          <c:w val="0.057"/>
          <c:h val="0.173"/>
        </c:manualLayout>
      </c:layout>
      <c:overlay val="0"/>
      <c:spPr bwMode="auto">
        <a:prstGeom prst="rect">
          <a:avLst/>
        </a:prstGeom>
        <a:noFill/>
        <a:ln w="0">
          <a:noFill/>
          <a:miter/>
        </a:ln>
      </c:spPr>
      <c:txPr>
        <a:bodyPr lIns="36000" tIns="36000" rIns="36000" bIns="36000"/>
        <a:lstStyle/>
        <a:p>
          <a:pPr>
            <a:defRPr spc="0" sz="700" b="0" strike="noStrike">
              <a:solidFill>
                <a:srgbClr val="333333"/>
              </a:solidFill>
              <a:latin typeface="Calibri"/>
            </a:defRPr>
          </a:pPr>
          <a:endParaRPr lang="ru-RU"/>
        </a:p>
      </c:txPr>
    </c:legend>
    <c:plotVisOnly val="1"/>
    <c:dispBlanksAs val="zero"/>
    <c:showDLblsOverMax val="1"/>
  </c:chart>
  <c:spPr bwMode="auto">
    <a:xfrm>
      <a:off x="0" y="0"/>
      <a:ext cx="0" cy="0"/>
    </a:xfrm>
    <a:prstGeom prst="rect">
      <a:avLst/>
    </a:prstGeom>
    <a:noFill/>
    <a:ln w="12600">
      <a:noFill/>
      <a:miter/>
    </a:ln>
  </c:spPr>
  <c:printSettings>
    <c:headerFooter/>
    <c:pageMargins l="0.7" r="0.7" t="0.75" b="0.75" header="0.3" footer="0.3"/>
    <c:pageSetup/>
  </c:printSettings>
</c:chartSpace>
</file>

<file path=xl/drawings/_rels/drawing1.xml.rels><?xml version="1.0" ?><Relationships xmlns="http://schemas.openxmlformats.org/package/2006/relationships"><Relationship Target="../charts/chart1.xml" Type="http://schemas.openxmlformats.org/officeDocument/2006/relationships/chart" Id="rId1"/></Relationships>
</file>

<file path=xl/drawings/_rels/drawing2.xml.rels><?xml version="1.0" ?><Relationships xmlns="http://schemas.openxmlformats.org/package/2006/relationships"><Relationship Target="../charts/chart2.xml" Type="http://schemas.openxmlformats.org/officeDocument/2006/relationships/chart" Id="rId1"/></Relationships>
</file>

<file path=xl/drawings/_rels/drawing3.xml.rels><?xml version="1.0" ?><Relationships xmlns="http://schemas.openxmlformats.org/package/2006/relationships"><Relationship Target="../charts/chart3.xml" Type="http://schemas.openxmlformats.org/officeDocument/2006/relationships/chart" Id="rId1"/></Relationships>
</file>

<file path=xl/drawings/_rels/drawing4.xml.rels><?xml version="1.0" ?><Relationships xmlns="http://schemas.openxmlformats.org/package/2006/relationships"><Relationship Target="../charts/chart4.xml" Type="http://schemas.openxmlformats.org/officeDocument/2006/relationships/chart" Id="rId1"/></Relationships>
</file>

<file path=xl/drawings/_rels/drawing5.xml.rels><?xml version="1.0" ?><Relationships xmlns="http://schemas.openxmlformats.org/package/2006/relationships"><Relationship Target="../charts/chart5.xml" Type="http://schemas.openxmlformats.org/officeDocument/2006/relationships/chart" Id="rId1"/></Relationships>
</file>

<file path=xl/drawings/_rels/drawing6.xml.rels><?xml version="1.0" ?><Relationships xmlns="http://schemas.openxmlformats.org/package/2006/relationships"><Relationship Target="../charts/chart6.xml" Type="http://schemas.openxmlformats.org/officeDocument/2006/relationships/chart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oneCellAnchor editAs="oneCell">
    <xdr:from>
      <xdr:col>2</xdr:col>
      <xdr:colOff>32127</xdr:colOff>
      <xdr:row>57</xdr:row>
      <xdr:rowOff>98361</xdr:rowOff>
    </xdr:from>
    <xdr:to>
      <xdr:col>19</xdr:col>
      <xdr:colOff>26.5846719160105</xdr:colOff>
      <xdr:row>89</xdr:row>
      <xdr:rowOff>7.832125984251968</xdr:rowOff>
    </xdr:to>
    <xdr:ext cx="0" cy="0"/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oneCellAnchor editAs="oneCell">
    <xdr:from>
      <xdr:col>2</xdr:col>
      <xdr:colOff>32127</xdr:colOff>
      <xdr:row>57</xdr:row>
      <xdr:rowOff>98361</xdr:rowOff>
    </xdr:from>
    <xdr:to>
      <xdr:col>19</xdr:col>
      <xdr:colOff>35.918005249343835</xdr:colOff>
      <xdr:row>89</xdr:row>
      <xdr:rowOff>7.832125984251968</xdr:rowOff>
    </xdr:to>
    <xdr:ext cx="0" cy="0"/>
    <xdr:graphicFrame macro="">
      <xdr:nvGraphicFramePr>
        <xdr:cNvPr id="880551797" name="Диаграмма 88055179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oneCellAnchor editAs="oneCell">
    <xdr:from>
      <xdr:col>2</xdr:col>
      <xdr:colOff>32129</xdr:colOff>
      <xdr:row>56</xdr:row>
      <xdr:rowOff>98363</xdr:rowOff>
    </xdr:from>
    <xdr:to>
      <xdr:col>19</xdr:col>
      <xdr:colOff>24.796430446194226</xdr:colOff>
      <xdr:row>88</xdr:row>
      <xdr:rowOff>7.832125984251968</xdr:rowOff>
    </xdr:to>
    <xdr:ext cx="0" cy="0"/>
    <xdr:graphicFrame macro="">
      <xdr:nvGraphicFramePr>
        <xdr:cNvPr id="29985156" name="Диаграмма 2998515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oneCellAnchor editAs="oneCell">
    <xdr:from>
      <xdr:col>2</xdr:col>
      <xdr:colOff>32129</xdr:colOff>
      <xdr:row>56</xdr:row>
      <xdr:rowOff>98363</xdr:rowOff>
    </xdr:from>
    <xdr:to>
      <xdr:col>19</xdr:col>
      <xdr:colOff>16.48745406824147</xdr:colOff>
      <xdr:row>88</xdr:row>
      <xdr:rowOff>7.8318110236220475</xdr:rowOff>
    </xdr:to>
    <xdr:ext cx="0" cy="0"/>
    <xdr:graphicFrame macro="">
      <xdr:nvGraphicFramePr>
        <xdr:cNvPr id="1440157580" name="Диаграмма 144015757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oneCellAnchor editAs="oneCell">
    <xdr:from>
      <xdr:col>2</xdr:col>
      <xdr:colOff>32129</xdr:colOff>
      <xdr:row>56</xdr:row>
      <xdr:rowOff>98363</xdr:rowOff>
    </xdr:from>
    <xdr:to>
      <xdr:col>19</xdr:col>
      <xdr:colOff>28.86005249343832</xdr:colOff>
      <xdr:row>88</xdr:row>
      <xdr:rowOff>7.831916010498688</xdr:rowOff>
    </xdr:to>
    <xdr:ext cx="0" cy="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oneCellAnchor editAs="oneCell">
    <xdr:from>
      <xdr:col>2</xdr:col>
      <xdr:colOff>32128</xdr:colOff>
      <xdr:row>58</xdr:row>
      <xdr:rowOff>98361</xdr:rowOff>
    </xdr:from>
    <xdr:to>
      <xdr:col>19</xdr:col>
      <xdr:colOff>13.251338582677166</xdr:colOff>
      <xdr:row>90</xdr:row>
      <xdr:rowOff>7.832125984251968</xdr:rowOff>
    </xdr:to>
    <xdr:ext cx="0" cy="0"/>
    <xdr:graphicFrame macro="">
      <xdr:nvGraphicFramePr>
        <xdr:cNvPr id="1720220392" name="Диаграмма 172022039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?><Relationships xmlns="http://schemas.openxmlformats.org/package/2006/relationships"><Relationship Target="../drawings/drawing1.xml" Type="http://schemas.openxmlformats.org/officeDocument/2006/relationships/drawing" Id="rId1"/></Relationships>
</file>

<file path=xl/worksheets/_rels/sheet7.xml.rels><?xml version="1.0" ?><Relationships xmlns="http://schemas.openxmlformats.org/package/2006/relationships"><Relationship Target="../drawings/drawing2.xml" Type="http://schemas.openxmlformats.org/officeDocument/2006/relationships/drawing" Id="rId1"/></Relationships>
</file>

<file path=xl/worksheets/_rels/sheet8.xml.rels><?xml version="1.0" ?><Relationships xmlns="http://schemas.openxmlformats.org/package/2006/relationships"><Relationship Target="../drawings/drawing3.xml" Type="http://schemas.openxmlformats.org/officeDocument/2006/relationships/drawing" Id="rId1"/></Relationships>
</file>

<file path=xl/worksheets/_rels/sheet9.xml.rels><?xml version="1.0" ?><Relationships xmlns="http://schemas.openxmlformats.org/package/2006/relationships"><Relationship Target="../drawings/drawing4.xml" Type="http://schemas.openxmlformats.org/officeDocument/2006/relationships/drawing" Id="rId1"/></Relationships>
</file>

<file path=xl/worksheets/_rels/sheet10.xml.rels><?xml version="1.0" ?><Relationships xmlns="http://schemas.openxmlformats.org/package/2006/relationships"><Relationship Target="../drawings/drawing5.xml" Type="http://schemas.openxmlformats.org/officeDocument/2006/relationships/drawing" Id="rId1"/></Relationships>
</file>

<file path=xl/worksheets/_rels/sheet17.xml.rels><?xml version="1.0" ?><Relationships xmlns="http://schemas.openxmlformats.org/package/2006/relationships"><Relationship Target="../drawings/drawing6.xml" Type="http://schemas.openxmlformats.org/officeDocument/2006/relationships/drawing" Id="rId1"/></Relationships>
</file>

<file path=xl/worksheets/sheet1.xml><?xml version="1.0" encoding="utf-8"?>
<s:worksheet xmlns:s="http://schemas.openxmlformats.org/spreadsheetml/2006/main" xmlns:x14ac="http://schemas.microsoft.com/office/spreadsheetml/2009/9/ac" xmlns:mc="http://schemas.openxmlformats.org/markup-compatibility/2006" xmlns:vyd="http://volga.yandex.com/schemas/document/model" xmlns:x14="http://schemas.microsoft.com/office/spreadsheetml/2009/9/main" mc:Ignorable="x14ac">
  <s:sheetPr>
    <s:tabColor rgb="FFDBDBDB"/>
    <s:outlinePr applyStyles="0" summaryBelow="1" summaryRight="1" showOutlineSymbols="1"/>
    <s:pageSetUpPr autoPageBreaks="1" fitToPage="1"/>
  </s:sheetPr>
  <s:sheetViews>
    <s:sheetView showGridLines="0" showZeros="0" tabSelected="0" topLeftCell="A25" zoomScale="94" workbookViewId="0">
      <s:pane xSplit="4" topLeftCell="E1" activePane="topRight" state="frozen"/>
      <s:selection activeCell="I56" activeCellId="0" sqref="I56"/>
    </s:sheetView>
  </s:sheetViews>
  <s:sheetFormatPr baseColWidth="10" defaultColWidth="9.164" defaultRowHeight="14.25"/>
  <s:cols>
    <s:col min="1" max="1" width="21.5" style="1" customWidth="1"/>
    <s:col min="2" max="2" width="10" style="1" customWidth="1"/>
    <s:col min="3" max="3" width="13.664" style="1" customWidth="1"/>
    <s:col min="4" max="4" width="16" style="1" customWidth="1"/>
    <s:col min="5" max="5" width="12.832" style="1" customWidth="1"/>
    <s:col min="6" max="6" width="11.332" style="1" customWidth="1"/>
    <s:col min="7" max="7" width="9.832" style="1" customWidth="1"/>
    <s:col min="8" max="8" width="9.5" style="1" customWidth="1"/>
    <s:col min="9" max="9" width="11" style="1" customWidth="1"/>
    <s:col min="10" max="10" width="11.164" style="1" customWidth="1"/>
    <s:col min="11" max="11" width="11.664" style="1" customWidth="1"/>
    <s:col min="12" max="14" width="10.832" style="1" customWidth="1"/>
    <s:col min="15" max="15" width="11.832" style="1" customWidth="1"/>
    <s:col min="16" max="17" width="11.664" style="1" customWidth="1"/>
    <s:col min="18" max="18" width="10.832" style="1" customWidth="1"/>
    <s:col min="19" max="19" width="11.664" style="1" customWidth="1"/>
    <s:col min="20" max="20" width="12.832" style="1" customWidth="1"/>
    <s:col min="21" max="21" width="10.332" style="1" customWidth="1"/>
    <s:col min="22" max="23" width="11.332" style="1" customWidth="1"/>
    <s:col min="24" max="24" width="11" style="1" customWidth="1"/>
    <s:col min="25" max="25" width="9.5" style="1" customWidth="1"/>
    <s:col min="26" max="26" width="9.164" style="1"/>
    <s:col min="27" max="28" width="10.5" style="1" customWidth="1"/>
    <s:col min="29" max="41" width="9.164" style="1"/>
    <s:col min="42" max="260" width="9.164" style="2"/>
  </s:cols>
  <s:sheetData>
    <s:row r="1" ht="15.75" customHeight="1">
      <s:c r="B1" s="3">
        <s:f ca="1">TODAY()-1</s:f>
        <s:v>46170</s:v>
      </s:c>
      <s:c r="C1" s="3"/>
      <s:c r="D1" s="4"/>
      <s:c r="E1" s="4"/>
      <s:c r="F1" s="5"/>
      <s:c r="G1" s="5"/>
      <s:c r="H1" s="5"/>
      <s:c r="I1" s="5"/>
      <s:c r="J1" s="6"/>
      <s:c r="K1" s="6"/>
      <s:c r="L1" s="6"/>
      <s:c r="M1" s="6"/>
      <s:c r="N1" s="6"/>
      <s:c r="O1" s="6"/>
      <s:c r="P1" s="6"/>
      <s:c r="Q1" s="6"/>
      <s:c r="R1" s="6"/>
      <s:c r="S1" s="6"/>
      <s:c r="T1" s="6"/>
      <s:c r="U1" s="6"/>
      <s:c r="V1" s="7"/>
      <s:c r="W1" s="7"/>
      <s:c r="X1" s="7"/>
      <s:c r="Y1" s="7"/>
      <s:c r="Z1" s="5"/>
      <s:c r="AA1" s="5"/>
      <s:c r="AB1" s="5"/>
    </s:row>
    <s:row r="2" ht="21.75" customHeight="1">
      <s:c r="B2" s="8" t="s">
        <s:v>0</s:v>
      </s:c>
      <s:c r="C2" s="8"/>
      <s:c r="D2" s="4"/>
      <s:c r="E2" s="4"/>
      <s:c r="F2" s="5"/>
      <s:c r="G2" s="5"/>
      <s:c r="H2" s="5"/>
      <s:c r="I2" s="5"/>
      <s:c r="J2" s="9" t="s">
        <s:v>1</s:v>
      </s:c>
      <s:c r="K2" s="9"/>
      <s:c r="L2" s="9"/>
      <s:c r="M2" s="9"/>
      <s:c r="N2" s="9"/>
      <s:c r="O2" s="9"/>
      <s:c r="P2" s="9"/>
      <s:c r="Q2" s="9"/>
      <s:c r="R2" s="9"/>
      <s:c r="S2" s="9"/>
      <s:c r="T2" s="9"/>
      <s:c r="U2" s="9"/>
      <s:c r="V2" s="7"/>
      <s:c r="W2" s="7"/>
      <s:c r="X2" s="7"/>
      <s:c r="Y2" s="7"/>
      <s:c r="Z2" s="5"/>
      <s:c r="AA2" s="5"/>
      <s:c r="AB2" s="5"/>
    </s:row>
    <s:row r="3" ht="14" customHeight="1">
      <s:c r="B3" s="10"/>
      <s:c r="C3" s="10" t="s">
        <s:v>2</s:v>
      </s:c>
      <s:c r="D3" s="4"/>
      <s:c r="E3" s="4"/>
      <s:c r="F3" s="5"/>
      <s:c r="G3" s="5"/>
      <s:c r="H3" s="5"/>
      <s:c r="I3" s="11" t="s">
        <s:v>3</s:v>
      </s:c>
      <s:c r="J3" s="12"/>
      <s:c r="K3" s="12"/>
      <s:c r="L3" s="12"/>
      <s:c r="M3" s="12"/>
      <s:c r="N3" s="12"/>
      <s:c r="O3" s="13"/>
      <s:c r="P3" s="6"/>
      <s:c r="Q3" s="6"/>
      <s:c r="R3" s="9"/>
      <s:c r="S3" s="6"/>
      <s:c r="T3" s="6"/>
      <s:c r="U3" s="14"/>
      <s:c r="V3" s="7"/>
      <s:c r="W3" s="7"/>
      <s:c r="X3" s="7"/>
      <s:c r="Y3" s="7"/>
      <s:c r="Z3" s="5"/>
      <s:c r="AA3" s="5"/>
      <s:c r="AB3" s="5"/>
    </s:row>
    <s:row r="4" ht="15" customHeight="1">
      <s:c r="B4" s="4"/>
      <s:c r="C4" s="15">
        <s:f>I8-D56</s:f>
        <s:v>496100.02000000002</s:v>
      </s:c>
      <s:c r="D4" s="16"/>
      <s:c r="E4" s="17">
        <s:f>IF(I8&lt;&gt;0,C4/I8,0)</s:f>
        <s:v>0.25857127518737427</s:v>
      </s:c>
      <s:c r="F4" s="5"/>
      <s:c r="G4" s="5"/>
      <s:c r="H4" s="5"/>
      <s:c r="I4" s="18"/>
      <s:c r="J4" s="19"/>
      <s:c r="K4" s="19"/>
      <s:c r="L4" s="19"/>
      <s:c r="M4" s="19"/>
      <s:c r="N4" s="19"/>
      <s:c r="O4" s="20"/>
      <s:c r="P4" s="6"/>
      <s:c r="Q4" s="6"/>
      <s:c r="R4" s="9"/>
      <s:c r="S4" s="6"/>
      <s:c r="T4" s="5"/>
      <s:c r="U4" s="5"/>
      <s:c r="V4" s="7"/>
      <s:c r="W4" s="7"/>
      <s:c r="X4" s="7"/>
      <s:c r="Y4" s="7"/>
      <s:c r="Z4" s="5"/>
      <s:c r="AA4" s="5"/>
      <s:c r="AB4" s="5"/>
    </s:row>
    <s:row r="5">
      <s:c r="B5" s="5"/>
      <s:c r="C5" s="5"/>
      <s:c r="D5" s="5"/>
      <s:c r="E5" s="5"/>
      <s:c r="F5" s="5"/>
      <s:c r="G5" s="5"/>
      <s:c r="H5" s="5"/>
      <s:c r="I5" s="5"/>
      <s:c r="J5" s="21"/>
      <s:c r="K5" s="21"/>
      <s:c r="L5" s="21"/>
      <s:c r="M5" s="21"/>
      <s:c r="N5" s="21"/>
      <s:c r="O5" s="21"/>
      <s:c r="P5" s="21"/>
      <s:c r="Q5" s="21"/>
      <s:c r="R5" s="22"/>
      <s:c r="S5" s="21"/>
      <s:c r="T5" s="5"/>
      <s:c r="U5" s="5"/>
      <s:c r="V5" s="5"/>
      <s:c r="W5" s="5"/>
      <s:c r="X5" s="5"/>
      <s:c r="Y5" s="5"/>
      <s:c r="Z5" s="5"/>
      <s:c r="AA5" s="5"/>
      <s:c r="AB5" s="5"/>
    </s:row>
    <s:row r="6" ht="21" customHeight="1">
      <s:c r="B6" s="23"/>
      <s:c r="C6" s="24"/>
      <s:c r="D6" s="24"/>
      <s:c r="E6" s="5"/>
      <s:c r="F6" s="25" t="s">
        <s:v>4</s:v>
      </s:c>
      <s:c r="G6" s="26"/>
      <s:c r="H6" s="26"/>
      <s:c r="I6" s="26"/>
      <s:c r="J6" s="26"/>
      <s:c r="K6" s="26"/>
      <s:c r="L6" s="26"/>
      <s:c r="M6" s="26"/>
      <s:c r="N6" s="26"/>
      <s:c r="O6" s="26"/>
      <s:c r="P6" s="26"/>
      <s:c r="Q6" s="27"/>
      <s:c r="R6" s="22"/>
      <s:c r="S6" s="21"/>
      <s:c r="T6" s="5"/>
      <s:c r="U6" s="5"/>
      <s:c r="V6" s="5"/>
      <s:c r="W6" s="28"/>
      <s:c r="X6" s="28"/>
      <s:c r="Y6" s="5"/>
      <s:c r="Z6" s="5"/>
      <s:c r="AA6" s="5"/>
      <s:c r="AB6" s="5"/>
    </s:row>
    <s:row r="7" ht="50.75" customHeight="1">
      <s:c r="B7" s="23"/>
      <s:c r="C7" s="23"/>
      <s:c r="D7" s="23"/>
      <s:c r="E7" s="29"/>
      <s:c r="F7" s="30" t="s">
        <s:v>5</s:v>
      </s:c>
      <s:c r="G7" s="30"/>
      <s:c r="H7" s="30"/>
      <s:c r="I7" s="31" t="s">
        <s:v>6</s:v>
      </s:c>
      <s:c r="J7" s="32" t="s">
        <s:v>7</s:v>
      </s:c>
      <s:c r="K7" s="33" t="s">
        <s:v>8</s:v>
      </s:c>
      <s:c r="L7" s="34" t="s">
        <s:v>9</s:v>
      </s:c>
      <s:c r="M7" s="34" t="s">
        <s:v>10</s:v>
      </s:c>
      <s:c r="N7" s="35" t="s">
        <s:v>11</s:v>
      </s:c>
      <s:c r="O7" s="36" t="s">
        <s:v>12</s:v>
      </s:c>
      <s:c r="P7" s="37" t="s">
        <s:v>13</s:v>
      </s:c>
      <s:c r="Q7" s="38"/>
      <s:c r="R7" s="22"/>
      <s:c r="S7" s="21"/>
      <s:c r="T7" s="5"/>
      <s:c r="U7" s="5"/>
      <s:c r="V7" s="5"/>
      <s:c r="W7" s="28"/>
      <s:c r="X7" s="28"/>
      <s:c r="Y7" s="5"/>
      <s:c r="Z7" s="5"/>
      <s:c r="AA7" s="5"/>
      <s:c r="AB7" s="5"/>
    </s:row>
    <s:row r="8" ht="15.75" customHeight="1">
      <s:c r="B8" s="23"/>
      <s:c r="C8" s="23"/>
      <s:c r="D8" s="23"/>
      <s:c r="E8" s="5"/>
      <s:c r="F8" s="39" t="s">
        <s:v>14</s:v>
      </s:c>
      <s:c r="G8" s="39"/>
      <s:c r="H8" s="39"/>
      <s:c r="I8" s="40">
        <s:f>I13*I10</s:f>
        <s:v>1918620</s:v>
      </s:c>
      <s:c r="J8" s="41">
        <s:f>D56</s:f>
        <s:v>1422519.98</s:v>
      </s:c>
      <s:c r="K8" s="42">
        <s:f>IF(AND(I8&lt;&gt;"",I8&lt;&gt;0,J8&lt;&gt;""),J8/I8,"")</s:f>
        <s:v>0.74142872481262578</s:v>
      </s:c>
      <s:c r="L8" s="43">
        <s:f>IF(SUMIF($D$25:$D$55,"&gt;=0",$U$25:$U$55)&lt;&gt;0,I8*D56/SUMIF($D$25:$D$55,"&gt;=0",$U$25:$U$55),0)</s:f>
        <s:v>1422519.9800000007</s:v>
      </s:c>
      <s:c r="M8" s="44">
        <s:f>L8/I8</s:f>
        <s:v>0.74142872481262612</s:v>
      </s:c>
      <s:c r="N8" s="45">
        <s:f>IF(AND(J8&lt;&gt;0,J8&lt;&gt;"",I8&lt;&gt;0,I8&lt;&gt;""),L8-I8,"")</s:f>
        <s:v>-496100.01999999932</s:v>
      </s:c>
      <s:c r="O8" s="46"/>
      <s:c r="P8" s="47" t="str">
        <s:f>IF(AND(O8&lt;&gt;"",O8&lt;&gt;0,L8&lt;&gt;"",L8&lt;&gt;0),-O8+L8,"")</s:f>
        <s:v/>
      </s:c>
      <s:c r="Q8" s="48" t="str">
        <s:f>IF(AND(O8&lt;&gt;"",O8&lt;&gt;0,N8&lt;&gt;0,N8&lt;&gt;""),O8/N8,"")</s:f>
        <s:v/>
      </s:c>
      <s:c r="R8" s="22"/>
      <s:c r="S8" s="21"/>
      <s:c r="T8" s="5"/>
      <s:c r="U8" s="5"/>
      <s:c r="V8" s="28"/>
      <s:c r="W8" s="28"/>
      <s:c r="X8" s="5"/>
      <s:c r="Y8" s="5"/>
      <s:c r="Z8" s="5"/>
      <s:c r="AA8" s="5"/>
    </s:row>
    <s:row r="9" ht="15.75" customHeight="1">
      <s:c r="B9" s="23"/>
      <s:c r="C9" s="23"/>
      <s:c r="D9" s="23"/>
      <s:c r="E9" s="5"/>
      <s:c r="F9" s="49" t="s">
        <s:v>15</s:v>
      </s:c>
      <s:c r="G9" s="49"/>
      <s:c r="H9" s="49"/>
      <s:c r="I9" s="50">
        <s:f>I8/I11</s:f>
        <s:v>290.69999999999999</s:v>
      </s:c>
      <s:c r="J9" s="51">
        <s:f>E56</s:f>
        <s:v>202</s:v>
      </s:c>
      <s:c r="K9" s="52">
        <s:f>IF(AND(I9&lt;&gt;"",I9&lt;&gt;0,J9&lt;&gt;""),J9/I9,"")</s:f>
        <s:v>0.69487444100447204</s:v>
      </s:c>
      <s:c r="L9" s="53">
        <s:f>IF(SUMIF($E$25:$E$55,"&gt;=0",$V$25:$V$55)&lt;&gt;0,I9*E56/SUMIF($E$25:$E$55,"&gt;=0",$V$25:$V$55),0)</s:f>
        <s:v>202.00000000000011</s:v>
      </s:c>
      <s:c r="M9" s="54">
        <s:f>IF(AND(I9&lt;&gt;"",I9&lt;&gt;0,L9&lt;&gt;"",L9&lt;&gt;0),L9/I9,"")</s:f>
        <s:v>0.69487444100447238</s:v>
      </s:c>
      <s:c r="N9" s="55">
        <s:f>IF(AND(J9&lt;&gt;0,J9&lt;&gt;"",I9&lt;&gt;0,I9&lt;&gt;""),L9-I9,"")</s:f>
        <s:v>-88.699999999999875</s:v>
      </s:c>
      <s:c r="O9" s="56"/>
      <s:c r="P9" s="57" t="str">
        <s:f>IF(AND(O9&lt;&gt;"",O9&lt;&gt;0,L9&lt;&gt;"",L9&lt;&gt;0),-O9+L9,"")</s:f>
        <s:v/>
      </s:c>
      <s:c r="Q9" s="58" t="str">
        <s:f>IF(AND(O9&lt;&gt;"",O9&lt;&gt;0,N9&lt;&gt;0,N9&lt;&gt;""),O9/N9,"")</s:f>
        <s:v/>
      </s:c>
      <s:c r="R9" s="22"/>
      <s:c r="S9" s="21"/>
      <s:c r="T9" s="5"/>
      <s:c r="U9" s="5"/>
      <s:c r="V9" s="28"/>
      <s:c r="W9" s="28"/>
      <s:c r="X9" s="5"/>
      <s:c r="Y9" s="5"/>
      <s:c r="Z9" s="5"/>
      <s:c r="AA9" s="5"/>
    </s:row>
    <s:row r="10" ht="15.75" customHeight="1">
      <s:c r="B10" s="23"/>
      <s:c r="C10" s="23"/>
      <s:c r="D10" s="23"/>
      <s:c r="E10" s="5"/>
      <s:c r="F10" s="59" t="s">
        <s:v>16</s:v>
      </s:c>
      <s:c r="G10" s="59"/>
      <s:c r="H10" s="59"/>
      <s:c r="I10" s="60">
        <s:f>I11*I12</s:f>
        <s:v>11220</s:v>
      </s:c>
      <s:c r="J10" s="61">
        <s:f>H56</s:f>
        <s:v>12931.999818181817</s:v>
      </s:c>
      <s:c r="K10" s="62">
        <s:f>IF(AND(I10&lt;&gt;"",I10&lt;&gt;0,J10&lt;&gt;""),J10/I10,"")</s:f>
        <s:v>1.1525846540269</s:v>
      </s:c>
      <s:c r="L10" s="53">
        <s:f>J10</s:f>
        <s:v>12931.999818181817</s:v>
      </s:c>
      <s:c r="M10" s="63">
        <s:f>IF(AND(I10&lt;&gt;"",I10&lt;&gt;0,L10&lt;&gt;"",L10&lt;&gt;0),L10/I10,"")</s:f>
        <s:v>1.1525846540269</s:v>
      </s:c>
      <s:c r="N10" s="64">
        <s:f>IF(AND(J10&lt;&gt;0,J10&lt;&gt;"",I10&lt;&gt;0,I10&lt;&gt;""),L10-I10,"")</s:f>
        <s:v>1711.9998181818173</s:v>
      </s:c>
      <s:c r="O10" s="65"/>
      <s:c r="P10" s="66" t="str">
        <s:f>IF(AND(O10&lt;&gt;"",O10&lt;&gt;0,L10&lt;&gt;"",L10&lt;&gt;0),-O10+L10,"")</s:f>
        <s:v/>
      </s:c>
      <s:c r="Q10" s="67" t="str">
        <s:f>IF(AND(O10&lt;&gt;"",O10&lt;&gt;0,N10&lt;&gt;0,N10&lt;&gt;""),O10/N10,"")</s:f>
        <s:v/>
      </s:c>
      <s:c r="R10" s="22"/>
      <s:c r="S10" s="21"/>
      <s:c r="T10" s="5"/>
      <s:c r="U10" s="5"/>
      <s:c r="V10" s="28"/>
      <s:c r="W10" s="28"/>
      <s:c r="X10" s="5"/>
      <s:c r="Y10" s="5"/>
      <s:c r="Z10" s="5"/>
      <s:c r="AA10" s="5"/>
    </s:row>
    <s:row r="11" ht="15.75" customHeight="1">
      <s:c r="B11" s="23"/>
      <s:c r="C11" s="5"/>
      <s:c r="D11" s="5"/>
      <s:c r="E11" s="5"/>
      <s:c r="F11" s="49" t="s">
        <s:v>17</s:v>
      </s:c>
      <s:c r="G11" s="49"/>
      <s:c r="H11" s="49"/>
      <s:c r="I11" s="68">
        <s:v>6600</s:v>
      </s:c>
      <s:c r="J11" s="51">
        <s:f>F56</s:f>
        <s:v>7042.1781188118812</s:v>
      </s:c>
      <s:c r="K11" s="52">
        <s:f>IF(AND(I11&lt;&gt;"",I11&lt;&gt;0,J11&lt;&gt;""),J11/I11,"")</s:f>
        <s:v>1.0669966846684669</s:v>
      </s:c>
      <s:c r="L11" s="53">
        <s:f>IF(L9&gt;0,L8/L9,"")</s:f>
        <s:v>7042.1781188118803</s:v>
      </s:c>
      <s:c r="M11" s="54">
        <s:f>IF(AND(I11&lt;&gt;"",I11&lt;&gt;0,L11&lt;&gt;"",L11&lt;&gt;0),L11/I11,"")</s:f>
        <s:v>1.0669966846684666</s:v>
      </s:c>
      <s:c r="N11" s="55">
        <s:f>IF(AND(J11&lt;&gt;0,J11&lt;&gt;"",I11&lt;&gt;0,I11&lt;&gt;""),L11-I11,"")</s:f>
        <s:v>442.17811881188027</s:v>
      </s:c>
      <s:c r="O11" s="69"/>
      <s:c r="P11" s="57" t="str">
        <s:f>IF(AND(O11&lt;&gt;"",O11&lt;&gt;0,L11&lt;&gt;"",L11&lt;&gt;0),-O11+L11,"")</s:f>
        <s:v/>
      </s:c>
      <s:c r="Q11" s="58" t="str">
        <s:f>IF(AND(O11&lt;&gt;"",O11&lt;&gt;0,N11&lt;&gt;0,N11&lt;&gt;""),O11/N11,"")</s:f>
        <s:v/>
      </s:c>
      <s:c r="R11" s="22"/>
      <s:c r="S11" s="21"/>
      <s:c r="T11" s="5"/>
      <s:c r="U11" s="5"/>
      <s:c r="V11" s="28"/>
      <s:c r="W11" s="5"/>
      <s:c r="X11" s="5"/>
      <s:c r="Y11" s="5"/>
      <s:c r="Z11" s="5"/>
      <s:c r="AA11" s="5"/>
    </s:row>
    <s:row r="12" ht="15.75" customHeight="1">
      <s:c r="B12" s="23"/>
      <s:c r="C12" s="5"/>
      <s:c r="D12" s="5"/>
      <s:c r="E12" s="5"/>
      <s:c r="F12" s="49" t="s">
        <s:v>18</s:v>
      </s:c>
      <s:c r="G12" s="49"/>
      <s:c r="H12" s="49"/>
      <s:c r="I12" s="70">
        <s:v>1.7</s:v>
      </s:c>
      <s:c r="J12" s="71">
        <s:f>J56</s:f>
        <s:v>1.8363636363636364</s:v>
      </s:c>
      <s:c r="K12" s="52">
        <s:f>IF(AND(I12&lt;&gt;"",I12&lt;&gt;0,J12&lt;&gt;""),J12/I12,"")</s:f>
        <s:v>1.0802139037433156</s:v>
      </s:c>
      <s:c r="L12" s="72">
        <s:f>J12</s:f>
        <s:v>1.8363636363636364</s:v>
      </s:c>
      <s:c r="M12" s="54">
        <s:f>IF(AND(I12&lt;&gt;"",I12&lt;&gt;0,L12&lt;&gt;"",L12&lt;&gt;0),L12/I12,"")</s:f>
        <s:v>1.0802139037433156</s:v>
      </s:c>
      <s:c r="N12" s="73">
        <s:f>IF(AND(J12&lt;&gt;0,J12&lt;&gt;"",I12&lt;&gt;0,I12&lt;&gt;""),L12-I12,"")</s:f>
        <s:v>0.13636363636363646</s:v>
      </s:c>
      <s:c r="O12" s="74"/>
      <s:c r="P12" s="57" t="str">
        <s:f>IF(AND(O12&lt;&gt;"",O12&lt;&gt;0,L12&lt;&gt;"",L12&lt;&gt;0),-O12+L12,"")</s:f>
        <s:v/>
      </s:c>
      <s:c r="Q12" s="58" t="str">
        <s:f>IF(AND(O12&lt;&gt;"",O12&lt;&gt;0,N12&lt;&gt;0,N12&lt;&gt;""),O12/N12,"")</s:f>
        <s:v/>
      </s:c>
      <s:c r="R12" s="22"/>
      <s:c r="S12" s="21"/>
      <s:c r="T12" s="5"/>
      <s:c r="U12" s="5"/>
      <s:c r="V12" s="28"/>
      <s:c r="W12" s="5"/>
      <s:c r="X12" s="5"/>
      <s:c r="Y12" s="5"/>
      <s:c r="Z12" s="5"/>
      <s:c r="AA12" s="5"/>
    </s:row>
    <s:row r="13" ht="15.75" customHeight="1">
      <s:c r="B13" s="23"/>
      <s:c r="C13" s="5"/>
      <s:c r="D13" s="5"/>
      <s:c r="E13" s="5"/>
      <s:c r="F13" s="49" t="s">
        <s:v>19</s:v>
      </s:c>
      <s:c r="G13" s="49"/>
      <s:c r="H13" s="49"/>
      <s:c r="I13" s="50">
        <s:f>I17*I20</s:f>
        <s:v>171</s:v>
      </s:c>
      <s:c r="J13" s="51">
        <s:f>G56</s:f>
        <s:v>110</s:v>
      </s:c>
      <s:c r="K13" s="52">
        <s:f>IF(AND(I13&lt;&gt;"",I13&lt;&gt;0,J13&lt;&gt;""),J13/I13,"")</s:f>
        <s:v>0.64327485380116955</s:v>
      </s:c>
      <s:c r="L13" s="53">
        <s:f>IF(SUMIF($G$25:$G$55,"&gt;=0",$W$25:$W$55)&lt;&gt;0,I13*G56/SUMIF($G$25:$G$55,"&gt;=0",$W$25:$W$55),"")</s:f>
        <s:v>109.99999999999994</s:v>
      </s:c>
      <s:c r="M13" s="54">
        <s:f>IF(AND(I13&lt;&gt;"",I13&lt;&gt;0,L13&lt;&gt;"",L13&lt;&gt;0),L13/I13,"")</s:f>
        <s:v>0.64327485380116922</s:v>
      </s:c>
      <s:c r="N13" s="73">
        <s:f>IF(AND(J13&lt;&gt;0,J13&lt;&gt;"",I13&lt;&gt;0,I13&lt;&gt;""),L13-I13,"")</s:f>
        <s:v>-61.000000000000057</s:v>
      </s:c>
      <s:c r="O13" s="75"/>
      <s:c r="P13" s="57" t="str">
        <s:f>IF(AND(O13&lt;&gt;"",O13&lt;&gt;0,L13&lt;&gt;"",L13&lt;&gt;0),-O13+L13,"")</s:f>
        <s:v/>
      </s:c>
      <s:c r="Q13" s="58" t="str">
        <s:f>IF(AND(O13&lt;&gt;"",O13&lt;&gt;0,N13&lt;&gt;0,N13&lt;&gt;""),O13/N13,"")</s:f>
        <s:v/>
      </s:c>
      <s:c r="R13" s="22"/>
      <s:c r="S13" s="21"/>
      <s:c r="T13" s="5"/>
      <s:c r="U13" s="5"/>
      <s:c r="V13" s="28"/>
      <s:c r="W13" s="5"/>
      <s:c r="X13" s="5"/>
      <s:c r="Y13" s="5"/>
      <s:c r="Z13" s="5"/>
      <s:c r="AA13" s="5"/>
    </s:row>
    <s:row r="14" ht="15.75" customHeight="1">
      <s:c r="B14" s="23"/>
      <s:c r="C14" s="5"/>
      <s:c r="D14" s="5"/>
      <s:c r="E14" s="5"/>
      <s:c r="F14" s="49" t="s">
        <s:v>20</s:v>
      </s:c>
      <s:c r="G14" s="49"/>
      <s:c r="H14" s="49"/>
      <s:c r="I14" s="68">
        <s:v>31</s:v>
      </s:c>
      <s:c r="J14" s="76">
        <s:v>31</s:v>
      </s:c>
      <s:c r="K14" s="52">
        <s:f>IF(AND(I14&lt;&gt;"",I14&lt;&gt;0,J14&lt;&gt;""),J14/I14,"")</s:f>
        <s:v>1</s:v>
      </s:c>
      <s:c r="L14" s="53">
        <s:f>IF(SUMIF($D$25:$D$55,"&gt;=0",$U$25:$U$55),I56*I8/SUMIF($D$25:$D$55,"&gt;=0",$U$25:$U$55),"")</s:f>
        <s:v>1421.6000000000008</s:v>
      </s:c>
      <s:c r="M14" s="54"/>
      <s:c r="N14" s="55">
        <s:f>IF(AND(J14&lt;&gt;0,J14&lt;&gt;"",I14&lt;&gt;0,I14&lt;&gt;""),L14-I14,"")</s:f>
        <s:v>1390.6000000000008</s:v>
      </s:c>
      <s:c r="O14" s="75"/>
      <s:c r="P14" s="57" t="str">
        <s:f>IF(AND(O14&lt;&gt;"",O14&lt;&gt;0,L14&lt;&gt;"",L14&lt;&gt;0),-O14+L14,"")</s:f>
        <s:v/>
      </s:c>
      <s:c r="Q14" s="58" t="str">
        <s:f>IF(AND(O14&lt;&gt;"",O14&lt;&gt;0,N14&lt;&gt;0,N14&lt;&gt;""),O14/N14,"")</s:f>
        <s:v/>
      </s:c>
      <s:c r="R14" s="22"/>
      <s:c r="S14" s="21"/>
      <s:c r="T14" s="5"/>
      <s:c r="U14" s="5"/>
      <s:c r="V14" s="28"/>
      <s:c r="W14" s="77"/>
      <s:c r="X14" s="5"/>
      <s:c r="Y14" s="5"/>
      <s:c r="Z14" s="5"/>
      <s:c r="AA14" s="5"/>
    </s:row>
    <s:row r="15" ht="15.75" customHeight="1">
      <s:c r="B15" s="23"/>
      <s:c r="C15" s="5"/>
      <s:c r="D15" s="5"/>
      <s:c r="E15" s="5"/>
      <s:c r="F15" s="49" t="s">
        <s:v>21</s:v>
      </s:c>
      <s:c r="G15" s="49"/>
      <s:c r="H15" s="49"/>
      <s:c r="I15" s="68">
        <s:f>I8/I14</s:f>
        <s:v>61890.967741935485</s:v>
      </s:c>
      <s:c r="J15" s="51">
        <s:f>J8/J14</s:f>
        <s:v>45887.741290322578</s:v>
      </s:c>
      <s:c r="K15" s="52">
        <s:f>IF(AND(I15&lt;&gt;"",I15&lt;&gt;0,J15&lt;&gt;""),J15/I15,"")</s:f>
        <s:v>0.74142872481262567</s:v>
      </s:c>
      <s:c r="L15" s="53">
        <s:f>J15</s:f>
        <s:v>45887.741290322578</s:v>
      </s:c>
      <s:c r="M15" s="78">
        <s:f>IF(AND(I15&lt;&gt;"",I15&lt;&gt;0,L15&lt;&gt;"",L15&lt;&gt;0),L15/I15,"")</s:f>
        <s:v>0.74142872481262567</s:v>
      </s:c>
      <s:c r="N15" s="55">
        <s:f>IF(AND(J15&lt;&gt;0,J15&lt;&gt;"",I15&lt;&gt;0,I15&lt;&gt;""),L15-I15,"")</s:f>
        <s:v>-16003.226451612907</s:v>
      </s:c>
      <s:c r="O15" s="75"/>
      <s:c r="P15" s="57" t="str">
        <s:f>IF(AND(O15&lt;&gt;"",O15&lt;&gt;0,L15&lt;&gt;"",L15&lt;&gt;0),-O15+L15,"")</s:f>
        <s:v/>
      </s:c>
      <s:c r="Q15" s="58" t="str">
        <s:f>IF(AND(O15&lt;&gt;"",O15&lt;&gt;0,N15&lt;&gt;0,N15&lt;&gt;""),O15/N15,"")</s:f>
        <s:v/>
      </s:c>
      <s:c r="R15" s="22"/>
      <s:c r="S15" s="21"/>
      <s:c r="T15" s="5"/>
      <s:c r="U15" s="5"/>
      <s:c r="V15" s="28"/>
      <s:c r="W15" s="28"/>
      <s:c r="X15" s="5"/>
      <s:c r="Y15" s="5"/>
      <s:c r="Z15" s="5"/>
      <s:c r="AA15" s="5"/>
    </s:row>
    <s:row r="16" ht="15.75" customHeight="1">
      <s:c r="B16" s="23"/>
      <s:c r="C16" s="5"/>
      <s:c r="D16" s="5"/>
      <s:c r="E16" s="5"/>
      <s:c r="F16" s="49" t="s">
        <s:v>22</s:v>
      </s:c>
      <s:c r="G16" s="49"/>
      <s:c r="H16" s="49"/>
      <s:c r="I16" s="68"/>
      <s:c r="J16" s="51">
        <s:f>J8-I15*J14</s:f>
        <s:v>-496100.02000000002</s:v>
      </s:c>
      <s:c r="K16" s="52" t="str">
        <s:f>IF(AND(I16&lt;&gt;"",I16&lt;&gt;0,J16&lt;&gt;""),J16/I16,"")</s:f>
        <s:v/>
      </s:c>
      <s:c r="L16" s="79">
        <s:f>J16</s:f>
        <s:v>-496100.02000000002</s:v>
      </s:c>
      <s:c r="M16" s="80" t="str">
        <s:f>IF(AND(I16&lt;&gt;"",I16&lt;&gt;0,L16&lt;&gt;"",L16&lt;&gt;0),L16/I16,"")</s:f>
        <s:v/>
      </s:c>
      <s:c r="N16" s="55" t="str">
        <s:f>IF(AND(J16&lt;&gt;0,J16&lt;&gt;"",I16&lt;&gt;0,I16&lt;&gt;""),L16-I16,"")</s:f>
        <s:v/>
      </s:c>
      <s:c r="O16" s="75"/>
      <s:c r="P16" s="57" t="str">
        <s:f>IF(AND(O16&lt;&gt;"",O16&lt;&gt;0,L16&lt;&gt;"",L16&lt;&gt;0),-O16+L16,"")</s:f>
        <s:v/>
      </s:c>
      <s:c r="Q16" s="58" t="str">
        <s:f>IF(AND(O16&lt;&gt;"",O16&lt;&gt;0,N16&lt;&gt;0,N16&lt;&gt;""),O16/N16,"")</s:f>
        <s:v/>
      </s:c>
      <s:c r="R16" s="22"/>
      <s:c r="S16" s="21"/>
      <s:c r="T16" s="5"/>
      <s:c r="U16" s="5"/>
      <s:c r="V16" s="28"/>
      <s:c r="W16" s="81" t="s">
        <s:v>23</s:v>
      </s:c>
      <s:c r="X16" s="5"/>
      <s:c r="Y16" s="5"/>
      <s:c r="Z16" s="5"/>
      <s:c r="AA16" s="5"/>
    </s:row>
    <s:row r="17" ht="15.75" customHeight="1">
      <s:c r="B17" s="23"/>
      <s:c r="C17" s="5"/>
      <s:c r="D17" s="5"/>
      <s:c r="E17" s="5"/>
      <s:c r="F17" s="49" t="s">
        <s:v>24</s:v>
      </s:c>
      <s:c r="G17" s="49"/>
      <s:c r="H17" s="49"/>
      <s:c r="I17" s="68">
        <s:v>1900</s:v>
      </s:c>
      <s:c r="J17" s="51">
        <s:f>I56</s:f>
        <s:v>1421.6000000000001</s:v>
      </s:c>
      <s:c r="K17" s="52">
        <s:f>IF(AND(I17&lt;&gt;"",I17&lt;&gt;0,J17&lt;&gt;""),J17/I17,"")</s:f>
        <s:v>0.74821052631578955</s:v>
      </s:c>
      <s:c r="L17" s="79">
        <s:f>J17/J14*I14</s:f>
        <s:v>1421.6000000000001</s:v>
      </s:c>
      <s:c r="M17" s="80">
        <s:f>IF(AND(I17&lt;&gt;"",I17&lt;&gt;0,L17&lt;&gt;"",L17&lt;&gt;0),L17/I17,"")</s:f>
        <s:v>0.74821052631578955</s:v>
      </s:c>
      <s:c r="N17" s="55">
        <s:f>IF(AND(J17&lt;&gt;0,J17&lt;&gt;"",I17&lt;&gt;0,I17&lt;&gt;""),L17-I17,"")</s:f>
        <s:v>-478.39999999999986</s:v>
      </s:c>
      <s:c r="O17" s="75"/>
      <s:c r="P17" s="57" t="str">
        <s:f>IF(AND(O17&lt;&gt;"",O17&lt;&gt;0,L17&lt;&gt;"",L17&lt;&gt;0),-O17+L17,"")</s:f>
        <s:v/>
      </s:c>
      <s:c r="Q17" s="58" t="str">
        <s:f>IF(AND(O17&lt;&gt;"",O17&lt;&gt;0,N17&lt;&gt;0,N17&lt;&gt;""),O17/N17,"")</s:f>
        <s:v/>
      </s:c>
      <s:c r="R17" s="22"/>
      <s:c r="S17" s="21"/>
      <s:c r="T17" s="5"/>
      <s:c r="U17" s="5"/>
      <s:c r="V17" s="28"/>
      <s:c r="W17" s="82"/>
      <s:c r="X17" s="5"/>
      <s:c r="Y17" s="5"/>
      <s:c r="Z17" s="5"/>
      <s:c r="AA17" s="5"/>
    </s:row>
    <s:row r="18" ht="15.75" customHeight="1">
      <s:c r="B18" s="23"/>
      <s:c r="C18" s="5"/>
      <s:c r="D18" s="5"/>
      <s:c r="E18" s="5"/>
      <s:c r="F18" s="49"/>
      <s:c r="G18" s="49"/>
      <s:c r="H18" s="49"/>
      <s:c r="I18" s="50"/>
      <s:c r="J18" s="51"/>
      <s:c r="K18" s="52" t="str">
        <s:f>IF(AND(I18&lt;&gt;"",I18&lt;&gt;0,J18&lt;&gt;""),J18/I18,"")</s:f>
        <s:v/>
      </s:c>
      <s:c r="L18" s="79">
        <s:f>J18</s:f>
        <s:v>0</s:v>
      </s:c>
      <s:c r="M18" s="80" t="str">
        <s:f>IF(AND(I18&lt;&gt;"",I18&lt;&gt;0,L18&lt;&gt;"",L18&lt;&gt;0),L18/I18,"")</s:f>
        <s:v/>
      </s:c>
      <s:c r="N18" s="55" t="str">
        <s:f>IF(AND(J18&lt;&gt;0,J18&lt;&gt;"",I18&lt;&gt;0,I18&lt;&gt;""),L18-I18,"")</s:f>
        <s:v/>
      </s:c>
      <s:c r="O18" s="56"/>
      <s:c r="P18" s="57" t="str">
        <s:f>IF(AND(O18&lt;&gt;"",O18&lt;&gt;0,L18&lt;&gt;"",L18&lt;&gt;0),-O18+L18,"")</s:f>
        <s:v/>
      </s:c>
      <s:c r="Q18" s="58" t="str">
        <s:f>IF(AND(O18&lt;&gt;"",O18&lt;&gt;0,N18&lt;&gt;0,N18&lt;&gt;""),O18/N18,"")</s:f>
        <s:v/>
      </s:c>
      <s:c r="R18" s="22"/>
      <s:c r="S18" s="21"/>
      <s:c r="T18" s="5"/>
      <s:c r="U18" s="5"/>
      <s:c r="V18" s="28"/>
      <s:c r="W18" s="83"/>
      <s:c r="X18" s="5"/>
      <s:c r="Y18" s="5"/>
      <s:c r="Z18" s="5"/>
      <s:c r="AA18" s="5"/>
    </s:row>
    <s:row r="19" ht="15.75" customHeight="1">
      <s:c r="B19" s="23"/>
      <s:c r="C19" s="5"/>
      <s:c r="D19" s="5"/>
      <s:c r="E19" s="5"/>
      <s:c r="F19" s="49"/>
      <s:c r="G19" s="49"/>
      <s:c r="H19" s="49"/>
      <s:c r="I19" s="84"/>
      <s:c r="J19" s="85"/>
      <s:c r="K19" s="52" t="str">
        <s:f>IF(AND(I19&lt;&gt;"",I19&lt;&gt;0,J19&lt;&gt;""),J19/I19,"")</s:f>
        <s:v/>
      </s:c>
      <s:c r="L19" s="86">
        <s:f>J19</s:f>
        <s:v>0</s:v>
      </s:c>
      <s:c r="M19" s="87" t="str">
        <s:f>IF(AND(I19&lt;&gt;"",I19&lt;&gt;0,L19&lt;&gt;"",L19&lt;&gt;0),L19/I19,"")</s:f>
        <s:v/>
      </s:c>
      <s:c r="N19" s="55" t="str">
        <s:f>IF(AND(J19&lt;&gt;0,J19&lt;&gt;"",I19&lt;&gt;0,I19&lt;&gt;""),L19-I19,"")</s:f>
        <s:v/>
      </s:c>
      <s:c r="O19" s="88">
        <s:v>0</s:v>
      </s:c>
      <s:c r="P19" s="57" t="str">
        <s:f>IF(AND(O19&lt;&gt;"",O19&lt;&gt;0,L19&lt;&gt;"",L19&lt;&gt;0),-O19+L19,"")</s:f>
        <s:v/>
      </s:c>
      <s:c r="Q19" s="58" t="str">
        <s:f>IF(AND(O19&lt;&gt;"",O19&lt;&gt;0,N19&lt;&gt;0,N19&lt;&gt;""),O19/N19,"")</s:f>
        <s:v/>
      </s:c>
      <s:c r="R19" s="22"/>
      <s:c r="S19" s="21"/>
      <s:c r="T19" s="5"/>
      <s:c r="U19" s="5"/>
      <s:c r="V19" s="28"/>
      <s:c r="W19" s="52" t="e">
        <s:f>W18/I16</s:f>
        <s:v>#DIV/0!</s:v>
      </s:c>
      <s:c r="X19" s="5"/>
      <s:c r="Y19" s="5"/>
      <s:c r="Z19" s="5"/>
      <s:c r="AA19" s="5"/>
    </s:row>
    <s:row r="20" ht="15.75" customHeight="1">
      <s:c r="B20" s="23"/>
      <s:c r="C20" s="5"/>
      <s:c r="D20" s="5"/>
      <s:c r="E20" s="5"/>
      <s:c r="F20" s="89" t="s">
        <s:v>25</s:v>
      </s:c>
      <s:c r="G20" s="89"/>
      <s:c r="H20" s="89"/>
      <s:c r="I20" s="90">
        <s:v>0.089999999999999997</s:v>
      </s:c>
      <s:c r="J20" s="91">
        <s:f>S56</s:f>
        <s:v>0.077377602701181755</s:v>
      </s:c>
      <s:c r="K20" s="91">
        <s:f>J20/I20</s:f>
        <s:v>0.85975114112424178</s:v>
      </s:c>
      <s:c r="L20" s="92">
        <s:f>J20/I20</s:f>
        <s:v>0.85975114112424178</s:v>
      </s:c>
      <s:c r="M20" s="93">
        <s:f>J20/I20</s:f>
        <s:v>0.85975114112424178</s:v>
      </s:c>
      <s:c r="N20" s="94">
        <s:f>IF(AND(J20&lt;&gt;0,J20&lt;&gt;"",I20&lt;&gt;0,I20&lt;&gt;""),L20-I20,"")</s:f>
        <s:v>0.76975114112424181</s:v>
      </s:c>
      <s:c r="O20" s="95"/>
      <s:c r="P20" s="96" t="str">
        <s:f>IF(AND(O20&lt;&gt;"",O20&lt;&gt;0,L20&lt;&gt;"",L20&lt;&gt;0),-O20+L20,"")</s:f>
        <s:v/>
      </s:c>
      <s:c r="Q20" s="97" t="str">
        <s:f>IF(AND(O20&lt;&gt;"",O20&lt;&gt;0,N20&lt;&gt;0,N20&lt;&gt;""),O20/N20,"")</s:f>
        <s:v/>
      </s:c>
      <s:c r="R20" s="22"/>
      <s:c r="S20" s="21"/>
      <s:c r="T20" s="5"/>
      <s:c r="U20" s="5"/>
      <s:c r="V20" s="28"/>
      <s:c r="W20" s="28"/>
      <s:c r="X20" s="5"/>
      <s:c r="Y20" s="5"/>
      <s:c r="Z20" s="5"/>
      <s:c r="AA20" s="5"/>
    </s:row>
    <s:row r="21" ht="15.75" customHeight="1">
      <s:c r="B21" s="23"/>
      <s:c r="C21" s="5"/>
      <s:c r="D21" s="5"/>
      <s:c r="E21" s="5"/>
      <s:c r="F21" s="5"/>
      <s:c r="G21" s="5"/>
      <s:c r="H21" s="5"/>
      <s:c r="I21" s="5"/>
      <s:c r="J21" s="5"/>
      <s:c r="K21" s="5"/>
      <s:c r="L21" s="5"/>
      <s:c r="M21" s="5"/>
      <s:c r="N21" s="5"/>
      <s:c r="O21" s="5"/>
      <s:c r="P21" s="5"/>
      <s:c r="Q21" s="5"/>
      <s:c r="R21" s="5"/>
      <s:c r="S21" s="5"/>
      <s:c r="T21" s="5"/>
      <s:c r="U21" s="5"/>
      <s:c r="V21" s="5"/>
      <s:c r="W21" s="28"/>
      <s:c r="X21" s="28"/>
      <s:c r="Y21" s="5"/>
      <s:c r="Z21" s="5"/>
      <s:c r="AA21" s="5"/>
      <s:c r="AB21" s="5"/>
    </s:row>
    <s:row r="22" ht="15">
      <s:c r="A22" s="98" t="s">
        <s:v>26</s:v>
      </s:c>
      <s:c r="B22" s="99"/>
      <s:c r="C22" s="99"/>
      <s:c r="D22" s="99"/>
      <s:c r="E22" s="99"/>
      <s:c r="F22" s="99"/>
      <s:c r="G22" s="99"/>
      <s:c r="H22" s="99"/>
      <s:c r="I22" s="99"/>
      <s:c r="J22" s="99"/>
      <s:c r="K22" s="99"/>
      <s:c r="L22" s="99"/>
      <s:c r="M22" s="99"/>
      <s:c r="N22" s="99"/>
      <s:c r="O22" s="99"/>
      <s:c r="P22" s="100"/>
      <s:c r="Q22" s="101"/>
      <s:c r="R22" s="101"/>
      <s:c r="S22" s="101"/>
      <s:c r="T22" s="102"/>
      <s:c r="U22" s="98" t="s">
        <s:v>27</s:v>
      </s:c>
      <s:c r="V22" s="99"/>
      <s:c r="W22" s="99"/>
      <s:c r="X22" s="99"/>
      <s:c r="Y22" s="99"/>
      <s:c r="Z22" s="99"/>
      <s:c r="AA22" s="99"/>
      <s:c r="AB22" s="100"/>
      <s:c r="AC22" s="2"/>
      <s:c r="AD22" s="2"/>
      <s:c r="AE22" s="2"/>
      <s:c r="AF22" s="2"/>
      <s:c r="AG22" s="2"/>
      <s:c r="AH22" s="2"/>
      <s:c r="AI22" s="2"/>
      <s:c r="AJ22" s="2"/>
      <s:c r="AK22" s="2"/>
      <s:c r="AL22" s="2"/>
      <s:c r="AM22" s="2"/>
      <s:c r="AN22" s="2"/>
      <s:c r="AO22" s="2"/>
    </s:row>
    <s:row r="23" ht="42">
      <s:c r="A23" s="103" t="s">
        <s:v>28</s:v>
      </s:c>
      <s:c r="B23" s="104" t="s">
        <s:v>29</s:v>
      </s:c>
      <s:c r="C23" s="104" t="s">
        <s:v>30</s:v>
      </s:c>
      <s:c r="D23" s="104" t="s">
        <s:v>31</s:v>
      </s:c>
      <s:c r="E23" s="104" t="s">
        <s:v>32</s:v>
      </s:c>
      <s:c r="F23" s="104" t="s">
        <s:v>33</s:v>
      </s:c>
      <s:c r="G23" s="104" t="s">
        <s:v>34</s:v>
      </s:c>
      <s:c r="H23" s="104" t="s">
        <s:v>35</s:v>
      </s:c>
      <s:c r="I23" s="104" t="s">
        <s:v>24</s:v>
      </s:c>
      <s:c r="J23" s="104" t="s">
        <s:v>36</s:v>
      </s:c>
      <s:c r="K23" s="105" t="s">
        <s:v>37</s:v>
      </s:c>
      <s:c r="L23" s="105" t="s">
        <s:v>38</s:v>
      </s:c>
      <s:c r="M23" s="105" t="s">
        <s:v>39</s:v>
      </s:c>
      <s:c r="N23" s="105" t="s">
        <s:v>40</s:v>
      </s:c>
      <s:c r="O23" s="105" t="s">
        <s:v>41</s:v>
      </s:c>
      <s:c r="P23" s="106" t="s">
        <s:v>42</s:v>
      </s:c>
      <s:c r="Q23" s="107" t="s">
        <s:v>43</s:v>
      </s:c>
      <s:c r="R23" s="105" t="s">
        <s:v>44</s:v>
      </s:c>
      <s:c r="S23" s="108" t="s">
        <s:v>45</s:v>
      </s:c>
      <s:c r="T23" s="102" t="s">
        <s:v>46</s:v>
      </s:c>
      <s:c r="U23" s="104" t="s">
        <s:v>47</s:v>
      </s:c>
      <s:c r="V23" s="104" t="s">
        <s:v>48</s:v>
      </s:c>
      <s:c r="W23" s="104" t="s">
        <s:v>49</s:v>
      </s:c>
      <s:c r="X23" s="104" t="s">
        <s:v>50</s:v>
      </s:c>
      <s:c r="Y23" s="104" t="s">
        <s:v>51</s:v>
      </s:c>
      <s:c r="Z23" s="104" t="s">
        <s:v>52</s:v>
      </s:c>
      <s:c r="AA23" s="109" t="s">
        <s:v>53</s:v>
      </s:c>
      <s:c r="AB23" s="109" t="s">
        <s:v>54</s:v>
      </s:c>
      <s:c r="AD23" s="110"/>
      <s:c r="AE23" s="2"/>
      <s:c r="AF23" s="2"/>
      <s:c r="AG23" s="2"/>
      <s:c r="AH23" s="2"/>
      <s:c r="AI23" s="2"/>
      <s:c r="AJ23" s="2"/>
      <s:c r="AK23" s="2"/>
      <s:c r="AL23" s="2"/>
      <s:c r="AM23" s="2"/>
      <s:c r="AN23" s="2"/>
      <s:c r="AO23" s="2"/>
    </s:row>
    <s:row r="24">
      <s:c r="A24" s="111"/>
      <s:c r="B24" s="112">
        <s:v>1</s:v>
      </s:c>
      <s:c r="C24" s="112">
        <s:v>2</s:v>
      </s:c>
      <s:c r="D24" s="112">
        <s:v>3</s:v>
      </s:c>
      <s:c r="E24" s="112">
        <s:v>4</s:v>
      </s:c>
      <s:c r="F24" s="112">
        <s:v>5</s:v>
      </s:c>
      <s:c r="G24" s="112">
        <s:v>6</s:v>
      </s:c>
      <s:c r="H24" s="112">
        <s:v>7</s:v>
      </s:c>
      <s:c r="I24" s="112">
        <s:v>8</s:v>
      </s:c>
      <s:c r="J24" s="112">
        <s:v>9</s:v>
      </s:c>
      <s:c r="K24" s="112">
        <s:v>10</s:v>
      </s:c>
      <s:c r="L24" s="112">
        <s:v>11</s:v>
      </s:c>
      <s:c r="M24" s="112">
        <s:v>12</s:v>
      </s:c>
      <s:c r="N24" s="112">
        <s:v>13</s:v>
      </s:c>
      <s:c r="O24" s="112">
        <s:v>14</s:v>
      </s:c>
      <s:c r="P24" s="113">
        <s:v>15</s:v>
      </s:c>
      <s:c r="Q24" s="114">
        <s:v>16</s:v>
      </s:c>
      <s:c r="R24" s="112">
        <s:v>17</s:v>
      </s:c>
      <s:c r="S24" s="115">
        <s:v>13</s:v>
      </s:c>
      <s:c r="T24" s="116"/>
      <s:c r="U24" s="117">
        <s:v>1</s:v>
      </s:c>
      <s:c r="V24" s="117">
        <s:v>2</s:v>
      </s:c>
      <s:c r="W24" s="117">
        <s:v>3</s:v>
      </s:c>
      <s:c r="X24" s="117">
        <s:v>4</s:v>
      </s:c>
      <s:c r="Y24" s="117">
        <s:v>5</s:v>
      </s:c>
      <s:c r="Z24" s="117">
        <s:v>6</s:v>
      </s:c>
      <s:c r="AA24" s="117">
        <s:v>10</s:v>
      </s:c>
      <s:c r="AB24" s="117">
        <s:v>11</s:v>
      </s:c>
      <s:c r="AC24" s="2"/>
      <s:c r="AD24" s="2"/>
      <s:c r="AE24" s="2"/>
      <s:c r="AF24" s="2"/>
      <s:c r="AG24" s="2"/>
      <s:c r="AH24" s="2"/>
      <s:c r="AI24" s="2"/>
      <s:c r="AJ24" s="2"/>
      <s:c r="AK24" s="2"/>
      <s:c r="AL24" s="2"/>
      <s:c r="AM24" s="2"/>
      <s:c r="AN24" s="2"/>
      <s:c r="AO24" s="2"/>
    </s:row>
    <s:row r="25" s="118" customFormat="1">
      <s:c r="A25" s="119"/>
      <s:c r="B25" s="120">
        <s:v>46023</s:v>
      </s:c>
      <s:c r="C25" s="121" t="s">
        <s:v>55</s:v>
      </s:c>
      <s:c r="D25" s="122">
        <s:v>0</s:v>
      </s:c>
      <s:c r="E25" s="123">
        <s:v>0</s:v>
      </s:c>
      <s:c r="F25" s="124" t="str">
        <s:f>IF(AND(E25&lt;&gt;"",E25&lt;&gt;0),D25/E25,"")</s:f>
        <s:v/>
      </s:c>
      <s:c r="G25" s="123">
        <s:v>0</s:v>
      </s:c>
      <s:c r="H25" s="124" t="str">
        <s:f>IF(AND(G25&lt;&gt;"",G25&lt;&gt;0),D25/G25,"")</s:f>
        <s:v/>
      </s:c>
      <s:c r="I25" s="123">
        <s:v>0</s:v>
      </s:c>
      <s:c r="J25" s="125" t="str">
        <s:f>IF(AND(G25&lt;&gt;"",G25&lt;&gt;0),E25/G25,"")</s:f>
        <s:v/>
      </s:c>
      <s:c r="K25" s="123"/>
      <s:c r="L25" s="123"/>
      <s:c r="M25" s="123"/>
      <s:c r="N25" s="123"/>
      <s:c r="O25" s="123"/>
      <s:c r="P25" s="123"/>
      <s:c r="Q25" s="126"/>
      <s:c r="R25" s="127"/>
      <s:c r="S25" s="128" t="str">
        <s:f>IF(AND(I25&lt;&gt;"",I25&lt;&gt;0),G25/I25,"")</s:f>
        <s:v/>
      </s:c>
      <s:c r="T25" s="129">
        <s:f>D25/U25</s:f>
        <s:v>0</s:v>
      </s:c>
      <s:c r="U25" s="130">
        <s:f>$I$8*AA25*AB25/SUMPRODUCT($AB$25:$AB$55,$AA$25:$AA$55)</s:f>
        <s:v>64505.635235537615</s:v>
      </s:c>
      <s:c r="V25" s="131">
        <s:f>$I$9*AA25*AB25/SUMPRODUCT($AB$25:$AB$55,$AA$25:$AA$55)</s:f>
        <s:v>9.7735810962935776</s:v>
      </s:c>
      <s:c r="W25" s="131">
        <s:f>IF($I$12="","",V25/$I$12)</s:f>
        <s:v>5.7491653507609284</s:v>
      </s:c>
      <s:c r="X25" s="130">
        <s:f>IF(D25&lt;&gt;"",D25,U25)</s:f>
        <s:v>0</s:v>
      </s:c>
      <s:c r="Y25" s="131">
        <s:f>IF(E25&lt;&gt;"",E25,V25)</s:f>
        <s:v>0</s:v>
      </s:c>
      <s:c r="Z25" s="131">
        <s:f>IF(G25&lt;&gt;"",G25,W25)</s:f>
        <s:v>0</s:v>
      </s:c>
      <s:c r="AA25" s="132">
        <s:v>0.9414554019711151</s:v>
      </s:c>
      <s:c r="AB25" s="132">
        <s:v>0.9414554019711151</s:v>
      </s:c>
      <s:c r="AC25" s="133"/>
      <s:c r="AD25" s="134"/>
      <s:c r="AE25" s="133"/>
      <s:c r="AF25" s="133"/>
      <s:c r="AG25" s="133"/>
      <s:c r="AH25" s="133"/>
      <s:c r="AI25" s="133"/>
      <s:c r="AJ25" s="133"/>
      <s:c r="AK25" s="133"/>
      <s:c r="AL25" s="133"/>
      <s:c r="AM25" s="133"/>
      <s:c r="AN25" s="133"/>
      <s:c r="AO25" s="133"/>
      <s:c r="AP25" s="133"/>
      <s:c r="AQ25" s="133"/>
      <s:c r="AR25" s="133"/>
      <s:c r="AS25" s="133"/>
      <s:c r="AT25" s="133"/>
      <s:c r="AU25" s="133"/>
      <s:c r="AV25" s="133"/>
      <s:c r="AW25" s="133"/>
      <s:c r="AX25" s="133"/>
      <s:c r="AY25" s="133"/>
      <s:c r="AZ25" s="133"/>
      <s:c r="BA25" s="133"/>
      <s:c r="BB25" s="133"/>
      <s:c r="BC25" s="133"/>
      <s:c r="BD25" s="133"/>
      <s:c r="BE25" s="133"/>
      <s:c r="BF25" s="133"/>
      <s:c r="BG25" s="133"/>
      <s:c r="BH25" s="133"/>
      <s:c r="BI25" s="133"/>
      <s:c r="BJ25" s="133"/>
      <s:c r="BK25" s="133"/>
      <s:c r="BL25" s="133"/>
      <s:c r="BM25" s="133"/>
      <s:c r="BN25" s="133"/>
      <s:c r="BO25" s="133"/>
      <s:c r="BP25" s="133"/>
      <s:c r="BQ25" s="133"/>
      <s:c r="BR25" s="133"/>
      <s:c r="BS25" s="133"/>
      <s:c r="BT25" s="133"/>
      <s:c r="BU25" s="133"/>
      <s:c r="BV25" s="133"/>
      <s:c r="BW25" s="133"/>
      <s:c r="BX25" s="133"/>
      <s:c r="BY25" s="133"/>
      <s:c r="BZ25" s="133"/>
      <s:c r="CA25" s="133"/>
      <s:c r="CB25" s="133"/>
      <s:c r="CC25" s="133"/>
      <s:c r="CD25" s="133"/>
      <s:c r="CE25" s="133"/>
      <s:c r="CF25" s="133"/>
      <s:c r="CG25" s="133"/>
      <s:c r="CH25" s="133"/>
      <s:c r="CI25" s="133"/>
      <s:c r="CJ25" s="133"/>
      <s:c r="CK25" s="133"/>
      <s:c r="CL25" s="133"/>
      <s:c r="CM25" s="133"/>
      <s:c r="CN25" s="133"/>
      <s:c r="CO25" s="133"/>
      <s:c r="CP25" s="133"/>
      <s:c r="CQ25" s="133"/>
      <s:c r="CR25" s="133"/>
      <s:c r="CS25" s="133"/>
      <s:c r="CT25" s="133"/>
      <s:c r="CU25" s="133"/>
      <s:c r="CV25" s="133"/>
      <s:c r="CW25" s="133"/>
      <s:c r="CX25" s="133"/>
      <s:c r="CY25" s="133"/>
      <s:c r="CZ25" s="133"/>
      <s:c r="DA25" s="133"/>
      <s:c r="DB25" s="133"/>
      <s:c r="DC25" s="133"/>
      <s:c r="DD25" s="133"/>
      <s:c r="DE25" s="133"/>
      <s:c r="DF25" s="133"/>
      <s:c r="DG25" s="133"/>
      <s:c r="DH25" s="133"/>
      <s:c r="DI25" s="133"/>
      <s:c r="DJ25" s="133"/>
      <s:c r="DK25" s="133"/>
      <s:c r="DL25" s="133"/>
      <s:c r="DM25" s="133"/>
      <s:c r="DN25" s="133"/>
      <s:c r="DO25" s="133"/>
      <s:c r="DP25" s="133"/>
      <s:c r="DQ25" s="133"/>
      <s:c r="DR25" s="133"/>
      <s:c r="DS25" s="133"/>
      <s:c r="DT25" s="133"/>
      <s:c r="DU25" s="133"/>
      <s:c r="DV25" s="133"/>
      <s:c r="DW25" s="133"/>
      <s:c r="DX25" s="133"/>
      <s:c r="DY25" s="133"/>
      <s:c r="DZ25" s="133"/>
      <s:c r="EA25" s="133"/>
      <s:c r="EB25" s="133"/>
      <s:c r="EC25" s="133"/>
      <s:c r="ED25" s="133"/>
      <s:c r="EE25" s="133"/>
      <s:c r="EF25" s="133"/>
      <s:c r="EG25" s="133"/>
      <s:c r="EH25" s="133"/>
      <s:c r="EI25" s="133"/>
      <s:c r="EJ25" s="133"/>
      <s:c r="EK25" s="133"/>
      <s:c r="EL25" s="133"/>
      <s:c r="EM25" s="133"/>
      <s:c r="EN25" s="133"/>
      <s:c r="EO25" s="133"/>
      <s:c r="EP25" s="133"/>
      <s:c r="EQ25" s="133"/>
      <s:c r="ER25" s="133"/>
      <s:c r="ES25" s="133"/>
      <s:c r="ET25" s="133"/>
      <s:c r="EU25" s="133"/>
      <s:c r="EV25" s="133"/>
      <s:c r="EW25" s="133"/>
      <s:c r="EX25" s="133"/>
      <s:c r="EY25" s="133"/>
      <s:c r="EZ25" s="133"/>
      <s:c r="FA25" s="133"/>
      <s:c r="FB25" s="133"/>
      <s:c r="FC25" s="133"/>
      <s:c r="FD25" s="133"/>
      <s:c r="FE25" s="133"/>
      <s:c r="FF25" s="133"/>
      <s:c r="FG25" s="133"/>
      <s:c r="FH25" s="133"/>
      <s:c r="FI25" s="133"/>
      <s:c r="FJ25" s="133"/>
      <s:c r="FK25" s="133"/>
      <s:c r="FL25" s="133"/>
      <s:c r="FM25" s="133"/>
      <s:c r="FN25" s="133"/>
      <s:c r="FO25" s="133"/>
      <s:c r="FP25" s="133"/>
      <s:c r="FQ25" s="133"/>
      <s:c r="FR25" s="133"/>
      <s:c r="FS25" s="133"/>
      <s:c r="FT25" s="133"/>
      <s:c r="FU25" s="133"/>
      <s:c r="FV25" s="133"/>
      <s:c r="FW25" s="133"/>
      <s:c r="FX25" s="133"/>
      <s:c r="FY25" s="133"/>
      <s:c r="FZ25" s="133"/>
      <s:c r="GA25" s="133"/>
      <s:c r="GB25" s="133"/>
      <s:c r="GC25" s="133"/>
      <s:c r="GD25" s="133"/>
      <s:c r="GE25" s="133"/>
      <s:c r="GF25" s="133"/>
      <s:c r="GG25" s="133"/>
      <s:c r="GH25" s="133"/>
      <s:c r="GI25" s="133"/>
      <s:c r="GJ25" s="133"/>
      <s:c r="GK25" s="133"/>
      <s:c r="GL25" s="133"/>
      <s:c r="GM25" s="133"/>
      <s:c r="GN25" s="133"/>
      <s:c r="GO25" s="133"/>
      <s:c r="GP25" s="133"/>
      <s:c r="GQ25" s="133"/>
      <s:c r="GR25" s="133"/>
      <s:c r="GS25" s="133"/>
      <s:c r="GT25" s="133"/>
      <s:c r="GU25" s="133"/>
      <s:c r="GV25" s="133"/>
      <s:c r="GW25" s="133"/>
      <s:c r="GX25" s="133"/>
      <s:c r="GY25" s="133"/>
      <s:c r="GZ25" s="133"/>
      <s:c r="HA25" s="133"/>
      <s:c r="HB25" s="133"/>
      <s:c r="HC25" s="133"/>
      <s:c r="HD25" s="133"/>
      <s:c r="HE25" s="133"/>
      <s:c r="HF25" s="133"/>
      <s:c r="HG25" s="133"/>
      <s:c r="HH25" s="133"/>
      <s:c r="HI25" s="133"/>
      <s:c r="HJ25" s="133"/>
      <s:c r="HK25" s="133"/>
      <s:c r="HL25" s="133"/>
      <s:c r="HM25" s="133"/>
      <s:c r="HN25" s="133"/>
      <s:c r="HO25" s="133"/>
      <s:c r="HP25" s="133"/>
      <s:c r="HQ25" s="133"/>
      <s:c r="HR25" s="133"/>
      <s:c r="HS25" s="133"/>
      <s:c r="HT25" s="133"/>
      <s:c r="HU25" s="133"/>
      <s:c r="HV25" s="133"/>
      <s:c r="HW25" s="133"/>
      <s:c r="HX25" s="133"/>
      <s:c r="HY25" s="133"/>
      <s:c r="HZ25" s="133"/>
      <s:c r="IA25" s="133"/>
      <s:c r="IB25" s="133"/>
      <s:c r="IC25" s="133"/>
      <s:c r="ID25" s="133"/>
      <s:c r="IE25" s="133"/>
      <s:c r="IF25" s="133"/>
      <s:c r="IG25" s="133"/>
      <s:c r="IH25" s="133"/>
      <s:c r="II25" s="133"/>
      <s:c r="IJ25" s="133"/>
      <s:c r="IK25" s="133"/>
      <s:c r="IL25" s="133"/>
      <s:c r="IM25" s="133"/>
      <s:c r="IN25" s="133"/>
      <s:c r="IO25" s="133"/>
      <s:c r="IP25" s="133"/>
      <s:c r="IQ25" s="133"/>
      <s:c r="IR25" s="133"/>
      <s:c r="IS25" s="133"/>
      <s:c r="IT25" s="133"/>
      <s:c r="IU25" s="133"/>
      <s:c r="IV25" s="133"/>
      <s:c r="IW25" s="133"/>
      <s:c r="IX25" s="133"/>
      <s:c r="IY25" s="133"/>
      <s:c r="IZ25" s="133"/>
    </s:row>
    <s:row r="26" s="135" customFormat="1">
      <s:c r="A26" s="136" t="s">
        <s:v>56</s:v>
      </s:c>
      <s:c r="B26" s="137">
        <s:v>46024</s:v>
      </s:c>
      <s:c r="C26" s="138" t="s">
        <s:v>57</s:v>
      </s:c>
      <s:c r="D26" s="139">
        <s:v>52276</s:v>
      </s:c>
      <s:c r="E26" s="140">
        <s:v>7</s:v>
      </s:c>
      <s:c r="F26" s="141">
        <s:f>IF(AND(E26&lt;&gt;"",E26&lt;&gt;0),D26/E26,"")</s:f>
        <s:v>7468</s:v>
      </s:c>
      <s:c r="G26" s="140">
        <s:v>3</s:v>
      </s:c>
      <s:c r="H26" s="141">
        <s:f>IF(AND(G26&lt;&gt;"",G26&lt;&gt;0),D26/G26,"")</s:f>
        <s:v>17425.333333333332</s:v>
      </s:c>
      <s:c r="I26" s="140">
        <s:v>77</s:v>
      </s:c>
      <s:c r="J26" s="142">
        <s:f>IF(AND(G26&lt;&gt;"",G26&lt;&gt;0),E26/G26,"")</s:f>
        <s:v>2.3333333333333335</s:v>
      </s:c>
      <s:c r="K26" s="140"/>
      <s:c r="L26" s="140"/>
      <s:c r="M26" s="140"/>
      <s:c r="N26" s="140"/>
      <s:c r="O26" s="140"/>
      <s:c r="P26" s="143"/>
      <s:c r="Q26" s="143">
        <s:v>15180</s:v>
      </s:c>
      <s:c r="R26" s="140"/>
      <s:c r="S26" s="128">
        <s:f>IF(AND(I26&lt;&gt;"",I26&lt;&gt;0),G26/I26,"")</s:f>
        <s:v>0.03896103896103896</s:v>
      </s:c>
      <s:c r="T26" s="144">
        <s:f>D26/U26</s:f>
        <s:v>0.98696541193814036</s:v>
      </s:c>
      <s:c r="U26" s="145">
        <s:f>$I$8*AA26*AB26/SUMPRODUCT($AB$25:$AB$55,$AA$25:$AA$55)</s:f>
        <s:v>52966.395141794979</s:v>
      </s:c>
      <s:c r="V26" s="146">
        <s:f>$I$9*AA26*AB26/SUMPRODUCT($AB$25:$AB$55,$AA$25:$AA$55)</s:f>
        <s:v>8.0252113851204516</s:v>
      </s:c>
      <s:c r="W26" s="146">
        <s:f>IF($I$12="","",V26/$I$12)</s:f>
        <s:v>4.720712579482619</s:v>
      </s:c>
      <s:c r="X26" s="145">
        <s:f>IF(AB26&lt;&gt;"",IF(D26&lt;&gt;"",D26,($I$8-SUM($X$25:X25))*AA26*AB26/SUMPRODUCT($AB26:$AB$55,$AA26:$AA$55)),"")</s:f>
        <s:v>52276</s:v>
      </s:c>
      <s:c r="Y26" s="146">
        <s:f>IF(AB26&lt;&gt;"",IF(E26&lt;&gt;"",E26,($I$9-SUM($Y$25:Y25))*AA26*AB26/SUMPRODUCT($AB26:$AB$55,$AA26:$AA$55)),"")</s:f>
        <s:v>7</s:v>
      </s:c>
      <s:c r="Z26" s="146">
        <s:f>IF(AB26&lt;&gt;"",IF($I$12&lt;&gt;"",IF(G26&lt;&gt;"",G26,($I$9/$I$12-SUM($Z$25:Z25))*AA26*AB26/SUMPRODUCT($AB26:$AB$55,$AA26:$AA$55)),""),"")</s:f>
        <s:v>3</s:v>
      </s:c>
      <s:c r="AA26" s="147">
        <s:v>0.85310233682514103</s:v>
      </s:c>
      <s:c r="AB26" s="147">
        <s:v>0.85310233682514103</s:v>
      </s:c>
      <s:c r="AC26" s="148"/>
      <s:c r="AD26" s="148"/>
      <s:c r="AE26" s="149"/>
      <s:c r="AF26" s="149"/>
      <s:c r="AG26" s="149"/>
      <s:c r="AH26" s="149"/>
      <s:c r="AI26" s="149"/>
      <s:c r="AJ26" s="149"/>
      <s:c r="AK26" s="149"/>
      <s:c r="AL26" s="149"/>
      <s:c r="AM26" s="149"/>
      <s:c r="AN26" s="149"/>
      <s:c r="AO26" s="149"/>
      <s:c r="AP26" s="149"/>
      <s:c r="AQ26" s="149"/>
      <s:c r="AR26" s="149"/>
      <s:c r="AS26" s="149"/>
      <s:c r="AT26" s="149"/>
      <s:c r="AU26" s="149"/>
      <s:c r="AV26" s="149"/>
      <s:c r="AW26" s="149"/>
      <s:c r="AX26" s="149"/>
      <s:c r="AY26" s="149"/>
      <s:c r="AZ26" s="149"/>
      <s:c r="BA26" s="149"/>
      <s:c r="BB26" s="149"/>
      <s:c r="BC26" s="149"/>
      <s:c r="BD26" s="149"/>
      <s:c r="BE26" s="149"/>
      <s:c r="BF26" s="149"/>
      <s:c r="BG26" s="149"/>
      <s:c r="BH26" s="149"/>
      <s:c r="BI26" s="149"/>
      <s:c r="BJ26" s="149"/>
      <s:c r="BK26" s="149"/>
      <s:c r="BL26" s="149"/>
      <s:c r="BM26" s="149"/>
      <s:c r="BN26" s="149"/>
      <s:c r="BO26" s="149"/>
      <s:c r="BP26" s="149"/>
      <s:c r="BQ26" s="149"/>
      <s:c r="BR26" s="149"/>
      <s:c r="BS26" s="149"/>
      <s:c r="BT26" s="149"/>
      <s:c r="BU26" s="149"/>
      <s:c r="BV26" s="149"/>
      <s:c r="BW26" s="149"/>
      <s:c r="BX26" s="149"/>
      <s:c r="BY26" s="149"/>
      <s:c r="BZ26" s="149"/>
      <s:c r="CA26" s="149"/>
      <s:c r="CB26" s="149"/>
      <s:c r="CC26" s="149"/>
      <s:c r="CD26" s="149"/>
      <s:c r="CE26" s="149"/>
      <s:c r="CF26" s="149"/>
      <s:c r="CG26" s="149"/>
      <s:c r="CH26" s="149"/>
      <s:c r="CI26" s="149"/>
      <s:c r="CJ26" s="149"/>
      <s:c r="CK26" s="149"/>
      <s:c r="CL26" s="149"/>
      <s:c r="CM26" s="149"/>
      <s:c r="CN26" s="149"/>
      <s:c r="CO26" s="149"/>
      <s:c r="CP26" s="149"/>
      <s:c r="CQ26" s="149"/>
      <s:c r="CR26" s="149"/>
      <s:c r="CS26" s="149"/>
      <s:c r="CT26" s="149"/>
      <s:c r="CU26" s="149"/>
      <s:c r="CV26" s="149"/>
      <s:c r="CW26" s="149"/>
      <s:c r="CX26" s="149"/>
      <s:c r="CY26" s="149"/>
      <s:c r="CZ26" s="149"/>
      <s:c r="DA26" s="149"/>
      <s:c r="DB26" s="149"/>
      <s:c r="DC26" s="149"/>
      <s:c r="DD26" s="149"/>
      <s:c r="DE26" s="149"/>
      <s:c r="DF26" s="149"/>
      <s:c r="DG26" s="149"/>
      <s:c r="DH26" s="149"/>
      <s:c r="DI26" s="149"/>
      <s:c r="DJ26" s="149"/>
      <s:c r="DK26" s="149"/>
      <s:c r="DL26" s="149"/>
      <s:c r="DM26" s="149"/>
      <s:c r="DN26" s="149"/>
      <s:c r="DO26" s="149"/>
      <s:c r="DP26" s="149"/>
      <s:c r="DQ26" s="149"/>
      <s:c r="DR26" s="149"/>
      <s:c r="DS26" s="149"/>
      <s:c r="DT26" s="149"/>
      <s:c r="DU26" s="149"/>
      <s:c r="DV26" s="149"/>
      <s:c r="DW26" s="149"/>
      <s:c r="DX26" s="149"/>
      <s:c r="DY26" s="149"/>
      <s:c r="DZ26" s="149"/>
      <s:c r="EA26" s="149"/>
      <s:c r="EB26" s="149"/>
      <s:c r="EC26" s="149"/>
      <s:c r="ED26" s="149"/>
      <s:c r="EE26" s="149"/>
      <s:c r="EF26" s="149"/>
      <s:c r="EG26" s="149"/>
      <s:c r="EH26" s="149"/>
      <s:c r="EI26" s="149"/>
      <s:c r="EJ26" s="149"/>
      <s:c r="EK26" s="149"/>
      <s:c r="EL26" s="149"/>
      <s:c r="EM26" s="149"/>
      <s:c r="EN26" s="149"/>
      <s:c r="EO26" s="149"/>
      <s:c r="EP26" s="149"/>
      <s:c r="EQ26" s="149"/>
      <s:c r="ER26" s="149"/>
      <s:c r="ES26" s="149"/>
      <s:c r="ET26" s="149"/>
      <s:c r="EU26" s="149"/>
      <s:c r="EV26" s="149"/>
      <s:c r="EW26" s="149"/>
      <s:c r="EX26" s="149"/>
      <s:c r="EY26" s="149"/>
      <s:c r="EZ26" s="149"/>
      <s:c r="FA26" s="149"/>
      <s:c r="FB26" s="149"/>
      <s:c r="FC26" s="149"/>
      <s:c r="FD26" s="149"/>
      <s:c r="FE26" s="149"/>
      <s:c r="FF26" s="149"/>
      <s:c r="FG26" s="149"/>
      <s:c r="FH26" s="149"/>
      <s:c r="FI26" s="149"/>
      <s:c r="FJ26" s="149"/>
      <s:c r="FK26" s="149"/>
      <s:c r="FL26" s="149"/>
      <s:c r="FM26" s="149"/>
      <s:c r="FN26" s="149"/>
      <s:c r="FO26" s="149"/>
      <s:c r="FP26" s="149"/>
      <s:c r="FQ26" s="149"/>
      <s:c r="FR26" s="149"/>
      <s:c r="FS26" s="149"/>
      <s:c r="FT26" s="149"/>
      <s:c r="FU26" s="149"/>
      <s:c r="FV26" s="149"/>
      <s:c r="FW26" s="149"/>
      <s:c r="FX26" s="149"/>
      <s:c r="FY26" s="149"/>
      <s:c r="FZ26" s="149"/>
      <s:c r="GA26" s="149"/>
      <s:c r="GB26" s="149"/>
      <s:c r="GC26" s="149"/>
      <s:c r="GD26" s="149"/>
      <s:c r="GE26" s="149"/>
      <s:c r="GF26" s="149"/>
      <s:c r="GG26" s="149"/>
      <s:c r="GH26" s="149"/>
      <s:c r="GI26" s="149"/>
      <s:c r="GJ26" s="149"/>
      <s:c r="GK26" s="149"/>
      <s:c r="GL26" s="149"/>
      <s:c r="GM26" s="149"/>
      <s:c r="GN26" s="149"/>
      <s:c r="GO26" s="149"/>
      <s:c r="GP26" s="149"/>
      <s:c r="GQ26" s="149"/>
      <s:c r="GR26" s="149"/>
      <s:c r="GS26" s="149"/>
      <s:c r="GT26" s="149"/>
      <s:c r="GU26" s="149"/>
      <s:c r="GV26" s="149"/>
      <s:c r="GW26" s="149"/>
      <s:c r="GX26" s="149"/>
      <s:c r="GY26" s="149"/>
      <s:c r="GZ26" s="149"/>
      <s:c r="HA26" s="149"/>
      <s:c r="HB26" s="149"/>
      <s:c r="HC26" s="149"/>
      <s:c r="HD26" s="149"/>
      <s:c r="HE26" s="149"/>
      <s:c r="HF26" s="149"/>
      <s:c r="HG26" s="149"/>
      <s:c r="HH26" s="149"/>
      <s:c r="HI26" s="149"/>
      <s:c r="HJ26" s="149"/>
      <s:c r="HK26" s="149"/>
      <s:c r="HL26" s="149"/>
      <s:c r="HM26" s="149"/>
      <s:c r="HN26" s="149"/>
      <s:c r="HO26" s="149"/>
      <s:c r="HP26" s="149"/>
      <s:c r="HQ26" s="149"/>
      <s:c r="HR26" s="149"/>
      <s:c r="HS26" s="149"/>
      <s:c r="HT26" s="149"/>
      <s:c r="HU26" s="149"/>
      <s:c r="HV26" s="149"/>
      <s:c r="HW26" s="149"/>
      <s:c r="HX26" s="149"/>
      <s:c r="HY26" s="149"/>
      <s:c r="HZ26" s="149"/>
      <s:c r="IA26" s="149"/>
      <s:c r="IB26" s="149"/>
      <s:c r="IC26" s="149"/>
      <s:c r="ID26" s="149"/>
      <s:c r="IE26" s="149"/>
      <s:c r="IF26" s="149"/>
      <s:c r="IG26" s="149"/>
      <s:c r="IH26" s="149"/>
      <s:c r="II26" s="149"/>
      <s:c r="IJ26" s="149"/>
      <s:c r="IK26" s="149"/>
      <s:c r="IL26" s="149"/>
      <s:c r="IM26" s="149"/>
      <s:c r="IN26" s="149"/>
      <s:c r="IO26" s="149"/>
      <s:c r="IP26" s="149"/>
      <s:c r="IQ26" s="149"/>
      <s:c r="IR26" s="149"/>
      <s:c r="IS26" s="149"/>
      <s:c r="IT26" s="149"/>
      <s:c r="IU26" s="149"/>
      <s:c r="IV26" s="149"/>
      <s:c r="IW26" s="149"/>
      <s:c r="IX26" s="149"/>
      <s:c r="IY26" s="149"/>
      <s:c r="IZ26" s="149"/>
    </s:row>
    <s:row r="27" s="135" customFormat="1">
      <s:c r="A27" s="150" t="s">
        <s:v>56</s:v>
      </s:c>
      <s:c r="B27" s="137">
        <s:v>46025</s:v>
      </s:c>
      <s:c r="C27" s="138" t="s">
        <s:v>58</s:v>
      </s:c>
      <s:c r="D27" s="139">
        <s:v>21059</s:v>
      </s:c>
      <s:c r="E27" s="140">
        <s:v>4</s:v>
      </s:c>
      <s:c r="F27" s="141">
        <s:f>IF(AND(E27&lt;&gt;"",E27&lt;&gt;0),D27/E27,"")</s:f>
        <s:v>5264.75</s:v>
      </s:c>
      <s:c r="G27" s="140">
        <s:v>3</s:v>
      </s:c>
      <s:c r="H27" s="141">
        <s:f>IF(AND(G27&lt;&gt;"",G27&lt;&gt;0),D27/G27,"")</s:f>
        <s:v>7019.666666666667</s:v>
      </s:c>
      <s:c r="I27" s="140">
        <s:v>76</s:v>
      </s:c>
      <s:c r="J27" s="142">
        <s:f>IF(AND(G27&lt;&gt;"",G27&lt;&gt;0),E27/G27,"")</s:f>
        <s:v>1.3333333333333333</s:v>
      </s:c>
      <s:c r="K27" s="140"/>
      <s:c r="L27" s="140"/>
      <s:c r="M27" s="140"/>
      <s:c r="N27" s="151"/>
      <s:c r="O27" s="151"/>
      <s:c r="P27" s="143"/>
      <s:c r="Q27" s="143">
        <s:v>8693</s:v>
      </s:c>
      <s:c r="R27" s="140"/>
      <s:c r="S27" s="128">
        <s:f>IF(AND(I27&lt;&gt;"",I27&lt;&gt;0),G27/I27,"")</s:f>
        <s:v>0.039473684210526314</s:v>
      </s:c>
      <s:c r="T27" s="144">
        <s:f>D27/U27</s:f>
        <s:v>0.39759171723171816</s:v>
      </s:c>
      <s:c r="U27" s="145">
        <s:f>$I$8*AA27*AB27/SUMPRODUCT($AB$25:$AB$55,$AA$25:$AA$55)</s:f>
        <s:v>52966.395141794979</s:v>
      </s:c>
      <s:c r="V27" s="146">
        <s:f>$I$9*AA27*AB27/SUMPRODUCT($AB$25:$AB$55,$AA$25:$AA$55)</s:f>
        <s:v>8.0252113851204516</s:v>
      </s:c>
      <s:c r="W27" s="146">
        <s:f>IF($I$12="","",V27/$I$12)</s:f>
        <s:v>4.720712579482619</s:v>
      </s:c>
      <s:c r="X27" s="145">
        <s:f>IF(AB27&lt;&gt;"",IF(D27&lt;&gt;"",D27,($I$8-SUM($X$25:X26))*AA27*AB27/SUMPRODUCT($AB27:$AB$55,$AA27:$AA$55)),"")</s:f>
        <s:v>21059</s:v>
      </s:c>
      <s:c r="Y27" s="146">
        <s:f>IF(AB27&lt;&gt;"",IF(E27&lt;&gt;"",E27,($I$9-SUM($Y$25:Y26))*AA27*AB27/SUMPRODUCT($AB27:$AB$55,$AA27:$AA$55)),"")</s:f>
        <s:v>4</s:v>
      </s:c>
      <s:c r="Z27" s="146">
        <s:f>IF(AB27&lt;&gt;"",IF($I$12&lt;&gt;"",IF(G27&lt;&gt;"",G27,($I$9/$I$12-SUM($Z$25:Z26))*AA27*AB27/SUMPRODUCT($AB27:$AB$55,$AA27:$AA$55)),""),"")</s:f>
        <s:v>3</s:v>
      </s:c>
      <s:c r="AA27" s="147">
        <s:v>0.85310233682514103</s:v>
      </s:c>
      <s:c r="AB27" s="147">
        <s:v>0.85310233682514103</s:v>
      </s:c>
      <s:c r="AC27" s="148"/>
      <s:c r="AD27" s="148"/>
      <s:c r="AE27" s="149"/>
      <s:c r="AF27" s="149"/>
      <s:c r="AG27" s="149"/>
      <s:c r="AH27" s="149"/>
      <s:c r="AI27" s="149"/>
      <s:c r="AJ27" s="149"/>
      <s:c r="AK27" s="149"/>
      <s:c r="AL27" s="149"/>
      <s:c r="AM27" s="149"/>
      <s:c r="AN27" s="149"/>
      <s:c r="AO27" s="149"/>
    </s:row>
    <s:row r="28" s="135" customFormat="1">
      <s:c r="A28" s="152" t="s">
        <s:v>56</s:v>
      </s:c>
      <s:c r="B28" s="153">
        <s:v>46026</s:v>
      </s:c>
      <s:c r="C28" s="138" t="s">
        <s:v>59</s:v>
      </s:c>
      <s:c r="D28" s="139">
        <s:v>73715</s:v>
      </s:c>
      <s:c r="E28" s="140">
        <s:v>10</s:v>
      </s:c>
      <s:c r="F28" s="141">
        <s:f>IF(AND(E28&lt;&gt;"",E28&lt;&gt;0),D28/E28,"")</s:f>
        <s:v>7371.5</s:v>
      </s:c>
      <s:c r="G28" s="140">
        <s:v>2</s:v>
      </s:c>
      <s:c r="H28" s="141">
        <s:f>IF(AND(G28&lt;&gt;"",G28&lt;&gt;0),D28/G28,"")</s:f>
        <s:v>36857.5</s:v>
      </s:c>
      <s:c r="I28" s="140">
        <s:v>90</s:v>
      </s:c>
      <s:c r="J28" s="142">
        <s:f>IF(AND(G28&lt;&gt;"",G28&lt;&gt;0),E28/G28,"")</s:f>
        <s:v>5</s:v>
      </s:c>
      <s:c r="K28" s="140"/>
      <s:c r="L28" s="140"/>
      <s:c r="M28" s="140"/>
      <s:c r="N28" s="140"/>
      <s:c r="O28" s="140"/>
      <s:c r="P28" s="143"/>
      <s:c r="Q28" s="143"/>
      <s:c r="R28" s="140"/>
      <s:c r="S28" s="128">
        <s:f>IF(AND(I28&lt;&gt;"",I28&lt;&gt;0),G28/I28,"")</s:f>
        <s:v>0.022222222222222223</s:v>
      </s:c>
      <s:c r="T28" s="144">
        <s:f>D28/U28</s:f>
        <s:v>1.3917314894219148</s:v>
      </s:c>
      <s:c r="U28" s="145">
        <s:f>$I$8*AA28*AB28/SUMPRODUCT($AB$25:$AB$55,$AA$25:$AA$55)</s:f>
        <s:v>52966.395141794979</s:v>
      </s:c>
      <s:c r="V28" s="146">
        <s:f>$I$9*AA28*AB28/SUMPRODUCT($AB$25:$AB$55,$AA$25:$AA$55)</s:f>
        <s:v>8.0252113851204516</s:v>
      </s:c>
      <s:c r="W28" s="146">
        <s:f>IF($I$12="","",V28/$I$12)</s:f>
        <s:v>4.720712579482619</s:v>
      </s:c>
      <s:c r="X28" s="145">
        <s:f>IF(AB28&lt;&gt;"",IF(D28&lt;&gt;"",D28,($I$8-SUM($X$25:X27))*AA28*AB28/SUMPRODUCT($AB28:$AB$55,$AA28:$AA$55)),"")</s:f>
        <s:v>73715</s:v>
      </s:c>
      <s:c r="Y28" s="146">
        <s:f>IF(AB28&lt;&gt;"",IF(E28&lt;&gt;"",E28,($I$9-SUM($Y$25:Y27))*AA28*AB28/SUMPRODUCT($AB28:$AB$55,$AA28:$AA$55)),"")</s:f>
        <s:v>10</s:v>
      </s:c>
      <s:c r="Z28" s="146">
        <s:f>IF(AB28&lt;&gt;"",IF($I$12&lt;&gt;"",IF(G28&lt;&gt;"",G28,($I$9/$I$12-SUM($Z$25:Z27))*AA28*AB28/SUMPRODUCT($AB28:$AB$55,$AA28:$AA$55)),""),"")</s:f>
        <s:v>2</s:v>
      </s:c>
      <s:c r="AA28" s="147">
        <s:v>0.85310233682514103</s:v>
      </s:c>
      <s:c r="AB28" s="147">
        <s:v>0.85310233682514103</s:v>
      </s:c>
      <s:c r="AC28" s="148"/>
      <s:c r="AD28" s="154"/>
      <s:c r="AE28" s="149"/>
      <s:c r="AF28" s="149"/>
      <s:c r="AG28" s="149"/>
      <s:c r="AH28" s="149"/>
      <s:c r="AI28" s="149"/>
      <s:c r="AJ28" s="149"/>
      <s:c r="AK28" s="149"/>
      <s:c r="AL28" s="149"/>
      <s:c r="AM28" s="149"/>
      <s:c r="AN28" s="149"/>
      <s:c r="AO28" s="149"/>
    </s:row>
    <s:row r="29" s="155" customFormat="1">
      <s:c r="A29" s="156" t="s">
        <s:v>60</s:v>
      </s:c>
      <s:c r="B29" s="153">
        <s:v>46027</s:v>
      </s:c>
      <s:c r="C29" s="138" t="s">
        <s:v>61</s:v>
      </s:c>
      <s:c r="D29" s="139">
        <s:v>28155</s:v>
      </s:c>
      <s:c r="E29" s="140">
        <s:v>4</s:v>
      </s:c>
      <s:c r="F29" s="141">
        <s:f>IF(AND(E29&lt;&gt;"",E29&lt;&gt;0),D29/E29,"")</s:f>
        <s:v>7038.75</s:v>
      </s:c>
      <s:c r="G29" s="140">
        <s:v>4</s:v>
      </s:c>
      <s:c r="H29" s="141">
        <s:f>IF(AND(G29&lt;&gt;"",G29&lt;&gt;0),D29/G29,"")</s:f>
        <s:v>7038.75</s:v>
      </s:c>
      <s:c r="I29" s="140">
        <s:v>100</s:v>
      </s:c>
      <s:c r="J29" s="142">
        <s:f>IF(AND(G29&lt;&gt;"",G29&lt;&gt;0),E29/G29,"")</s:f>
        <s:v>1</s:v>
      </s:c>
      <s:c r="K29" s="140"/>
      <s:c r="L29" s="140"/>
      <s:c r="M29" s="140">
        <s:v>7093</s:v>
      </s:c>
      <s:c r="N29" s="140"/>
      <s:c r="O29" s="140"/>
      <s:c r="P29" s="143"/>
      <s:c r="Q29" s="143"/>
      <s:c r="R29" s="140"/>
      <s:c r="S29" s="128">
        <s:f>IF(AND(I29&lt;&gt;"",I29&lt;&gt;0),G29/I29,"")</s:f>
        <s:v>0.040000000000000001</s:v>
      </s:c>
      <s:c r="T29" s="144">
        <s:f>D29/U29</s:f>
        <s:v>0.53545074513290669</s:v>
      </s:c>
      <s:c r="U29" s="145">
        <s:f>$I$8*AA29*AB29/SUMPRODUCT($AB$25:$AB$55,$AA$25:$AA$55)</s:f>
        <s:v>52581.867250948577</s:v>
      </s:c>
      <s:c r="V29" s="146">
        <s:f>$I$9*AA29*AB29/SUMPRODUCT($AB$25:$AB$55,$AA$25:$AA$55)</s:f>
        <s:v>7.9669495834770565</s:v>
      </s:c>
      <s:c r="W29" s="146">
        <s:f>IF($I$12="","",V29/$I$12)</s:f>
        <s:v>4.6864409314570921</s:v>
      </s:c>
      <s:c r="X29" s="145">
        <s:f>IF(AB29&lt;&gt;"",IF(D29&lt;&gt;"",D29,($I$8-SUM($X$25:X28))*AA29*AB29/SUMPRODUCT($AB29:$AB$55,$AA29:$AA$55)),"")</s:f>
        <s:v>28155</s:v>
      </s:c>
      <s:c r="Y29" s="146">
        <s:f>IF(AB29&lt;&gt;"",IF(E29&lt;&gt;"",E29,($I$9-SUM($Y$25:Y28))*AA29*AB29/SUMPRODUCT($AB29:$AB$55,$AA29:$AA$55)),"")</s:f>
        <s:v>4</s:v>
      </s:c>
      <s:c r="Z29" s="146">
        <s:f>IF(AB29&lt;&gt;"",IF($I$12&lt;&gt;"",IF(G29&lt;&gt;"",G29,($I$9/$I$12-SUM($Z$25:Z28))*AA29*AB29/SUMPRODUCT($AB29:$AB$55,$AA29:$AA$55)),""),"")</s:f>
        <s:v>4</s:v>
      </s:c>
      <s:c r="AA29" s="147">
        <s:v>0.84999999999999998</s:v>
      </s:c>
      <s:c r="AB29" s="147">
        <s:v>0.84999999999999998</s:v>
      </s:c>
      <s:c r="AC29" s="148"/>
      <s:c r="AD29" s="148"/>
      <s:c r="AE29" s="149"/>
      <s:c r="AF29" s="149"/>
      <s:c r="AG29" s="149"/>
      <s:c r="AH29" s="149"/>
      <s:c r="AI29" s="149"/>
      <s:c r="AJ29" s="149"/>
      <s:c r="AK29" s="149"/>
      <s:c r="AL29" s="149"/>
      <s:c r="AM29" s="149"/>
      <s:c r="AN29" s="149"/>
      <s:c r="AO29" s="149"/>
      <s:c r="AP29" s="149"/>
      <s:c r="AQ29" s="149"/>
      <s:c r="AR29" s="149"/>
      <s:c r="AS29" s="149"/>
      <s:c r="AT29" s="149"/>
      <s:c r="AU29" s="149"/>
      <s:c r="AV29" s="149"/>
      <s:c r="AW29" s="149"/>
      <s:c r="AX29" s="149"/>
      <s:c r="AY29" s="149"/>
      <s:c r="AZ29" s="149"/>
      <s:c r="BA29" s="149"/>
      <s:c r="BB29" s="149"/>
      <s:c r="BC29" s="149"/>
      <s:c r="BD29" s="149"/>
      <s:c r="BE29" s="149"/>
      <s:c r="BF29" s="149"/>
      <s:c r="BG29" s="149"/>
      <s:c r="BH29" s="149"/>
      <s:c r="BI29" s="149"/>
      <s:c r="BJ29" s="149"/>
      <s:c r="BK29" s="149"/>
      <s:c r="BL29" s="149"/>
      <s:c r="BM29" s="149"/>
      <s:c r="BN29" s="149"/>
      <s:c r="BO29" s="149"/>
      <s:c r="BP29" s="149"/>
      <s:c r="BQ29" s="149"/>
      <s:c r="BR29" s="149"/>
      <s:c r="BS29" s="149"/>
      <s:c r="BT29" s="149"/>
      <s:c r="BU29" s="149"/>
      <s:c r="BV29" s="149"/>
      <s:c r="BW29" s="149"/>
      <s:c r="BX29" s="149"/>
      <s:c r="BY29" s="149"/>
      <s:c r="BZ29" s="149"/>
      <s:c r="CA29" s="149"/>
      <s:c r="CB29" s="149"/>
      <s:c r="CC29" s="149"/>
      <s:c r="CD29" s="149"/>
      <s:c r="CE29" s="149"/>
      <s:c r="CF29" s="149"/>
      <s:c r="CG29" s="149"/>
      <s:c r="CH29" s="149"/>
      <s:c r="CI29" s="149"/>
      <s:c r="CJ29" s="149"/>
      <s:c r="CK29" s="149"/>
      <s:c r="CL29" s="149"/>
      <s:c r="CM29" s="149"/>
      <s:c r="CN29" s="149"/>
      <s:c r="CO29" s="149"/>
      <s:c r="CP29" s="149"/>
      <s:c r="CQ29" s="149"/>
      <s:c r="CR29" s="149"/>
      <s:c r="CS29" s="149"/>
      <s:c r="CT29" s="149"/>
      <s:c r="CU29" s="149"/>
      <s:c r="CV29" s="149"/>
      <s:c r="CW29" s="149"/>
      <s:c r="CX29" s="149"/>
      <s:c r="CY29" s="149"/>
      <s:c r="CZ29" s="149"/>
      <s:c r="DA29" s="149"/>
      <s:c r="DB29" s="149"/>
      <s:c r="DC29" s="149"/>
      <s:c r="DD29" s="149"/>
      <s:c r="DE29" s="149"/>
      <s:c r="DF29" s="149"/>
      <s:c r="DG29" s="149"/>
      <s:c r="DH29" s="149"/>
      <s:c r="DI29" s="149"/>
      <s:c r="DJ29" s="149"/>
      <s:c r="DK29" s="149"/>
      <s:c r="DL29" s="149"/>
      <s:c r="DM29" s="149"/>
      <s:c r="DN29" s="149"/>
      <s:c r="DO29" s="149"/>
      <s:c r="DP29" s="149"/>
      <s:c r="DQ29" s="149"/>
      <s:c r="DR29" s="149"/>
      <s:c r="DS29" s="149"/>
      <s:c r="DT29" s="149"/>
      <s:c r="DU29" s="149"/>
      <s:c r="DV29" s="149"/>
      <s:c r="DW29" s="149"/>
      <s:c r="DX29" s="149"/>
      <s:c r="DY29" s="149"/>
      <s:c r="DZ29" s="149"/>
      <s:c r="EA29" s="149"/>
      <s:c r="EB29" s="149"/>
      <s:c r="EC29" s="149"/>
      <s:c r="ED29" s="149"/>
      <s:c r="EE29" s="149"/>
      <s:c r="EF29" s="149"/>
      <s:c r="EG29" s="149"/>
      <s:c r="EH29" s="149"/>
      <s:c r="EI29" s="149"/>
      <s:c r="EJ29" s="149"/>
      <s:c r="EK29" s="149"/>
      <s:c r="EL29" s="149"/>
      <s:c r="EM29" s="149"/>
      <s:c r="EN29" s="149"/>
      <s:c r="EO29" s="149"/>
      <s:c r="EP29" s="149"/>
      <s:c r="EQ29" s="149"/>
      <s:c r="ER29" s="149"/>
      <s:c r="ES29" s="149"/>
      <s:c r="ET29" s="149"/>
      <s:c r="EU29" s="149"/>
      <s:c r="EV29" s="149"/>
      <s:c r="EW29" s="149"/>
      <s:c r="EX29" s="149"/>
      <s:c r="EY29" s="149"/>
      <s:c r="EZ29" s="149"/>
      <s:c r="FA29" s="149"/>
      <s:c r="FB29" s="149"/>
      <s:c r="FC29" s="149"/>
      <s:c r="FD29" s="149"/>
      <s:c r="FE29" s="149"/>
      <s:c r="FF29" s="149"/>
      <s:c r="FG29" s="149"/>
      <s:c r="FH29" s="149"/>
      <s:c r="FI29" s="149"/>
      <s:c r="FJ29" s="149"/>
      <s:c r="FK29" s="149"/>
      <s:c r="FL29" s="149"/>
      <s:c r="FM29" s="149"/>
      <s:c r="FN29" s="149"/>
      <s:c r="FO29" s="149"/>
      <s:c r="FP29" s="149"/>
      <s:c r="FQ29" s="149"/>
      <s:c r="FR29" s="149"/>
      <s:c r="FS29" s="149"/>
      <s:c r="FT29" s="149"/>
      <s:c r="FU29" s="149"/>
      <s:c r="FV29" s="149"/>
      <s:c r="FW29" s="149"/>
      <s:c r="FX29" s="149"/>
      <s:c r="FY29" s="149"/>
      <s:c r="FZ29" s="149"/>
      <s:c r="GA29" s="149"/>
      <s:c r="GB29" s="149"/>
      <s:c r="GC29" s="149"/>
      <s:c r="GD29" s="149"/>
      <s:c r="GE29" s="149"/>
      <s:c r="GF29" s="149"/>
      <s:c r="GG29" s="149"/>
      <s:c r="GH29" s="149"/>
      <s:c r="GI29" s="149"/>
      <s:c r="GJ29" s="149"/>
      <s:c r="GK29" s="149"/>
      <s:c r="GL29" s="149"/>
      <s:c r="GM29" s="149"/>
      <s:c r="GN29" s="149"/>
      <s:c r="GO29" s="149"/>
      <s:c r="GP29" s="149"/>
      <s:c r="GQ29" s="149"/>
      <s:c r="GR29" s="149"/>
      <s:c r="GS29" s="149"/>
      <s:c r="GT29" s="149"/>
      <s:c r="GU29" s="149"/>
      <s:c r="GV29" s="149"/>
      <s:c r="GW29" s="149"/>
      <s:c r="GX29" s="149"/>
      <s:c r="GY29" s="149"/>
      <s:c r="GZ29" s="149"/>
      <s:c r="HA29" s="149"/>
      <s:c r="HB29" s="149"/>
      <s:c r="HC29" s="149"/>
      <s:c r="HD29" s="149"/>
      <s:c r="HE29" s="149"/>
      <s:c r="HF29" s="149"/>
      <s:c r="HG29" s="149"/>
      <s:c r="HH29" s="149"/>
      <s:c r="HI29" s="149"/>
      <s:c r="HJ29" s="149"/>
      <s:c r="HK29" s="149"/>
      <s:c r="HL29" s="149"/>
      <s:c r="HM29" s="149"/>
      <s:c r="HN29" s="149"/>
      <s:c r="HO29" s="149"/>
      <s:c r="HP29" s="149"/>
      <s:c r="HQ29" s="149"/>
      <s:c r="HR29" s="149"/>
      <s:c r="HS29" s="149"/>
      <s:c r="HT29" s="149"/>
      <s:c r="HU29" s="149"/>
      <s:c r="HV29" s="149"/>
      <s:c r="HW29" s="149"/>
      <s:c r="HX29" s="149"/>
      <s:c r="HY29" s="149"/>
      <s:c r="HZ29" s="149"/>
      <s:c r="IA29" s="149"/>
      <s:c r="IB29" s="149"/>
      <s:c r="IC29" s="149"/>
      <s:c r="ID29" s="149"/>
      <s:c r="IE29" s="149"/>
      <s:c r="IF29" s="149"/>
      <s:c r="IG29" s="149"/>
      <s:c r="IH29" s="149"/>
      <s:c r="II29" s="149"/>
      <s:c r="IJ29" s="149"/>
      <s:c r="IK29" s="149"/>
      <s:c r="IL29" s="149"/>
      <s:c r="IM29" s="149"/>
      <s:c r="IN29" s="149"/>
      <s:c r="IO29" s="149"/>
      <s:c r="IP29" s="149"/>
      <s:c r="IQ29" s="149"/>
      <s:c r="IR29" s="149"/>
      <s:c r="IS29" s="149"/>
      <s:c r="IT29" s="149"/>
      <s:c r="IU29" s="149"/>
      <s:c r="IV29" s="149"/>
      <s:c r="IW29" s="149"/>
      <s:c r="IX29" s="149"/>
      <s:c r="IY29" s="149"/>
      <s:c r="IZ29" s="149"/>
    </s:row>
    <s:row r="30" s="135" customFormat="1">
      <s:c r="A30" s="156" t="s">
        <s:v>62</s:v>
      </s:c>
      <s:c r="B30" s="153">
        <s:v>46028</s:v>
      </s:c>
      <s:c r="C30" s="138" t="s">
        <s:v>63</s:v>
      </s:c>
      <s:c r="D30" s="139">
        <s:v>113842.98</s:v>
      </s:c>
      <s:c r="E30" s="140">
        <s:f>'Козлова В. Э.'!E29+'Стекольщикова А. А.'!E25</s:f>
        <s:v>19</s:v>
      </s:c>
      <s:c r="F30" s="141">
        <s:f>IF(AND(E30&lt;&gt;"",E30&lt;&gt;0),D30/E30,"")</s:f>
        <s:v>5991.7357894736842</s:v>
      </s:c>
      <s:c r="G30" s="140">
        <s:v>7</s:v>
      </s:c>
      <s:c r="H30" s="141">
        <s:f>IF(AND(G30&lt;&gt;"",G30&lt;&gt;0),D30/G30,"")</s:f>
        <s:v>16263.282857142856</s:v>
      </s:c>
      <s:c r="I30" s="140">
        <s:v>73</s:v>
      </s:c>
      <s:c r="J30" s="142">
        <s:f>IF(AND(G30&lt;&gt;"",G30&lt;&gt;0),E30/G30,"")</s:f>
        <s:v>2.7142857142857144</s:v>
      </s:c>
      <s:c r="K30" s="140"/>
      <s:c r="L30" s="140"/>
      <s:c r="M30" s="140">
        <s:v>14590</s:v>
      </s:c>
      <s:c r="N30" s="140"/>
      <s:c r="O30" s="140"/>
      <s:c r="P30" s="143"/>
      <s:c r="Q30" s="140">
        <s:v>9390</s:v>
      </s:c>
      <s:c r="R30" s="140"/>
      <s:c r="S30" s="128">
        <s:f>IF(AND(I30&lt;&gt;"",I30&lt;&gt;0),G30/I30,"")</s:f>
        <s:v>0.095890410958904104</s:v>
      </s:c>
      <s:c r="T30" s="144">
        <s:f>D30/U30</s:f>
        <s:v>1.5642569834473914</s:v>
      </s:c>
      <s:c r="U30" s="145">
        <s:f>$I$8*AA30*AB30/SUMPRODUCT($AB$25:$AB$55,$AA$25:$AA$55)</s:f>
        <s:v>72777.670935568967</s:v>
      </s:c>
      <s:c r="V30" s="146">
        <s:f>$I$9*AA30*AB30/SUMPRODUCT($AB$25:$AB$55,$AA$25:$AA$55)</s:f>
        <s:v>11.02691983872257</s:v>
      </s:c>
      <s:c r="W30" s="146">
        <s:f>IF($I$12="","",V30/$I$12)</s:f>
        <s:v>6.4864234345426883</s:v>
      </s:c>
      <s:c r="X30" s="145">
        <s:f>IF(AB30&lt;&gt;"",IF(D30&lt;&gt;"",D30,($I$8-SUM($X$25:X29))*AA30*AB30/SUMPRODUCT($AB30:$AB$55,$AA30:$AA$55)),"")</s:f>
        <s:v>113842.98</s:v>
      </s:c>
      <s:c r="Y30" s="146">
        <s:f>IF(AB30&lt;&gt;"",IF(E30&lt;&gt;"",E30,($I$9-SUM($Y$25:Y29))*AA30*AB30/SUMPRODUCT($AB30:$AB$55,$AA30:$AA$55)),"")</s:f>
        <s:v>19</s:v>
      </s:c>
      <s:c r="Z30" s="146">
        <s:f>IF(AB30&lt;&gt;"",IF($I$12&lt;&gt;"",IF(G30&lt;&gt;"",G30,($I$9/$I$12-SUM($Z$25:Z29))*AA30*AB30/SUMPRODUCT($AB30:$AB$55,$AA30:$AA$55)),""),"")</s:f>
        <s:v>7</s:v>
      </s:c>
      <s:c r="AA30" s="147">
        <s:v>1</s:v>
      </s:c>
      <s:c r="AB30" s="147">
        <s:v>1</s:v>
      </s:c>
      <s:c r="AC30" s="148"/>
      <s:c r="AD30" s="148"/>
      <s:c r="AE30" s="149"/>
      <s:c r="AF30" s="149"/>
      <s:c r="AG30" s="149"/>
      <s:c r="AH30" s="149"/>
      <s:c r="AI30" s="149"/>
      <s:c r="AJ30" s="149"/>
      <s:c r="AK30" s="149"/>
      <s:c r="AL30" s="149"/>
      <s:c r="AM30" s="149"/>
      <s:c r="AN30" s="149"/>
      <s:c r="AO30" s="149"/>
    </s:row>
    <s:row r="31" s="135" customFormat="1">
      <s:c r="A31" s="156" t="s">
        <s:v>64</s:v>
      </s:c>
      <s:c r="B31" s="153">
        <s:v>46029</s:v>
      </s:c>
      <s:c r="C31" s="138" t="s">
        <s:v>65</s:v>
      </s:c>
      <s:c r="D31" s="139">
        <s:v>12278</s:v>
      </s:c>
      <s:c r="E31" s="140">
        <s:v>3</s:v>
      </s:c>
      <s:c r="F31" s="141">
        <s:f>IF(AND(E31&lt;&gt;"",E31&lt;&gt;0),D31/E31,"")</s:f>
        <s:v>4092.6666666666665</s:v>
      </s:c>
      <s:c r="G31" s="140">
        <s:v>3</s:v>
      </s:c>
      <s:c r="H31" s="141">
        <s:f>IF(AND(G31&lt;&gt;"",G31&lt;&gt;0),D31/G31,"")</s:f>
        <s:v>4092.6666666666665</s:v>
      </s:c>
      <s:c r="I31" s="140">
        <s:v>51</s:v>
      </s:c>
      <s:c r="J31" s="142">
        <s:f>IF(AND(G31&lt;&gt;"",G31&lt;&gt;0),E31/G31,"")</s:f>
        <s:v>1</s:v>
      </s:c>
      <s:c r="K31" s="140"/>
      <s:c r="L31" s="140"/>
      <s:c r="M31" s="140"/>
      <s:c r="N31" s="140"/>
      <s:c r="O31" s="140"/>
      <s:c r="P31" s="143"/>
      <s:c r="Q31" s="143"/>
      <s:c r="R31" s="140"/>
      <s:c r="S31" s="128">
        <s:f>IF(AND(I31&lt;&gt;"",I31&lt;&gt;0),G31/I31,"")</s:f>
        <s:v>0.058823529411764705</s:v>
      </s:c>
      <s:c r="T31" s="144">
        <s:f>D31/U31</s:f>
        <s:v>0.16870559118152978</s:v>
      </s:c>
      <s:c r="U31" s="145">
        <s:f>$I$8*AA31*AB31/SUMPRODUCT($AB$25:$AB$55,$AA$25:$AA$55)</s:f>
        <s:v>72777.670935568967</s:v>
      </s:c>
      <s:c r="V31" s="146">
        <s:f>$I$9*AA31*AB31/SUMPRODUCT($AB$25:$AB$55,$AA$25:$AA$55)</s:f>
        <s:v>11.02691983872257</s:v>
      </s:c>
      <s:c r="W31" s="146">
        <s:f>IF($I$12="","",V31/$I$12)</s:f>
        <s:v>6.4864234345426883</s:v>
      </s:c>
      <s:c r="X31" s="145">
        <s:f>IF(AB31&lt;&gt;"",IF(D31&lt;&gt;"",D31,($I$8-SUM($X$25:X30))*AA31*AB31/SUMPRODUCT($AB31:$AB$55,$AA31:$AA$55)),"")</s:f>
        <s:v>12278</s:v>
      </s:c>
      <s:c r="Y31" s="146">
        <s:f>IF(AB31&lt;&gt;"",IF(E31&lt;&gt;"",E31,($I$9-SUM($Y$25:Y30))*AA31*AB31/SUMPRODUCT($AB31:$AB$55,$AA31:$AA$55)),"")</s:f>
        <s:v>3</s:v>
      </s:c>
      <s:c r="Z31" s="146">
        <s:f>IF(AB31&lt;&gt;"",IF($I$12&lt;&gt;"",IF(G31&lt;&gt;"",G31,($I$9/$I$12-SUM($Z$25:Z30))*AA31*AB31/SUMPRODUCT($AB31:$AB$55,$AA31:$AA$55)),""),"")</s:f>
        <s:v>3</s:v>
      </s:c>
      <s:c r="AA31" s="147">
        <s:v>1</s:v>
      </s:c>
      <s:c r="AB31" s="147">
        <s:v>1</s:v>
      </s:c>
      <s:c r="AC31" s="148"/>
      <s:c r="AD31" s="148"/>
      <s:c r="AE31" s="149"/>
      <s:c r="AF31" s="149"/>
      <s:c r="AG31" s="149"/>
      <s:c r="AH31" s="149"/>
      <s:c r="AI31" s="149"/>
      <s:c r="AJ31" s="149"/>
      <s:c r="AK31" s="149"/>
      <s:c r="AL31" s="149"/>
      <s:c r="AM31" s="149"/>
      <s:c r="AN31" s="149"/>
      <s:c r="AO31" s="149"/>
      <s:c r="AP31" s="149"/>
      <s:c r="AQ31" s="149"/>
      <s:c r="AR31" s="149"/>
      <s:c r="AS31" s="149"/>
      <s:c r="AT31" s="149"/>
      <s:c r="AU31" s="149"/>
      <s:c r="AV31" s="149"/>
      <s:c r="AW31" s="149"/>
      <s:c r="AX31" s="149"/>
      <s:c r="AY31" s="149"/>
      <s:c r="AZ31" s="149"/>
      <s:c r="BA31" s="149"/>
      <s:c r="BB31" s="149"/>
      <s:c r="BC31" s="149"/>
      <s:c r="BD31" s="149"/>
      <s:c r="BE31" s="149"/>
      <s:c r="BF31" s="149"/>
      <s:c r="BG31" s="149"/>
      <s:c r="BH31" s="149"/>
      <s:c r="BI31" s="149"/>
      <s:c r="BJ31" s="149"/>
      <s:c r="BK31" s="149"/>
      <s:c r="BL31" s="149"/>
      <s:c r="BM31" s="149"/>
      <s:c r="BN31" s="149"/>
      <s:c r="BO31" s="149"/>
      <s:c r="BP31" s="149"/>
      <s:c r="BQ31" s="149"/>
      <s:c r="BR31" s="149"/>
      <s:c r="BS31" s="149"/>
      <s:c r="BT31" s="149"/>
      <s:c r="BU31" s="149"/>
      <s:c r="BV31" s="149"/>
      <s:c r="BW31" s="149"/>
      <s:c r="BX31" s="149"/>
      <s:c r="BY31" s="149"/>
      <s:c r="BZ31" s="149"/>
      <s:c r="CA31" s="149"/>
      <s:c r="CB31" s="149"/>
      <s:c r="CC31" s="149"/>
      <s:c r="CD31" s="149"/>
      <s:c r="CE31" s="149"/>
      <s:c r="CF31" s="149"/>
      <s:c r="CG31" s="149"/>
      <s:c r="CH31" s="149"/>
      <s:c r="CI31" s="149"/>
      <s:c r="CJ31" s="149"/>
      <s:c r="CK31" s="149"/>
      <s:c r="CL31" s="149"/>
      <s:c r="CM31" s="149"/>
      <s:c r="CN31" s="149"/>
      <s:c r="CO31" s="149"/>
      <s:c r="CP31" s="149"/>
      <s:c r="CQ31" s="149"/>
      <s:c r="CR31" s="149"/>
      <s:c r="CS31" s="149"/>
      <s:c r="CT31" s="149"/>
      <s:c r="CU31" s="149"/>
      <s:c r="CV31" s="149"/>
      <s:c r="CW31" s="149"/>
      <s:c r="CX31" s="149"/>
      <s:c r="CY31" s="149"/>
      <s:c r="CZ31" s="149"/>
      <s:c r="DA31" s="149"/>
      <s:c r="DB31" s="149"/>
      <s:c r="DC31" s="149"/>
      <s:c r="DD31" s="149"/>
      <s:c r="DE31" s="149"/>
      <s:c r="DF31" s="149"/>
      <s:c r="DG31" s="149"/>
      <s:c r="DH31" s="149"/>
      <s:c r="DI31" s="149"/>
      <s:c r="DJ31" s="149"/>
      <s:c r="DK31" s="149"/>
      <s:c r="DL31" s="149"/>
      <s:c r="DM31" s="149"/>
      <s:c r="DN31" s="149"/>
      <s:c r="DO31" s="149"/>
      <s:c r="DP31" s="149"/>
      <s:c r="DQ31" s="149"/>
      <s:c r="DR31" s="149"/>
      <s:c r="DS31" s="149"/>
      <s:c r="DT31" s="149"/>
      <s:c r="DU31" s="149"/>
      <s:c r="DV31" s="149"/>
      <s:c r="DW31" s="149"/>
      <s:c r="DX31" s="149"/>
      <s:c r="DY31" s="149"/>
      <s:c r="DZ31" s="149"/>
      <s:c r="EA31" s="149"/>
      <s:c r="EB31" s="149"/>
      <s:c r="EC31" s="149"/>
      <s:c r="ED31" s="149"/>
      <s:c r="EE31" s="149"/>
      <s:c r="EF31" s="149"/>
      <s:c r="EG31" s="149"/>
      <s:c r="EH31" s="149"/>
      <s:c r="EI31" s="149"/>
      <s:c r="EJ31" s="149"/>
      <s:c r="EK31" s="149"/>
      <s:c r="EL31" s="149"/>
      <s:c r="EM31" s="149"/>
      <s:c r="EN31" s="149"/>
      <s:c r="EO31" s="149"/>
      <s:c r="EP31" s="149"/>
      <s:c r="EQ31" s="149"/>
      <s:c r="ER31" s="149"/>
      <s:c r="ES31" s="149"/>
      <s:c r="ET31" s="149"/>
      <s:c r="EU31" s="149"/>
      <s:c r="EV31" s="149"/>
      <s:c r="EW31" s="149"/>
      <s:c r="EX31" s="149"/>
      <s:c r="EY31" s="149"/>
      <s:c r="EZ31" s="149"/>
      <s:c r="FA31" s="149"/>
      <s:c r="FB31" s="149"/>
      <s:c r="FC31" s="149"/>
      <s:c r="FD31" s="149"/>
      <s:c r="FE31" s="149"/>
      <s:c r="FF31" s="149"/>
      <s:c r="FG31" s="149"/>
      <s:c r="FH31" s="149"/>
      <s:c r="FI31" s="149"/>
      <s:c r="FJ31" s="149"/>
      <s:c r="FK31" s="149"/>
      <s:c r="FL31" s="149"/>
      <s:c r="FM31" s="149"/>
      <s:c r="FN31" s="149"/>
      <s:c r="FO31" s="149"/>
      <s:c r="FP31" s="149"/>
      <s:c r="FQ31" s="149"/>
      <s:c r="FR31" s="149"/>
      <s:c r="FS31" s="149"/>
      <s:c r="FT31" s="149"/>
      <s:c r="FU31" s="149"/>
      <s:c r="FV31" s="149"/>
      <s:c r="FW31" s="149"/>
      <s:c r="FX31" s="149"/>
      <s:c r="FY31" s="149"/>
      <s:c r="FZ31" s="149"/>
      <s:c r="GA31" s="149"/>
      <s:c r="GB31" s="149"/>
      <s:c r="GC31" s="149"/>
      <s:c r="GD31" s="149"/>
      <s:c r="GE31" s="149"/>
      <s:c r="GF31" s="149"/>
      <s:c r="GG31" s="149"/>
      <s:c r="GH31" s="149"/>
      <s:c r="GI31" s="149"/>
      <s:c r="GJ31" s="149"/>
      <s:c r="GK31" s="149"/>
      <s:c r="GL31" s="149"/>
      <s:c r="GM31" s="149"/>
      <s:c r="GN31" s="149"/>
      <s:c r="GO31" s="149"/>
      <s:c r="GP31" s="149"/>
      <s:c r="GQ31" s="149"/>
      <s:c r="GR31" s="149"/>
      <s:c r="GS31" s="149"/>
      <s:c r="GT31" s="149"/>
      <s:c r="GU31" s="149"/>
      <s:c r="GV31" s="149"/>
      <s:c r="GW31" s="149"/>
      <s:c r="GX31" s="149"/>
      <s:c r="GY31" s="149"/>
      <s:c r="GZ31" s="149"/>
      <s:c r="HA31" s="149"/>
      <s:c r="HB31" s="149"/>
      <s:c r="HC31" s="149"/>
      <s:c r="HD31" s="149"/>
      <s:c r="HE31" s="149"/>
      <s:c r="HF31" s="149"/>
      <s:c r="HG31" s="149"/>
      <s:c r="HH31" s="149"/>
      <s:c r="HI31" s="149"/>
      <s:c r="HJ31" s="149"/>
      <s:c r="HK31" s="149"/>
      <s:c r="HL31" s="149"/>
      <s:c r="HM31" s="149"/>
      <s:c r="HN31" s="149"/>
      <s:c r="HO31" s="149"/>
      <s:c r="HP31" s="149"/>
      <s:c r="HQ31" s="149"/>
      <s:c r="HR31" s="149"/>
      <s:c r="HS31" s="149"/>
      <s:c r="HT31" s="149"/>
      <s:c r="HU31" s="149"/>
      <s:c r="HV31" s="149"/>
      <s:c r="HW31" s="149"/>
      <s:c r="HX31" s="149"/>
      <s:c r="HY31" s="149"/>
      <s:c r="HZ31" s="149"/>
      <s:c r="IA31" s="149"/>
      <s:c r="IB31" s="149"/>
      <s:c r="IC31" s="149"/>
      <s:c r="ID31" s="149"/>
      <s:c r="IE31" s="149"/>
      <s:c r="IF31" s="149"/>
      <s:c r="IG31" s="149"/>
      <s:c r="IH31" s="149"/>
      <s:c r="II31" s="149"/>
      <s:c r="IJ31" s="149"/>
      <s:c r="IK31" s="149"/>
      <s:c r="IL31" s="149"/>
      <s:c r="IM31" s="149"/>
      <s:c r="IN31" s="149"/>
      <s:c r="IO31" s="149"/>
      <s:c r="IP31" s="149"/>
      <s:c r="IQ31" s="149"/>
      <s:c r="IR31" s="149"/>
      <s:c r="IS31" s="149"/>
      <s:c r="IT31" s="149"/>
      <s:c r="IU31" s="149"/>
      <s:c r="IV31" s="149"/>
      <s:c r="IW31" s="149"/>
      <s:c r="IX31" s="149"/>
      <s:c r="IY31" s="149"/>
      <s:c r="IZ31" s="149"/>
    </s:row>
    <s:row r="32" s="135" customFormat="1">
      <s:c r="A32" s="156" t="s">
        <s:v>64</s:v>
      </s:c>
      <s:c r="B32" s="153">
        <s:v>46030</s:v>
      </s:c>
      <s:c r="C32" s="138" t="s">
        <s:v>55</s:v>
      </s:c>
      <s:c r="D32" s="139">
        <s:v>16971</s:v>
      </s:c>
      <s:c r="E32" s="140">
        <s:v>4</s:v>
      </s:c>
      <s:c r="F32" s="141">
        <s:f>IF(AND(E32&lt;&gt;"",E32&lt;&gt;0),D32/E32,"")</s:f>
        <s:v>4242.75</s:v>
      </s:c>
      <s:c r="G32" s="140">
        <s:v>3</s:v>
      </s:c>
      <s:c r="H32" s="141">
        <s:f>IF(AND(G32&lt;&gt;"",G32&lt;&gt;0),D32/G32,"")</s:f>
        <s:v>5657</s:v>
      </s:c>
      <s:c r="I32" s="140">
        <s:v>65</s:v>
      </s:c>
      <s:c r="J32" s="142">
        <s:f>IF(AND(G32&lt;&gt;"",G32&lt;&gt;0),E32/G32,"")</s:f>
        <s:v>1.3333333333333333</s:v>
      </s:c>
      <s:c r="K32" s="140"/>
      <s:c r="L32" s="140"/>
      <s:c r="M32" s="140"/>
      <s:c r="N32" s="140"/>
      <s:c r="O32" s="140"/>
      <s:c r="P32" s="143"/>
      <s:c r="Q32" s="143"/>
      <s:c r="R32" s="157"/>
      <s:c r="S32" s="128">
        <s:f>IF(AND(I32&lt;&gt;"",I32&lt;&gt;0),G32/I32,"")</s:f>
        <s:v>0.046153846153846156</s:v>
      </s:c>
      <s:c r="T32" s="144">
        <s:f>D32/U32</s:f>
        <s:v>0.32041070483591289</s:v>
      </s:c>
      <s:c r="U32" s="145">
        <s:f>$I$8*AA32*AB32/SUMPRODUCT($AB$25:$AB$55,$AA$25:$AA$55)</s:f>
        <s:v>52966.395141794979</s:v>
      </s:c>
      <s:c r="V32" s="146">
        <s:f>$I$9*AA32*AB32/SUMPRODUCT($AB$25:$AB$55,$AA$25:$AA$55)</s:f>
        <s:v>8.0252113851204516</s:v>
      </s:c>
      <s:c r="W32" s="146">
        <s:f>IF($I$12="","",V32/$I$12)</s:f>
        <s:v>4.720712579482619</s:v>
      </s:c>
      <s:c r="X32" s="145">
        <s:f>IF(AB32&lt;&gt;"",IF(D32&lt;&gt;"",D32,($I$8-SUM($X$25:X31))*AA32*AB32/SUMPRODUCT($AB32:$AB$55,$AA32:$AA$55)),"")</s:f>
        <s:v>16971</s:v>
      </s:c>
      <s:c r="Y32" s="146">
        <s:f>IF(AB32&lt;&gt;"",IF(E32&lt;&gt;"",E32,($I$9-SUM($Y$25:Y31))*AA32*AB32/SUMPRODUCT($AB32:$AB$55,$AA32:$AA$55)),"")</s:f>
        <s:v>4</s:v>
      </s:c>
      <s:c r="Z32" s="146">
        <s:f>IF(AB32&lt;&gt;"",IF($I$12&lt;&gt;"",IF(G32&lt;&gt;"",G32,($I$9/$I$12-SUM($Z$25:Z31))*AA32*AB32/SUMPRODUCT($AB32:$AB$55,$AA32:$AA$55)),""),"")</s:f>
        <s:v>3</s:v>
      </s:c>
      <s:c r="AA32" s="147">
        <s:v>0.85310233682514103</s:v>
      </s:c>
      <s:c r="AB32" s="147">
        <s:v>0.85310233682514103</s:v>
      </s:c>
      <s:c r="AC32" s="148"/>
      <s:c r="AD32" s="148"/>
      <s:c r="AE32" s="149"/>
      <s:c r="AF32" s="149"/>
      <s:c r="AG32" s="149"/>
      <s:c r="AH32" s="149"/>
      <s:c r="AI32" s="149"/>
      <s:c r="AJ32" s="149"/>
      <s:c r="AK32" s="149"/>
      <s:c r="AL32" s="149"/>
      <s:c r="AM32" s="149"/>
      <s:c r="AN32" s="149"/>
      <s:c r="AO32" s="149"/>
      <s:c r="AP32" s="149"/>
      <s:c r="AQ32" s="149"/>
      <s:c r="AR32" s="149"/>
      <s:c r="AS32" s="149"/>
      <s:c r="AT32" s="149"/>
      <s:c r="AU32" s="149"/>
      <s:c r="AV32" s="149"/>
      <s:c r="AW32" s="149"/>
      <s:c r="AX32" s="149"/>
      <s:c r="AY32" s="149"/>
      <s:c r="AZ32" s="149"/>
      <s:c r="BA32" s="149"/>
      <s:c r="BB32" s="149"/>
      <s:c r="BC32" s="149"/>
      <s:c r="BD32" s="149"/>
      <s:c r="BE32" s="149"/>
      <s:c r="BF32" s="149"/>
      <s:c r="BG32" s="149"/>
      <s:c r="BH32" s="149"/>
      <s:c r="BI32" s="149"/>
      <s:c r="BJ32" s="149"/>
      <s:c r="BK32" s="149"/>
      <s:c r="BL32" s="149"/>
      <s:c r="BM32" s="149"/>
      <s:c r="BN32" s="149"/>
      <s:c r="BO32" s="149"/>
      <s:c r="BP32" s="149"/>
      <s:c r="BQ32" s="149"/>
      <s:c r="BR32" s="149"/>
      <s:c r="BS32" s="149"/>
      <s:c r="BT32" s="149"/>
      <s:c r="BU32" s="149"/>
      <s:c r="BV32" s="149"/>
      <s:c r="BW32" s="149"/>
      <s:c r="BX32" s="149"/>
      <s:c r="BY32" s="149"/>
      <s:c r="BZ32" s="149"/>
      <s:c r="CA32" s="149"/>
      <s:c r="CB32" s="149"/>
      <s:c r="CC32" s="149"/>
      <s:c r="CD32" s="149"/>
      <s:c r="CE32" s="149"/>
      <s:c r="CF32" s="149"/>
      <s:c r="CG32" s="149"/>
      <s:c r="CH32" s="149"/>
      <s:c r="CI32" s="149"/>
      <s:c r="CJ32" s="149"/>
      <s:c r="CK32" s="149"/>
      <s:c r="CL32" s="149"/>
      <s:c r="CM32" s="149"/>
      <s:c r="CN32" s="149"/>
      <s:c r="CO32" s="149"/>
      <s:c r="CP32" s="149"/>
      <s:c r="CQ32" s="149"/>
      <s:c r="CR32" s="149"/>
      <s:c r="CS32" s="149"/>
      <s:c r="CT32" s="149"/>
      <s:c r="CU32" s="149"/>
      <s:c r="CV32" s="149"/>
      <s:c r="CW32" s="149"/>
      <s:c r="CX32" s="149"/>
      <s:c r="CY32" s="149"/>
      <s:c r="CZ32" s="149"/>
      <s:c r="DA32" s="149"/>
      <s:c r="DB32" s="149"/>
      <s:c r="DC32" s="149"/>
      <s:c r="DD32" s="149"/>
      <s:c r="DE32" s="149"/>
      <s:c r="DF32" s="149"/>
      <s:c r="DG32" s="149"/>
      <s:c r="DH32" s="149"/>
      <s:c r="DI32" s="149"/>
      <s:c r="DJ32" s="149"/>
      <s:c r="DK32" s="149"/>
      <s:c r="DL32" s="149"/>
      <s:c r="DM32" s="149"/>
      <s:c r="DN32" s="149"/>
      <s:c r="DO32" s="149"/>
      <s:c r="DP32" s="149"/>
      <s:c r="DQ32" s="149"/>
      <s:c r="DR32" s="149"/>
      <s:c r="DS32" s="149"/>
      <s:c r="DT32" s="149"/>
      <s:c r="DU32" s="149"/>
      <s:c r="DV32" s="149"/>
      <s:c r="DW32" s="149"/>
      <s:c r="DX32" s="149"/>
      <s:c r="DY32" s="149"/>
      <s:c r="DZ32" s="149"/>
      <s:c r="EA32" s="149"/>
      <s:c r="EB32" s="149"/>
      <s:c r="EC32" s="149"/>
      <s:c r="ED32" s="149"/>
      <s:c r="EE32" s="149"/>
      <s:c r="EF32" s="149"/>
      <s:c r="EG32" s="149"/>
      <s:c r="EH32" s="149"/>
      <s:c r="EI32" s="149"/>
      <s:c r="EJ32" s="149"/>
      <s:c r="EK32" s="149"/>
      <s:c r="EL32" s="149"/>
      <s:c r="EM32" s="149"/>
      <s:c r="EN32" s="149"/>
      <s:c r="EO32" s="149"/>
      <s:c r="EP32" s="149"/>
      <s:c r="EQ32" s="149"/>
      <s:c r="ER32" s="149"/>
      <s:c r="ES32" s="149"/>
      <s:c r="ET32" s="149"/>
      <s:c r="EU32" s="149"/>
      <s:c r="EV32" s="149"/>
      <s:c r="EW32" s="149"/>
      <s:c r="EX32" s="149"/>
      <s:c r="EY32" s="149"/>
      <s:c r="EZ32" s="149"/>
      <s:c r="FA32" s="149"/>
      <s:c r="FB32" s="149"/>
      <s:c r="FC32" s="149"/>
      <s:c r="FD32" s="149"/>
      <s:c r="FE32" s="149"/>
      <s:c r="FF32" s="149"/>
      <s:c r="FG32" s="149"/>
      <s:c r="FH32" s="149"/>
      <s:c r="FI32" s="149"/>
      <s:c r="FJ32" s="149"/>
      <s:c r="FK32" s="149"/>
      <s:c r="FL32" s="149"/>
      <s:c r="FM32" s="149"/>
      <s:c r="FN32" s="149"/>
      <s:c r="FO32" s="149"/>
      <s:c r="FP32" s="149"/>
      <s:c r="FQ32" s="149"/>
      <s:c r="FR32" s="149"/>
      <s:c r="FS32" s="149"/>
      <s:c r="FT32" s="149"/>
      <s:c r="FU32" s="149"/>
      <s:c r="FV32" s="149"/>
      <s:c r="FW32" s="149"/>
      <s:c r="FX32" s="149"/>
      <s:c r="FY32" s="149"/>
      <s:c r="FZ32" s="149"/>
      <s:c r="GA32" s="149"/>
      <s:c r="GB32" s="149"/>
      <s:c r="GC32" s="149"/>
      <s:c r="GD32" s="149"/>
      <s:c r="GE32" s="149"/>
      <s:c r="GF32" s="149"/>
      <s:c r="GG32" s="149"/>
      <s:c r="GH32" s="149"/>
      <s:c r="GI32" s="149"/>
      <s:c r="GJ32" s="149"/>
      <s:c r="GK32" s="149"/>
      <s:c r="GL32" s="149"/>
      <s:c r="GM32" s="149"/>
      <s:c r="GN32" s="149"/>
      <s:c r="GO32" s="149"/>
      <s:c r="GP32" s="149"/>
      <s:c r="GQ32" s="149"/>
      <s:c r="GR32" s="149"/>
      <s:c r="GS32" s="149"/>
      <s:c r="GT32" s="149"/>
      <s:c r="GU32" s="149"/>
      <s:c r="GV32" s="149"/>
      <s:c r="GW32" s="149"/>
      <s:c r="GX32" s="149"/>
      <s:c r="GY32" s="149"/>
      <s:c r="GZ32" s="149"/>
      <s:c r="HA32" s="149"/>
      <s:c r="HB32" s="149"/>
      <s:c r="HC32" s="149"/>
      <s:c r="HD32" s="149"/>
      <s:c r="HE32" s="149"/>
      <s:c r="HF32" s="149"/>
      <s:c r="HG32" s="149"/>
      <s:c r="HH32" s="149"/>
      <s:c r="HI32" s="149"/>
      <s:c r="HJ32" s="149"/>
      <s:c r="HK32" s="149"/>
      <s:c r="HL32" s="149"/>
      <s:c r="HM32" s="149"/>
      <s:c r="HN32" s="149"/>
      <s:c r="HO32" s="149"/>
      <s:c r="HP32" s="149"/>
      <s:c r="HQ32" s="149"/>
      <s:c r="HR32" s="149"/>
      <s:c r="HS32" s="149"/>
      <s:c r="HT32" s="149"/>
      <s:c r="HU32" s="149"/>
      <s:c r="HV32" s="149"/>
      <s:c r="HW32" s="149"/>
      <s:c r="HX32" s="149"/>
      <s:c r="HY32" s="149"/>
      <s:c r="HZ32" s="149"/>
      <s:c r="IA32" s="149"/>
      <s:c r="IB32" s="149"/>
      <s:c r="IC32" s="149"/>
      <s:c r="ID32" s="149"/>
      <s:c r="IE32" s="149"/>
      <s:c r="IF32" s="149"/>
      <s:c r="IG32" s="149"/>
      <s:c r="IH32" s="149"/>
      <s:c r="II32" s="149"/>
      <s:c r="IJ32" s="149"/>
      <s:c r="IK32" s="149"/>
      <s:c r="IL32" s="149"/>
      <s:c r="IM32" s="149"/>
      <s:c r="IN32" s="149"/>
      <s:c r="IO32" s="149"/>
      <s:c r="IP32" s="149"/>
      <s:c r="IQ32" s="149"/>
      <s:c r="IR32" s="149"/>
      <s:c r="IS32" s="149"/>
      <s:c r="IT32" s="149"/>
      <s:c r="IU32" s="149"/>
      <s:c r="IV32" s="149"/>
      <s:c r="IW32" s="149"/>
      <s:c r="IX32" s="149"/>
      <s:c r="IY32" s="149"/>
      <s:c r="IZ32" s="149"/>
    </s:row>
    <s:row r="33" s="135" customFormat="1">
      <s:c r="A33" s="156" t="s">
        <s:v>66</s:v>
      </s:c>
      <s:c r="B33" s="153">
        <s:v>46031</s:v>
      </s:c>
      <s:c r="C33" s="138" t="s">
        <s:v>57</s:v>
      </s:c>
      <s:c r="D33" s="139">
        <s:v>46753</s:v>
      </s:c>
      <s:c r="E33" s="151">
        <s:v>8</s:v>
      </s:c>
      <s:c r="F33" s="141">
        <s:f>IF(AND(E33&lt;&gt;"",E33&lt;&gt;0),D33/E33,"")</s:f>
        <s:v>5844.125</s:v>
      </s:c>
      <s:c r="G33" s="151">
        <s:v>6</s:v>
      </s:c>
      <s:c r="H33" s="141">
        <s:f>IF(AND(G33&lt;&gt;"",G33&lt;&gt;0),D33/G33,"")</s:f>
        <s:v>7792.166666666667</s:v>
      </s:c>
      <s:c r="I33" s="151">
        <s:v>77</s:v>
      </s:c>
      <s:c r="J33" s="142">
        <s:f>IF(AND(G33&lt;&gt;"",G33&lt;&gt;0),E33/G33,"")</s:f>
        <s:v>1.3333333333333333</s:v>
      </s:c>
      <s:c r="K33" s="140"/>
      <s:c r="L33" s="140"/>
      <s:c r="M33" s="140"/>
      <s:c r="N33" s="140"/>
      <s:c r="O33" s="140"/>
      <s:c r="P33" s="143"/>
      <s:c r="Q33" s="143"/>
      <s:c r="R33" s="141"/>
      <s:c r="S33" s="128">
        <s:f>IF(AND(I33&lt;&gt;"",I33&lt;&gt;0),G33/I33,"")</s:f>
        <s:v>0.07792207792207792</s:v>
      </s:c>
      <s:c r="T33" s="144">
        <s:f>D33/U33</s:f>
        <s:v>0.88269174964312258</s:v>
      </s:c>
      <s:c r="U33" s="145">
        <s:f>$I$8*AA33*AB33/SUMPRODUCT($AB$25:$AB$55,$AA$25:$AA$55)</s:f>
        <s:v>52966.395141794979</s:v>
      </s:c>
      <s:c r="V33" s="146">
        <s:f>$I$9*AA33*AB33/SUMPRODUCT($AB$25:$AB$55,$AA$25:$AA$55)</s:f>
        <s:v>8.0252113851204516</s:v>
      </s:c>
      <s:c r="W33" s="146">
        <s:f>IF($I$12="","",V33/$I$12)</s:f>
        <s:v>4.720712579482619</s:v>
      </s:c>
      <s:c r="X33" s="145">
        <s:f>IF(AB33&lt;&gt;"",IF(D33&lt;&gt;"",D33,($I$8-SUM($X$25:X32))*AA33*AB33/SUMPRODUCT($AB33:$AB$55,$AA33:$AA$55)),"")</s:f>
        <s:v>46753</s:v>
      </s:c>
      <s:c r="Y33" s="146">
        <s:f>IF(AB33&lt;&gt;"",IF(E33&lt;&gt;"",E33,($I$9-SUM($Y$25:Y32))*AA33*AB33/SUMPRODUCT($AB33:$AB$55,$AA33:$AA$55)),"")</s:f>
        <s:v>8</s:v>
      </s:c>
      <s:c r="Z33" s="146">
        <s:f>IF(AB33&lt;&gt;"",IF($I$12&lt;&gt;"",IF(G33&lt;&gt;"",G33,($I$9/$I$12-SUM($Z$25:Z32))*AA33*AB33/SUMPRODUCT($AB33:$AB$55,$AA33:$AA$55)),""),"")</s:f>
        <s:v>6</s:v>
      </s:c>
      <s:c r="AA33" s="147">
        <s:v>0.85310233682514103</s:v>
      </s:c>
      <s:c r="AB33" s="147">
        <s:v>0.85310233682514103</s:v>
      </s:c>
      <s:c r="AC33" s="148"/>
      <s:c r="AD33" s="148"/>
      <s:c r="AE33" s="149"/>
      <s:c r="AF33" s="149"/>
      <s:c r="AG33" s="149"/>
      <s:c r="AH33" s="149"/>
      <s:c r="AI33" s="149"/>
      <s:c r="AJ33" s="149"/>
      <s:c r="AK33" s="149"/>
      <s:c r="AL33" s="149"/>
      <s:c r="AM33" s="149"/>
      <s:c r="AN33" s="149"/>
      <s:c r="AO33" s="149"/>
      <s:c r="AP33" s="149"/>
      <s:c r="AQ33" s="149"/>
      <s:c r="AR33" s="149"/>
      <s:c r="AS33" s="149"/>
      <s:c r="AT33" s="149"/>
      <s:c r="AU33" s="149"/>
      <s:c r="AV33" s="149"/>
      <s:c r="AW33" s="149"/>
      <s:c r="AX33" s="149"/>
      <s:c r="AY33" s="149"/>
      <s:c r="AZ33" s="149"/>
      <s:c r="BA33" s="149"/>
      <s:c r="BB33" s="149"/>
      <s:c r="BC33" s="149"/>
      <s:c r="BD33" s="149"/>
      <s:c r="BE33" s="149"/>
      <s:c r="BF33" s="149"/>
      <s:c r="BG33" s="149"/>
      <s:c r="BH33" s="149"/>
      <s:c r="BI33" s="149"/>
      <s:c r="BJ33" s="149"/>
      <s:c r="BK33" s="149"/>
      <s:c r="BL33" s="149"/>
      <s:c r="BM33" s="149"/>
      <s:c r="BN33" s="149"/>
      <s:c r="BO33" s="149"/>
      <s:c r="BP33" s="149"/>
      <s:c r="BQ33" s="149"/>
      <s:c r="BR33" s="149"/>
      <s:c r="BS33" s="149"/>
      <s:c r="BT33" s="149"/>
      <s:c r="BU33" s="149"/>
      <s:c r="BV33" s="149"/>
      <s:c r="BW33" s="149"/>
      <s:c r="BX33" s="149"/>
      <s:c r="BY33" s="149"/>
      <s:c r="BZ33" s="149"/>
      <s:c r="CA33" s="149"/>
      <s:c r="CB33" s="149"/>
      <s:c r="CC33" s="149"/>
      <s:c r="CD33" s="149"/>
      <s:c r="CE33" s="149"/>
      <s:c r="CF33" s="149"/>
      <s:c r="CG33" s="149"/>
      <s:c r="CH33" s="149"/>
      <s:c r="CI33" s="149"/>
      <s:c r="CJ33" s="149"/>
      <s:c r="CK33" s="149"/>
      <s:c r="CL33" s="149"/>
      <s:c r="CM33" s="149"/>
      <s:c r="CN33" s="149"/>
      <s:c r="CO33" s="149"/>
      <s:c r="CP33" s="149"/>
      <s:c r="CQ33" s="149"/>
      <s:c r="CR33" s="149"/>
      <s:c r="CS33" s="149"/>
      <s:c r="CT33" s="149"/>
      <s:c r="CU33" s="149"/>
      <s:c r="CV33" s="149"/>
      <s:c r="CW33" s="149"/>
      <s:c r="CX33" s="149"/>
      <s:c r="CY33" s="149"/>
      <s:c r="CZ33" s="149"/>
      <s:c r="DA33" s="149"/>
      <s:c r="DB33" s="149"/>
      <s:c r="DC33" s="149"/>
      <s:c r="DD33" s="149"/>
      <s:c r="DE33" s="149"/>
      <s:c r="DF33" s="149"/>
      <s:c r="DG33" s="149"/>
      <s:c r="DH33" s="149"/>
      <s:c r="DI33" s="149"/>
      <s:c r="DJ33" s="149"/>
      <s:c r="DK33" s="149"/>
      <s:c r="DL33" s="149"/>
      <s:c r="DM33" s="149"/>
      <s:c r="DN33" s="149"/>
      <s:c r="DO33" s="149"/>
      <s:c r="DP33" s="149"/>
      <s:c r="DQ33" s="149"/>
      <s:c r="DR33" s="149"/>
      <s:c r="DS33" s="149"/>
      <s:c r="DT33" s="149"/>
      <s:c r="DU33" s="149"/>
      <s:c r="DV33" s="149"/>
      <s:c r="DW33" s="149"/>
      <s:c r="DX33" s="149"/>
      <s:c r="DY33" s="149"/>
      <s:c r="DZ33" s="149"/>
      <s:c r="EA33" s="149"/>
      <s:c r="EB33" s="149"/>
      <s:c r="EC33" s="149"/>
      <s:c r="ED33" s="149"/>
      <s:c r="EE33" s="149"/>
      <s:c r="EF33" s="149"/>
      <s:c r="EG33" s="149"/>
      <s:c r="EH33" s="149"/>
      <s:c r="EI33" s="149"/>
      <s:c r="EJ33" s="149"/>
      <s:c r="EK33" s="149"/>
      <s:c r="EL33" s="149"/>
      <s:c r="EM33" s="149"/>
      <s:c r="EN33" s="149"/>
      <s:c r="EO33" s="149"/>
      <s:c r="EP33" s="149"/>
      <s:c r="EQ33" s="149"/>
      <s:c r="ER33" s="149"/>
      <s:c r="ES33" s="149"/>
      <s:c r="ET33" s="149"/>
      <s:c r="EU33" s="149"/>
      <s:c r="EV33" s="149"/>
      <s:c r="EW33" s="149"/>
      <s:c r="EX33" s="149"/>
      <s:c r="EY33" s="149"/>
      <s:c r="EZ33" s="149"/>
      <s:c r="FA33" s="149"/>
      <s:c r="FB33" s="149"/>
      <s:c r="FC33" s="149"/>
      <s:c r="FD33" s="149"/>
      <s:c r="FE33" s="149"/>
      <s:c r="FF33" s="149"/>
      <s:c r="FG33" s="149"/>
      <s:c r="FH33" s="149"/>
      <s:c r="FI33" s="149"/>
      <s:c r="FJ33" s="149"/>
      <s:c r="FK33" s="149"/>
      <s:c r="FL33" s="149"/>
      <s:c r="FM33" s="149"/>
      <s:c r="FN33" s="149"/>
      <s:c r="FO33" s="149"/>
      <s:c r="FP33" s="149"/>
      <s:c r="FQ33" s="149"/>
      <s:c r="FR33" s="149"/>
      <s:c r="FS33" s="149"/>
      <s:c r="FT33" s="149"/>
      <s:c r="FU33" s="149"/>
      <s:c r="FV33" s="149"/>
      <s:c r="FW33" s="149"/>
      <s:c r="FX33" s="149"/>
      <s:c r="FY33" s="149"/>
      <s:c r="FZ33" s="149"/>
      <s:c r="GA33" s="149"/>
      <s:c r="GB33" s="149"/>
      <s:c r="GC33" s="149"/>
      <s:c r="GD33" s="149"/>
      <s:c r="GE33" s="149"/>
      <s:c r="GF33" s="149"/>
      <s:c r="GG33" s="149"/>
      <s:c r="GH33" s="149"/>
      <s:c r="GI33" s="149"/>
      <s:c r="GJ33" s="149"/>
      <s:c r="GK33" s="149"/>
      <s:c r="GL33" s="149"/>
      <s:c r="GM33" s="149"/>
      <s:c r="GN33" s="149"/>
      <s:c r="GO33" s="149"/>
      <s:c r="GP33" s="149"/>
      <s:c r="GQ33" s="149"/>
      <s:c r="GR33" s="149"/>
      <s:c r="GS33" s="149"/>
      <s:c r="GT33" s="149"/>
      <s:c r="GU33" s="149"/>
      <s:c r="GV33" s="149"/>
      <s:c r="GW33" s="149"/>
      <s:c r="GX33" s="149"/>
      <s:c r="GY33" s="149"/>
      <s:c r="GZ33" s="149"/>
      <s:c r="HA33" s="149"/>
      <s:c r="HB33" s="149"/>
      <s:c r="HC33" s="149"/>
      <s:c r="HD33" s="149"/>
      <s:c r="HE33" s="149"/>
      <s:c r="HF33" s="149"/>
      <s:c r="HG33" s="149"/>
      <s:c r="HH33" s="149"/>
      <s:c r="HI33" s="149"/>
      <s:c r="HJ33" s="149"/>
      <s:c r="HK33" s="149"/>
      <s:c r="HL33" s="149"/>
      <s:c r="HM33" s="149"/>
      <s:c r="HN33" s="149"/>
      <s:c r="HO33" s="149"/>
      <s:c r="HP33" s="149"/>
      <s:c r="HQ33" s="149"/>
      <s:c r="HR33" s="149"/>
      <s:c r="HS33" s="149"/>
      <s:c r="HT33" s="149"/>
      <s:c r="HU33" s="149"/>
      <s:c r="HV33" s="149"/>
      <s:c r="HW33" s="149"/>
      <s:c r="HX33" s="149"/>
      <s:c r="HY33" s="149"/>
      <s:c r="HZ33" s="149"/>
      <s:c r="IA33" s="149"/>
      <s:c r="IB33" s="149"/>
      <s:c r="IC33" s="149"/>
      <s:c r="ID33" s="149"/>
      <s:c r="IE33" s="149"/>
      <s:c r="IF33" s="149"/>
      <s:c r="IG33" s="149"/>
      <s:c r="IH33" s="149"/>
      <s:c r="II33" s="149"/>
      <s:c r="IJ33" s="149"/>
      <s:c r="IK33" s="149"/>
      <s:c r="IL33" s="149"/>
      <s:c r="IM33" s="149"/>
      <s:c r="IN33" s="149"/>
      <s:c r="IO33" s="149"/>
      <s:c r="IP33" s="149"/>
      <s:c r="IQ33" s="149"/>
      <s:c r="IR33" s="149"/>
      <s:c r="IS33" s="149"/>
      <s:c r="IT33" s="149"/>
      <s:c r="IU33" s="149"/>
      <s:c r="IV33" s="149"/>
      <s:c r="IW33" s="149"/>
      <s:c r="IX33" s="149"/>
      <s:c r="IY33" s="149"/>
      <s:c r="IZ33" s="149"/>
    </s:row>
    <s:row r="34" s="135" customFormat="1">
      <s:c r="A34" s="158" t="s">
        <s:v>67</s:v>
      </s:c>
      <s:c r="B34" s="153">
        <s:v>46032</s:v>
      </s:c>
      <s:c r="C34" s="138" t="s">
        <s:v>58</s:v>
      </s:c>
      <s:c r="D34" s="139">
        <s:f>32079+7503</s:f>
        <s:v>39582</s:v>
      </s:c>
      <s:c r="E34" s="140">
        <s:v>6</s:v>
      </s:c>
      <s:c r="F34" s="141">
        <s:f>IF(AND(E34&lt;&gt;"",E34&lt;&gt;0),D34/E34,"")</s:f>
        <s:v>6597</s:v>
      </s:c>
      <s:c r="G34" s="140">
        <s:v>5</s:v>
      </s:c>
      <s:c r="H34" s="141">
        <s:f>IF(AND(G34&lt;&gt;"",G34&lt;&gt;0),D34/G34,"")</s:f>
        <s:v>7916.3999999999996</s:v>
      </s:c>
      <s:c r="I34" s="140">
        <s:v>64</s:v>
      </s:c>
      <s:c r="J34" s="142">
        <s:f>IF(AND(G34&lt;&gt;"",G34&lt;&gt;0),E34/G34,"")</s:f>
        <s:v>1.2</s:v>
      </s:c>
      <s:c r="K34" s="140"/>
      <s:c r="L34" s="140">
        <s:v>7503</s:v>
      </s:c>
      <s:c r="M34" s="140">
        <s:v>8393</s:v>
      </s:c>
      <s:c r="N34" s="140"/>
      <s:c r="O34" s="140"/>
      <s:c r="P34" s="143"/>
      <s:c r="Q34" s="143"/>
      <s:c r="R34" s="141"/>
      <s:c r="S34" s="128">
        <s:f>IF(AND(I34&lt;&gt;"",I34&lt;&gt;0),G34/I34,"")</s:f>
        <s:v>0.078125</s:v>
      </s:c>
      <s:c r="T34" s="144">
        <s:f>D34/U34</s:f>
        <s:v>1.3945528400072076</s:v>
      </s:c>
      <s:c r="U34" s="145">
        <s:f>$I$8*AA34*AB34/SUMPRODUCT($AB$25:$AB$55,$AA$25:$AA$55)</s:f>
        <s:v>28383.291664871893</s:v>
      </s:c>
      <s:c r="V34" s="146">
        <s:f>$I$9*AA34*AB34/SUMPRODUCT($AB$25:$AB$55,$AA$25:$AA$55)</s:f>
        <s:v>4.3004987371018029</s:v>
      </s:c>
      <s:c r="W34" s="146">
        <s:f>IF($I$12="","",V34/$I$12)</s:f>
        <s:v>2.5297051394716488</s:v>
      </s:c>
      <s:c r="X34" s="145">
        <s:f>IF(AB34&lt;&gt;"",IF(D34&lt;&gt;"",D34,($I$8-SUM($X$25:X33))*AA34*AB34/SUMPRODUCT($AB34:$AB$55,$AA34:$AA$55)),"")</s:f>
        <s:v>39582</s:v>
      </s:c>
      <s:c r="Y34" s="146">
        <s:f>IF(AB34&lt;&gt;"",IF(E34&lt;&gt;"",E34,($I$9-SUM($Y$25:Y33))*AA34*AB34/SUMPRODUCT($AB34:$AB$55,$AA34:$AA$55)),"")</s:f>
        <s:v>6</s:v>
      </s:c>
      <s:c r="Z34" s="146">
        <s:f>IF(AB34&lt;&gt;"",IF($I$12&lt;&gt;"",IF(G34&lt;&gt;"",G34,($I$9/$I$12-SUM($Z$25:Z33))*AA34*AB34/SUMPRODUCT($AB34:$AB$55,$AA34:$AA$55)),""),"")</s:f>
        <s:v>5</s:v>
      </s:c>
      <s:c r="AA34" s="147">
        <s:v>0.65000000000000002</s:v>
      </s:c>
      <s:c r="AB34" s="147">
        <s:v>0.59999999999999998</s:v>
      </s:c>
      <s:c r="AC34" s="148"/>
      <s:c r="AD34" s="148"/>
      <s:c r="AE34" s="149"/>
      <s:c r="AF34" s="149"/>
      <s:c r="AG34" s="149"/>
      <s:c r="AH34" s="149"/>
      <s:c r="AI34" s="149"/>
      <s:c r="AJ34" s="149"/>
      <s:c r="AK34" s="149"/>
      <s:c r="AL34" s="149"/>
      <s:c r="AM34" s="149"/>
      <s:c r="AN34" s="149"/>
      <s:c r="AO34" s="149"/>
    </s:row>
    <s:row r="35" s="135" customFormat="1">
      <s:c r="A35" s="158" t="s">
        <s:v>68</s:v>
      </s:c>
      <s:c r="B35" s="153">
        <s:v>46033</s:v>
      </s:c>
      <s:c r="C35" s="138" t="s">
        <s:v>59</s:v>
      </s:c>
      <s:c r="D35" s="139">
        <s:f>11984+220</s:f>
        <s:v>12204</s:v>
      </s:c>
      <s:c r="E35" s="140">
        <s:v>2</s:v>
      </s:c>
      <s:c r="F35" s="141">
        <s:f>IF(AND(E35&lt;&gt;"",E35&lt;&gt;0),D35/E35,"")</s:f>
        <s:v>6102</s:v>
      </s:c>
      <s:c r="G35" s="140">
        <s:v>2</s:v>
      </s:c>
      <s:c r="H35" s="141">
        <s:f>IF(AND(G35&lt;&gt;"",G35&lt;&gt;0),D35/G35,"")</s:f>
        <s:v>6102</s:v>
      </s:c>
      <s:c r="I35" s="140">
        <s:v>44</s:v>
      </s:c>
      <s:c r="J35" s="142">
        <s:f>IF(AND(G35&lt;&gt;"",G35&lt;&gt;0),E35/G35,"")</s:f>
        <s:v>1</s:v>
      </s:c>
      <s:c r="K35" s="140"/>
      <s:c r="L35" s="140">
        <s:v>220</s:v>
      </s:c>
      <s:c r="M35" s="140"/>
      <s:c r="N35" s="140"/>
      <s:c r="O35" s="140"/>
      <s:c r="P35" s="143"/>
      <s:c r="Q35" s="143"/>
      <s:c r="R35" s="141"/>
      <s:c r="S35" s="128">
        <s:f>IF(AND(I35&lt;&gt;"",I35&lt;&gt;0),G35/I35,"")</s:f>
        <s:v>0.045454545454545456</s:v>
      </s:c>
      <s:c r="T35" s="144">
        <s:f>D35/U35</s:f>
        <s:v>0.31940723008701427</s:v>
      </s:c>
      <s:c r="U35" s="145">
        <s:f>$I$8*AA35*AB35/SUMPRODUCT($AB$25:$AB$55,$AA$25:$AA$55)</s:f>
        <s:v>38208.277241173702</s:v>
      </s:c>
      <s:c r="V35" s="146">
        <s:f>$I$9*AA35*AB35/SUMPRODUCT($AB$25:$AB$55,$AA$25:$AA$55)</s:f>
        <s:v>5.7891329153293487</s:v>
      </s:c>
      <s:c r="W35" s="146">
        <s:f>IF($I$12="","",V35/$I$12)</s:f>
        <s:v>3.4053723031349112</s:v>
      </s:c>
      <s:c r="X35" s="145">
        <s:f>IF(AB35&lt;&gt;"",IF(D35&lt;&gt;"",D35,($I$8-SUM($X$25:X34))*AA35*AB35/SUMPRODUCT($AB35:$AB$55,$AA35:$AA$55)),"")</s:f>
        <s:v>12204</s:v>
      </s:c>
      <s:c r="Y35" s="146">
        <s:f>IF(AB35&lt;&gt;"",IF(E35&lt;&gt;"",E35,($I$9-SUM($Y$25:Y34))*AA35*AB35/SUMPRODUCT($AB35:$AB$55,$AA35:$AA$55)),"")</s:f>
        <s:v>2</s:v>
      </s:c>
      <s:c r="Z35" s="146">
        <s:f>IF(AB35&lt;&gt;"",IF($I$12&lt;&gt;"",IF(G35&lt;&gt;"",G35,($I$9/$I$12-SUM($Z$25:Z34))*AA35*AB35/SUMPRODUCT($AB35:$AB$55,$AA35:$AA$55)),""),"")</s:f>
        <s:v>2</s:v>
      </s:c>
      <s:c r="AA35" s="147">
        <s:v>0.75</s:v>
      </s:c>
      <s:c r="AB35" s="147">
        <s:v>0.69999999999999996</s:v>
      </s:c>
      <s:c r="AC35" s="148"/>
      <s:c r="AD35" s="148"/>
      <s:c r="AE35" s="149"/>
      <s:c r="AF35" s="149"/>
      <s:c r="AG35" s="149"/>
      <s:c r="AH35" s="149"/>
      <s:c r="AI35" s="149"/>
      <s:c r="AJ35" s="149"/>
      <s:c r="AK35" s="149"/>
      <s:c r="AL35" s="149"/>
      <s:c r="AM35" s="149"/>
      <s:c r="AN35" s="149"/>
      <s:c r="AO35" s="149"/>
    </s:row>
    <s:row r="36">
      <s:c r="A36" s="159" t="s">
        <s:v>69</s:v>
      </s:c>
      <s:c r="B36" s="160">
        <s:v>46034</s:v>
      </s:c>
      <s:c r="C36" s="161" t="s">
        <s:v>61</s:v>
      </s:c>
      <s:c r="D36" s="162">
        <s:v>10158</s:v>
      </s:c>
      <s:c r="E36" s="163">
        <s:v>2</s:v>
      </s:c>
      <s:c r="F36" s="164">
        <s:f>IF(AND(E36&lt;&gt;"",E36&lt;&gt;0),D36/E36,"")</s:f>
        <s:v>5079</s:v>
      </s:c>
      <s:c r="G36" s="127">
        <s:v>2</s:v>
      </s:c>
      <s:c r="H36" s="164">
        <s:f>IF(AND(G36&lt;&gt;"",G36&lt;&gt;0),D36/G36,"")</s:f>
        <s:v>5079</s:v>
      </s:c>
      <s:c r="I36" s="127">
        <s:v>52</s:v>
      </s:c>
      <s:c r="J36" s="165">
        <s:f>IF(AND(G36&lt;&gt;"",G36&lt;&gt;0),E36/G36,"")</s:f>
        <s:v>1</s:v>
      </s:c>
      <s:c r="K36" s="127"/>
      <s:c r="L36" s="127"/>
      <s:c r="M36" s="127"/>
      <s:c r="N36" s="127"/>
      <s:c r="O36" s="127"/>
      <s:c r="P36" s="166"/>
      <s:c r="Q36" s="166"/>
      <s:c r="R36" s="164"/>
      <s:c r="S36" s="167">
        <s:f>IF(AND(I36&lt;&gt;"",I36&lt;&gt;0),G36/I36,"")</s:f>
        <s:v>0.038461538461538464</s:v>
      </s:c>
      <s:c r="T36" s="168">
        <s:f>D36/U36</s:f>
        <s:v>0.13957577742482322</s:v>
      </s:c>
      <s:c r="U36" s="169">
        <s:f>$I$8*AA36*AB36/SUMPRODUCT($AB$25:$AB$55,$AA$25:$AA$55)</s:f>
        <s:v>72777.670935568967</s:v>
      </s:c>
      <s:c r="V36" s="170">
        <s:f>$I$9*AA36*AB36/SUMPRODUCT($AB$25:$AB$55,$AA$25:$AA$55)</s:f>
        <s:v>11.02691983872257</s:v>
      </s:c>
      <s:c r="W36" s="170">
        <s:f>IF($I$12="","",V36/$I$12)</s:f>
        <s:v>6.4864234345426883</s:v>
      </s:c>
      <s:c r="X36" s="169">
        <s:f>IF(AB36&lt;&gt;"",IF(D36&lt;&gt;"",D36,($I$8-SUM($X$25:X35))*AA36*AB36/SUMPRODUCT($AB36:$AB$55,$AA36:$AA$55)),"")</s:f>
        <s:v>10158</s:v>
      </s:c>
      <s:c r="Y36" s="170">
        <s:f>IF(AB36&lt;&gt;"",IF(E35&lt;&gt;"",E35,($I$9-SUM($Y$25:Y35))*AA36*AB36/SUMPRODUCT($AB36:$AB$55,$AA36:$AA$55)),"")</s:f>
        <s:v>2</s:v>
      </s:c>
      <s:c r="Z36" s="170">
        <s:f>IF(AB36&lt;&gt;"",IF($I$12&lt;&gt;"",IF(G36&lt;&gt;"",G36,($I$9/$I$12-SUM($Z$25:Z35))*AA36*AB36/SUMPRODUCT($AB36:$AB$55,$AA36:$AA$55)),""),"")</s:f>
        <s:v>2</s:v>
      </s:c>
      <s:c r="AA36" s="171">
        <s:v>1</s:v>
      </s:c>
      <s:c r="AB36" s="171">
        <s:v>1</s:v>
      </s:c>
      <s:c r="AC36" s="172"/>
      <s:c r="AD36" s="172"/>
      <s:c r="AE36" s="2"/>
      <s:c r="AF36" s="2"/>
      <s:c r="AG36" s="2"/>
      <s:c r="AH36" s="2"/>
      <s:c r="AI36" s="2"/>
      <s:c r="AJ36" s="2"/>
      <s:c r="AK36" s="2"/>
      <s:c r="AL36" s="2"/>
      <s:c r="AM36" s="2"/>
      <s:c r="AN36" s="2"/>
      <s:c r="AO36" s="2"/>
    </s:row>
    <s:row r="37" ht="14.25" customHeight="1">
      <s:c r="A37" s="173" t="s">
        <s:v>70</s:v>
      </s:c>
      <s:c r="B37" s="160">
        <s:v>46035</s:v>
      </s:c>
      <s:c r="C37" s="161" t="s">
        <s:v>63</s:v>
      </s:c>
      <s:c r="D37" s="162">
        <s:v>5393</s:v>
      </s:c>
      <s:c r="E37" s="127">
        <s:v>1</s:v>
      </s:c>
      <s:c r="F37" s="164">
        <s:f>IF(AND(E37&lt;&gt;"",E37&lt;&gt;0),D37/E37,"")</s:f>
        <s:v>5393</s:v>
      </s:c>
      <s:c r="G37" s="127">
        <s:v>1</s:v>
      </s:c>
      <s:c r="H37" s="164">
        <s:f>IF(AND(G37&lt;&gt;"",G37&lt;&gt;0),D37/G37,"")</s:f>
        <s:v>5393</s:v>
      </s:c>
      <s:c r="I37" s="127">
        <s:v>38</s:v>
      </s:c>
      <s:c r="J37" s="165">
        <s:f>IF(AND(G37&lt;&gt;"",G37&lt;&gt;0),E37/G37,"")</s:f>
        <s:v>1</s:v>
      </s:c>
      <s:c r="K37" s="164"/>
      <s:c r="L37" s="127"/>
      <s:c r="M37" s="127"/>
      <s:c r="N37" s="127"/>
      <s:c r="O37" s="127"/>
      <s:c r="P37" s="166"/>
      <s:c r="Q37" s="166"/>
      <s:c r="R37" s="164"/>
      <s:c r="S37" s="167">
        <s:f>IF(AND(I37&lt;&gt;"",I37&lt;&gt;0),G37/I37,"")</s:f>
        <s:v>0.026315789473684209</s:v>
      </s:c>
      <s:c r="T37" s="168">
        <s:f>D37/U37</s:f>
        <s:v>0.074102398863169092</s:v>
      </s:c>
      <s:c r="U37" s="169">
        <s:f>$I$8*AA37*AB37/SUMPRODUCT($AB$25:$AB$55,$AA$25:$AA$55)</s:f>
        <s:v>72777.670935568967</s:v>
      </s:c>
      <s:c r="V37" s="170">
        <s:f>$I$9*AA37*AB37/SUMPRODUCT($AB$25:$AB$55,$AA$25:$AA$55)</s:f>
        <s:v>11.02691983872257</s:v>
      </s:c>
      <s:c r="W37" s="170">
        <s:f>IF($I$12="","",V37/$I$12)</s:f>
        <s:v>6.4864234345426883</s:v>
      </s:c>
      <s:c r="X37" s="169">
        <s:f>IF(AB37&lt;&gt;"",IF(D37&lt;&gt;"",D37,($I$8-SUM($X$25:X36))*AA37*AB37/SUMPRODUCT($AB37:$AB$55,$AA37:$AA$55)),"")</s:f>
        <s:v>5393</s:v>
      </s:c>
      <s:c r="Y37" s="170">
        <s:f>IF(AB37&lt;&gt;"",IF(E37&lt;&gt;"",E37,($I$9-SUM($Y$25:Y36))*AA37*AB37/SUMPRODUCT($AB37:$AB$55,$AA37:$AA$55)),"")</s:f>
        <s:v>1</s:v>
      </s:c>
      <s:c r="Z37" s="170">
        <s:f>IF(AB37&lt;&gt;"",IF($I$12&lt;&gt;"",IF(G37&lt;&gt;"",G37,($I$9/$I$12-SUM($Z$25:Z36))*AA37*AB37/SUMPRODUCT($AB37:$AB$55,$AA37:$AA$55)),""),"")</s:f>
        <s:v>1</s:v>
      </s:c>
      <s:c r="AA37" s="171">
        <s:v>1</s:v>
      </s:c>
      <s:c r="AB37" s="171">
        <s:v>1</s:v>
      </s:c>
      <s:c r="AC37" s="172"/>
      <s:c r="AD37" s="172"/>
      <s:c r="AE37" s="2"/>
      <s:c r="AF37" s="2"/>
      <s:c r="AG37" s="2"/>
      <s:c r="AH37" s="2"/>
      <s:c r="AI37" s="2"/>
      <s:c r="AJ37" s="2"/>
      <s:c r="AK37" s="2"/>
      <s:c r="AL37" s="2"/>
      <s:c r="AM37" s="2"/>
      <s:c r="AN37" s="2"/>
      <s:c r="AO37" s="2"/>
    </s:row>
    <s:row r="38">
      <s:c r="A38" s="173" t="s">
        <s:v>71</s:v>
      </s:c>
      <s:c r="B38" s="160">
        <s:v>46036</s:v>
      </s:c>
      <s:c r="C38" s="161" t="s">
        <s:v>65</s:v>
      </s:c>
      <s:c r="D38" s="162">
        <s:f>6443+44640</s:f>
        <s:v>51083</s:v>
      </s:c>
      <s:c r="E38" s="127">
        <s:v>9</s:v>
      </s:c>
      <s:c r="F38" s="164">
        <s:f>IF(AND(E38&lt;&gt;"",E38&lt;&gt;0),D38/E38,"")</s:f>
        <s:v>5675.8888888888887</s:v>
      </s:c>
      <s:c r="G38" s="127">
        <s:v>6</s:v>
      </s:c>
      <s:c r="H38" s="164">
        <s:f>IF(AND(G38&lt;&gt;"",G38&lt;&gt;0),D38/G38,"")</s:f>
        <s:v>8513.8333333333339</s:v>
      </s:c>
      <s:c r="I38" s="127">
        <s:v>61</s:v>
      </s:c>
      <s:c r="J38" s="165">
        <s:f>IF(AND(G38&lt;&gt;"",G38&lt;&gt;0),E38/G38,"")</s:f>
        <s:v>1.5</s:v>
      </s:c>
      <s:c r="K38" s="127">
        <s:v>7220</s:v>
      </s:c>
      <s:c r="L38" s="127">
        <s:v>6443</s:v>
      </s:c>
      <s:c r="M38" s="127">
        <s:v>11393</s:v>
      </s:c>
      <s:c r="N38" s="127"/>
      <s:c r="O38" s="127"/>
      <s:c r="P38" s="166"/>
      <s:c r="Q38" s="166"/>
      <s:c r="R38" s="164"/>
      <s:c r="S38" s="167">
        <s:f>IF(AND(I38&lt;&gt;"",I38&lt;&gt;0),G38/I38,"")</s:f>
        <s:v>0.098360655737704916</s:v>
      </s:c>
      <s:c r="T38" s="168">
        <s:f>D38/U38</s:f>
        <s:v>0.70190484723294388</s:v>
      </s:c>
      <s:c r="U38" s="169">
        <s:f>$I$8*AA38*AB38/SUMPRODUCT($AB$25:$AB$55,$AA$25:$AA$55)</s:f>
        <s:v>72777.670935568967</s:v>
      </s:c>
      <s:c r="V38" s="170">
        <s:f>$I$9*AA38*AB38/SUMPRODUCT($AB$25:$AB$55,$AA$25:$AA$55)</s:f>
        <s:v>11.02691983872257</s:v>
      </s:c>
      <s:c r="W38" s="170">
        <s:f>IF($I$12="","",V38/$I$12)</s:f>
        <s:v>6.4864234345426883</s:v>
      </s:c>
      <s:c r="X38" s="169">
        <s:f>IF(AB38&lt;&gt;"",IF(D38&lt;&gt;"",D38,($I$8-SUM($X$25:X37))*AA38*AB38/SUMPRODUCT($AB38:$AB$55,$AA38:$AA$55)),"")</s:f>
        <s:v>51083</s:v>
      </s:c>
      <s:c r="Y38" s="170">
        <s:f>IF(AB38&lt;&gt;"",IF(E38&lt;&gt;"",E38,($I$9-SUM($Y$25:Y37))*AA38*AB38/SUMPRODUCT($AB38:$AB$55,$AA38:$AA$55)),"")</s:f>
        <s:v>9</s:v>
      </s:c>
      <s:c r="Z38" s="170">
        <s:f>IF(AB38&lt;&gt;"",IF($I$12&lt;&gt;"",IF(G38&lt;&gt;"",G38,($I$9/$I$12-SUM($Z$25:Z37))*AA38*AB38/SUMPRODUCT($AB38:$AB$55,$AA38:$AA$55)),""),"")</s:f>
        <s:v>6</s:v>
      </s:c>
      <s:c r="AA38" s="171">
        <s:v>1</s:v>
      </s:c>
      <s:c r="AB38" s="171">
        <s:v>1</s:v>
      </s:c>
      <s:c r="AC38" s="172"/>
      <s:c r="AD38" s="172"/>
      <s:c r="AE38" s="2"/>
      <s:c r="AF38" s="2"/>
      <s:c r="AG38" s="2"/>
      <s:c r="AH38" s="2"/>
      <s:c r="AI38" s="2"/>
      <s:c r="AJ38" s="2"/>
      <s:c r="AK38" s="2"/>
      <s:c r="AL38" s="2"/>
      <s:c r="AM38" s="2"/>
      <s:c r="AN38" s="2"/>
      <s:c r="AO38" s="2"/>
    </s:row>
    <s:row r="39">
      <s:c r="A39" s="173" t="s">
        <s:v>72</s:v>
      </s:c>
      <s:c r="B39" s="160">
        <s:v>46037</s:v>
      </s:c>
      <s:c r="C39" s="161" t="s">
        <s:v>55</s:v>
      </s:c>
      <s:c r="D39" s="162">
        <s:f>17806+63046</s:f>
        <s:v>80852</s:v>
      </s:c>
      <s:c r="E39" s="127">
        <s:v>8</s:v>
      </s:c>
      <s:c r="F39" s="164">
        <s:f>IF(AND(E39&lt;&gt;"",E39&lt;&gt;0),D39/E39,"")</s:f>
        <s:v>10106.5</s:v>
      </s:c>
      <s:c r="G39" s="127">
        <s:v>4</s:v>
      </s:c>
      <s:c r="H39" s="164">
        <s:f>IF(AND(G39&lt;&gt;"",G39&lt;&gt;0),D39/G39,"")</s:f>
        <s:v>20213</s:v>
      </s:c>
      <s:c r="I39" s="127">
        <s:v>51</s:v>
      </s:c>
      <s:c r="J39" s="165">
        <s:f>IF(AND(G39&lt;&gt;"",G39&lt;&gt;0),E39/G39,"")</s:f>
        <s:v>2</s:v>
      </s:c>
      <s:c r="K39" s="127"/>
      <s:c r="L39" s="127">
        <s:v>17806</s:v>
      </s:c>
      <s:c r="M39" s="127"/>
      <s:c r="N39" s="127"/>
      <s:c r="O39" s="127"/>
      <s:c r="P39" s="166"/>
      <s:c r="Q39" s="166"/>
      <s:c r="R39" s="174">
        <s:v>38380</s:v>
      </s:c>
      <s:c r="S39" s="167">
        <s:f>IF(AND(I39&lt;&gt;"",I39&lt;&gt;0),G39/I39,"")</s:f>
        <s:v>0.078431372549019607</s:v>
      </s:c>
      <s:c r="T39" s="168">
        <s:f>D39/U39</s:f>
        <s:v>1.1109451423854899</s:v>
      </s:c>
      <s:c r="U39" s="169">
        <s:f>$I$8*AA39*AB39/SUMPRODUCT($AB$25:$AB$55,$AA$25:$AA$55)</s:f>
        <s:v>72777.670935568967</s:v>
      </s:c>
      <s:c r="V39" s="170">
        <s:f>$I$9*AA39*AB39/SUMPRODUCT($AB$25:$AB$55,$AA$25:$AA$55)</s:f>
        <s:v>11.02691983872257</s:v>
      </s:c>
      <s:c r="W39" s="170">
        <s:f>IF($I$12="","",V39/$I$12)</s:f>
        <s:v>6.4864234345426883</s:v>
      </s:c>
      <s:c r="X39" s="169">
        <s:f>IF(AB39&lt;&gt;"",IF(D39&lt;&gt;"",D39,($I$8-SUM($X$25:X38))*AA39*AB39/SUMPRODUCT($AB39:$AB$55,$AA39:$AA$55)),"")</s:f>
        <s:v>80852</s:v>
      </s:c>
      <s:c r="Y39" s="170">
        <s:f>IF(AB39&lt;&gt;"",IF(E39&lt;&gt;"",E39,($I$9-SUM($Y$25:Y38))*AA39*AB39/SUMPRODUCT($AB39:$AB$55,$AA39:$AA$55)),"")</s:f>
        <s:v>8</s:v>
      </s:c>
      <s:c r="Z39" s="170">
        <s:f>IF(AB39&lt;&gt;"",IF($I$12&lt;&gt;"",IF(G39&lt;&gt;"",G39,($I$9/$I$12-SUM($Z$25:Z38))*AA39*AB39/SUMPRODUCT($AB39:$AB$55,$AA39:$AA$55)),""),"")</s:f>
        <s:v>4</s:v>
      </s:c>
      <s:c r="AA39" s="171">
        <s:v>1</s:v>
      </s:c>
      <s:c r="AB39" s="171">
        <s:v>1</s:v>
      </s:c>
      <s:c r="AC39" s="172"/>
      <s:c r="AD39" s="172"/>
      <s:c r="AE39" s="2"/>
      <s:c r="AF39" s="2"/>
      <s:c r="AG39" s="2"/>
      <s:c r="AH39" s="2"/>
      <s:c r="AI39" s="2"/>
      <s:c r="AJ39" s="2"/>
      <s:c r="AK39" s="2"/>
      <s:c r="AL39" s="2"/>
      <s:c r="AM39" s="2"/>
      <s:c r="AN39" s="2"/>
      <s:c r="AO39" s="2"/>
    </s:row>
    <s:row r="40" s="135" customFormat="1">
      <s:c r="A40" s="175" t="s">
        <s:v>73</s:v>
      </s:c>
      <s:c r="B40" s="153">
        <s:v>46038</s:v>
      </s:c>
      <s:c r="C40" s="138" t="s">
        <s:v>57</s:v>
      </s:c>
      <s:c r="D40" s="139">
        <s:f>26501+62037+11502</s:f>
        <s:v>100040</s:v>
      </s:c>
      <s:c r="E40" s="140">
        <s:v>8</s:v>
      </s:c>
      <s:c r="F40" s="141">
        <s:f>IF(AND(E40&lt;&gt;"",E40&lt;&gt;0),D40/E40,"")</s:f>
        <s:v>12505</s:v>
      </s:c>
      <s:c r="G40" s="140">
        <s:v>3</s:v>
      </s:c>
      <s:c r="H40" s="141">
        <s:f>IF(AND(G40&lt;&gt;"",G40&lt;&gt;0),D40/G40,"")</s:f>
        <s:v>33346.666666666664</s:v>
      </s:c>
      <s:c r="I40" s="140">
        <s:v>46</s:v>
      </s:c>
      <s:c r="J40" s="142">
        <s:f>IF(AND(G40&lt;&gt;"",G40&lt;&gt;0),E40/G40,"")</s:f>
        <s:v>2.6666666666666665</s:v>
      </s:c>
      <s:c r="K40" s="140"/>
      <s:c r="L40" s="140">
        <s:v>26501</s:v>
      </s:c>
      <s:c r="M40" s="140"/>
      <s:c r="N40" s="140">
        <s:v>62037</s:v>
      </s:c>
      <s:c r="O40" s="140"/>
      <s:c r="P40" s="143"/>
      <s:c r="Q40" s="143"/>
      <s:c r="R40" s="141"/>
      <s:c r="S40" s="128">
        <s:f>IF(AND(I40&lt;&gt;"",I40&lt;&gt;0),G40/I40,"")</s:f>
        <s:v>0.065217391304347824</s:v>
      </s:c>
      <s:c r="T40" s="144">
        <s:f>D40/U40</s:f>
        <s:v>1.3745974378400585</s:v>
      </s:c>
      <s:c r="U40" s="145">
        <s:f>$I$8*AA40*AB40/SUMPRODUCT($AB$25:$AB$55,$AA$25:$AA$55)</s:f>
        <s:v>72777.670935568967</s:v>
      </s:c>
      <s:c r="V40" s="146">
        <s:f>$I$9*AA40*AB40/SUMPRODUCT($AB$25:$AB$55,$AA$25:$AA$55)</s:f>
        <s:v>11.02691983872257</s:v>
      </s:c>
      <s:c r="W40" s="146">
        <s:f>IF($I$12="","",V40/$I$12)</s:f>
        <s:v>6.4864234345426883</s:v>
      </s:c>
      <s:c r="X40" s="145">
        <s:f>IF(AB40&lt;&gt;"",IF(D40&lt;&gt;"",D40,($I$8-SUM($X$25:X39))*AA40*AB40/SUMPRODUCT($AB40:$AB$55,$AA40:$AA$55)),"")</s:f>
        <s:v>100040</s:v>
      </s:c>
      <s:c r="Y40" s="146">
        <s:f>IF(AB40&lt;&gt;"",IF(E40&lt;&gt;"",E40,($I$9-SUM($Y$25:Y39))*AA40*AB40/SUMPRODUCT($AB40:$AB$55,$AA40:$AA$55)),"")</s:f>
        <s:v>8</s:v>
      </s:c>
      <s:c r="Z40" s="146">
        <s:f>IF(AB40&lt;&gt;"",IF($I$12&lt;&gt;"",IF(G40&lt;&gt;"",G40,($I$9/$I$12-SUM($Z$25:Z39))*AA40*AB40/SUMPRODUCT($AB40:$AB$55,$AA40:$AA$55)),""),"")</s:f>
        <s:v>3</s:v>
      </s:c>
      <s:c r="AA40" s="147">
        <s:v>1</s:v>
      </s:c>
      <s:c r="AB40" s="147">
        <s:v>1</s:v>
      </s:c>
      <s:c r="AC40" s="148"/>
      <s:c r="AD40" s="148"/>
      <s:c r="AE40" s="149"/>
      <s:c r="AF40" s="149"/>
      <s:c r="AG40" s="149"/>
      <s:c r="AH40" s="149"/>
      <s:c r="AI40" s="149"/>
      <s:c r="AJ40" s="149"/>
      <s:c r="AK40" s="149"/>
      <s:c r="AL40" s="149"/>
      <s:c r="AM40" s="149"/>
      <s:c r="AN40" s="149"/>
      <s:c r="AO40" s="149"/>
      <s:c r="AP40" s="149"/>
      <s:c r="AQ40" s="149"/>
      <s:c r="AR40" s="149"/>
      <s:c r="AS40" s="149"/>
      <s:c r="AT40" s="149"/>
      <s:c r="AU40" s="149"/>
      <s:c r="AV40" s="149"/>
      <s:c r="AW40" s="149"/>
      <s:c r="AX40" s="149"/>
      <s:c r="AY40" s="149"/>
      <s:c r="AZ40" s="149"/>
      <s:c r="BA40" s="149"/>
      <s:c r="BB40" s="149"/>
      <s:c r="BC40" s="149"/>
      <s:c r="BD40" s="149"/>
      <s:c r="BE40" s="149"/>
      <s:c r="BF40" s="149"/>
      <s:c r="BG40" s="149"/>
      <s:c r="BH40" s="149"/>
      <s:c r="BI40" s="149"/>
      <s:c r="BJ40" s="149"/>
      <s:c r="BK40" s="149"/>
      <s:c r="BL40" s="149"/>
      <s:c r="BM40" s="149"/>
      <s:c r="BN40" s="149"/>
      <s:c r="BO40" s="149"/>
      <s:c r="BP40" s="149"/>
      <s:c r="BQ40" s="149"/>
      <s:c r="BR40" s="149"/>
      <s:c r="BS40" s="149"/>
      <s:c r="BT40" s="149"/>
      <s:c r="BU40" s="149"/>
      <s:c r="BV40" s="149"/>
      <s:c r="BW40" s="149"/>
      <s:c r="BX40" s="149"/>
      <s:c r="BY40" s="149"/>
      <s:c r="BZ40" s="149"/>
      <s:c r="CA40" s="149"/>
      <s:c r="CB40" s="149"/>
      <s:c r="CC40" s="149"/>
      <s:c r="CD40" s="149"/>
      <s:c r="CE40" s="149"/>
      <s:c r="CF40" s="149"/>
      <s:c r="CG40" s="149"/>
      <s:c r="CH40" s="149"/>
      <s:c r="CI40" s="149"/>
      <s:c r="CJ40" s="149"/>
      <s:c r="CK40" s="149"/>
      <s:c r="CL40" s="149"/>
      <s:c r="CM40" s="149"/>
      <s:c r="CN40" s="149"/>
      <s:c r="CO40" s="149"/>
      <s:c r="CP40" s="149"/>
      <s:c r="CQ40" s="149"/>
      <s:c r="CR40" s="149"/>
      <s:c r="CS40" s="149"/>
      <s:c r="CT40" s="149"/>
      <s:c r="CU40" s="149"/>
      <s:c r="CV40" s="149"/>
      <s:c r="CW40" s="149"/>
      <s:c r="CX40" s="149"/>
      <s:c r="CY40" s="149"/>
      <s:c r="CZ40" s="149"/>
      <s:c r="DA40" s="149"/>
      <s:c r="DB40" s="149"/>
      <s:c r="DC40" s="149"/>
      <s:c r="DD40" s="149"/>
      <s:c r="DE40" s="149"/>
      <s:c r="DF40" s="149"/>
      <s:c r="DG40" s="149"/>
      <s:c r="DH40" s="149"/>
      <s:c r="DI40" s="149"/>
      <s:c r="DJ40" s="149"/>
      <s:c r="DK40" s="149"/>
      <s:c r="DL40" s="149"/>
      <s:c r="DM40" s="149"/>
      <s:c r="DN40" s="149"/>
      <s:c r="DO40" s="149"/>
      <s:c r="DP40" s="149"/>
      <s:c r="DQ40" s="149"/>
      <s:c r="DR40" s="149"/>
      <s:c r="DS40" s="149"/>
      <s:c r="DT40" s="149"/>
      <s:c r="DU40" s="149"/>
      <s:c r="DV40" s="149"/>
      <s:c r="DW40" s="149"/>
      <s:c r="DX40" s="149"/>
      <s:c r="DY40" s="149"/>
      <s:c r="DZ40" s="149"/>
      <s:c r="EA40" s="149"/>
      <s:c r="EB40" s="149"/>
      <s:c r="EC40" s="149"/>
      <s:c r="ED40" s="149"/>
      <s:c r="EE40" s="149"/>
      <s:c r="EF40" s="149"/>
      <s:c r="EG40" s="149"/>
      <s:c r="EH40" s="149"/>
      <s:c r="EI40" s="149"/>
      <s:c r="EJ40" s="149"/>
      <s:c r="EK40" s="149"/>
      <s:c r="EL40" s="149"/>
      <s:c r="EM40" s="149"/>
      <s:c r="EN40" s="149"/>
      <s:c r="EO40" s="149"/>
      <s:c r="EP40" s="149"/>
      <s:c r="EQ40" s="149"/>
      <s:c r="ER40" s="149"/>
      <s:c r="ES40" s="149"/>
      <s:c r="ET40" s="149"/>
      <s:c r="EU40" s="149"/>
      <s:c r="EV40" s="149"/>
      <s:c r="EW40" s="149"/>
      <s:c r="EX40" s="149"/>
      <s:c r="EY40" s="149"/>
      <s:c r="EZ40" s="149"/>
      <s:c r="FA40" s="149"/>
      <s:c r="FB40" s="149"/>
      <s:c r="FC40" s="149"/>
      <s:c r="FD40" s="149"/>
      <s:c r="FE40" s="149"/>
      <s:c r="FF40" s="149"/>
      <s:c r="FG40" s="149"/>
      <s:c r="FH40" s="149"/>
      <s:c r="FI40" s="149"/>
      <s:c r="FJ40" s="149"/>
      <s:c r="FK40" s="149"/>
      <s:c r="FL40" s="149"/>
      <s:c r="FM40" s="149"/>
      <s:c r="FN40" s="149"/>
      <s:c r="FO40" s="149"/>
      <s:c r="FP40" s="149"/>
      <s:c r="FQ40" s="149"/>
      <s:c r="FR40" s="149"/>
      <s:c r="FS40" s="149"/>
      <s:c r="FT40" s="149"/>
      <s:c r="FU40" s="149"/>
      <s:c r="FV40" s="149"/>
      <s:c r="FW40" s="149"/>
      <s:c r="FX40" s="149"/>
      <s:c r="FY40" s="149"/>
      <s:c r="FZ40" s="149"/>
      <s:c r="GA40" s="149"/>
      <s:c r="GB40" s="149"/>
      <s:c r="GC40" s="149"/>
      <s:c r="GD40" s="149"/>
      <s:c r="GE40" s="149"/>
      <s:c r="GF40" s="149"/>
      <s:c r="GG40" s="149"/>
      <s:c r="GH40" s="149"/>
      <s:c r="GI40" s="149"/>
      <s:c r="GJ40" s="149"/>
      <s:c r="GK40" s="149"/>
      <s:c r="GL40" s="149"/>
      <s:c r="GM40" s="149"/>
      <s:c r="GN40" s="149"/>
      <s:c r="GO40" s="149"/>
      <s:c r="GP40" s="149"/>
      <s:c r="GQ40" s="149"/>
      <s:c r="GR40" s="149"/>
      <s:c r="GS40" s="149"/>
      <s:c r="GT40" s="149"/>
      <s:c r="GU40" s="149"/>
      <s:c r="GV40" s="149"/>
      <s:c r="GW40" s="149"/>
      <s:c r="GX40" s="149"/>
      <s:c r="GY40" s="149"/>
      <s:c r="GZ40" s="149"/>
      <s:c r="HA40" s="149"/>
      <s:c r="HB40" s="149"/>
      <s:c r="HC40" s="149"/>
      <s:c r="HD40" s="149"/>
      <s:c r="HE40" s="149"/>
      <s:c r="HF40" s="149"/>
      <s:c r="HG40" s="149"/>
      <s:c r="HH40" s="149"/>
      <s:c r="HI40" s="149"/>
      <s:c r="HJ40" s="149"/>
      <s:c r="HK40" s="149"/>
      <s:c r="HL40" s="149"/>
      <s:c r="HM40" s="149"/>
      <s:c r="HN40" s="149"/>
      <s:c r="HO40" s="149"/>
      <s:c r="HP40" s="149"/>
      <s:c r="HQ40" s="149"/>
      <s:c r="HR40" s="149"/>
      <s:c r="HS40" s="149"/>
      <s:c r="HT40" s="149"/>
      <s:c r="HU40" s="149"/>
      <s:c r="HV40" s="149"/>
      <s:c r="HW40" s="149"/>
      <s:c r="HX40" s="149"/>
      <s:c r="HY40" s="149"/>
      <s:c r="HZ40" s="149"/>
      <s:c r="IA40" s="149"/>
      <s:c r="IB40" s="149"/>
      <s:c r="IC40" s="149"/>
      <s:c r="ID40" s="149"/>
      <s:c r="IE40" s="149"/>
      <s:c r="IF40" s="149"/>
      <s:c r="IG40" s="149"/>
      <s:c r="IH40" s="149"/>
      <s:c r="II40" s="149"/>
      <s:c r="IJ40" s="149"/>
      <s:c r="IK40" s="149"/>
      <s:c r="IL40" s="149"/>
      <s:c r="IM40" s="149"/>
      <s:c r="IN40" s="149"/>
      <s:c r="IO40" s="149"/>
      <s:c r="IP40" s="149"/>
      <s:c r="IQ40" s="149"/>
      <s:c r="IR40" s="149"/>
      <s:c r="IS40" s="149"/>
      <s:c r="IT40" s="149"/>
      <s:c r="IU40" s="149"/>
      <s:c r="IV40" s="149"/>
      <s:c r="IW40" s="149"/>
      <s:c r="IX40" s="149"/>
      <s:c r="IY40" s="149"/>
      <s:c r="IZ40" s="149"/>
    </s:row>
    <s:row r="41" s="135" customFormat="1">
      <s:c r="A41" s="175" t="s">
        <s:v>74</s:v>
      </s:c>
      <s:c r="B41" s="153">
        <s:v>46039</s:v>
      </s:c>
      <s:c r="C41" s="138" t="s">
        <s:v>58</s:v>
      </s:c>
      <s:c r="D41" s="139">
        <s:v>58965</s:v>
      </s:c>
      <s:c r="E41" s="140">
        <s:v>7</s:v>
      </s:c>
      <s:c r="F41" s="141">
        <s:f>IF(AND(E41&lt;&gt;"",E41&lt;&gt;0),D41/E41,"")</s:f>
        <s:v>8423.5714285714294</s:v>
      </s:c>
      <s:c r="G41" s="140">
        <s:v>4</s:v>
      </s:c>
      <s:c r="H41" s="141">
        <s:f>IF(AND(G41&lt;&gt;"",G41&lt;&gt;0),D41/G41,"")</s:f>
        <s:v>14741.25</s:v>
      </s:c>
      <s:c r="I41" s="140">
        <s:v>56</s:v>
      </s:c>
      <s:c r="J41" s="142">
        <s:f>IF(AND(G41&lt;&gt;"",G41&lt;&gt;0),E41/G41,"")</s:f>
        <s:v>1.75</s:v>
      </s:c>
      <s:c r="K41" s="140"/>
      <s:c r="L41" s="140"/>
      <s:c r="M41" s="140"/>
      <s:c r="N41" s="140"/>
      <s:c r="O41" s="140"/>
      <s:c r="P41" s="143"/>
      <s:c r="Q41" s="143"/>
      <s:c r="R41" s="176">
        <s:v>23229</s:v>
      </s:c>
      <s:c r="S41" s="128">
        <s:f>IF(AND(I41&lt;&gt;"",I41&lt;&gt;0),G41/I41,"")</s:f>
        <s:v>0.071428571428571425</s:v>
      </s:c>
      <s:c r="T41" s="144">
        <s:f>D41/U41</s:f>
        <s:v>0.81020729630386901</s:v>
      </s:c>
      <s:c r="U41" s="145">
        <s:f>$I$8*AA41*AB41/SUMPRODUCT($AB$25:$AB$55,$AA$25:$AA$55)</s:f>
        <s:v>72777.670935568967</s:v>
      </s:c>
      <s:c r="V41" s="146">
        <s:f>$I$9*AA41*AB41/SUMPRODUCT($AB$25:$AB$55,$AA$25:$AA$55)</s:f>
        <s:v>11.02691983872257</s:v>
      </s:c>
      <s:c r="W41" s="146">
        <s:f>IF($I$12="","",V41/$I$12)</s:f>
        <s:v>6.4864234345426883</s:v>
      </s:c>
      <s:c r="X41" s="145">
        <s:f>IF(AB41&lt;&gt;"",IF(D41&lt;&gt;"",D41,($I$8-SUM($X$25:X40))*AA41*AB41/SUMPRODUCT($AB41:$AB$55,$AA41:$AA$55)),"")</s:f>
        <s:v>58965</s:v>
      </s:c>
      <s:c r="Y41" s="146">
        <s:f>IF(AB41&lt;&gt;"",IF(E41&lt;&gt;"",E41,($I$9-SUM($Y$25:Y40))*AA41*AB41/SUMPRODUCT($AB41:$AB$55,$AA41:$AA$55)),"")</s:f>
        <s:v>7</s:v>
      </s:c>
      <s:c r="Z41" s="146">
        <s:f>IF(AB41&lt;&gt;"",IF($I$12&lt;&gt;"",IF(G41&lt;&gt;"",G41,($I$9/$I$12-SUM($Z$25:Z40))*AA41*AB41/SUMPRODUCT($AB41:$AB$55,$AA41:$AA$55)),""),"")</s:f>
        <s:v>4</s:v>
      </s:c>
      <s:c r="AA41" s="147">
        <s:v>1</s:v>
      </s:c>
      <s:c r="AB41" s="147">
        <s:v>1</s:v>
      </s:c>
      <s:c r="AC41" s="148"/>
      <s:c r="AD41" s="148"/>
      <s:c r="AE41" s="149"/>
      <s:c r="AF41" s="149"/>
      <s:c r="AG41" s="149"/>
      <s:c r="AH41" s="149"/>
      <s:c r="AI41" s="149"/>
      <s:c r="AJ41" s="149"/>
      <s:c r="AK41" s="149"/>
      <s:c r="AL41" s="149"/>
      <s:c r="AM41" s="149"/>
      <s:c r="AN41" s="149"/>
      <s:c r="AO41" s="149"/>
    </s:row>
    <s:row r="42" s="135" customFormat="1">
      <s:c r="A42" s="175" t="s">
        <s:v>75</s:v>
      </s:c>
      <s:c r="B42" s="153">
        <s:v>46040</s:v>
      </s:c>
      <s:c r="C42" s="138" t="s">
        <s:v>59</s:v>
      </s:c>
      <s:c r="D42" s="139">
        <s:v>21509</s:v>
      </s:c>
      <s:c r="E42" s="151">
        <s:v>5</s:v>
      </s:c>
      <s:c r="F42" s="141">
        <s:f>IF(AND(E42&lt;&gt;"",E42&lt;&gt;0),D42/E42,"")</s:f>
        <s:v>4301.8000000000002</s:v>
      </s:c>
      <s:c r="G42" s="151">
        <s:v>3</s:v>
      </s:c>
      <s:c r="H42" s="141">
        <s:f>IF(AND(G42&lt;&gt;"",G42&lt;&gt;0),D42/G42,"")</s:f>
        <s:v>7169.666666666667</s:v>
      </s:c>
      <s:c r="I42" s="151">
        <s:v>96</s:v>
      </s:c>
      <s:c r="J42" s="142">
        <s:f>IF(AND(G42&lt;&gt;"",G42&lt;&gt;0),E42/G42,"")</s:f>
        <s:v>1.6666666666666667</s:v>
      </s:c>
      <s:c r="K42" s="140"/>
      <s:c r="L42" s="140"/>
      <s:c r="M42" s="140"/>
      <s:c r="N42" s="140"/>
      <s:c r="O42" s="140"/>
      <s:c r="P42" s="143"/>
      <s:c r="Q42" s="143"/>
      <s:c r="R42" s="141">
        <s:v>19276</s:v>
      </s:c>
      <s:c r="S42" s="128">
        <s:f>IF(AND(I42&lt;&gt;"",I42&lt;&gt;0),G42/I42,"")</s:f>
        <s:v>0.03125</s:v>
      </s:c>
      <s:c r="T42" s="144">
        <s:f>D42/U42</s:f>
        <s:v>0.29554394532688744</s:v>
      </s:c>
      <s:c r="U42" s="145">
        <s:f>$I$8*AA42*AB42/SUMPRODUCT($AB$25:$AB$55,$AA$25:$AA$55)</s:f>
        <s:v>72777.670935568967</s:v>
      </s:c>
      <s:c r="V42" s="146">
        <s:f>$I$9*AA42*AB42/SUMPRODUCT($AB$25:$AB$55,$AA$25:$AA$55)</s:f>
        <s:v>11.02691983872257</s:v>
      </s:c>
      <s:c r="W42" s="146">
        <s:f>IF($I$12="","",V42/$I$12)</s:f>
        <s:v>6.4864234345426883</s:v>
      </s:c>
      <s:c r="X42" s="145">
        <s:f>IF(AB42&lt;&gt;"",IF(D42&lt;&gt;"",D42,($I$8-SUM($X$25:X41))*AA42*AB42/SUMPRODUCT($AB42:$AB$55,$AA42:$AA$55)),"")</s:f>
        <s:v>21509</s:v>
      </s:c>
      <s:c r="Y42" s="146">
        <s:f>IF(AB42&lt;&gt;"",IF(E42&lt;&gt;"",E42,($I$9-SUM($Y$25:Y41))*AA42*AB42/SUMPRODUCT($AB42:$AB$55,$AA42:$AA$55)),"")</s:f>
        <s:v>5</s:v>
      </s:c>
      <s:c r="Z42" s="146">
        <s:f>IF(AB42&lt;&gt;"",IF($I$12&lt;&gt;"",IF(G42&lt;&gt;"",G42,($I$9/$I$12-SUM($Z$25:Z41))*AA42*AB42/SUMPRODUCT($AB42:$AB$55,$AA42:$AA$55)),""),"")</s:f>
        <s:v>3</s:v>
      </s:c>
      <s:c r="AA42" s="147">
        <s:v>1</s:v>
      </s:c>
      <s:c r="AB42" s="147">
        <s:v>1</s:v>
      </s:c>
      <s:c r="AC42" s="148"/>
      <s:c r="AD42" s="148"/>
      <s:c r="AE42" s="149"/>
      <s:c r="AF42" s="149"/>
      <s:c r="AG42" s="149"/>
      <s:c r="AH42" s="149"/>
      <s:c r="AI42" s="149"/>
      <s:c r="AJ42" s="149"/>
      <s:c r="AK42" s="149"/>
      <s:c r="AL42" s="149"/>
      <s:c r="AM42" s="149"/>
      <s:c r="AN42" s="149"/>
      <s:c r="AO42" s="149"/>
    </s:row>
    <s:row r="43">
      <s:c r="A43" s="173" t="s">
        <s:v>76</s:v>
      </s:c>
      <s:c r="B43" s="160">
        <s:v>46041</s:v>
      </s:c>
      <s:c r="C43" s="177" t="s">
        <s:v>61</s:v>
      </s:c>
      <s:c r="D43" s="165">
        <s:v>43401</s:v>
      </s:c>
      <s:c r="E43" s="127">
        <s:v>6</s:v>
      </s:c>
      <s:c r="F43" s="164">
        <s:f>IF(AND(E43&lt;&gt;"",E43&lt;&gt;0),D43/E43,"")</s:f>
        <s:v>7233.5</s:v>
      </s:c>
      <s:c r="G43" s="127">
        <s:v>3</s:v>
      </s:c>
      <s:c r="H43" s="164">
        <s:f>IF(AND(G43&lt;&gt;"",G43&lt;&gt;0),D43/G43,"")</s:f>
        <s:v>14467</s:v>
      </s:c>
      <s:c r="I43" s="127">
        <s:v>34</s:v>
      </s:c>
      <s:c r="J43" s="165">
        <s:f>IF(AND(G43&lt;&gt;"",G43&lt;&gt;0),E43/G43,"")</s:f>
        <s:v>2</s:v>
      </s:c>
      <s:c r="K43" s="127"/>
      <s:c r="L43" s="127"/>
      <s:c r="M43" s="164"/>
      <s:c r="N43" s="127"/>
      <s:c r="O43" s="127"/>
      <s:c r="P43" s="166"/>
      <s:c r="Q43" s="166"/>
      <s:c r="R43" s="164"/>
      <s:c r="S43" s="167">
        <s:f>IF(AND(I43&lt;&gt;"",I43&lt;&gt;0),G43/I43,"")</s:f>
        <s:v>0.088235294117647065</s:v>
      </s:c>
      <s:c r="T43" s="168">
        <s:f>D43/U43</s:f>
        <s:v>0.59635049379944405</s:v>
      </s:c>
      <s:c r="U43" s="169">
        <s:f>$I$8*AA43*AB43/SUMPRODUCT($AB$25:$AB$55,$AA$25:$AA$55)</s:f>
        <s:v>72777.670935568967</s:v>
      </s:c>
      <s:c r="V43" s="170">
        <s:f>$I$9*AA43*AB43/SUMPRODUCT($AB$25:$AB$55,$AA$25:$AA$55)</s:f>
        <s:v>11.02691983872257</s:v>
      </s:c>
      <s:c r="W43" s="170">
        <s:f>IF($I$12="","",V43/$I$12)</s:f>
        <s:v>6.4864234345426883</s:v>
      </s:c>
      <s:c r="X43" s="169">
        <s:f>IF(AB43&lt;&gt;"",IF(D43&lt;&gt;"",D43,($I$8-SUM($X$25:X42))*AA43*AB43/SUMPRODUCT($AB43:$AB$55,$AA43:$AA$55)),"")</s:f>
        <s:v>43401</s:v>
      </s:c>
      <s:c r="Y43" s="170">
        <s:f>IF(AB43&lt;&gt;"",IF(E43&lt;&gt;"",E43,($I$9-SUM($Y$25:Y42))*AA43*AB43/SUMPRODUCT($AB43:$AB$55,$AA43:$AA$55)),"")</s:f>
        <s:v>6</s:v>
      </s:c>
      <s:c r="Z43" s="170">
        <s:f>IF(AB43&lt;&gt;"",IF($I$12&lt;&gt;"",IF(G43&lt;&gt;"",G43,($I$9/$I$12-SUM($Z$25:Z42))*AA43*AB43/SUMPRODUCT($AB43:$AB$55,$AA43:$AA$55)),""),"")</s:f>
        <s:v>3</s:v>
      </s:c>
      <s:c r="AA43" s="171">
        <s:v>1</s:v>
      </s:c>
      <s:c r="AB43" s="171">
        <s:v>1</s:v>
      </s:c>
      <s:c r="AC43" s="172"/>
      <s:c r="AD43" s="172"/>
      <s:c r="AE43" s="178"/>
      <s:c r="AF43" s="2"/>
      <s:c r="AG43" s="2"/>
      <s:c r="AH43" s="2"/>
      <s:c r="AI43" s="2"/>
      <s:c r="AJ43" s="2"/>
      <s:c r="AK43" s="2"/>
      <s:c r="AL43" s="2"/>
      <s:c r="AM43" s="2"/>
      <s:c r="AN43" s="2"/>
      <s:c r="AO43" s="2"/>
    </s:row>
    <s:row r="44">
      <s:c r="A44" s="173" t="s">
        <s:v>77</s:v>
      </s:c>
      <s:c r="B44" s="160">
        <s:v>46042</s:v>
      </s:c>
      <s:c r="C44" s="179" t="s">
        <s:v>63</s:v>
      </s:c>
      <s:c r="D44" s="165">
        <s:v>17518</s:v>
      </s:c>
      <s:c r="E44" s="127">
        <s:v>3</s:v>
      </s:c>
      <s:c r="F44" s="164">
        <s:f>IF(AND(E44&lt;&gt;"",E44&lt;&gt;0),D44/E44,"")</s:f>
        <s:v>5839.333333333333</s:v>
      </s:c>
      <s:c r="G44" s="127">
        <s:v>2</s:v>
      </s:c>
      <s:c r="H44" s="164">
        <s:f>IF(AND(G44&lt;&gt;"",G44&lt;&gt;0),D44/G44,"")</s:f>
        <s:v>8759</s:v>
      </s:c>
      <s:c r="I44" s="127">
        <s:v>49</s:v>
      </s:c>
      <s:c r="J44" s="165">
        <s:f>IF(AND(G44&lt;&gt;"",G44&lt;&gt;0),E44/G44,"")</s:f>
        <s:v>1.5</s:v>
      </s:c>
      <s:c r="K44" s="127"/>
      <s:c r="L44" s="127"/>
      <s:c r="M44" s="127"/>
      <s:c r="N44" s="127"/>
      <s:c r="O44" s="127"/>
      <s:c r="P44" s="166"/>
      <s:c r="Q44" s="166"/>
      <s:c r="R44" s="174">
        <s:v>9390</s:v>
      </s:c>
      <s:c r="S44" s="167">
        <s:f>IF(AND(I44&lt;&gt;"",I44&lt;&gt;0),G44/I44,"")</s:f>
        <s:v>0.040816326530612242</s:v>
      </s:c>
      <s:c r="T44" s="168">
        <s:f>D44/U44</s:f>
        <s:v>0.24070569688206864</s:v>
      </s:c>
      <s:c r="U44" s="169">
        <s:f>$I$8*AA44*AB44/SUMPRODUCT($AB$25:$AB$55,$AA$25:$AA$55)</s:f>
        <s:v>72777.670935568967</s:v>
      </s:c>
      <s:c r="V44" s="170">
        <s:f>$I$9*AA44*AB44/SUMPRODUCT($AB$25:$AB$55,$AA$25:$AA$55)</s:f>
        <s:v>11.02691983872257</s:v>
      </s:c>
      <s:c r="W44" s="170">
        <s:f>IF($I$12="","",V44/$I$12)</s:f>
        <s:v>6.4864234345426883</s:v>
      </s:c>
      <s:c r="X44" s="169">
        <s:f>IF(AB44&lt;&gt;"",IF(D44&lt;&gt;"",D44,($I$8-SUM($X$25:X43))*AA44*AB44/SUMPRODUCT($AB44:$AB$55,$AA44:$AA$55)),"")</s:f>
        <s:v>17518</s:v>
      </s:c>
      <s:c r="Y44" s="170">
        <s:f>IF(AB44&lt;&gt;"",IF(E44&lt;&gt;"",E44,($I$9-SUM($Y$25:Y43))*AA44*AB44/SUMPRODUCT($AB44:$AB$55,$AA44:$AA$55)),"")</s:f>
        <s:v>3</s:v>
      </s:c>
      <s:c r="Z44" s="170">
        <s:f>IF(AB44&lt;&gt;"",IF($I$12&lt;&gt;"",IF(G44&lt;&gt;"",G44,($I$9/$I$12-SUM($Z$25:Z43))*AA44*AB44/SUMPRODUCT($AB44:$AB$55,$AA44:$AA$55)),""),"")</s:f>
        <s:v>2</s:v>
      </s:c>
      <s:c r="AA44" s="171">
        <s:v>1</s:v>
      </s:c>
      <s:c r="AB44" s="171">
        <s:v>1</s:v>
      </s:c>
      <s:c r="AC44" s="172"/>
      <s:c r="AD44" s="172"/>
      <s:c r="AE44" s="178"/>
      <s:c r="AF44" s="2"/>
      <s:c r="AG44" s="2"/>
      <s:c r="AH44" s="2"/>
      <s:c r="AI44" s="2"/>
      <s:c r="AJ44" s="2"/>
      <s:c r="AK44" s="2"/>
      <s:c r="AL44" s="2"/>
      <s:c r="AM44" s="2"/>
      <s:c r="AN44" s="2"/>
      <s:c r="AO44" s="2"/>
    </s:row>
    <s:row r="45">
      <s:c r="A45" s="173" t="s">
        <s:v>78</s:v>
      </s:c>
      <s:c r="B45" s="160">
        <s:v>46043</s:v>
      </s:c>
      <s:c r="C45" s="177" t="s">
        <s:v>65</s:v>
      </s:c>
      <s:c r="D45" s="165">
        <s:v>102418</s:v>
      </s:c>
      <s:c r="E45" s="127">
        <s:v>10</s:v>
      </s:c>
      <s:c r="F45" s="164">
        <s:f>IF(AND(E45&lt;&gt;"",E45&lt;&gt;0),D45/E45,"")</s:f>
        <s:v>10241.799999999999</s:v>
      </s:c>
      <s:c r="G45" s="127">
        <s:v>4</s:v>
      </s:c>
      <s:c r="H45" s="164">
        <s:f>IF(AND(G45&lt;&gt;"",G45&lt;&gt;0),D45/G45,"")</s:f>
        <s:v>25604.5</s:v>
      </s:c>
      <s:c r="I45" s="127">
        <s:v>36</s:v>
      </s:c>
      <s:c r="J45" s="165">
        <s:f>IF(AND(G45&lt;&gt;"",G45&lt;&gt;0),E45/G45,"")</s:f>
        <s:v>2.5</s:v>
      </s:c>
      <s:c r="K45" s="127"/>
      <s:c r="L45" s="127"/>
      <s:c r="M45" s="127">
        <s:v>31570</s:v>
      </s:c>
      <s:c r="N45" s="127"/>
      <s:c r="O45" s="127">
        <s:v>36688</s:v>
      </s:c>
      <s:c r="P45" s="166"/>
      <s:c r="Q45" s="166"/>
      <s:c r="R45" s="164"/>
      <s:c r="S45" s="167">
        <s:f>IF(AND(I45&lt;&gt;"",I45&lt;&gt;0),G45/I45,"")</s:f>
        <s:v>0.1111111111111111</s:v>
      </s:c>
      <s:c r="T45" s="168">
        <s:f>D45/U45</s:f>
        <s:v>1.4072722949690435</s:v>
      </s:c>
      <s:c r="U45" s="169">
        <s:f>$I$8*AA45*AB45/SUMPRODUCT($AB$25:$AB$55,$AA$25:$AA$55)</s:f>
        <s:v>72777.670935568967</s:v>
      </s:c>
      <s:c r="V45" s="170">
        <s:f>$I$9*AA45*AB45/SUMPRODUCT($AB$25:$AB$55,$AA$25:$AA$55)</s:f>
        <s:v>11.02691983872257</s:v>
      </s:c>
      <s:c r="W45" s="170">
        <s:f>IF($I$12="","",V45/$I$12)</s:f>
        <s:v>6.4864234345426883</s:v>
      </s:c>
      <s:c r="X45" s="169">
        <s:f>IF(AB45&lt;&gt;"",IF(D45&lt;&gt;"",D45,($I$8-SUM($X$25:X44))*AA45*AB45/SUMPRODUCT($AB45:$AB$55,$AA45:$AA$55)),"")</s:f>
        <s:v>102418</s:v>
      </s:c>
      <s:c r="Y45" s="170">
        <s:f>IF(AB45&lt;&gt;"",IF(E45&lt;&gt;"",E45,($I$9-SUM($Y$25:Y44))*AA45*AB45/SUMPRODUCT($AB45:$AB$55,$AA45:$AA$55)),"")</s:f>
        <s:v>10</s:v>
      </s:c>
      <s:c r="Z45" s="170">
        <s:f>IF(AB45&lt;&gt;"",IF($I$12&lt;&gt;"",IF(G45&lt;&gt;"",G45,($I$9/$I$12-SUM($Z$25:Z44))*AA45*AB45/SUMPRODUCT($AB45:$AB$55,$AA45:$AA$55)),""),"")</s:f>
        <s:v>4</s:v>
      </s:c>
      <s:c r="AA45" s="171">
        <s:v>1</s:v>
      </s:c>
      <s:c r="AB45" s="171">
        <s:v>1</s:v>
      </s:c>
      <s:c r="AC45" s="172"/>
      <s:c r="AD45" s="172"/>
      <s:c r="AE45" s="178"/>
      <s:c r="AF45" s="2"/>
      <s:c r="AG45" s="2"/>
      <s:c r="AH45" s="2"/>
      <s:c r="AI45" s="2"/>
      <s:c r="AJ45" s="2"/>
      <s:c r="AK45" s="2"/>
      <s:c r="AL45" s="2"/>
      <s:c r="AM45" s="2"/>
      <s:c r="AN45" s="2"/>
      <s:c r="AO45" s="2"/>
    </s:row>
    <s:row r="46">
      <s:c r="A46" s="173" t="s">
        <s:v>79</s:v>
      </s:c>
      <s:c r="B46" s="160">
        <s:v>46044</s:v>
      </s:c>
      <s:c r="C46" s="179" t="s">
        <s:v>55</s:v>
      </s:c>
      <s:c r="D46" s="165">
        <s:f>14500+31191</s:f>
        <s:v>45691</s:v>
      </s:c>
      <s:c r="E46" s="127">
        <s:v>6</s:v>
      </s:c>
      <s:c r="F46" s="164">
        <s:f>IF(AND(E46&lt;&gt;"",E46&lt;&gt;0),D46/E46,"")</s:f>
        <s:v>7615.166666666667</s:v>
      </s:c>
      <s:c r="G46" s="127">
        <s:v>2</s:v>
      </s:c>
      <s:c r="H46" s="164">
        <s:f>IF(AND(G46&lt;&gt;"",G46&lt;&gt;0),D46/G46,"")</s:f>
        <s:v>22845.5</s:v>
      </s:c>
      <s:c r="I46" s="127">
        <s:v>37</s:v>
      </s:c>
      <s:c r="J46" s="165">
        <s:f>IF(AND(G46&lt;&gt;"",G46&lt;&gt;0),E46/G46,"")</s:f>
        <s:v>3</s:v>
      </s:c>
      <s:c r="K46" s="127"/>
      <s:c r="L46" s="127">
        <s:v>14500</s:v>
      </s:c>
      <s:c r="M46" s="127"/>
      <s:c r="N46" s="127"/>
      <s:c r="O46" s="127"/>
      <s:c r="P46" s="166"/>
      <s:c r="Q46" s="166"/>
      <s:c r="R46" s="164"/>
      <s:c r="S46" s="167">
        <s:f>IF(AND(I46&lt;&gt;"",I46&lt;&gt;0),G46/I46,"")</s:f>
        <s:v>0.054054054054054057</s:v>
      </s:c>
      <s:c r="T46" s="168">
        <s:f>D46/U46</s:f>
        <s:v>0.62781618884796198</s:v>
      </s:c>
      <s:c r="U46" s="169">
        <s:f>$I$8*AA46*AB46/SUMPRODUCT($AB$25:$AB$55,$AA$25:$AA$55)</s:f>
        <s:v>72777.670935568967</s:v>
      </s:c>
      <s:c r="V46" s="170">
        <s:f>$I$9*AA46*AB46/SUMPRODUCT($AB$25:$AB$55,$AA$25:$AA$55)</s:f>
        <s:v>11.02691983872257</s:v>
      </s:c>
      <s:c r="W46" s="170">
        <s:f>IF($I$12="","",V46/$I$12)</s:f>
        <s:v>6.4864234345426883</s:v>
      </s:c>
      <s:c r="X46" s="169">
        <s:f>IF(AB46&lt;&gt;"",IF(D46&lt;&gt;"",D46,($I$8-SUM($X$25:X45))*AA46*AB46/SUMPRODUCT($AB46:$AB$55,$AA46:$AA$55)),"")</s:f>
        <s:v>45691</s:v>
      </s:c>
      <s:c r="Y46" s="170">
        <s:f>IF(AB45&lt;&gt;"",IF(E45&lt;&gt;"",E45,($I$9-SUM($Y$25:Y44))*AA45*AB45/SUMPRODUCT($AB45:$AB$55,$AA45:$AA$55)),"")</s:f>
        <s:v>10</s:v>
      </s:c>
      <s:c r="Z46" s="170">
        <s:f>IF(AB45&lt;&gt;"",IF($I$12&lt;&gt;"",IF(G45&lt;&gt;"",G45,($I$9/$I$12-SUM($Z$25:Z44))*AA45*AB45/SUMPRODUCT($AB45:$AB$55,$AA45:$AA$55)),""),"")</s:f>
        <s:v>4</s:v>
      </s:c>
      <s:c r="AA46" s="171">
        <s:v>1</s:v>
      </s:c>
      <s:c r="AB46" s="171">
        <s:v>1</s:v>
      </s:c>
      <s:c r="AC46" s="172"/>
      <s:c r="AD46" s="172"/>
      <s:c r="AE46" s="178"/>
      <s:c r="AF46" s="2"/>
      <s:c r="AG46" s="2"/>
      <s:c r="AH46" s="2"/>
      <s:c r="AI46" s="2"/>
      <s:c r="AJ46" s="2"/>
      <s:c r="AK46" s="2"/>
      <s:c r="AL46" s="2"/>
      <s:c r="AM46" s="2"/>
      <s:c r="AN46" s="2"/>
      <s:c r="AO46" s="2"/>
    </s:row>
    <s:row r="47">
      <s:c r="A47" s="175" t="s">
        <s:v>80</s:v>
      </s:c>
      <s:c r="B47" s="153">
        <s:v>46045</s:v>
      </s:c>
      <s:c r="C47" s="180" t="s">
        <s:v>57</s:v>
      </s:c>
      <s:c r="D47" s="142">
        <s:v>79502</s:v>
      </s:c>
      <s:c r="E47" s="140">
        <s:v>14</s:v>
      </s:c>
      <s:c r="F47" s="141">
        <s:f>IF(AND(E47&lt;&gt;"",E47&lt;&gt;0),D47/E47,"")</s:f>
        <s:v>5678.7142857142853</s:v>
      </s:c>
      <s:c r="G47" s="140">
        <s:v>7</s:v>
      </s:c>
      <s:c r="H47" s="141">
        <s:f>IF(AND(G47&lt;&gt;"",G47&lt;&gt;0),D47/G47,"")</s:f>
        <s:v>11357.428571428571</s:v>
      </s:c>
      <s:c r="I47" s="140">
        <s:v>59</s:v>
      </s:c>
      <s:c r="J47" s="142">
        <s:f>IF(AND(G47&lt;&gt;"",G47&lt;&gt;0),E47/G47,"")</s:f>
        <s:v>2</s:v>
      </s:c>
      <s:c r="K47" s="140"/>
      <s:c r="L47" s="140"/>
      <s:c r="M47" s="140"/>
      <s:c r="N47" s="140"/>
      <s:c r="O47" s="140">
        <s:v>8990</s:v>
      </s:c>
      <s:c r="P47" s="143"/>
      <s:c r="Q47" s="143">
        <s:v>8893</s:v>
      </s:c>
      <s:c r="R47" s="141">
        <s:v>35432</s:v>
      </s:c>
      <s:c r="S47" s="128">
        <s:f>IF(AND(I47&lt;&gt;"",I47&lt;&gt;0),G47/I47,"")</s:f>
        <s:v>0.11864406779661017</s:v>
      </s:c>
      <s:c r="T47" s="144">
        <s:f>D47/U47</s:f>
        <s:v>1.0923954968328702</s:v>
      </s:c>
      <s:c r="U47" s="145">
        <s:f>$I$8*AA47*AB47/SUMPRODUCT($AB$25:$AB$55,$AA$25:$AA$55)</s:f>
        <s:v>72777.670935568967</s:v>
      </s:c>
      <s:c r="V47" s="146">
        <s:f>$I$9*AA47*AB47/SUMPRODUCT($AB$25:$AB$55,$AA$25:$AA$55)</s:f>
        <s:v>11.02691983872257</s:v>
      </s:c>
      <s:c r="W47" s="146">
        <s:f>IF($I$12="","",V47/$I$12)</s:f>
        <s:v>6.4864234345426883</s:v>
      </s:c>
      <s:c r="X47" s="145">
        <s:f>IF(AB47&lt;&gt;"",IF(D47&lt;&gt;"",D47,($I$8-SUM($X$25:X46))*AA47*AB47/SUMPRODUCT($AB47:$AB$55,$AA47:$AA$55)),"")</s:f>
        <s:v>79502</s:v>
      </s:c>
      <s:c r="Y47" s="146">
        <s:f>IF(AB47&lt;&gt;"",IF(E47&lt;&gt;"",E47,($I$9-SUM($Y$25:Y46))*AA47*AB47/SUMPRODUCT($AB47:$AB$55,$AA47:$AA$55)),"")</s:f>
        <s:v>14</s:v>
      </s:c>
      <s:c r="Z47" s="146">
        <s:f>IF(AB47&lt;&gt;"",IF($I$12&lt;&gt;"",IF(G47&lt;&gt;"",G47,($I$9/$I$12-SUM($Z$25:Z46))*AA47*AB47/SUMPRODUCT($AB47:$AB$55,$AA47:$AA$55)),""),"")</s:f>
        <s:v>7</s:v>
      </s:c>
      <s:c r="AA47" s="147">
        <s:v>1</s:v>
      </s:c>
      <s:c r="AB47" s="147">
        <s:v>1</s:v>
      </s:c>
      <s:c r="AC47" s="172"/>
      <s:c r="AD47" s="172"/>
      <s:c r="AE47" s="178"/>
      <s:c r="AF47" s="2"/>
      <s:c r="AG47" s="2"/>
      <s:c r="AH47" s="2"/>
      <s:c r="AI47" s="2"/>
      <s:c r="AJ47" s="2"/>
      <s:c r="AK47" s="2"/>
      <s:c r="AL47" s="2"/>
      <s:c r="AM47" s="2"/>
      <s:c r="AN47" s="2"/>
      <s:c r="AO47" s="2"/>
    </s:row>
    <s:row r="48" s="181" customFormat="1">
      <s:c r="A48" s="182" t="s">
        <s:v>77</s:v>
      </s:c>
      <s:c r="B48" s="183">
        <s:v>46046</s:v>
      </s:c>
      <s:c r="C48" s="184" t="s">
        <s:v>58</s:v>
      </s:c>
      <s:c r="D48" s="185">
        <s:v>111505</s:v>
      </s:c>
      <s:c r="E48" s="186">
        <s:v>18</s:v>
      </s:c>
      <s:c r="F48" s="187">
        <s:f>IF(AND(E48&lt;&gt;"",E48&lt;&gt;0),D48/E48,"")</s:f>
        <s:v>6194.7222222222226</s:v>
      </s:c>
      <s:c r="G48" s="186">
        <s:v>9</s:v>
      </s:c>
      <s:c r="H48" s="187">
        <s:f>IF(AND(G48&lt;&gt;"",G48&lt;&gt;0),D48/G48,"")</s:f>
        <s:v>12389.444444444445</s:v>
      </s:c>
      <s:c r="I48" s="186">
        <s:v>83</s:v>
      </s:c>
      <s:c r="J48" s="185">
        <s:f>IF(AND(G48&lt;&gt;"",G48&lt;&gt;0),E48/G48,"")</s:f>
        <s:v>2</s:v>
      </s:c>
      <s:c r="K48" s="186"/>
      <s:c r="L48" s="186">
        <s:v>8702</s:v>
      </s:c>
      <s:c r="M48" s="186"/>
      <s:c r="N48" s="186"/>
      <s:c r="O48" s="186"/>
      <s:c r="P48" s="188"/>
      <s:c r="Q48" s="188"/>
      <s:c r="R48" s="187"/>
      <s:c r="S48" s="189">
        <s:f>IF(AND(I48&lt;&gt;"",I48&lt;&gt;0),G48/I48,"")</s:f>
        <s:v>0.10843373493975904</s:v>
      </s:c>
      <s:c r="T48" s="190">
        <s:f>D48/U48</s:f>
        <s:v>1.5321320202554551</s:v>
      </s:c>
      <s:c r="U48" s="191">
        <s:f>$I$8*AA48*AB48/SUMPRODUCT($AB$25:$AB$55,$AA$25:$AA$55)</s:f>
        <s:v>72777.670935568967</s:v>
      </s:c>
      <s:c r="V48" s="192">
        <s:f>$I$9*AA48*AB48/SUMPRODUCT($AB$25:$AB$55,$AA$25:$AA$55)</s:f>
        <s:v>11.02691983872257</s:v>
      </s:c>
      <s:c r="W48" s="192">
        <s:f>IF($I$12="","",V48/$I$12)</s:f>
        <s:v>6.4864234345426883</s:v>
      </s:c>
      <s:c r="X48" s="191">
        <s:f>IF(AB48&lt;&gt;"",IF(D48&lt;&gt;"",D48,($I$8-SUM($X$25:X47))*AA48*AB48/SUMPRODUCT($AB48:$AB$55,$AA48:$AA$55)),"")</s:f>
        <s:v>111505</s:v>
      </s:c>
      <s:c r="Y48" s="192">
        <s:f>IF(AB48&lt;&gt;"",IF(E48&lt;&gt;"",E48,($I$9-SUM($Y$25:Y47))*AA48*AB48/SUMPRODUCT($AB48:$AB$55,$AA48:$AA$55)),"")</s:f>
        <s:v>18</s:v>
      </s:c>
      <s:c r="Z48" s="192">
        <s:f>IF(AB48&lt;&gt;"",IF($I$12&lt;&gt;"",IF(G48&lt;&gt;"",G48,($I$9/$I$12-SUM($Z$25:Z47))*AA48*AB48/SUMPRODUCT($AB48:$AB$55,$AA48:$AA$55)),""),"")</s:f>
        <s:v>9</s:v>
      </s:c>
      <s:c r="AA48" s="193">
        <s:v>1</s:v>
      </s:c>
      <s:c r="AB48" s="193">
        <s:v>1</s:v>
      </s:c>
      <s:c r="AC48" s="194"/>
      <s:c r="AD48" s="194"/>
      <s:c r="AE48" s="195"/>
      <s:c r="AF48" s="196"/>
      <s:c r="AG48" s="196"/>
      <s:c r="AH48" s="196"/>
      <s:c r="AI48" s="196"/>
      <s:c r="AJ48" s="196"/>
      <s:c r="AK48" s="196"/>
      <s:c r="AL48" s="196"/>
      <s:c r="AM48" s="196"/>
      <s:c r="AN48" s="196"/>
      <s:c r="AO48" s="196"/>
      <s:c r="AP48" s="196"/>
      <s:c r="AQ48" s="196"/>
      <s:c r="AR48" s="196"/>
      <s:c r="AS48" s="196"/>
      <s:c r="AT48" s="196"/>
      <s:c r="AU48" s="196"/>
      <s:c r="AV48" s="196"/>
      <s:c r="AW48" s="196"/>
      <s:c r="AX48" s="196"/>
      <s:c r="AY48" s="196"/>
      <s:c r="AZ48" s="196"/>
      <s:c r="BA48" s="196"/>
      <s:c r="BB48" s="196"/>
      <s:c r="BC48" s="196"/>
      <s:c r="BD48" s="196"/>
      <s:c r="BE48" s="196"/>
      <s:c r="BF48" s="196"/>
      <s:c r="BG48" s="196"/>
      <s:c r="BH48" s="196"/>
      <s:c r="BI48" s="196"/>
      <s:c r="BJ48" s="196"/>
      <s:c r="BK48" s="196"/>
      <s:c r="BL48" s="196"/>
      <s:c r="BM48" s="196"/>
      <s:c r="BN48" s="196"/>
      <s:c r="BO48" s="196"/>
      <s:c r="BP48" s="196"/>
      <s:c r="BQ48" s="196"/>
      <s:c r="BR48" s="196"/>
      <s:c r="BS48" s="196"/>
      <s:c r="BT48" s="196"/>
      <s:c r="BU48" s="196"/>
      <s:c r="BV48" s="196"/>
      <s:c r="BW48" s="196"/>
      <s:c r="BX48" s="196"/>
      <s:c r="BY48" s="196"/>
      <s:c r="BZ48" s="196"/>
      <s:c r="CA48" s="196"/>
      <s:c r="CB48" s="196"/>
      <s:c r="CC48" s="196"/>
      <s:c r="CD48" s="196"/>
      <s:c r="CE48" s="196"/>
      <s:c r="CF48" s="196"/>
      <s:c r="CG48" s="196"/>
      <s:c r="CH48" s="196"/>
      <s:c r="CI48" s="196"/>
      <s:c r="CJ48" s="196"/>
      <s:c r="CK48" s="196"/>
      <s:c r="CL48" s="196"/>
      <s:c r="CM48" s="196"/>
      <s:c r="CN48" s="196"/>
      <s:c r="CO48" s="196"/>
      <s:c r="CP48" s="196"/>
      <s:c r="CQ48" s="196"/>
      <s:c r="CR48" s="196"/>
      <s:c r="CS48" s="196"/>
      <s:c r="CT48" s="196"/>
      <s:c r="CU48" s="196"/>
      <s:c r="CV48" s="196"/>
      <s:c r="CW48" s="196"/>
      <s:c r="CX48" s="196"/>
      <s:c r="CY48" s="196"/>
      <s:c r="CZ48" s="196"/>
      <s:c r="DA48" s="196"/>
      <s:c r="DB48" s="196"/>
      <s:c r="DC48" s="196"/>
      <s:c r="DD48" s="196"/>
      <s:c r="DE48" s="196"/>
      <s:c r="DF48" s="196"/>
      <s:c r="DG48" s="196"/>
      <s:c r="DH48" s="196"/>
      <s:c r="DI48" s="196"/>
      <s:c r="DJ48" s="196"/>
      <s:c r="DK48" s="196"/>
      <s:c r="DL48" s="196"/>
      <s:c r="DM48" s="196"/>
      <s:c r="DN48" s="196"/>
      <s:c r="DO48" s="196"/>
      <s:c r="DP48" s="196"/>
      <s:c r="DQ48" s="196"/>
      <s:c r="DR48" s="196"/>
      <s:c r="DS48" s="196"/>
      <s:c r="DT48" s="196"/>
      <s:c r="DU48" s="196"/>
      <s:c r="DV48" s="196"/>
      <s:c r="DW48" s="196"/>
      <s:c r="DX48" s="196"/>
      <s:c r="DY48" s="196"/>
      <s:c r="DZ48" s="196"/>
      <s:c r="EA48" s="196"/>
      <s:c r="EB48" s="196"/>
      <s:c r="EC48" s="196"/>
      <s:c r="ED48" s="196"/>
      <s:c r="EE48" s="196"/>
      <s:c r="EF48" s="196"/>
      <s:c r="EG48" s="196"/>
      <s:c r="EH48" s="196"/>
      <s:c r="EI48" s="196"/>
      <s:c r="EJ48" s="196"/>
      <s:c r="EK48" s="196"/>
      <s:c r="EL48" s="196"/>
      <s:c r="EM48" s="196"/>
      <s:c r="EN48" s="196"/>
      <s:c r="EO48" s="196"/>
      <s:c r="EP48" s="196"/>
      <s:c r="EQ48" s="196"/>
      <s:c r="ER48" s="196"/>
      <s:c r="ES48" s="196"/>
      <s:c r="ET48" s="196"/>
      <s:c r="EU48" s="196"/>
      <s:c r="EV48" s="196"/>
      <s:c r="EW48" s="196"/>
      <s:c r="EX48" s="196"/>
      <s:c r="EY48" s="196"/>
      <s:c r="EZ48" s="196"/>
      <s:c r="FA48" s="196"/>
      <s:c r="FB48" s="196"/>
      <s:c r="FC48" s="196"/>
      <s:c r="FD48" s="196"/>
      <s:c r="FE48" s="196"/>
      <s:c r="FF48" s="196"/>
      <s:c r="FG48" s="196"/>
      <s:c r="FH48" s="196"/>
      <s:c r="FI48" s="196"/>
      <s:c r="FJ48" s="196"/>
      <s:c r="FK48" s="196"/>
      <s:c r="FL48" s="196"/>
      <s:c r="FM48" s="196"/>
      <s:c r="FN48" s="196"/>
      <s:c r="FO48" s="196"/>
      <s:c r="FP48" s="196"/>
      <s:c r="FQ48" s="196"/>
      <s:c r="FR48" s="196"/>
      <s:c r="FS48" s="196"/>
      <s:c r="FT48" s="196"/>
      <s:c r="FU48" s="196"/>
      <s:c r="FV48" s="196"/>
      <s:c r="FW48" s="196"/>
      <s:c r="FX48" s="196"/>
      <s:c r="FY48" s="196"/>
      <s:c r="FZ48" s="196"/>
      <s:c r="GA48" s="196"/>
      <s:c r="GB48" s="196"/>
      <s:c r="GC48" s="196"/>
      <s:c r="GD48" s="196"/>
      <s:c r="GE48" s="196"/>
      <s:c r="GF48" s="196"/>
      <s:c r="GG48" s="196"/>
      <s:c r="GH48" s="196"/>
      <s:c r="GI48" s="196"/>
      <s:c r="GJ48" s="196"/>
      <s:c r="GK48" s="196"/>
      <s:c r="GL48" s="196"/>
      <s:c r="GM48" s="196"/>
      <s:c r="GN48" s="196"/>
      <s:c r="GO48" s="196"/>
      <s:c r="GP48" s="196"/>
      <s:c r="GQ48" s="196"/>
      <s:c r="GR48" s="196"/>
      <s:c r="GS48" s="196"/>
      <s:c r="GT48" s="196"/>
      <s:c r="GU48" s="196"/>
      <s:c r="GV48" s="196"/>
      <s:c r="GW48" s="196"/>
      <s:c r="GX48" s="196"/>
      <s:c r="GY48" s="196"/>
      <s:c r="GZ48" s="196"/>
      <s:c r="HA48" s="196"/>
      <s:c r="HB48" s="196"/>
      <s:c r="HC48" s="196"/>
      <s:c r="HD48" s="196"/>
      <s:c r="HE48" s="196"/>
      <s:c r="HF48" s="196"/>
      <s:c r="HG48" s="196"/>
      <s:c r="HH48" s="196"/>
      <s:c r="HI48" s="196"/>
      <s:c r="HJ48" s="196"/>
      <s:c r="HK48" s="196"/>
      <s:c r="HL48" s="196"/>
      <s:c r="HM48" s="196"/>
      <s:c r="HN48" s="196"/>
      <s:c r="HO48" s="196"/>
      <s:c r="HP48" s="196"/>
      <s:c r="HQ48" s="196"/>
      <s:c r="HR48" s="196"/>
      <s:c r="HS48" s="196"/>
      <s:c r="HT48" s="196"/>
      <s:c r="HU48" s="196"/>
      <s:c r="HV48" s="196"/>
      <s:c r="HW48" s="196"/>
      <s:c r="HX48" s="196"/>
      <s:c r="HY48" s="196"/>
      <s:c r="HZ48" s="196"/>
      <s:c r="IA48" s="196"/>
      <s:c r="IB48" s="196"/>
      <s:c r="IC48" s="196"/>
      <s:c r="ID48" s="196"/>
      <s:c r="IE48" s="196"/>
      <s:c r="IF48" s="196"/>
      <s:c r="IG48" s="196"/>
      <s:c r="IH48" s="196"/>
      <s:c r="II48" s="196"/>
      <s:c r="IJ48" s="196"/>
      <s:c r="IK48" s="196"/>
      <s:c r="IL48" s="196"/>
      <s:c r="IM48" s="196"/>
      <s:c r="IN48" s="196"/>
      <s:c r="IO48" s="196"/>
      <s:c r="IP48" s="196"/>
      <s:c r="IQ48" s="196"/>
      <s:c r="IR48" s="196"/>
      <s:c r="IS48" s="196"/>
      <s:c r="IT48" s="196"/>
      <s:c r="IU48" s="196"/>
      <s:c r="IV48" s="196"/>
      <s:c r="IW48" s="196"/>
      <s:c r="IX48" s="196"/>
      <s:c r="IY48" s="196"/>
      <s:c r="IZ48" s="196"/>
    </s:row>
    <s:row r="49" s="135" customFormat="1">
      <s:c r="A49" s="175" t="s">
        <s:v>81</s:v>
      </s:c>
      <s:c r="B49" s="153">
        <s:v>46047</s:v>
      </s:c>
      <s:c r="C49" s="180" t="s">
        <s:v>59</s:v>
      </s:c>
      <s:c r="D49" s="142">
        <s:v>23266</s:v>
      </s:c>
      <s:c r="E49" s="140">
        <s:v>4</s:v>
      </s:c>
      <s:c r="F49" s="141">
        <s:f>IF(AND(E49&lt;&gt;"",E49&lt;&gt;0),D49/E49,"")</s:f>
        <s:v>5816.5</s:v>
      </s:c>
      <s:c r="G49" s="140">
        <s:v>1</s:v>
      </s:c>
      <s:c r="H49" s="141">
        <s:f>IF(AND(G49&lt;&gt;"",G49&lt;&gt;0),D49/G49,"")</s:f>
        <s:v>23266</s:v>
      </s:c>
      <s:c r="I49" s="140">
        <s:v>49</s:v>
      </s:c>
      <s:c r="J49" s="142">
        <s:f>IF(AND(G49&lt;&gt;"",G49&lt;&gt;0),E49/G49,"")</s:f>
        <s:v>4</s:v>
      </s:c>
      <s:c r="K49" s="140"/>
      <s:c r="L49" s="140"/>
      <s:c r="M49" s="140"/>
      <s:c r="N49" s="140"/>
      <s:c r="O49" s="140"/>
      <s:c r="P49" s="143"/>
      <s:c r="Q49" s="143"/>
      <s:c r="R49" s="141"/>
      <s:c r="S49" s="128">
        <s:f>IF(AND(I49&lt;&gt;"",I49&lt;&gt;0),G49/I49,"")</s:f>
        <s:v>0.020408163265306121</s:v>
      </s:c>
      <s:c r="T49" s="144">
        <s:f>D49/U49</s:f>
        <s:v>0.31968596550166734</s:v>
      </s:c>
      <s:c r="U49" s="145">
        <s:f>$I$8*AA49*AB49/SUMPRODUCT($AB$25:$AB$55,$AA$25:$AA$55)</s:f>
        <s:v>72777.670935568967</s:v>
      </s:c>
      <s:c r="V49" s="146">
        <s:f>$I$9*AA49*AB49/SUMPRODUCT($AB$25:$AB$55,$AA$25:$AA$55)</s:f>
        <s:v>11.02691983872257</s:v>
      </s:c>
      <s:c r="W49" s="146">
        <s:f>IF($I$12="","",V49/$I$12)</s:f>
        <s:v>6.4864234345426883</s:v>
      </s:c>
      <s:c r="X49" s="145">
        <s:f>IF(AB49&lt;&gt;"",IF(D49&lt;&gt;"",D49,($I$8-SUM($X$25:X48))*AA49*AB49/SUMPRODUCT($AB49:$AB$55,$AA49:$AA$55)),"")</s:f>
        <s:v>23266</s:v>
      </s:c>
      <s:c r="Y49" s="146">
        <s:f>IF(AB49&lt;&gt;"",IF(E49&lt;&gt;"",E49,($I$9-SUM($Y$25:Y48))*AA49*AB49/SUMPRODUCT($AB49:$AB$55,$AA49:$AA$55)),"")</s:f>
        <s:v>4</s:v>
      </s:c>
      <s:c r="Z49" s="146">
        <s:f>IF(AB49&lt;&gt;"",IF($I$12&lt;&gt;"",IF(G49&lt;&gt;"",G49,($I$9/$I$12-SUM($Z$25:Z48))*AA49*AB49/SUMPRODUCT($AB49:$AB$55,$AA49:$AA$55)),""),"")</s:f>
        <s:v>1</s:v>
      </s:c>
      <s:c r="AA49" s="147">
        <s:v>1</s:v>
      </s:c>
      <s:c r="AB49" s="147">
        <s:v>1</s:v>
      </s:c>
      <s:c r="AC49" s="148"/>
      <s:c r="AD49" s="148"/>
      <s:c r="AE49" s="197"/>
      <s:c r="AF49" s="149"/>
      <s:c r="AG49" s="149"/>
      <s:c r="AH49" s="149"/>
      <s:c r="AI49" s="149"/>
      <s:c r="AJ49" s="149"/>
      <s:c r="AK49" s="149"/>
      <s:c r="AL49" s="149"/>
      <s:c r="AM49" s="149"/>
      <s:c r="AN49" s="149"/>
      <s:c r="AO49" s="149"/>
      <s:c r="AP49" s="149"/>
      <s:c r="AQ49" s="149"/>
      <s:c r="AR49" s="149"/>
      <s:c r="AS49" s="149"/>
      <s:c r="AT49" s="149"/>
      <s:c r="AU49" s="149"/>
      <s:c r="AV49" s="149"/>
      <s:c r="AW49" s="149"/>
      <s:c r="AX49" s="149"/>
      <s:c r="AY49" s="149"/>
      <s:c r="AZ49" s="149"/>
      <s:c r="BA49" s="149"/>
      <s:c r="BB49" s="149"/>
      <s:c r="BC49" s="149"/>
      <s:c r="BD49" s="149"/>
      <s:c r="BE49" s="149"/>
      <s:c r="BF49" s="149"/>
      <s:c r="BG49" s="149"/>
      <s:c r="BH49" s="149"/>
      <s:c r="BI49" s="149"/>
      <s:c r="BJ49" s="149"/>
      <s:c r="BK49" s="149"/>
      <s:c r="BL49" s="149"/>
      <s:c r="BM49" s="149"/>
      <s:c r="BN49" s="149"/>
      <s:c r="BO49" s="149"/>
      <s:c r="BP49" s="149"/>
      <s:c r="BQ49" s="149"/>
      <s:c r="BR49" s="149"/>
      <s:c r="BS49" s="149"/>
      <s:c r="BT49" s="149"/>
      <s:c r="BU49" s="149"/>
      <s:c r="BV49" s="149"/>
      <s:c r="BW49" s="149"/>
      <s:c r="BX49" s="149"/>
      <s:c r="BY49" s="149"/>
      <s:c r="BZ49" s="149"/>
      <s:c r="CA49" s="149"/>
      <s:c r="CB49" s="149"/>
      <s:c r="CC49" s="149"/>
      <s:c r="CD49" s="149"/>
      <s:c r="CE49" s="149"/>
      <s:c r="CF49" s="149"/>
      <s:c r="CG49" s="149"/>
      <s:c r="CH49" s="149"/>
      <s:c r="CI49" s="149"/>
      <s:c r="CJ49" s="149"/>
      <s:c r="CK49" s="149"/>
      <s:c r="CL49" s="149"/>
      <s:c r="CM49" s="149"/>
      <s:c r="CN49" s="149"/>
      <s:c r="CO49" s="149"/>
      <s:c r="CP49" s="149"/>
      <s:c r="CQ49" s="149"/>
      <s:c r="CR49" s="149"/>
      <s:c r="CS49" s="149"/>
      <s:c r="CT49" s="149"/>
      <s:c r="CU49" s="149"/>
      <s:c r="CV49" s="149"/>
      <s:c r="CW49" s="149"/>
      <s:c r="CX49" s="149"/>
      <s:c r="CY49" s="149"/>
      <s:c r="CZ49" s="149"/>
      <s:c r="DA49" s="149"/>
      <s:c r="DB49" s="149"/>
      <s:c r="DC49" s="149"/>
      <s:c r="DD49" s="149"/>
      <s:c r="DE49" s="149"/>
      <s:c r="DF49" s="149"/>
      <s:c r="DG49" s="149"/>
      <s:c r="DH49" s="149"/>
      <s:c r="DI49" s="149"/>
      <s:c r="DJ49" s="149"/>
      <s:c r="DK49" s="149"/>
      <s:c r="DL49" s="149"/>
      <s:c r="DM49" s="149"/>
      <s:c r="DN49" s="149"/>
      <s:c r="DO49" s="149"/>
      <s:c r="DP49" s="149"/>
      <s:c r="DQ49" s="149"/>
      <s:c r="DR49" s="149"/>
      <s:c r="DS49" s="149"/>
      <s:c r="DT49" s="149"/>
      <s:c r="DU49" s="149"/>
      <s:c r="DV49" s="149"/>
      <s:c r="DW49" s="149"/>
      <s:c r="DX49" s="149"/>
      <s:c r="DY49" s="149"/>
      <s:c r="DZ49" s="149"/>
      <s:c r="EA49" s="149"/>
      <s:c r="EB49" s="149"/>
      <s:c r="EC49" s="149"/>
      <s:c r="ED49" s="149"/>
      <s:c r="EE49" s="149"/>
      <s:c r="EF49" s="149"/>
      <s:c r="EG49" s="149"/>
      <s:c r="EH49" s="149"/>
      <s:c r="EI49" s="149"/>
      <s:c r="EJ49" s="149"/>
      <s:c r="EK49" s="149"/>
      <s:c r="EL49" s="149"/>
      <s:c r="EM49" s="149"/>
      <s:c r="EN49" s="149"/>
      <s:c r="EO49" s="149"/>
      <s:c r="EP49" s="149"/>
      <s:c r="EQ49" s="149"/>
      <s:c r="ER49" s="149"/>
      <s:c r="ES49" s="149"/>
      <s:c r="ET49" s="149"/>
      <s:c r="EU49" s="149"/>
      <s:c r="EV49" s="149"/>
      <s:c r="EW49" s="149"/>
      <s:c r="EX49" s="149"/>
      <s:c r="EY49" s="149"/>
      <s:c r="EZ49" s="149"/>
      <s:c r="FA49" s="149"/>
      <s:c r="FB49" s="149"/>
      <s:c r="FC49" s="149"/>
      <s:c r="FD49" s="149"/>
      <s:c r="FE49" s="149"/>
      <s:c r="FF49" s="149"/>
      <s:c r="FG49" s="149"/>
      <s:c r="FH49" s="149"/>
      <s:c r="FI49" s="149"/>
      <s:c r="FJ49" s="149"/>
      <s:c r="FK49" s="149"/>
      <s:c r="FL49" s="149"/>
      <s:c r="FM49" s="149"/>
      <s:c r="FN49" s="149"/>
      <s:c r="FO49" s="149"/>
      <s:c r="FP49" s="149"/>
      <s:c r="FQ49" s="149"/>
      <s:c r="FR49" s="149"/>
      <s:c r="FS49" s="149"/>
      <s:c r="FT49" s="149"/>
      <s:c r="FU49" s="149"/>
      <s:c r="FV49" s="149"/>
      <s:c r="FW49" s="149"/>
      <s:c r="FX49" s="149"/>
      <s:c r="FY49" s="149"/>
      <s:c r="FZ49" s="149"/>
      <s:c r="GA49" s="149"/>
      <s:c r="GB49" s="149"/>
      <s:c r="GC49" s="149"/>
      <s:c r="GD49" s="149"/>
      <s:c r="GE49" s="149"/>
      <s:c r="GF49" s="149"/>
      <s:c r="GG49" s="149"/>
      <s:c r="GH49" s="149"/>
      <s:c r="GI49" s="149"/>
      <s:c r="GJ49" s="149"/>
      <s:c r="GK49" s="149"/>
      <s:c r="GL49" s="149"/>
      <s:c r="GM49" s="149"/>
      <s:c r="GN49" s="149"/>
      <s:c r="GO49" s="149"/>
      <s:c r="GP49" s="149"/>
      <s:c r="GQ49" s="149"/>
      <s:c r="GR49" s="149"/>
      <s:c r="GS49" s="149"/>
      <s:c r="GT49" s="149"/>
      <s:c r="GU49" s="149"/>
      <s:c r="GV49" s="149"/>
      <s:c r="GW49" s="149"/>
      <s:c r="GX49" s="149"/>
      <s:c r="GY49" s="149"/>
      <s:c r="GZ49" s="149"/>
      <s:c r="HA49" s="149"/>
      <s:c r="HB49" s="149"/>
      <s:c r="HC49" s="149"/>
      <s:c r="HD49" s="149"/>
      <s:c r="HE49" s="149"/>
      <s:c r="HF49" s="149"/>
      <s:c r="HG49" s="149"/>
      <s:c r="HH49" s="149"/>
      <s:c r="HI49" s="149"/>
      <s:c r="HJ49" s="149"/>
      <s:c r="HK49" s="149"/>
      <s:c r="HL49" s="149"/>
      <s:c r="HM49" s="149"/>
      <s:c r="HN49" s="149"/>
      <s:c r="HO49" s="149"/>
      <s:c r="HP49" s="149"/>
      <s:c r="HQ49" s="149"/>
      <s:c r="HR49" s="149"/>
      <s:c r="HS49" s="149"/>
      <s:c r="HT49" s="149"/>
      <s:c r="HU49" s="149"/>
      <s:c r="HV49" s="149"/>
      <s:c r="HW49" s="149"/>
      <s:c r="HX49" s="149"/>
      <s:c r="HY49" s="149"/>
      <s:c r="HZ49" s="149"/>
      <s:c r="IA49" s="149"/>
      <s:c r="IB49" s="149"/>
      <s:c r="IC49" s="149"/>
      <s:c r="ID49" s="149"/>
      <s:c r="IE49" s="149"/>
      <s:c r="IF49" s="149"/>
      <s:c r="IG49" s="149"/>
      <s:c r="IH49" s="149"/>
      <s:c r="II49" s="149"/>
      <s:c r="IJ49" s="149"/>
      <s:c r="IK49" s="149"/>
      <s:c r="IL49" s="149"/>
      <s:c r="IM49" s="149"/>
      <s:c r="IN49" s="149"/>
      <s:c r="IO49" s="149"/>
      <s:c r="IP49" s="149"/>
      <s:c r="IQ49" s="149"/>
      <s:c r="IR49" s="149"/>
      <s:c r="IS49" s="149"/>
      <s:c r="IT49" s="149"/>
      <s:c r="IU49" s="149"/>
      <s:c r="IV49" s="149"/>
      <s:c r="IW49" s="149"/>
      <s:c r="IX49" s="149"/>
      <s:c r="IY49" s="149"/>
      <s:c r="IZ49" s="149"/>
    </s:row>
    <s:row r="50">
      <s:c r="A50" s="173" t="s">
        <s:v>82</s:v>
      </s:c>
      <s:c r="B50" s="160">
        <s:v>46048</s:v>
      </s:c>
      <s:c r="C50" s="177" t="s">
        <s:v>61</s:v>
      </s:c>
      <s:c r="D50" s="165">
        <s:v>18770</s:v>
      </s:c>
      <s:c r="E50" s="127">
        <s:v>3</s:v>
      </s:c>
      <s:c r="F50" s="198">
        <s:f>IF(AND(E50&lt;&gt;"",E50&lt;&gt;0),D50/E50,"")</s:f>
        <s:v>6256.666666666667</s:v>
      </s:c>
      <s:c r="G50" s="199">
        <s:v>2</s:v>
      </s:c>
      <s:c r="H50" s="164">
        <s:f>IF(AND(G50&lt;&gt;"",G50&lt;&gt;0),D50/G50,"")</s:f>
        <s:v>9385</s:v>
      </s:c>
      <s:c r="I50" s="127">
        <s:v>35</s:v>
      </s:c>
      <s:c r="J50" s="165">
        <s:f>IF(AND(G50&lt;&gt;"",G50&lt;&gt;0),E50/G50,"")</s:f>
        <s:v>1.5</s:v>
      </s:c>
      <s:c r="K50" s="127"/>
      <s:c r="L50" s="127"/>
      <s:c r="M50" s="127"/>
      <s:c r="N50" s="127"/>
      <s:c r="O50" s="127"/>
      <s:c r="P50" s="166"/>
      <s:c r="Q50" s="166"/>
      <s:c r="R50" s="164"/>
      <s:c r="S50" s="167">
        <s:f>IF(AND(I50&lt;&gt;"",I50&lt;&gt;0),G50/I50,"")</s:f>
        <s:v>0.057142857142857141</s:v>
      </s:c>
      <s:c r="T50" s="168">
        <s:f>D50/U50</s:f>
        <s:v>0.25790877557235004</s:v>
      </s:c>
      <s:c r="U50" s="169">
        <s:f>$I$8*AA50*AB50/SUMPRODUCT($AB$25:$AB$55,$AA$25:$AA$55)</s:f>
        <s:v>72777.670935568967</s:v>
      </s:c>
      <s:c r="V50" s="170">
        <s:f>$I$9*AA50*AB50/SUMPRODUCT($AB$25:$AB$55,$AA$25:$AA$55)</s:f>
        <s:v>11.02691983872257</s:v>
      </s:c>
      <s:c r="W50" s="170">
        <s:f>IF($I$12="","",V50/$I$12)</s:f>
        <s:v>6.4864234345426883</s:v>
      </s:c>
      <s:c r="X50" s="169">
        <s:f>IF(AB50&lt;&gt;"",IF(D50&lt;&gt;"",D50,($I$8-SUM($X$25:X49))*AA50*AB50/SUMPRODUCT($AB50:$AB$55,$AA50:$AA$55)),"")</s:f>
        <s:v>18770</s:v>
      </s:c>
      <s:c r="Y50" s="170">
        <s:f>IF(AB50&lt;&gt;"",IF(E50&lt;&gt;"",E50,($I$9-SUM($Y$25:Y49))*AA50*AB50/SUMPRODUCT($AB50:$AB$55,$AA50:$AA$55)),"")</s:f>
        <s:v>3</s:v>
      </s:c>
      <s:c r="Z50" s="170">
        <s:f>IF(AB50&lt;&gt;"",IF($I$12&lt;&gt;"",IF(G50&lt;&gt;"",G50,($I$9/$I$12-SUM($Z$25:Z49))*AA50*AB50/SUMPRODUCT($AB50:$AB$55,$AA50:$AA$55)),""),"")</s:f>
        <s:v>2</s:v>
      </s:c>
      <s:c r="AA50" s="171">
        <s:v>1</s:v>
      </s:c>
      <s:c r="AB50" s="171">
        <s:v>1</s:v>
      </s:c>
      <s:c r="AC50" s="172"/>
      <s:c r="AD50" s="172"/>
      <s:c r="AE50" s="178"/>
      <s:c r="AF50" s="2"/>
      <s:c r="AG50" s="2"/>
      <s:c r="AH50" s="2"/>
      <s:c r="AI50" s="2"/>
      <s:c r="AJ50" s="2"/>
      <s:c r="AK50" s="2"/>
      <s:c r="AL50" s="2"/>
      <s:c r="AM50" s="2"/>
      <s:c r="AN50" s="2"/>
      <s:c r="AO50" s="2"/>
    </s:row>
    <s:row r="51">
      <s:c r="A51" s="173" t="s">
        <s:v>83</s:v>
      </s:c>
      <s:c r="B51" s="160">
        <s:v>46049</s:v>
      </s:c>
      <s:c r="C51" s="179" t="s">
        <s:v>63</s:v>
      </s:c>
      <s:c r="D51" s="165">
        <s:f>131198</s:f>
        <s:v>131198</s:v>
      </s:c>
      <s:c r="E51" s="127">
        <s:v>12</s:v>
      </s:c>
      <s:c r="F51" s="164">
        <s:f>IF(AND(E51&lt;&gt;"",E51&lt;&gt;0),D51/E51,"")</s:f>
        <s:v>10933.166666666666</s:v>
      </s:c>
      <s:c r="G51" s="127">
        <s:v>3</s:v>
      </s:c>
      <s:c r="H51" s="164">
        <s:f>IF(AND(G51&lt;&gt;"",G51&lt;&gt;0),D51/G51,"")</s:f>
        <s:v>43732.666666666664</s:v>
      </s:c>
      <s:c r="I51" s="127">
        <s:v>55</s:v>
      </s:c>
      <s:c r="J51" s="165">
        <s:f>IF(AND(G51&lt;&gt;"",G51&lt;&gt;0),E51/G51,"")</s:f>
        <s:v>4</s:v>
      </s:c>
      <s:c r="K51" s="127"/>
      <s:c r="L51" s="127"/>
      <s:c r="M51" s="127"/>
      <s:c r="N51" s="127"/>
      <s:c r="O51" s="127"/>
      <s:c r="P51" s="166"/>
      <s:c r="Q51" s="166"/>
      <s:c r="R51" s="164"/>
      <s:c r="S51" s="167">
        <s:f>IF(AND(I51&lt;&gt;"",I51&lt;&gt;0),G51/I51,"")</s:f>
        <s:v>0.054545454545454543</s:v>
      </s:c>
      <s:c r="T51" s="168">
        <s:f>D51/U51</s:f>
        <s:v>2.8167550893664406</s:v>
      </s:c>
      <s:c r="U51" s="169">
        <s:f>$I$8*AA51*AB51/SUMPRODUCT($AB$25:$AB$55,$AA$25:$AA$55)</s:f>
        <s:v>46577.709398764142</s:v>
      </s:c>
      <s:c r="V51" s="170">
        <s:f>$I$9*AA51*AB51/SUMPRODUCT($AB$25:$AB$55,$AA$25:$AA$55)</s:f>
        <s:v>7.0572286967824454</s:v>
      </s:c>
      <s:c r="W51" s="170">
        <s:f>IF($I$12="","",V51/$I$12)</s:f>
        <s:v>4.1513109981073208</s:v>
      </s:c>
      <s:c r="X51" s="169">
        <s:f>IF(AB51&lt;&gt;"",IF(D51&lt;&gt;"",D51,($I$8-SUM($X$25:X50))*AA51*AB51/SUMPRODUCT($AB51:$AB$55,$AA51:$AA$55)),"")</s:f>
        <s:v>131198</s:v>
      </s:c>
      <s:c r="Y51" s="170">
        <s:f>IF(AB51&lt;&gt;"",IF(E51&lt;&gt;"",E51,($I$9-SUM($Y$25:Y50))*AA51*AB51/SUMPRODUCT($AB51:$AB$55,$AA51:$AA$55)),"")</s:f>
        <s:v>12</s:v>
      </s:c>
      <s:c r="Z51" s="170">
        <s:f>IF(AB51&lt;&gt;"",IF($I$12&lt;&gt;"",IF(G51&lt;&gt;"",G51,($I$9/$I$12-SUM($Z$25:Z50))*AA51*AB51/SUMPRODUCT($AB51:$AB$55,$AA51:$AA$55)),""),"")</s:f>
        <s:v>3</s:v>
      </s:c>
      <s:c r="AA51" s="171">
        <s:v>0.80000000000000004</s:v>
      </s:c>
      <s:c r="AB51" s="171">
        <s:v>0.80000000000000004</s:v>
      </s:c>
      <s:c r="AC51" s="172"/>
      <s:c r="AD51" s="172"/>
      <s:c r="AE51" s="178"/>
      <s:c r="AF51" s="2"/>
      <s:c r="AG51" s="2"/>
      <s:c r="AH51" s="2"/>
      <s:c r="AI51" s="2"/>
      <s:c r="AJ51" s="2"/>
      <s:c r="AK51" s="2"/>
      <s:c r="AL51" s="2"/>
      <s:c r="AM51" s="2"/>
      <s:c r="AN51" s="2"/>
      <s:c r="AO51" s="2"/>
    </s:row>
    <s:row r="52">
      <s:c r="A52" s="173" t="s">
        <s:v>83</s:v>
      </s:c>
      <s:c r="B52" s="160">
        <s:v>46050</s:v>
      </s:c>
      <s:c r="C52" s="177" t="s">
        <s:v>65</s:v>
      </s:c>
      <s:c r="D52" s="165">
        <s:f>38384-28856</s:f>
        <s:v>9528</s:v>
      </s:c>
      <s:c r="E52" s="127">
        <s:v>5</s:v>
      </s:c>
      <s:c r="F52" s="164">
        <s:f>IF(AND(E52&lt;&gt;"",E52&lt;&gt;0),D52/E52,"")</s:f>
        <s:v>1905.5999999999999</s:v>
      </s:c>
      <s:c r="G52" s="127">
        <s:v>2</s:v>
      </s:c>
      <s:c r="H52" s="164">
        <s:f>IF(AND(G52&lt;&gt;"",G52&lt;&gt;0),D52/G52,"")</s:f>
        <s:v>4764</s:v>
      </s:c>
      <s:c r="I52" s="127">
        <s:v>47</s:v>
      </s:c>
      <s:c r="J52" s="165">
        <s:f>IF(AND(G52&lt;&gt;"",G52&lt;&gt;0),E52/G52,"")</s:f>
        <s:v>2.5</s:v>
      </s:c>
      <s:c r="K52" s="127"/>
      <s:c r="L52" s="127"/>
      <s:c r="M52" s="127"/>
      <s:c r="N52" s="127"/>
      <s:c r="O52" s="127"/>
      <s:c r="P52" s="166"/>
      <s:c r="Q52" s="166"/>
      <s:c r="R52" s="164"/>
      <s:c r="S52" s="167">
        <s:f>IF(AND(I52&lt;&gt;"",I52&lt;&gt;0),G52/I52,"")</s:f>
        <s:v>0.042553191489361701</s:v>
      </s:c>
      <s:c r="T52" s="168">
        <s:f>D52/U52</s:f>
        <s:v>0.20456136901083438</s:v>
      </s:c>
      <s:c r="U52" s="169">
        <s:f>$I$8*AA52*AB52/SUMPRODUCT($AB$25:$AB$55,$AA$25:$AA$55)</s:f>
        <s:v>46577.709398764142</s:v>
      </s:c>
      <s:c r="V52" s="170">
        <s:f>$I$9*AA52*AB52/SUMPRODUCT($AB$25:$AB$55,$AA$25:$AA$55)</s:f>
        <s:v>7.0572286967824454</s:v>
      </s:c>
      <s:c r="W52" s="170">
        <s:f>IF($I$12="","",V52/$I$12)</s:f>
        <s:v>4.1513109981073208</s:v>
      </s:c>
      <s:c r="X52" s="169">
        <s:f>IF(AB52&lt;&gt;"",IF(D52&lt;&gt;"",D52,($I$8-SUM($X$25:X51))*AA52*AB52/SUMPRODUCT($AB52:$AB$55,$AA52:$AA$55)),"")</s:f>
        <s:v>9528</s:v>
      </s:c>
      <s:c r="Y52" s="170">
        <s:f>IF(AB52&lt;&gt;"",IF(E52&lt;&gt;"",E52,($I$9-SUM($Y$25:Y51))*AA52*AB52/SUMPRODUCT($AB52:$AB$55,$AA52:$AA$55)),"")</s:f>
        <s:v>5</s:v>
      </s:c>
      <s:c r="Z52" s="170">
        <s:f>IF(AB52&lt;&gt;"",IF($I$12&lt;&gt;"",IF(G52&lt;&gt;"",G52,($I$9/$I$12-SUM($Z$25:Z51))*AA52*AB52/SUMPRODUCT($AB52:$AB$55,$AA52:$AA$55)),""),"")</s:f>
        <s:v>2</s:v>
      </s:c>
      <s:c r="AA52" s="171">
        <s:v>0.80000000000000004</s:v>
      </s:c>
      <s:c r="AB52" s="171">
        <s:v>0.80000000000000004</s:v>
      </s:c>
      <s:c r="AC52" s="172"/>
      <s:c r="AD52" s="172"/>
      <s:c r="AE52" s="178"/>
      <s:c r="AF52" s="2"/>
      <s:c r="AG52" s="2"/>
      <s:c r="AH52" s="2"/>
      <s:c r="AI52" s="2"/>
      <s:c r="AJ52" s="2"/>
      <s:c r="AK52" s="2"/>
      <s:c r="AL52" s="2"/>
      <s:c r="AM52" s="2"/>
      <s:c r="AN52" s="2"/>
      <s:c r="AO52" s="2"/>
    </s:row>
    <s:row r="53">
      <s:c r="A53" s="173" t="s">
        <s:v>84</s:v>
      </s:c>
      <s:c r="B53" s="160">
        <s:v>46051</s:v>
      </s:c>
      <s:c r="C53" s="179" t="s">
        <s:v>55</s:v>
      </s:c>
      <s:c r="D53" s="165">
        <s:v>28447</s:v>
      </s:c>
      <s:c r="E53" s="127">
        <s:v>5</s:v>
      </s:c>
      <s:c r="F53" s="164">
        <s:f>IF(AND(E53&lt;&gt;"",E53&lt;&gt;0),D53/E53,"")</s:f>
        <s:v>5689.3999999999996</s:v>
      </s:c>
      <s:c r="G53" s="127">
        <s:v>4</s:v>
      </s:c>
      <s:c r="H53" s="164">
        <s:f>IF(AND(G53&lt;&gt;"",G53&lt;&gt;0),D53/G53,"")</s:f>
        <s:v>7111.75</s:v>
      </s:c>
      <s:c r="I53" s="127">
        <s:v>59</s:v>
      </s:c>
      <s:c r="J53" s="165">
        <s:f>IF(AND(G53&lt;&gt;"",G53&lt;&gt;0),E53/G53,"")</s:f>
        <s:v>1.25</s:v>
      </s:c>
      <s:c r="K53" s="127"/>
      <s:c r="L53" s="127"/>
      <s:c r="M53" s="127"/>
      <s:c r="N53" s="127"/>
      <s:c r="O53" s="127"/>
      <s:c r="P53" s="166"/>
      <s:c r="Q53" s="166"/>
      <s:c r="R53" s="164"/>
      <s:c r="S53" s="167">
        <s:f>IF(AND(I53&lt;&gt;"",I53&lt;&gt;0),G53/I53,"")</s:f>
        <s:v>0.067796610169491525</s:v>
      </s:c>
      <s:c r="T53" s="168">
        <s:f>D53/U53</s:f>
        <s:v>0.61074278592057152</s:v>
      </s:c>
      <s:c r="U53" s="169">
        <s:f>$I$8*AA53*AB53/SUMPRODUCT($AB$25:$AB$55,$AA$25:$AA$55)</s:f>
        <s:v>46577.709398764142</s:v>
      </s:c>
      <s:c r="V53" s="170">
        <s:f>$I$9*AA53*AB53/SUMPRODUCT($AB$25:$AB$55,$AA$25:$AA$55)</s:f>
        <s:v>7.0572286967824454</s:v>
      </s:c>
      <s:c r="W53" s="170">
        <s:f>IF($I$12="","",V53/$I$12)</s:f>
        <s:v>4.1513109981073208</s:v>
      </s:c>
      <s:c r="X53" s="169">
        <s:f>IF(AB53&lt;&gt;"",IF(D53&lt;&gt;"",D53,($I$8-SUM($X$25:X52))*AA53*AB53/SUMPRODUCT($AB53:$AB$55,$AA53:$AA$55)),"")</s:f>
        <s:v>28447</s:v>
      </s:c>
      <s:c r="Y53" s="170">
        <s:f>IF(AB53&lt;&gt;"",IF(E53&lt;&gt;"",E53,($I$9-SUM($Y$25:Y52))*AA53*AB53/SUMPRODUCT($AB53:$AB$55,$AA53:$AA$55)),"")</s:f>
        <s:v>5</s:v>
      </s:c>
      <s:c r="Z53" s="170">
        <s:f>IF(AB53&lt;&gt;"",IF($I$12&lt;&gt;"",IF(G53&lt;&gt;"",G53,($I$9/$I$12-SUM($Z$25:Z52))*AA53*AB53/SUMPRODUCT($AB53:$AB$55,$AA53:$AA$55)),""),"")</s:f>
        <s:v>4</s:v>
      </s:c>
      <s:c r="AA53" s="171">
        <s:v>0.80000000000000004</s:v>
      </s:c>
      <s:c r="AB53" s="171">
        <s:v>0.80000000000000004</s:v>
      </s:c>
      <s:c r="AC53" s="172"/>
      <s:c r="AD53" s="172"/>
      <s:c r="AE53" s="178"/>
      <s:c r="AF53" s="2"/>
      <s:c r="AG53" s="2"/>
      <s:c r="AH53" s="2"/>
      <s:c r="AI53" s="2"/>
      <s:c r="AJ53" s="2"/>
      <s:c r="AK53" s="2"/>
      <s:c r="AL53" s="2"/>
      <s:c r="AM53" s="2"/>
      <s:c r="AN53" s="2"/>
      <s:c r="AO53" s="2"/>
    </s:row>
    <s:row r="54" s="135" customFormat="1" ht="15" customHeight="1">
      <s:c r="A54" s="175" t="s">
        <s:v>77</s:v>
      </s:c>
      <s:c r="B54" s="153">
        <s:v>46052</s:v>
      </s:c>
      <s:c r="C54" s="200" t="s">
        <s:v>57</s:v>
      </s:c>
      <s:c r="D54" s="142">
        <s:v>20478</s:v>
      </s:c>
      <s:c r="E54" s="140">
        <s:v>4</s:v>
      </s:c>
      <s:c r="F54" s="141">
        <s:f>IF(AND(E54&lt;&gt;"",E54&lt;&gt;0),D54/E54,"")</s:f>
        <s:v>5119.5</s:v>
      </s:c>
      <s:c r="G54" s="140">
        <s:v>3</s:v>
      </s:c>
      <s:c r="H54" s="141">
        <s:f>IF(AND(G54&lt;&gt;"",G54&lt;&gt;0),D54/G54,"")</s:f>
        <s:v>6826</s:v>
      </s:c>
      <s:c r="I54" s="140">
        <s:v>55</s:v>
      </s:c>
      <s:c r="J54" s="142">
        <s:f>IF(AND(G54&lt;&gt;"",G54&lt;&gt;0),E54/G54,"")</s:f>
        <s:v>1.3333333333333333</s:v>
      </s:c>
      <s:c r="K54" s="140"/>
      <s:c r="L54" s="140"/>
      <s:c r="M54" s="140"/>
      <s:c r="N54" s="140"/>
      <s:c r="O54" s="140"/>
      <s:c r="P54" s="143"/>
      <s:c r="Q54" s="143"/>
      <s:c r="R54" s="141"/>
      <s:c r="S54" s="128">
        <s:f>IF(AND(I54&lt;&gt;"",I54&lt;&gt;0),G54/I54,"")</s:f>
        <s:v>0.054545454545454543</s:v>
      </s:c>
      <s:c r="T54" s="144">
        <s:f>D54/U54</s:f>
        <s:v>0.43965236299368876</s:v>
      </s:c>
      <s:c r="U54" s="145">
        <s:f>$I$8*AA54*AB54/SUMPRODUCT($AB$25:$AB$55,$AA$25:$AA$55)</s:f>
        <s:v>46577.709398764142</s:v>
      </s:c>
      <s:c r="V54" s="146">
        <s:f>$I$9*AA54*AB54/SUMPRODUCT($AB$25:$AB$55,$AA$25:$AA$55)</s:f>
        <s:v>7.0572286967824454</s:v>
      </s:c>
      <s:c r="W54" s="146">
        <s:f>IF($I$12="","",V54/$I$12)</s:f>
        <s:v>4.1513109981073208</s:v>
      </s:c>
      <s:c r="X54" s="145">
        <s:f>IF(AB54&lt;&gt;"",IF(D54&lt;&gt;"",D54,($I$8-SUM($X$25:X53))*AA54*AB54/SUMPRODUCT($AB54:$AB$55,$AA54:$AA$55)),"")</s:f>
        <s:v>20478</s:v>
      </s:c>
      <s:c r="Y54" s="146">
        <s:f>IF(AB54&lt;&gt;"",IF(E54&lt;&gt;"",E54,($I$9-SUM($Y$25:Y53))*AA54*AB54/SUMPRODUCT($AB54:$AB$55,$AA54:$AA$55)),"")</s:f>
        <s:v>4</s:v>
      </s:c>
      <s:c r="Z54" s="146">
        <s:f>IF(AB54&lt;&gt;"",IF($I$12&lt;&gt;"",IF(G54&lt;&gt;"",G54,($I$9/$I$12-SUM($Z$25:Z53))*AA54*AB54/SUMPRODUCT($AB54:$AB$55,$AA54:$AA$55)),""),"")</s:f>
        <s:v>3</s:v>
      </s:c>
      <s:c r="AA54" s="147">
        <s:v>0.80000000000000004</s:v>
      </s:c>
      <s:c r="AB54" s="147">
        <s:v>0.80000000000000004</s:v>
      </s:c>
      <s:c r="AC54" s="148"/>
      <s:c r="AD54" s="148"/>
      <s:c r="AE54" s="197"/>
      <s:c r="AF54" s="149"/>
      <s:c r="AG54" s="149"/>
      <s:c r="AH54" s="149"/>
      <s:c r="AI54" s="149"/>
      <s:c r="AJ54" s="149"/>
      <s:c r="AK54" s="149"/>
      <s:c r="AL54" s="149"/>
      <s:c r="AM54" s="149"/>
      <s:c r="AN54" s="149"/>
      <s:c r="AO54" s="149"/>
      <s:c r="AP54" s="149"/>
      <s:c r="AQ54" s="149"/>
      <s:c r="AR54" s="149"/>
      <s:c r="AS54" s="149"/>
      <s:c r="AT54" s="149"/>
      <s:c r="AU54" s="149"/>
      <s:c r="AV54" s="149"/>
      <s:c r="AW54" s="149"/>
      <s:c r="AX54" s="149"/>
      <s:c r="AY54" s="149"/>
      <s:c r="AZ54" s="149"/>
      <s:c r="BA54" s="149"/>
      <s:c r="BB54" s="149"/>
      <s:c r="BC54" s="149"/>
      <s:c r="BD54" s="149"/>
      <s:c r="BE54" s="149"/>
      <s:c r="BF54" s="149"/>
      <s:c r="BG54" s="149"/>
      <s:c r="BH54" s="149"/>
      <s:c r="BI54" s="149"/>
      <s:c r="BJ54" s="149"/>
      <s:c r="BK54" s="149"/>
      <s:c r="BL54" s="149"/>
      <s:c r="BM54" s="149"/>
      <s:c r="BN54" s="149"/>
      <s:c r="BO54" s="149"/>
      <s:c r="BP54" s="149"/>
      <s:c r="BQ54" s="149"/>
      <s:c r="BR54" s="149"/>
      <s:c r="BS54" s="149"/>
      <s:c r="BT54" s="149"/>
      <s:c r="BU54" s="149"/>
      <s:c r="BV54" s="149"/>
      <s:c r="BW54" s="149"/>
      <s:c r="BX54" s="149"/>
      <s:c r="BY54" s="149"/>
      <s:c r="BZ54" s="149"/>
      <s:c r="CA54" s="149"/>
      <s:c r="CB54" s="149"/>
      <s:c r="CC54" s="149"/>
      <s:c r="CD54" s="149"/>
      <s:c r="CE54" s="149"/>
      <s:c r="CF54" s="149"/>
      <s:c r="CG54" s="149"/>
      <s:c r="CH54" s="149"/>
      <s:c r="CI54" s="149"/>
      <s:c r="CJ54" s="149"/>
      <s:c r="CK54" s="149"/>
      <s:c r="CL54" s="149"/>
      <s:c r="CM54" s="149"/>
      <s:c r="CN54" s="149"/>
      <s:c r="CO54" s="149"/>
      <s:c r="CP54" s="149"/>
      <s:c r="CQ54" s="149"/>
      <s:c r="CR54" s="149"/>
      <s:c r="CS54" s="149"/>
      <s:c r="CT54" s="149"/>
      <s:c r="CU54" s="149"/>
      <s:c r="CV54" s="149"/>
      <s:c r="CW54" s="149"/>
      <s:c r="CX54" s="149"/>
      <s:c r="CY54" s="149"/>
      <s:c r="CZ54" s="149"/>
      <s:c r="DA54" s="149"/>
      <s:c r="DB54" s="149"/>
      <s:c r="DC54" s="149"/>
      <s:c r="DD54" s="149"/>
      <s:c r="DE54" s="149"/>
      <s:c r="DF54" s="149"/>
      <s:c r="DG54" s="149"/>
      <s:c r="DH54" s="149"/>
      <s:c r="DI54" s="149"/>
      <s:c r="DJ54" s="149"/>
      <s:c r="DK54" s="149"/>
      <s:c r="DL54" s="149"/>
      <s:c r="DM54" s="149"/>
      <s:c r="DN54" s="149"/>
      <s:c r="DO54" s="149"/>
      <s:c r="DP54" s="149"/>
      <s:c r="DQ54" s="149"/>
      <s:c r="DR54" s="149"/>
      <s:c r="DS54" s="149"/>
      <s:c r="DT54" s="149"/>
      <s:c r="DU54" s="149"/>
      <s:c r="DV54" s="149"/>
      <s:c r="DW54" s="149"/>
      <s:c r="DX54" s="149"/>
      <s:c r="DY54" s="149"/>
      <s:c r="DZ54" s="149"/>
      <s:c r="EA54" s="149"/>
      <s:c r="EB54" s="149"/>
      <s:c r="EC54" s="149"/>
      <s:c r="ED54" s="149"/>
      <s:c r="EE54" s="149"/>
      <s:c r="EF54" s="149"/>
      <s:c r="EG54" s="149"/>
      <s:c r="EH54" s="149"/>
      <s:c r="EI54" s="149"/>
      <s:c r="EJ54" s="149"/>
      <s:c r="EK54" s="149"/>
      <s:c r="EL54" s="149"/>
      <s:c r="EM54" s="149"/>
      <s:c r="EN54" s="149"/>
      <s:c r="EO54" s="149"/>
      <s:c r="EP54" s="149"/>
      <s:c r="EQ54" s="149"/>
      <s:c r="ER54" s="149"/>
      <s:c r="ES54" s="149"/>
      <s:c r="ET54" s="149"/>
      <s:c r="EU54" s="149"/>
      <s:c r="EV54" s="149"/>
      <s:c r="EW54" s="149"/>
      <s:c r="EX54" s="149"/>
      <s:c r="EY54" s="149"/>
      <s:c r="EZ54" s="149"/>
      <s:c r="FA54" s="149"/>
      <s:c r="FB54" s="149"/>
      <s:c r="FC54" s="149"/>
      <s:c r="FD54" s="149"/>
      <s:c r="FE54" s="149"/>
      <s:c r="FF54" s="149"/>
      <s:c r="FG54" s="149"/>
      <s:c r="FH54" s="149"/>
      <s:c r="FI54" s="149"/>
      <s:c r="FJ54" s="149"/>
      <s:c r="FK54" s="149"/>
      <s:c r="FL54" s="149"/>
      <s:c r="FM54" s="149"/>
      <s:c r="FN54" s="149"/>
      <s:c r="FO54" s="149"/>
      <s:c r="FP54" s="149"/>
      <s:c r="FQ54" s="149"/>
      <s:c r="FR54" s="149"/>
      <s:c r="FS54" s="149"/>
      <s:c r="FT54" s="149"/>
      <s:c r="FU54" s="149"/>
      <s:c r="FV54" s="149"/>
      <s:c r="FW54" s="149"/>
      <s:c r="FX54" s="149"/>
      <s:c r="FY54" s="149"/>
      <s:c r="FZ54" s="149"/>
      <s:c r="GA54" s="149"/>
      <s:c r="GB54" s="149"/>
      <s:c r="GC54" s="149"/>
      <s:c r="GD54" s="149"/>
      <s:c r="GE54" s="149"/>
      <s:c r="GF54" s="149"/>
      <s:c r="GG54" s="149"/>
      <s:c r="GH54" s="149"/>
      <s:c r="GI54" s="149"/>
      <s:c r="GJ54" s="149"/>
      <s:c r="GK54" s="149"/>
      <s:c r="GL54" s="149"/>
      <s:c r="GM54" s="149"/>
      <s:c r="GN54" s="149"/>
      <s:c r="GO54" s="149"/>
      <s:c r="GP54" s="149"/>
      <s:c r="GQ54" s="149"/>
      <s:c r="GR54" s="149"/>
      <s:c r="GS54" s="149"/>
      <s:c r="GT54" s="149"/>
      <s:c r="GU54" s="149"/>
      <s:c r="GV54" s="149"/>
      <s:c r="GW54" s="149"/>
      <s:c r="GX54" s="149"/>
      <s:c r="GY54" s="149"/>
      <s:c r="GZ54" s="149"/>
      <s:c r="HA54" s="149"/>
      <s:c r="HB54" s="149"/>
      <s:c r="HC54" s="149"/>
      <s:c r="HD54" s="149"/>
      <s:c r="HE54" s="149"/>
      <s:c r="HF54" s="149"/>
      <s:c r="HG54" s="149"/>
      <s:c r="HH54" s="149"/>
      <s:c r="HI54" s="149"/>
      <s:c r="HJ54" s="149"/>
      <s:c r="HK54" s="149"/>
      <s:c r="HL54" s="149"/>
      <s:c r="HM54" s="149"/>
      <s:c r="HN54" s="149"/>
      <s:c r="HO54" s="149"/>
      <s:c r="HP54" s="149"/>
      <s:c r="HQ54" s="149"/>
      <s:c r="HR54" s="149"/>
      <s:c r="HS54" s="149"/>
      <s:c r="HT54" s="149"/>
      <s:c r="HU54" s="149"/>
      <s:c r="HV54" s="149"/>
      <s:c r="HW54" s="149"/>
      <s:c r="HX54" s="149"/>
      <s:c r="HY54" s="149"/>
      <s:c r="HZ54" s="149"/>
      <s:c r="IA54" s="149"/>
      <s:c r="IB54" s="149"/>
      <s:c r="IC54" s="149"/>
      <s:c r="ID54" s="149"/>
      <s:c r="IE54" s="149"/>
      <s:c r="IF54" s="149"/>
      <s:c r="IG54" s="149"/>
      <s:c r="IH54" s="149"/>
      <s:c r="II54" s="149"/>
      <s:c r="IJ54" s="149"/>
      <s:c r="IK54" s="149"/>
      <s:c r="IL54" s="149"/>
      <s:c r="IM54" s="149"/>
      <s:c r="IN54" s="149"/>
      <s:c r="IO54" s="149"/>
      <s:c r="IP54" s="149"/>
      <s:c r="IQ54" s="149"/>
      <s:c r="IR54" s="149"/>
      <s:c r="IS54" s="149"/>
      <s:c r="IT54" s="149"/>
      <s:c r="IU54" s="149"/>
      <s:c r="IV54" s="149"/>
      <s:c r="IW54" s="149"/>
      <s:c r="IX54" s="149"/>
      <s:c r="IY54" s="149"/>
      <s:c r="IZ54" s="149"/>
    </s:row>
    <s:row r="55" s="135" customFormat="1" ht="15" customHeight="1">
      <s:c r="A55" s="175" t="s">
        <s:v>79</s:v>
      </s:c>
      <s:c r="B55" s="153">
        <s:v>46053</s:v>
      </s:c>
      <s:c r="C55" s="180" t="s">
        <s:v>58</s:v>
      </s:c>
      <s:c r="D55" s="142">
        <s:v>45962</s:v>
      </s:c>
      <s:c r="E55" s="140">
        <s:v>5</s:v>
      </s:c>
      <s:c r="F55" s="141">
        <s:f>IF(AND(E55&lt;&gt;"",E55&lt;&gt;0),D55/E55,"")</s:f>
        <s:v>9192.3999999999996</s:v>
      </s:c>
      <s:c r="G55" s="140">
        <s:v>7</s:v>
      </s:c>
      <s:c r="H55" s="141">
        <s:f>IF(AND(G55&lt;&gt;"",G55&lt;&gt;0),D55/G55,"")</s:f>
        <s:v>6566</s:v>
      </s:c>
      <s:c r="I55" s="140">
        <s:v>62</s:v>
      </s:c>
      <s:c r="J55" s="142">
        <s:f>IF(AND(G55&lt;&gt;"",G55&lt;&gt;0),E55/G55,"")</s:f>
        <s:v>0.7142857142857143</s:v>
      </s:c>
      <s:c r="K55" s="140"/>
      <s:c r="L55" s="140">
        <s:v>220</s:v>
      </s:c>
      <s:c r="M55" s="140">
        <s:v>10892</s:v>
      </s:c>
      <s:c r="N55" s="140"/>
      <s:c r="O55" s="140"/>
      <s:c r="P55" s="143"/>
      <s:c r="Q55" s="143"/>
      <s:c r="R55" s="141"/>
      <s:c r="S55" s="128">
        <s:f>IF(AND(I55&lt;&gt;"",I55&lt;&gt;0),G55/I55,"")</s:f>
        <s:v>0.11290322580645161</s:v>
      </s:c>
      <s:c r="T55" s="144">
        <s:f>D55/U55</s:f>
        <s:v>0.98678102880730156</s:v>
      </s:c>
      <s:c r="U55" s="145">
        <s:f>$I$8*AA55*AB55/SUMPRODUCT($AB$25:$AB$55,$AA$25:$AA$55)</s:f>
        <s:v>46577.709398764142</s:v>
      </s:c>
      <s:c r="V55" s="146">
        <s:f>$I$9*AA55*AB55/SUMPRODUCT($AB$25:$AB$55,$AA$25:$AA$55)</s:f>
        <s:v>7.0572286967824454</s:v>
      </s:c>
      <s:c r="W55" s="146">
        <s:f>IF($I$12="","",V55/$I$12)</s:f>
        <s:v>4.1513109981073208</s:v>
      </s:c>
      <s:c r="X55" s="145">
        <s:f>IF(AB55&lt;&gt;"",IF(D55&lt;&gt;"",D55,($I$8-SUM($X$25:X54))*AA55*AB55/SUMPRODUCT($AB55:$AB$55,$AA55:$AA$55)),"")</s:f>
        <s:v>45962</s:v>
      </s:c>
      <s:c r="Y55" s="146">
        <s:f>IF(AB55&lt;&gt;"",IF(E55&lt;&gt;"",E55,($I$9-SUM($Y$25:Y54))*AA55*AB55/SUMPRODUCT($AB55:$AB$55,$AA55:$AA$55)),"")</s:f>
        <s:v>5</s:v>
      </s:c>
      <s:c r="Z55" s="146">
        <s:f>IF(AB55&lt;&gt;"",IF($I$12&lt;&gt;"",IF(G55&lt;&gt;"",G55,($I$9/$I$12-SUM($Z$25:Z54))*AA55*AB55/SUMPRODUCT($AB55:$AB$55,$AA55:$AA$55)),""),"")</s:f>
        <s:v>7</s:v>
      </s:c>
      <s:c r="AA55" s="147">
        <s:v>0.80000000000000004</s:v>
      </s:c>
      <s:c r="AB55" s="147">
        <s:v>0.80000000000000004</s:v>
      </s:c>
      <s:c r="AC55" s="148"/>
      <s:c r="AD55" s="148"/>
      <s:c r="AE55" s="149"/>
      <s:c r="AF55" s="149"/>
      <s:c r="AG55" s="149"/>
      <s:c r="AH55" s="149"/>
      <s:c r="AI55" s="149"/>
      <s:c r="AJ55" s="149"/>
      <s:c r="AK55" s="149"/>
      <s:c r="AL55" s="149"/>
      <s:c r="AM55" s="149"/>
      <s:c r="AN55" s="149"/>
      <s:c r="AO55" s="149"/>
      <s:c r="AP55" s="149"/>
      <s:c r="AQ55" s="149"/>
      <s:c r="AR55" s="149"/>
      <s:c r="AS55" s="149"/>
      <s:c r="AT55" s="149"/>
      <s:c r="AU55" s="149"/>
      <s:c r="AV55" s="149"/>
      <s:c r="AW55" s="149"/>
      <s:c r="AX55" s="149"/>
      <s:c r="AY55" s="149"/>
      <s:c r="AZ55" s="149"/>
      <s:c r="BA55" s="149"/>
      <s:c r="BB55" s="149"/>
      <s:c r="BC55" s="149"/>
      <s:c r="BD55" s="149"/>
      <s:c r="BE55" s="149"/>
      <s:c r="BF55" s="149"/>
      <s:c r="BG55" s="149"/>
      <s:c r="BH55" s="149"/>
      <s:c r="BI55" s="149"/>
      <s:c r="BJ55" s="149"/>
      <s:c r="BK55" s="149"/>
      <s:c r="BL55" s="149"/>
      <s:c r="BM55" s="149"/>
      <s:c r="BN55" s="149"/>
      <s:c r="BO55" s="149"/>
      <s:c r="BP55" s="149"/>
      <s:c r="BQ55" s="149"/>
      <s:c r="BR55" s="149"/>
      <s:c r="BS55" s="149"/>
      <s:c r="BT55" s="149"/>
      <s:c r="BU55" s="149"/>
      <s:c r="BV55" s="149"/>
      <s:c r="BW55" s="149"/>
      <s:c r="BX55" s="149"/>
      <s:c r="BY55" s="149"/>
      <s:c r="BZ55" s="149"/>
      <s:c r="CA55" s="149"/>
      <s:c r="CB55" s="149"/>
      <s:c r="CC55" s="149"/>
      <s:c r="CD55" s="149"/>
      <s:c r="CE55" s="149"/>
      <s:c r="CF55" s="149"/>
      <s:c r="CG55" s="149"/>
      <s:c r="CH55" s="149"/>
      <s:c r="CI55" s="149"/>
      <s:c r="CJ55" s="149"/>
      <s:c r="CK55" s="149"/>
      <s:c r="CL55" s="149"/>
      <s:c r="CM55" s="149"/>
      <s:c r="CN55" s="149"/>
      <s:c r="CO55" s="149"/>
      <s:c r="CP55" s="149"/>
      <s:c r="CQ55" s="149"/>
      <s:c r="CR55" s="149"/>
      <s:c r="CS55" s="149"/>
      <s:c r="CT55" s="149"/>
      <s:c r="CU55" s="149"/>
      <s:c r="CV55" s="149"/>
      <s:c r="CW55" s="149"/>
      <s:c r="CX55" s="149"/>
      <s:c r="CY55" s="149"/>
      <s:c r="CZ55" s="149"/>
      <s:c r="DA55" s="149"/>
      <s:c r="DB55" s="149"/>
      <s:c r="DC55" s="149"/>
      <s:c r="DD55" s="149"/>
      <s:c r="DE55" s="149"/>
      <s:c r="DF55" s="149"/>
      <s:c r="DG55" s="149"/>
      <s:c r="DH55" s="149"/>
      <s:c r="DI55" s="149"/>
      <s:c r="DJ55" s="149"/>
      <s:c r="DK55" s="149"/>
      <s:c r="DL55" s="149"/>
      <s:c r="DM55" s="149"/>
      <s:c r="DN55" s="149"/>
      <s:c r="DO55" s="149"/>
      <s:c r="DP55" s="149"/>
      <s:c r="DQ55" s="149"/>
      <s:c r="DR55" s="149"/>
      <s:c r="DS55" s="149"/>
      <s:c r="DT55" s="149"/>
      <s:c r="DU55" s="149"/>
      <s:c r="DV55" s="149"/>
      <s:c r="DW55" s="149"/>
      <s:c r="DX55" s="149"/>
      <s:c r="DY55" s="149"/>
      <s:c r="DZ55" s="149"/>
      <s:c r="EA55" s="149"/>
      <s:c r="EB55" s="149"/>
      <s:c r="EC55" s="149"/>
      <s:c r="ED55" s="149"/>
      <s:c r="EE55" s="149"/>
      <s:c r="EF55" s="149"/>
      <s:c r="EG55" s="149"/>
      <s:c r="EH55" s="149"/>
      <s:c r="EI55" s="149"/>
      <s:c r="EJ55" s="149"/>
      <s:c r="EK55" s="149"/>
      <s:c r="EL55" s="149"/>
      <s:c r="EM55" s="149"/>
      <s:c r="EN55" s="149"/>
      <s:c r="EO55" s="149"/>
      <s:c r="EP55" s="149"/>
      <s:c r="EQ55" s="149"/>
      <s:c r="ER55" s="149"/>
      <s:c r="ES55" s="149"/>
      <s:c r="ET55" s="149"/>
      <s:c r="EU55" s="149"/>
      <s:c r="EV55" s="149"/>
      <s:c r="EW55" s="149"/>
      <s:c r="EX55" s="149"/>
      <s:c r="EY55" s="149"/>
      <s:c r="EZ55" s="149"/>
      <s:c r="FA55" s="149"/>
      <s:c r="FB55" s="149"/>
      <s:c r="FC55" s="149"/>
      <s:c r="FD55" s="149"/>
      <s:c r="FE55" s="149"/>
      <s:c r="FF55" s="149"/>
      <s:c r="FG55" s="149"/>
      <s:c r="FH55" s="149"/>
      <s:c r="FI55" s="149"/>
      <s:c r="FJ55" s="149"/>
      <s:c r="FK55" s="149"/>
      <s:c r="FL55" s="149"/>
      <s:c r="FM55" s="149"/>
      <s:c r="FN55" s="149"/>
      <s:c r="FO55" s="149"/>
      <s:c r="FP55" s="149"/>
      <s:c r="FQ55" s="149"/>
      <s:c r="FR55" s="149"/>
      <s:c r="FS55" s="149"/>
      <s:c r="FT55" s="149"/>
      <s:c r="FU55" s="149"/>
      <s:c r="FV55" s="149"/>
      <s:c r="FW55" s="149"/>
      <s:c r="FX55" s="149"/>
      <s:c r="FY55" s="149"/>
      <s:c r="FZ55" s="149"/>
      <s:c r="GA55" s="149"/>
      <s:c r="GB55" s="149"/>
      <s:c r="GC55" s="149"/>
      <s:c r="GD55" s="149"/>
      <s:c r="GE55" s="149"/>
      <s:c r="GF55" s="149"/>
      <s:c r="GG55" s="149"/>
      <s:c r="GH55" s="149"/>
      <s:c r="GI55" s="149"/>
      <s:c r="GJ55" s="149"/>
      <s:c r="GK55" s="149"/>
      <s:c r="GL55" s="149"/>
      <s:c r="GM55" s="149"/>
      <s:c r="GN55" s="149"/>
      <s:c r="GO55" s="149"/>
      <s:c r="GP55" s="149"/>
      <s:c r="GQ55" s="149"/>
      <s:c r="GR55" s="149"/>
      <s:c r="GS55" s="149"/>
      <s:c r="GT55" s="149"/>
      <s:c r="GU55" s="149"/>
      <s:c r="GV55" s="149"/>
      <s:c r="GW55" s="149"/>
      <s:c r="GX55" s="149"/>
      <s:c r="GY55" s="149"/>
      <s:c r="GZ55" s="149"/>
      <s:c r="HA55" s="149"/>
      <s:c r="HB55" s="149"/>
      <s:c r="HC55" s="149"/>
      <s:c r="HD55" s="149"/>
      <s:c r="HE55" s="149"/>
      <s:c r="HF55" s="149"/>
      <s:c r="HG55" s="149"/>
      <s:c r="HH55" s="149"/>
      <s:c r="HI55" s="149"/>
      <s:c r="HJ55" s="149"/>
      <s:c r="HK55" s="149"/>
      <s:c r="HL55" s="149"/>
      <s:c r="HM55" s="149"/>
      <s:c r="HN55" s="149"/>
      <s:c r="HO55" s="149"/>
      <s:c r="HP55" s="149"/>
      <s:c r="HQ55" s="149"/>
      <s:c r="HR55" s="149"/>
      <s:c r="HS55" s="149"/>
      <s:c r="HT55" s="149"/>
      <s:c r="HU55" s="149"/>
      <s:c r="HV55" s="149"/>
      <s:c r="HW55" s="149"/>
      <s:c r="HX55" s="149"/>
      <s:c r="HY55" s="149"/>
      <s:c r="HZ55" s="149"/>
      <s:c r="IA55" s="149"/>
      <s:c r="IB55" s="149"/>
      <s:c r="IC55" s="149"/>
      <s:c r="ID55" s="149"/>
      <s:c r="IE55" s="149"/>
      <s:c r="IF55" s="149"/>
      <s:c r="IG55" s="149"/>
      <s:c r="IH55" s="149"/>
      <s:c r="II55" s="149"/>
      <s:c r="IJ55" s="149"/>
      <s:c r="IK55" s="149"/>
      <s:c r="IL55" s="149"/>
      <s:c r="IM55" s="149"/>
      <s:c r="IN55" s="149"/>
      <s:c r="IO55" s="149"/>
      <s:c r="IP55" s="149"/>
      <s:c r="IQ55" s="149"/>
      <s:c r="IR55" s="149"/>
      <s:c r="IS55" s="149"/>
      <s:c r="IT55" s="149"/>
      <s:c r="IU55" s="149"/>
      <s:c r="IV55" s="149"/>
      <s:c r="IW55" s="149"/>
      <s:c r="IX55" s="149"/>
      <s:c r="IY55" s="149"/>
      <s:c r="IZ55" s="149"/>
    </s:row>
    <s:row r="56" ht="17" customHeight="1">
      <s:c r="A56" s="159"/>
      <s:c r="B56" s="201" t="s">
        <s:v>85</s:v>
      </s:c>
      <s:c r="C56" s="201"/>
      <s:c r="D56" s="142">
        <s:f>SUM(D25:D55)</s:f>
        <s:v>1422519.98</s:v>
      </s:c>
      <s:c r="E56" s="141">
        <s:f>SUM(E25:E55)</s:f>
        <s:v>202</s:v>
      </s:c>
      <s:c r="F56" s="141">
        <s:f>IF(AND(E56&lt;&gt;"", E56&lt;&gt;0), D56/E56, "")</s:f>
        <s:v>7042.1781188118812</s:v>
      </s:c>
      <s:c r="G56" s="141">
        <s:f>SUM(G25:G55)</s:f>
        <s:v>110</s:v>
      </s:c>
      <s:c r="H56" s="141">
        <s:f>IF(AND(G56&lt;&gt;"", G56&lt;&gt;0), D56/G56, "")</s:f>
        <s:v>12931.999818181817</s:v>
      </s:c>
      <s:c r="I56" s="141">
        <s:f>SUM(I25:I55)*0.8</s:f>
        <s:v>1421.6000000000001</s:v>
      </s:c>
      <s:c r="J56" s="142">
        <s:f>E56/G56</s:f>
        <s:v>1.8363636363636364</s:v>
      </s:c>
      <s:c r="K56" s="141">
        <s:f>SUM(K25:K55)</s:f>
        <s:v>7220</s:v>
      </s:c>
      <s:c r="L56" s="141">
        <s:f>SUM(L25:L55)</s:f>
        <s:v>81895</s:v>
      </s:c>
      <s:c r="M56" s="141">
        <s:f>SUM(M25:M55)</s:f>
        <s:v>83931</s:v>
      </s:c>
      <s:c r="N56" s="141">
        <s:f>SUM(N25:N55)</s:f>
        <s:v>62037</s:v>
      </s:c>
      <s:c r="O56" s="141">
        <s:f>SUM(O25:O55)</s:f>
        <s:v>45678</s:v>
      </s:c>
      <s:c r="P56" s="141">
        <s:f>SUM(P25:P55)</s:f>
        <s:v>0</s:v>
      </s:c>
      <s:c r="Q56" s="141">
        <s:f>SUM(Q25:Q55)</s:f>
        <s:v>42156</s:v>
      </s:c>
      <s:c r="R56" s="141">
        <s:f>SUM(R25:R55)</s:f>
        <s:v>125707</s:v>
      </s:c>
      <s:c r="S56" s="202">
        <s:f>IF(AND(I56&lt;&gt;"",I56&lt;&gt;0),G56/I56,"")</s:f>
        <s:v>0.077377602701181755</s:v>
      </s:c>
      <s:c r="T56" s="203">
        <s:f>D56/U56</s:f>
        <s:v>0.74142872481262601</s:v>
      </s:c>
      <s:c r="U56" s="146">
        <s:f>SUM(U25:U55)</s:f>
        <s:v>1918619.9999999993</s:v>
      </s:c>
      <s:c r="V56" s="146">
        <s:f>SUM(V25:V55)</s:f>
        <s:v>290.69999999999982</s:v>
      </s:c>
      <s:c r="W56" s="146">
        <s:f>SUM(W25:W55)</s:f>
        <s:v>171.00000000000009</s:v>
      </s:c>
      <s:c r="X56" s="146">
        <s:f>SUM(X25:X55)</s:f>
        <s:v>1422519.98</s:v>
      </s:c>
      <s:c r="Y56" s="146">
        <s:f>SUM(Y25:Y55)</s:f>
        <s:v>206</s:v>
      </s:c>
      <s:c r="Z56" s="146">
        <s:f>SUM(Z25:Z55)</s:f>
        <s:v>112</s:v>
      </s:c>
      <s:c r="AA56" s="204"/>
      <s:c r="AB56" s="204"/>
      <s:c r="AC56" s="2"/>
      <s:c r="AD56" s="2"/>
      <s:c r="AE56" s="2"/>
      <s:c r="AF56" s="2"/>
      <s:c r="AG56" s="2"/>
      <s:c r="AH56" s="2"/>
      <s:c r="AI56" s="2"/>
      <s:c r="AJ56" s="2"/>
      <s:c r="AK56" s="2"/>
      <s:c r="AL56" s="2"/>
      <s:c r="AM56" s="2"/>
      <s:c r="AN56" s="2"/>
      <s:c r="AO56" s="2"/>
    </s:row>
    <s:row r="57">
      <s:c r="B57" s="205"/>
      <s:c r="C57" s="206"/>
      <s:c r="D57" s="207">
        <s:f>SUMIF(D25:D55,"",U25:U55)+D56</s:f>
        <s:v>1422519.98</s:v>
      </s:c>
      <s:c r="E57" s="208"/>
      <s:c r="F57" s="206"/>
      <s:c r="G57" s="206"/>
      <s:c r="H57" s="209"/>
      <s:c r="I57" s="210"/>
      <s:c r="J57" s="209"/>
      <s:c r="L57" s="211"/>
      <s:c r="M57" s="208"/>
      <s:c r="N57" s="208"/>
      <s:c r="O57" s="208"/>
      <s:c r="P57" s="211"/>
      <s:c r="Q57" s="211"/>
      <s:c r="S57" s="211"/>
      <s:c r="T57" s="211"/>
      <s:c r="U57" s="211"/>
      <s:c r="V57" s="212"/>
    </s:row>
    <s:row r="58">
      <s:c r="D58" s="213">
        <s:f>'Доп сотрудник'!D48+'Свидовская С. А.'!J8+'Корж А. А.'!J8+'Козлова В. Э.'!J8+'Стекольщикова А. А.'!J8+'Сейтджелилова А.Э.'!D49</s:f>
        <s:v>1422519.98</s:v>
      </s:c>
      <s:c r="I58" s="214">
        <s:f>'Козлова В. Э.'!I49+'Корж А. А.'!I48+'Свидовская С. А.'!I48+'Стекольщикова А. А.'!I50+'Доп сотрудник'!I48+'Сейтджелилова А.Э.'!I49</s:f>
        <s:v>1237.6000000000001</s:v>
      </s:c>
      <s:c r="K58" s="214">
        <s:f>'Козлова В. Э.'!K49+'Корж А. А.'!K48+'Сейтджелилова А.Э.'!K49+'Свидовская С. А.'!K48+'Доп сотрудник'!K48+'Стекольщикова А. А.'!K50</s:f>
        <s:v>7220</s:v>
      </s:c>
      <s:c r="L58" s="214">
        <s:f>'Козлова В. Э.'!L49+'Корж А. А.'!L48+'Сейтджелилова А.Э.'!L49+'Свидовская С. А.'!L48+'Стекольщикова А. А.'!L50</s:f>
        <s:v>81895</s:v>
      </s:c>
      <s:c r="M58" s="214">
        <s:f>'Козлова В. Э.'!M49+'Корж А. А.'!M48+'Сейтджелилова А.Э.'!M49+'Свидовская С. А.'!M48+'Доп сотрудник'!M48+'Стекольщикова А. А.'!M50</s:f>
        <s:v>83931</s:v>
      </s:c>
      <s:c r="N58" s="214">
        <s:f>'Козлова В. Э.'!N49+'Корж А. А.'!N48+'Сейтджелилова А.Э.'!N49+'Свидовская С. А.'!N48+'Доп сотрудник'!N48+'Стекольщикова А. А.'!N50</s:f>
        <s:v>62037</s:v>
      </s:c>
      <s:c r="O58" s="214">
        <s:f>'Козлова В. Э.'!O49+'Корж А. А.'!O48+'Сейтджелилова А.Э.'!O49+'Свидовская С. А.'!O48+'Доп сотрудник'!O48+'Стекольщикова А. А.'!O50</s:f>
        <s:v>45678</s:v>
      </s:c>
      <s:c r="P58" s="214">
        <s:f>'Козлова В. Э.'!P49+'Корж А. А.'!P48+'Сейтджелилова А.Э.'!P49+'Свидовская С. А.'!P48+'Доп сотрудник'!P48+'Стекольщикова А. А.'!P50</s:f>
        <s:v>0</s:v>
      </s:c>
      <s:c r="Q58" s="214">
        <s:f>'Сейтджелилова А.Э.'!Q49+'Козлова В. Э.'!Q49+'Корж А. А.'!Q48+'Свидовская С. А.'!Q48+'Доп сотрудник'!Q48+'Стекольщикова А. А.'!Q50</s:f>
        <s:v>42156</s:v>
      </s:c>
      <s:c r="R58" s="214">
        <s:f>'Сейтджелилова А.Э.'!R49+'Козлова В. Э.'!R49+'Корж А. А.'!R48+'Свидовская С. А.'!R48+'Доп сотрудник'!R48</s:f>
        <s:v>112879</s:v>
      </s:c>
    </s:row>
    <s:row r="59">
      <s:c r="C59" s="213"/>
      <s:c r="D59" s="213"/>
      <s:c r="K59" s="215">
        <s:f>K58/$J$8</s:f>
        <s:v>0.0050754998885850448</s:v>
      </s:c>
      <s:c r="L59" s="215">
        <s:f>L58/$J$8</s:f>
        <s:v>0.057570368888597262</s:v>
      </s:c>
      <s:c r="M59" s="215">
        <s:f>M58/$J$8</s:f>
        <s:v>0.059001631738065288</s:v>
      </s:c>
      <s:c r="N59" s="215">
        <s:f>N58/$J$8</s:f>
        <s:v>0.043610635261516678</s:v>
      </s:c>
      <s:c r="O59" s="215">
        <s:f>O58/$J$8</s:f>
        <s:v>0.032110621040275303</s:v>
      </s:c>
      <s:c r="P59" s="215">
        <s:f>P58/$J$8</s:f>
        <s:v>0</s:v>
      </s:c>
      <s:c r="Q59" s="215">
        <s:f>Q58/$J$8</s:f>
        <s:v>0.029634733144486308</s:v>
      </s:c>
      <s:c r="R59" s="215">
        <s:f>R58/$J$8</s:f>
        <s:v>0.079351433784430922</s:v>
      </s:c>
    </s:row>
    <s:row r="60">
      <s:c r="D60" s="214"/>
      <s:c r="E60" s="216"/>
    </s:row>
    <s:row r="61">
      <s:c r="D61" s="214"/>
    </s:row>
    <s:row r="62">
      <s:c r="D62" s="213"/>
      <s:c r="E62" s="213"/>
    </s:row>
    <s:row r="64">
      <s:c r="H64" s="217"/>
    </s:row>
  </s:sheetData>
  <s:mergeCells count="28">
    <s:mergeCell ref="B1:C1"/>
    <s:mergeCell ref="V1:Y4"/>
    <s:mergeCell ref="B2:C2"/>
    <s:mergeCell ref="I3:O4"/>
    <s:mergeCell ref="C4:D4"/>
    <s:mergeCell ref="J5:P5"/>
    <s:mergeCell ref="C6:D6"/>
    <s:mergeCell ref="F6:Q6"/>
    <s:mergeCell ref="F7:H7"/>
    <s:mergeCell ref="P7:Q7"/>
    <s:mergeCell ref="F8:H8"/>
    <s:mergeCell ref="F9:H9"/>
    <s:mergeCell ref="F10:H10"/>
    <s:mergeCell ref="F11:H11"/>
    <s:mergeCell ref="F12:H12"/>
    <s:mergeCell ref="F13:H13"/>
    <s:mergeCell ref="F14:H14"/>
    <s:mergeCell ref="F15:H15"/>
    <s:mergeCell ref="F16:H16"/>
    <s:mergeCell ref="W16:W17"/>
    <s:mergeCell ref="F17:H17"/>
    <s:mergeCell ref="F18:H18"/>
    <s:mergeCell ref="F19:H19"/>
    <s:mergeCell ref="F20:H20"/>
    <s:mergeCell ref="A22:P22"/>
    <s:mergeCell ref="U22:AB22"/>
    <s:mergeCell ref="A23:A24"/>
    <s:mergeCell ref="B56:C56"/>
  </s:mergeCells>
  <s:conditionalFormatting sqref="P10:Q10">
    <s:cfRule type="cellIs" dxfId="0" priority="91" operator="lessThan">
      <s:formula>0</s:formula>
    </s:cfRule>
  </s:conditionalFormatting>
  <s:conditionalFormatting sqref="K10:K12 K15">
    <s:cfRule type="cellIs" dxfId="1" priority="85" operator="greaterThan">
      <s:formula>1</s:formula>
    </s:cfRule>
  </s:conditionalFormatting>
  <s:conditionalFormatting sqref="K10:K12 K15">
    <s:cfRule type="cellIs" dxfId="2" priority="84" operator="lessThan">
      <s:formula>1</s:formula>
    </s:cfRule>
  </s:conditionalFormatting>
  <s:conditionalFormatting sqref="M9:M15">
    <s:cfRule type="cellIs" dxfId="1" priority="83" operator="greaterThan">
      <s:formula>1</s:formula>
    </s:cfRule>
  </s:conditionalFormatting>
  <s:conditionalFormatting sqref="M9:M15">
    <s:cfRule type="cellIs" dxfId="2" priority="82" operator="lessThan">
      <s:formula>1</s:formula>
    </s:cfRule>
  </s:conditionalFormatting>
  <s:conditionalFormatting sqref="J16">
    <s:cfRule type="cellIs" dxfId="1" priority="81" operator="greaterThan">
      <s:formula>0</s:formula>
    </s:cfRule>
  </s:conditionalFormatting>
  <s:conditionalFormatting sqref="J16">
    <s:cfRule type="cellIs" dxfId="2" priority="80" operator="lessThan">
      <s:formula>0</s:formula>
    </s:cfRule>
  </s:conditionalFormatting>
  <s:conditionalFormatting sqref="T25:T55">
    <s:cfRule type="cellIs" dxfId="0" priority="27" operator="between">
      <s:formula>0.01</s:formula>
      <s:formula>0.99</s:formula>
    </s:cfRule>
  </s:conditionalFormatting>
  <s:conditionalFormatting sqref="T25:T55">
    <s:cfRule type="cellIs" dxfId="3" priority="26" operator="between">
      <s:formula>0.85</s:formula>
      <s:formula>1</s:formula>
    </s:cfRule>
  </s:conditionalFormatting>
  <s:conditionalFormatting sqref="T25:T55">
    <s:cfRule type="cellIs" dxfId="1" priority="25" operator="greaterThan">
      <s:formula>100</s:formula>
    </s:cfRule>
  </s:conditionalFormatting>
  <s:conditionalFormatting sqref="T25:T55">
    <s:cfRule type="cellIs" dxfId="1" priority="24" operator="greaterThan">
      <s:formula>1</s:formula>
    </s:cfRule>
  </s:conditionalFormatting>
  <s:conditionalFormatting sqref="T25:T55">
    <s:cfRule type="cellIs" dxfId="2" priority="23" operator="lessThan">
      <s:formula>0.9</s:formula>
    </s:cfRule>
  </s:conditionalFormatting>
  <s:conditionalFormatting sqref="T25:T55">
    <s:cfRule type="cellIs" dxfId="4" priority="22" operator="between">
      <s:formula>0.9001</s:formula>
      <s:formula>0.9999</s:formula>
    </s:cfRule>
  </s:conditionalFormatting>
  <s:conditionalFormatting sqref="K20">
    <s:cfRule type="cellIs" dxfId="1" priority="19" operator="greaterThan">
      <s:formula>1</s:formula>
    </s:cfRule>
  </s:conditionalFormatting>
  <s:conditionalFormatting sqref="K20">
    <s:cfRule type="cellIs" dxfId="2" priority="18" operator="lessThan">
      <s:formula>1</s:formula>
    </s:cfRule>
  </s:conditionalFormatting>
  <s:conditionalFormatting sqref="S25:S55">
    <s:cfRule type="cellIs" dxfId="2" priority="94" operator="lessThan">
      <s:formula>$I$20</s:formula>
    </s:cfRule>
  </s:conditionalFormatting>
  <s:conditionalFormatting sqref="D58">
    <s:cfRule type="cellIs" dxfId="1" priority="78" operator="equal">
      <s:formula>$D$56</s:formula>
    </s:cfRule>
  </s:conditionalFormatting>
  <s:conditionalFormatting sqref="D58">
    <s:cfRule type="cellIs" dxfId="2" priority="77" operator="notEqual">
      <s:formula>$D$56</s:formula>
    </s:cfRule>
  </s:conditionalFormatting>
  <s:conditionalFormatting sqref="J25:J55">
    <s:cfRule type="cellIs" dxfId="1" priority="21" operator="greaterThan">
      <s:formula>$I$12</s:formula>
    </s:cfRule>
  </s:conditionalFormatting>
  <s:conditionalFormatting sqref="J25:J55">
    <s:cfRule type="cellIs" dxfId="2" priority="20" operator="lessThan">
      <s:formula>$I$12</s:formula>
    </s:cfRule>
  </s:conditionalFormatting>
  <s:conditionalFormatting sqref="S25:S55">
    <s:cfRule type="cellIs" dxfId="1" priority="17" operator="greaterThan">
      <s:formula>$I$20</s:formula>
    </s:cfRule>
  </s:conditionalFormatting>
  <s:conditionalFormatting sqref="S25:S55">
    <s:cfRule type="cellIs" dxfId="2" priority="16" operator="lessThan">
      <s:formula>$I$20</s:formula>
    </s:cfRule>
  </s:conditionalFormatting>
  <s:conditionalFormatting sqref="K58">
    <s:cfRule type="cellIs" dxfId="1" priority="14" operator="equal">
      <s:formula>$K$56</s:formula>
    </s:cfRule>
  </s:conditionalFormatting>
  <s:conditionalFormatting sqref="L58">
    <s:cfRule type="cellIs" dxfId="1" priority="13" operator="equal">
      <s:formula>$L$56</s:formula>
    </s:cfRule>
  </s:conditionalFormatting>
  <s:conditionalFormatting sqref="M58">
    <s:cfRule type="cellIs" dxfId="1" priority="12" operator="equal">
      <s:formula>$M$56</s:formula>
    </s:cfRule>
  </s:conditionalFormatting>
  <s:conditionalFormatting sqref="N58">
    <s:cfRule type="cellIs" dxfId="1" priority="11" operator="equal">
      <s:formula>$N$56</s:formula>
    </s:cfRule>
  </s:conditionalFormatting>
  <s:conditionalFormatting sqref="O58">
    <s:cfRule type="cellIs" dxfId="1" priority="10" operator="equal">
      <s:formula>$O$56</s:formula>
    </s:cfRule>
  </s:conditionalFormatting>
  <s:conditionalFormatting sqref="P58">
    <s:cfRule type="cellIs" dxfId="1" priority="9" operator="equal">
      <s:formula>$P$56</s:formula>
    </s:cfRule>
  </s:conditionalFormatting>
  <s:conditionalFormatting sqref="Q58">
    <s:cfRule type="cellIs" dxfId="1" priority="8" operator="equal">
      <s:formula>$Q$56</s:formula>
    </s:cfRule>
  </s:conditionalFormatting>
  <s:conditionalFormatting sqref="R58">
    <s:cfRule type="cellIs" dxfId="1" priority="7" operator="equal">
      <s:formula>$R$56</s:formula>
    </s:cfRule>
  </s:conditionalFormatting>
  <s:conditionalFormatting sqref="I58">
    <s:cfRule type="cellIs" dxfId="1" priority="4" operator="equal">
      <s:formula>$I$56</s:formula>
    </s:cfRule>
  </s:conditionalFormatting>
  <s:conditionalFormatting sqref="K8">
    <s:cfRule type="cellIs" dxfId="1" priority="2" operator="greaterThanOrEqual">
      <s:formula>$K$17</s:formula>
    </s:cfRule>
  </s:conditionalFormatting>
  <s:conditionalFormatting sqref="K8">
    <s:cfRule type="cellIs" dxfId="2" priority="1" operator="lessThan">
      <s:formula>$K$17</s:formula>
    </s:cfRule>
  </s:conditionalFormatting>
  <s:dataValidations count="1">
    <s:dataValidation type="decimal" sqref="O10:O11 J8:J13 I8:I14" vyd:viewType="arrow" mc:Ignorable="vyd">
      <s:formula1>0</s:formula1>
      <s:formula2>1000000000000000</s:formula2>
    </s:dataValidation>
  </s:dataValidations>
  <s:printOptions headings="0" gridLines="1"/>
  <s:pageMargins left="0.7" right="0.7" top="0.75" bottom="0.75" header="0.512" footer="0.512"/>
  <s:pageSetup paperSize="9" scale="10" firstPageNumber="0" fitToWidth="1" fitToHeight="0" pageOrder="downThenOver" orientation="landscape" usePrinterDefaults="1" blackAndWhite="0" draft="0" cellComments="none" useFirstPageNumber="0" errors="displayed" horizontalDpi="300" verticalDpi="300" copies="1"/>
  <s:headerFooter/>
  <s:extLst>
    <s:ext uri="{CCE6A557-97BC-4b89-ADB6-D9C93CAAB3DF}">
      <x14:dataValidations disablePrompts="0" count="0"/>
    </s:ext>
  </s:extLst>
</s:worksheet>
</file>

<file path=xl/worksheets/sheet2.xml><?xml version="1.0" encoding="utf-8"?>
<s:worksheet xmlns:x14ac="http://schemas.microsoft.com/office/spreadsheetml/2009/9/ac" xmlns:mc="http://schemas.openxmlformats.org/markup-compatibility/2006" xmlns:s="http://schemas.openxmlformats.org/spreadsheetml/2006/main" mc:Ignorable="x14ac">
  <s:sheetPr>
    <s:tabColor rgb="FFDBDBDB"/>
    <s:outlinePr applyStyles="0" summaryBelow="1" summaryRight="1" showOutlineSymbols="1"/>
    <s:pageSetUpPr autoPageBreaks="1" fitToPage="0"/>
  </s:sheetPr>
  <s:sheetViews>
    <s:sheetView tabSelected="0" zoomScale="100" workbookViewId="0">
      <s:selection activeCell="A26" activeCellId="0" sqref="A26"/>
    </s:sheetView>
  </s:sheetViews>
  <s:sheetFormatPr baseColWidth="10" defaultColWidth="10" defaultRowHeight="14.25" outlineLevelCol="1"/>
  <s:cols>
    <s:col min="1" max="1" width="14.664" customWidth="1"/>
    <s:col min="2" max="11" width="10.832" customWidth="1" outlineLevel="1"/>
  </s:cols>
  <s:sheetData>
    <s:row r="1" s="218" customFormat="1" ht="20" customHeight="1">
      <s:c r="A1" s="219" t="s">
        <s:v>86</s:v>
      </s:c>
      <s:c r="B1" s="220"/>
      <s:c r="C1" s="220"/>
      <s:c r="D1" s="220"/>
      <s:c r="E1" s="220"/>
      <s:c r="F1" s="220"/>
      <s:c r="G1" s="220"/>
      <s:c r="H1" s="220"/>
      <s:c r="I1" s="220"/>
      <s:c r="J1" s="220"/>
      <s:c r="K1" s="220"/>
      <s:c r="L1" s="221"/>
    </s:row>
    <s:row r="2" s="218" customFormat="1" ht="20" customHeight="1">
      <s:c r="A2" s="222"/>
      <s:c r="B2" s="223"/>
      <s:c r="C2" s="223"/>
      <s:c r="D2" s="223"/>
      <s:c r="E2" s="223"/>
      <s:c r="F2" s="223"/>
      <s:c r="G2" s="223"/>
      <s:c r="H2" s="223"/>
      <s:c r="I2" s="223"/>
      <s:c r="J2" s="223"/>
      <s:c r="K2" s="223"/>
      <s:c r="L2" s="224"/>
    </s:row>
    <s:row r="3" s="225" customFormat="1" ht="30" customHeight="1">
      <s:c r="A3" s="226" t="s">
        <s:v>87</s:v>
      </s:c>
      <s:c r="B3" s="227">
        <s:v>45282</s:v>
      </s:c>
      <s:c r="C3" s="227">
        <s:v>45283</s:v>
      </s:c>
      <s:c r="D3" s="227">
        <s:v>45284</s:v>
      </s:c>
      <s:c r="E3" s="227">
        <s:v>45285</s:v>
      </s:c>
      <s:c r="F3" s="227">
        <s:v>45286</s:v>
      </s:c>
      <s:c r="G3" s="227">
        <s:v>45287</s:v>
      </s:c>
      <s:c r="H3" s="227">
        <s:v>45288</s:v>
      </s:c>
      <s:c r="I3" s="227">
        <s:v>45289</s:v>
      </s:c>
      <s:c r="J3" s="227">
        <s:v>45290</s:v>
      </s:c>
      <s:c r="K3" s="228">
        <s:v>45291</s:v>
      </s:c>
      <s:c r="L3" s="226" t="s">
        <s:v>88</s:v>
      </s:c>
    </s:row>
    <s:row r="4" s="218" customFormat="1" ht="33" customHeight="1">
      <s:c r="A4" s="229" t="s">
        <s:v>89</s:v>
      </s:c>
      <s:c r="B4" s="230" t="e">
        <s:f>'Доп сотрудник'!T35</s:f>
        <s:v>#DIV/0!</s:v>
      </s:c>
      <s:c r="C4" s="230"/>
      <s:c r="D4" s="230">
        <s:v>0.27000000000000002</s:v>
      </s:c>
      <s:c r="E4" s="231">
        <s:v>0.56999999999999995</s:v>
      </s:c>
      <s:c r="F4" s="231">
        <s:v>0.72999999999999998</s:v>
      </s:c>
      <s:c r="G4" s="231">
        <s:v>0.88</s:v>
      </s:c>
      <s:c r="H4" s="231">
        <s:v>0.97999999999999998</s:v>
      </s:c>
      <s:c r="I4" s="230"/>
      <s:c r="J4" s="230"/>
      <s:c r="K4" s="232"/>
      <s:c r="L4" s="233"/>
    </s:row>
    <s:row r="5" s="218" customFormat="1" ht="30" customHeight="1">
      <s:c r="A5" s="234" t="s">
        <s:v>90</s:v>
      </s:c>
      <s:c r="B5" s="235"/>
      <s:c r="C5" s="236">
        <s:v>0.25</s:v>
      </s:c>
      <s:c r="D5" s="237">
        <s:v>0.79000000000000004</s:v>
      </s:c>
      <s:c r="E5" s="236">
        <s:v>0.33000000000000002</s:v>
      </s:c>
      <s:c r="F5" s="236">
        <s:v>0.13</s:v>
      </s:c>
      <s:c r="G5" s="236">
        <s:v>0.75</s:v>
      </s:c>
      <s:c r="H5" s="236">
        <s:v>0.67000000000000004</s:v>
      </s:c>
      <s:c r="I5" s="236">
        <s:v>0.73999999999999999</s:v>
      </s:c>
      <s:c r="J5" s="237">
        <s:v>1.72</s:v>
      </s:c>
      <s:c r="K5" s="238">
        <s:v>0.33000000000000002</s:v>
      </s:c>
      <s:c r="L5" s="239"/>
    </s:row>
    <s:row r="6" s="218" customFormat="1" ht="32" customHeight="1">
      <s:c r="A6" s="234" t="s">
        <s:v>91</s:v>
      </s:c>
      <s:c r="B6" s="237">
        <s:f>'Свидовская С. А.'!T39</s:f>
        <s:v>1.2450572847631671</s:v>
      </s:c>
      <s:c r="C6" s="236"/>
      <s:c r="D6" s="236"/>
      <s:c r="E6" s="236">
        <s:v>0.25</s:v>
      </s:c>
      <s:c r="F6" s="236">
        <s:v>0.25</s:v>
      </s:c>
      <s:c r="G6" s="236"/>
      <s:c r="H6" s="240">
        <s:v>0.38</s:v>
      </s:c>
      <s:c r="I6" s="241">
        <s:v>1.1100000000000001</s:v>
      </s:c>
      <s:c r="J6" s="237">
        <s:v>1.1699999999999999</s:v>
      </s:c>
      <s:c r="K6" s="242">
        <s:v>0.34000000000000002</s:v>
      </s:c>
      <s:c r="L6" s="239"/>
    </s:row>
    <s:row r="7" s="218" customFormat="1" ht="32" customHeight="1">
      <s:c r="A7" s="243" t="s">
        <s:v>92</s:v>
      </s:c>
      <s:c r="B7" s="244"/>
      <s:c r="C7" s="244">
        <s:v>0.33000000000000002</s:v>
      </s:c>
      <s:c r="D7" s="244">
        <s:v>0.56999999999999995</s:v>
      </s:c>
      <s:c r="E7" s="244">
        <s:v>0.080000000000000002</s:v>
      </s:c>
      <s:c r="F7" s="244">
        <s:v>0.45000000000000001</s:v>
      </s:c>
      <s:c r="G7" s="244">
        <s:v>0.40000000000000002</s:v>
      </s:c>
      <s:c r="H7" s="244">
        <s:v>0.23999999999999999</s:v>
      </s:c>
      <s:c r="I7" s="245">
        <s:v>0.25</s:v>
      </s:c>
      <s:c r="J7" s="244">
        <s:v>0.28000000000000003</s:v>
      </s:c>
      <s:c r="K7" s="246">
        <s:v>0.23000000000000001</s:v>
      </s:c>
      <s:c r="L7" s="239"/>
    </s:row>
    <s:row r="8" s="218" customFormat="1" ht="33" customHeight="1">
      <s:c r="A8" s="247" t="s">
        <s:v>93</s:v>
      </s:c>
      <s:c r="B8" s="248">
        <s:f>'Козлова В. Э.'!T39</s:f>
        <s:v>1.2945013187700425</s:v>
      </s:c>
      <s:c r="C8" s="249">
        <s:v>0.52000000000000002</s:v>
      </s:c>
      <s:c r="D8" s="248">
        <s:v>0.31</s:v>
      </s:c>
      <s:c r="E8" s="248"/>
      <s:c r="F8" s="248"/>
      <s:c r="G8" s="248">
        <s:v>0.28999999999999998</s:v>
      </s:c>
      <s:c r="H8" s="248"/>
      <s:c r="I8" s="248">
        <s:v>0.48999999999999999</s:v>
      </s:c>
      <s:c r="J8" s="248">
        <s:v>0.23000000000000001</s:v>
      </s:c>
      <s:c r="K8" s="250">
        <s:v>0.10000000000000001</s:v>
      </s:c>
      <s:c r="L8" s="239"/>
    </s:row>
    <s:row r="9" s="218" customFormat="1" ht="30" customHeight="1">
      <s:c r="A9" s="251"/>
      <s:c r="B9" s="252"/>
      <s:c r="C9" s="252"/>
      <s:c r="D9" s="252"/>
      <s:c r="E9" s="252"/>
      <s:c r="F9" s="252"/>
      <s:c r="G9" s="252"/>
      <s:c r="H9" s="252"/>
      <s:c r="I9" s="252"/>
      <s:c r="J9" s="252"/>
      <s:c r="K9" s="252"/>
      <s:c r="L9" s="252"/>
    </s:row>
    <s:row r="10" s="225" customFormat="1" ht="10" customHeight="1">
      <s:c r="A10" s="219" t="s">
        <s:v>94</s:v>
      </s:c>
      <s:c r="B10" s="220"/>
      <s:c r="C10" s="220"/>
      <s:c r="D10" s="220"/>
      <s:c r="E10" s="220"/>
      <s:c r="F10" s="220"/>
      <s:c r="G10" s="220"/>
      <s:c r="H10" s="220"/>
      <s:c r="I10" s="220"/>
      <s:c r="J10" s="220"/>
      <s:c r="K10" s="220"/>
      <s:c r="L10" s="221"/>
    </s:row>
    <s:row r="11" s="218" customFormat="1" ht="29" customHeight="1">
      <s:c r="A11" s="222"/>
      <s:c r="B11" s="223"/>
      <s:c r="C11" s="223"/>
      <s:c r="D11" s="223"/>
      <s:c r="E11" s="223"/>
      <s:c r="F11" s="223"/>
      <s:c r="G11" s="223"/>
      <s:c r="H11" s="223"/>
      <s:c r="I11" s="223"/>
      <s:c r="J11" s="223"/>
      <s:c r="K11" s="223"/>
      <s:c r="L11" s="224"/>
    </s:row>
    <s:row r="12" s="218" customFormat="1" ht="32" customHeight="1">
      <s:c r="A12" s="226" t="s">
        <s:v>87</s:v>
      </s:c>
      <s:c r="B12" s="227">
        <s:v>45282</s:v>
      </s:c>
      <s:c r="C12" s="227">
        <s:v>45283</s:v>
      </s:c>
      <s:c r="D12" s="227">
        <s:v>45284</s:v>
      </s:c>
      <s:c r="E12" s="227">
        <s:v>45285</s:v>
      </s:c>
      <s:c r="F12" s="227">
        <s:v>45286</s:v>
      </s:c>
      <s:c r="G12" s="227">
        <s:v>45287</s:v>
      </s:c>
      <s:c r="H12" s="227">
        <s:v>45288</s:v>
      </s:c>
      <s:c r="I12" s="227">
        <s:v>45289</s:v>
      </s:c>
      <s:c r="J12" s="227">
        <s:v>45290</s:v>
      </s:c>
      <s:c r="K12" s="228">
        <s:v>45291</s:v>
      </s:c>
      <s:c r="L12" s="226" t="s">
        <s:v>88</s:v>
      </s:c>
    </s:row>
    <s:row r="13" s="218" customFormat="1" ht="33" customHeight="1">
      <s:c r="A13" s="229" t="s">
        <s:v>89</s:v>
      </s:c>
      <s:c r="B13" s="253">
        <s:v>0</s:v>
      </s:c>
      <s:c r="C13" s="230"/>
      <s:c r="D13" s="253">
        <s:v>0</s:v>
      </s:c>
      <s:c r="E13" s="254">
        <s:v>1</s:v>
      </s:c>
      <s:c r="F13" s="254">
        <s:v>1</s:v>
      </s:c>
      <s:c r="G13" s="254">
        <s:v>1</s:v>
      </s:c>
      <s:c r="H13" s="254">
        <s:v>1</s:v>
      </s:c>
      <s:c r="I13" s="230"/>
      <s:c r="J13" s="230"/>
      <s:c r="K13" s="255"/>
      <s:c r="L13" s="256">
        <s:f validation_="true">SUM(B13:K13)</s:f>
        <s:v>4</s:v>
      </s:c>
    </s:row>
    <s:row r="14" s="218" customFormat="1" ht="34" customHeight="1">
      <s:c r="A14" s="234" t="s">
        <s:v>90</s:v>
      </s:c>
      <s:c r="B14" s="257"/>
      <s:c r="C14" s="258">
        <s:v>0</s:v>
      </s:c>
      <s:c r="D14" s="259">
        <s:v>1</s:v>
      </s:c>
      <s:c r="E14" s="258">
        <s:v>0</s:v>
      </s:c>
      <s:c r="F14" s="258">
        <s:v>0</s:v>
      </s:c>
      <s:c r="G14" s="258">
        <s:v>0</s:v>
      </s:c>
      <s:c r="H14" s="258">
        <s:v>0</s:v>
      </s:c>
      <s:c r="I14" s="258">
        <s:v>0</s:v>
      </s:c>
      <s:c r="J14" s="259">
        <s:v>2</s:v>
      </s:c>
      <s:c r="K14" s="260">
        <s:v>0</s:v>
      </s:c>
      <s:c r="L14" s="261">
        <s:f validation_="true">SUM(B14:K14)</s:f>
        <s:v>3</s:v>
      </s:c>
    </s:row>
    <s:row r="15" s="218" customFormat="1" ht="34" customHeight="1">
      <s:c r="A15" s="234" t="s">
        <s:v>91</s:v>
      </s:c>
      <s:c r="B15" s="259">
        <s:v>1</s:v>
      </s:c>
      <s:c r="C15" s="258"/>
      <s:c r="D15" s="258"/>
      <s:c r="E15" s="258">
        <s:v>0</s:v>
      </s:c>
      <s:c r="F15" s="258">
        <s:v>0</s:v>
      </s:c>
      <s:c r="G15" s="258"/>
      <s:c r="H15" s="258">
        <s:v>0</s:v>
      </s:c>
      <s:c r="I15" s="259">
        <s:v>2</s:v>
      </s:c>
      <s:c r="J15" s="258">
        <s:v>1</s:v>
      </s:c>
      <s:c r="K15" s="260">
        <s:v>1</s:v>
      </s:c>
      <s:c r="L15" s="262">
        <s:f validation_="true">SUM(B15:K15)</s:f>
        <s:v>5</s:v>
      </s:c>
    </s:row>
    <s:row r="16" ht="34" customHeight="1">
      <s:c r="A16" s="243" t="s">
        <s:v>92</s:v>
      </s:c>
      <s:c r="B16" s="263"/>
      <s:c r="C16" s="263">
        <s:v>0</s:v>
      </s:c>
      <s:c r="D16" s="263">
        <s:v>0</s:v>
      </s:c>
      <s:c r="E16" s="263">
        <s:v>0</s:v>
      </s:c>
      <s:c r="F16" s="263">
        <s:v>0</s:v>
      </s:c>
      <s:c r="G16" s="263">
        <s:v>0</s:v>
      </s:c>
      <s:c r="H16" s="263">
        <s:v>0</s:v>
      </s:c>
      <s:c r="I16" s="263">
        <s:v>0</s:v>
      </s:c>
      <s:c r="J16" s="263">
        <s:v>0</s:v>
      </s:c>
      <s:c r="K16" s="264">
        <s:v>0</s:v>
      </s:c>
      <s:c r="L16" s="265">
        <s:f validation_="true">SUM(B16:K16)</s:f>
        <s:v>0</s:v>
      </s:c>
    </s:row>
    <s:row r="17" ht="34" customHeight="1">
      <s:c r="A17" s="247" t="s">
        <s:v>93</s:v>
      </s:c>
      <s:c r="B17" s="266">
        <s:v>0</s:v>
      </s:c>
      <s:c r="C17" s="267">
        <s:v>1</s:v>
      </s:c>
      <s:c r="D17" s="266">
        <s:v>0</s:v>
      </s:c>
      <s:c r="E17" s="266"/>
      <s:c r="F17" s="266"/>
      <s:c r="G17" s="266">
        <s:v>0</s:v>
      </s:c>
      <s:c r="H17" s="266"/>
      <s:c r="I17" s="266">
        <s:v>0</s:v>
      </s:c>
      <s:c r="J17" s="266">
        <s:v>0</s:v>
      </s:c>
      <s:c r="K17" s="268">
        <s:v>0</s:v>
      </s:c>
      <s:c r="L17" s="269">
        <s:f validation_="true">SUM(B17:K17)</s:f>
        <s:v>1</s:v>
      </s:c>
    </s:row>
  </s:sheetData>
  <s:mergeCells count="2">
    <s:mergeCell ref="A1:L2"/>
    <s:mergeCell ref="A10:L11"/>
  </s:mergeCells>
  <s:printOptions headings="0" gridLines="0"/>
  <s:pageMargins left="0.7" right="0.7" top="0.75" bottom="0.75" header="0.3" footer="0.3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</s:worksheet>
</file>

<file path=xl/worksheets/sheet3.xml><?xml version="1.0" encoding="utf-8"?>
<s:worksheet xmlns:s="http://schemas.openxmlformats.org/spreadsheetml/2006/main" xmlns:x14ac="http://schemas.microsoft.com/office/spreadsheetml/2009/9/ac" xmlns:mc="http://schemas.openxmlformats.org/markup-compatibility/2006" xmlns:vyd="http://volga.yandex.com/schemas/document/model" xmlns:x14="http://schemas.microsoft.com/office/spreadsheetml/2009/9/main" mc:Ignorable="x14ac">
  <s:sheetPr>
    <s:tabColor rgb="FFDBDBDB"/>
    <s:outlinePr applyStyles="0" summaryBelow="1" summaryRight="1" showOutlineSymbols="1"/>
    <s:pageSetUpPr autoPageBreaks="1" fitToPage="0"/>
  </s:sheetPr>
  <s:sheetViews>
    <s:sheetView tabSelected="0" zoomScale="100" workbookViewId="0">
      <s:selection activeCell="D12" activeCellId="0" sqref="D12:F12"/>
    </s:sheetView>
  </s:sheetViews>
  <s:sheetFormatPr baseColWidth="10" defaultColWidth="10" defaultRowHeight="14.25"/>
  <s:cols>
    <s:col min="1" max="1" width="10.832" style="1"/>
    <s:col min="2" max="2" width="10.164" style="1" customWidth="1"/>
    <s:col min="3" max="3" width="10.832" style="1" hidden="1" customWidth="1"/>
    <s:col min="4" max="4" width="11.164" style="1" customWidth="1"/>
    <s:col min="5" max="5" width="13.664" style="1" customWidth="1"/>
    <s:col min="6" max="6" width="12" style="1" customWidth="1"/>
    <s:col min="7" max="8" width="12" style="270" customWidth="1"/>
    <s:col min="9" max="9" width="12" style="1" customWidth="1"/>
    <s:col min="10" max="12" width="12" style="270" customWidth="1"/>
    <s:col min="13" max="13" width="12.332" customWidth="1"/>
    <s:col min="14" max="14" width="11.164" customWidth="1"/>
    <s:col min="15" max="15" width="11.832" customWidth="1"/>
    <s:col min="16" max="18" width="12" customWidth="1"/>
  </s:cols>
  <s:sheetData>
    <s:row r="1" ht="25" customHeight="1">
      <s:c r="A1" s="271" t="s">
        <s:v>95</s:v>
      </s:c>
      <s:c r="B1" s="272"/>
      <s:c r="C1" s="272"/>
      <s:c r="D1" s="272"/>
      <s:c r="E1" s="272"/>
      <s:c r="F1" s="272"/>
      <s:c r="G1" s="272"/>
      <s:c r="H1" s="272"/>
      <s:c r="I1" s="272"/>
      <s:c r="J1" s="272"/>
      <s:c r="K1" s="272"/>
      <s:c r="L1" s="272"/>
      <s:c r="M1" s="272"/>
      <s:c r="N1" s="272"/>
      <s:c r="O1" s="272"/>
      <s:c r="P1" s="272"/>
      <s:c r="Q1" s="272"/>
      <s:c r="R1" s="273"/>
    </s:row>
    <s:row r="2" ht="27" customHeight="1">
      <s:c r="A2" s="274" t="s">
        <s:v>5</s:v>
      </s:c>
      <s:c r="B2" s="275"/>
      <s:c r="C2" s="276"/>
      <s:c r="D2" s="277" t="str">
        <s:f>Центрум!I3</s:f>
        <s:v>ТРК Центрум</s:v>
      </s:c>
      <s:c r="E2" s="278"/>
      <s:c r="F2" s="278"/>
      <s:c r="G2" s="279" t="str">
        <s:f>График!B27</s:f>
        <s:v>Свидовская София</s:v>
      </s:c>
      <s:c r="H2" s="280"/>
      <s:c r="I2" s="280"/>
      <s:c r="J2" s="281" t="str">
        <s:f>График!B25</s:f>
        <s:v>Корж Анастасия</s:v>
      </s:c>
      <s:c r="K2" s="280"/>
      <s:c r="L2" s="282"/>
      <s:c r="M2" s="281" t="str">
        <s:f>График!B26</s:f>
        <s:v>Козлова Валерия</s:v>
      </s:c>
      <s:c r="N2" s="280"/>
      <s:c r="O2" s="282"/>
      <s:c r="P2" s="279" t="str">
        <s:f>График!B28</s:f>
        <s:v>Сейтджелилова Алина</s:v>
      </s:c>
      <s:c r="Q2" s="280"/>
      <s:c r="R2" s="283"/>
    </s:row>
    <s:row r="3">
      <s:c r="A3" s="284"/>
      <s:c r="B3" s="285"/>
      <s:c r="C3" s="286"/>
      <s:c r="D3" s="287" t="s">
        <s:v>96</s:v>
      </s:c>
      <s:c r="E3" s="288"/>
      <s:c r="F3" s="289" t="s">
        <s:v>97</s:v>
      </s:c>
      <s:c r="G3" s="290" t="s">
        <s:v>7</s:v>
      </s:c>
      <s:c r="H3" s="291"/>
      <s:c r="I3" s="292" t="s">
        <s:v>97</s:v>
      </s:c>
      <s:c r="J3" s="290" t="s">
        <s:v>7</s:v>
      </s:c>
      <s:c r="K3" s="291"/>
      <s:c r="L3" s="293" t="s">
        <s:v>97</s:v>
      </s:c>
      <s:c r="M3" s="290" t="s">
        <s:v>7</s:v>
      </s:c>
      <s:c r="N3" s="291"/>
      <s:c r="O3" s="293" t="s">
        <s:v>97</s:v>
      </s:c>
      <s:c r="P3" s="279" t="s">
        <s:v>7</s:v>
      </s:c>
      <s:c r="Q3" s="294"/>
      <s:c r="R3" s="293" t="s">
        <s:v>97</s:v>
      </s:c>
    </s:row>
    <s:row r="4">
      <s:c r="A4" s="295" t="s">
        <s:v>14</s:v>
      </s:c>
      <s:c r="B4" s="295"/>
      <s:c r="C4" s="295"/>
      <s:c r="D4" s="296">
        <s:f>Центрум!K8</s:f>
        <s:v>0.74142872481262578</s:v>
      </s:c>
      <s:c r="E4" s="297">
        <s:f>Центрум!J8</s:f>
        <s:v>1422519.98</s:v>
      </s:c>
      <s:c r="F4" s="298">
        <s:f>Центрум!M8</s:f>
        <s:v>0.74142872481262612</s:v>
      </s:c>
      <s:c r="G4" s="299">
        <s:f>'Свидовская С. А.'!K8</s:f>
        <s:v>0.75489417273473003</s:v>
      </s:c>
      <s:c r="H4" s="300">
        <s:f>'Свидовская С. А.'!J8</s:f>
        <s:v>268023</s:v>
      </s:c>
      <s:c r="I4" s="298">
        <s:f>'Свидовская С. А.'!M8</s:f>
        <s:v>0.80775623762469262</s:v>
      </s:c>
      <s:c r="J4" s="299">
        <s:f>'Корж А. А.'!K8</s:f>
        <s:v>0.79980309608792577</s:v>
      </s:c>
      <s:c r="K4" s="300">
        <s:f>'Корж А. А.'!J8</s:f>
        <s:v>505135</s:v>
      </s:c>
      <s:c r="L4" s="301">
        <s:f>'Корж А. А.'!M8</s:f>
        <s:v>0.82474864483189092</s:v>
      </s:c>
      <s:c r="M4" s="299">
        <s:f>'Козлова В. Э.'!K8</s:f>
        <s:v>0.42070029147201826</s:v>
      </s:c>
      <s:c r="N4" s="300">
        <s:f>'Козлова В. Э.'!J8</s:f>
        <s:v>262830.97999999998</s:v>
      </s:c>
      <s:c r="O4" s="301">
        <s:f ca="1">'Козлова В. Э.'!M8</s:f>
        <s:v>0.49958159612302172</s:v>
      </s:c>
      <s:c r="P4" s="299">
        <s:f>'Стекольщикова А. А.'!K8</s:f>
        <s:v>0.28779604322087982</s:v>
      </s:c>
      <s:c r="Q4" s="300">
        <s:f>'Стекольщикова А. А.'!J8</s:f>
        <s:v>88426</s:v>
      </s:c>
      <s:c r="R4" s="301">
        <s:f>'Стекольщикова А. А.'!M8</s:f>
        <s:v>1.5238113699771836</s:v>
      </s:c>
    </s:row>
    <s:row r="5">
      <s:c r="A5" s="49" t="s">
        <s:v>15</s:v>
      </s:c>
      <s:c r="B5" s="49"/>
      <s:c r="C5" s="49"/>
      <s:c r="D5" s="302">
        <s:f>'Центрум'!K9</s:f>
        <s:v>0.69487444100447204</s:v>
      </s:c>
      <s:c r="E5" s="303">
        <s:f>'Центрум'!J9</s:f>
        <s:v>202</s:v>
      </s:c>
      <s:c r="F5" s="304">
        <s:f>'Центрум'!M9</s:f>
        <s:v>0.69487444100447238</s:v>
      </s:c>
      <s:c r="G5" s="305">
        <s:f>'Свидовская С. А.'!K9</s:f>
        <s:v>0.76215236431954703</s:v>
      </s:c>
      <s:c r="H5" s="306">
        <s:f>'Свидовская С. А.'!J9</s:f>
        <s:v>41</s:v>
      </s:c>
      <s:c r="I5" s="307">
        <s:f>'Свидовская С. А.'!M9</s:f>
        <s:v>0.7864593288370697</s:v>
      </s:c>
      <s:c r="J5" s="305">
        <s:f>'Корж А. А.'!K9</s:f>
        <s:v>0.67925510649968845</s:v>
      </s:c>
      <s:c r="K5" s="306">
        <s:f>'Корж А. А.'!J9</s:f>
        <s:v>65</s:v>
      </s:c>
      <s:c r="L5" s="308">
        <s:f>'Корж А. А.'!M9</s:f>
        <s:v>0.72528367069381439</s:v>
      </s:c>
      <s:c r="M5" s="305">
        <s:f>'Козлова В. Э.'!K9</s:f>
        <s:v>0.47539291816813006</s:v>
      </s:c>
      <s:c r="N5" s="306">
        <s:f>'Козлова В. Э.'!J9</s:f>
        <s:v>45</s:v>
      </s:c>
      <s:c r="O5" s="308">
        <s:f ca="1">'Козлова В. Э.'!M9</s:f>
        <s:v>0.56452909032465459</s:v>
      </s:c>
      <s:c r="P5" s="305">
        <s:f>'Стекольщикова А. А.'!K9</s:f>
        <s:v>0.30073003860413561</s:v>
      </s:c>
      <s:c r="Q5" s="306">
        <s:f>'Стекольщикова А. А.'!J9</s:f>
        <s:v>14</s:v>
      </s:c>
      <s:c r="R5" s="308">
        <s:f>'Стекольщикова А. А.'!M9</s:f>
        <s:v>1.3145260843845592</s:v>
      </s:c>
    </s:row>
    <s:row r="6">
      <s:c r="A6" s="59" t="s">
        <s:v>16</s:v>
      </s:c>
      <s:c r="B6" s="59"/>
      <s:c r="C6" s="59"/>
      <s:c r="D6" s="302">
        <s:f>Центрум!K10</s:f>
        <s:v>1.1525846540269</s:v>
      </s:c>
      <s:c r="E6" s="309">
        <s:f>Центрум!J10</s:f>
        <s:v>12931.999818181817</s:v>
      </s:c>
      <s:c r="F6" s="304">
        <s:f>Центрум!M10</s:f>
        <s:v>1.1525846540269</s:v>
      </s:c>
      <s:c r="G6" s="305">
        <s:f>'Свидовская С. А.'!K10</s:f>
        <s:v>0.77057961014317744</s:v>
      </s:c>
      <s:c r="H6" s="310">
        <s:f>'Свидовская С. А.'!J10</s:f>
        <s:v>8645.9032258064508</s:v>
      </s:c>
      <s:c r="I6" s="307">
        <s:f>'Свидовская С. А.'!M10</s:f>
        <s:v>0.77057961014317744</s:v>
      </s:c>
      <s:c r="J6" s="305">
        <s:f>'Корж А. А.'!K10</s:f>
        <s:v>1.6674423978345547</s:v>
      </s:c>
      <s:c r="K6" s="310">
        <s:f>'Корж А. А.'!J10</s:f>
        <s:v>18708.703703703704</s:v>
      </s:c>
      <s:c r="L6" s="308">
        <s:f>'Корж А. А.'!M10</s:f>
        <s:v>1.6674423978345547</s:v>
      </s:c>
      <s:c r="M6" s="305">
        <s:f>'Козлова В. Э.'!K10</s:f>
        <s:v>0.90097003976415735</s:v>
      </s:c>
      <s:c r="N6" s="310">
        <s:f>'Козлова В. Э.'!J10</s:f>
        <s:v>10108.883846153845</s:v>
      </s:c>
      <s:c r="O6" s="308">
        <s:f>'Козлова В. Э.'!M10</s:f>
        <s:v>0.90097003976415735</s:v>
      </s:c>
      <s:c r="P6" s="305">
        <s:f>'Стекольщикова А. А.'!K10</s:f>
        <s:v>0.87567835214894041</s:v>
      </s:c>
      <s:c r="Q6" s="310">
        <s:f>'Стекольщикова А. А.'!J10</s:f>
        <s:v>9825.1111111111113</s:v>
      </s:c>
      <s:c r="R6" s="308">
        <s:f>'Стекольщикова А. А.'!M10</s:f>
        <s:v>0.87567835214894041</s:v>
      </s:c>
    </s:row>
    <s:row r="7">
      <s:c r="A7" s="49" t="s">
        <s:v>17</s:v>
      </s:c>
      <s:c r="B7" s="49"/>
      <s:c r="C7" s="49"/>
      <s:c r="D7" s="302">
        <s:f>'Центрум'!K11</s:f>
        <s:v>1.0669966846684669</s:v>
      </s:c>
      <s:c r="E7" s="309">
        <s:f>'Центрум'!J11</s:f>
        <s:v>7042.1781188118812</s:v>
      </s:c>
      <s:c r="F7" s="304">
        <s:f>'Центрум'!M11</s:f>
        <s:v>1.0669966846684666</s:v>
      </s:c>
      <s:c r="G7" s="305">
        <s:f>'Свидовская С. А.'!K11</s:f>
        <s:v>0.99047671840354767</s:v>
      </s:c>
      <s:c r="H7" s="310">
        <s:f>'Свидовская С. А.'!J11</s:f>
        <s:v>6537.1463414634145</s:v>
      </s:c>
      <s:c r="I7" s="307">
        <s:f>'Свидовская С. А.'!M11</s:f>
        <s:v>0.99047671840354767</s:v>
      </s:c>
      <s:c r="J7" s="305">
        <s:f>'Корж А. А.'!K11</s:f>
        <s:v>1.1774708624708625</s:v>
      </s:c>
      <s:c r="K7" s="310">
        <s:f>'Корж А. А.'!J11</s:f>
        <s:v>7771.3076923076924</s:v>
      </s:c>
      <s:c r="L7" s="308">
        <s:f>'Корж А. А.'!M11</s:f>
        <s:v>1.1774708624708625</s:v>
      </s:c>
      <s:c r="M7" s="305">
        <s:f>'Козлова В. Э.'!K11</s:f>
        <s:v>0.88495279461279452</s:v>
      </s:c>
      <s:c r="N7" s="310">
        <s:f>'Козлова В. Э.'!J11</s:f>
        <s:v>5840.688444444444</s:v>
      </s:c>
      <s:c r="O7" s="308">
        <s:f>'Козлова В. Э.'!M11</s:f>
        <s:v>0.88495279461279452</s:v>
      </s:c>
      <s:c r="P7" s="305">
        <s:f>'Стекольщикова А. А.'!K11</s:f>
        <s:v>0.95699134199134195</s:v>
      </s:c>
      <s:c r="Q7" s="310">
        <s:f>'Стекольщикова А. А.'!J11</s:f>
        <s:v>6316.1428571428569</s:v>
      </s:c>
      <s:c r="R7" s="308">
        <s:f>'Стекольщикова А. А.'!M11</s:f>
        <s:v>0.95699134199134195</s:v>
      </s:c>
    </s:row>
    <s:row r="8">
      <s:c r="A8" s="49" t="s">
        <s:v>18</s:v>
      </s:c>
      <s:c r="B8" s="49"/>
      <s:c r="C8" s="49"/>
      <s:c r="D8" s="302">
        <s:f>'Центрум'!K12</s:f>
        <s:v>1.0802139037433156</s:v>
      </s:c>
      <s:c r="E8" s="311">
        <s:f>'Центрум'!J12</s:f>
        <s:v>1.8363636363636364</s:v>
      </s:c>
      <s:c r="F8" s="304">
        <s:f>'Центрум'!M12</s:f>
        <s:v>1.0802139037433156</s:v>
      </s:c>
      <s:c r="G8" s="305">
        <s:f>'Свидовская С. А.'!K12</s:f>
        <s:v>0.77798861480075898</s:v>
      </s:c>
      <s:c r="H8" s="312">
        <s:f>'Свидовская С. А.'!J12</s:f>
        <s:v>1.3225806451612903</s:v>
      </s:c>
      <s:c r="I8" s="307">
        <s:f>'Свидовская С. А.'!M12</s:f>
        <s:v>0.77798861480075898</s:v>
      </s:c>
      <s:c r="J8" s="305">
        <s:f>'Корж А. А.'!K12</s:f>
        <s:v>1.4161220043572986</s:v>
      </s:c>
      <s:c r="K8" s="312">
        <s:f>'Корж А. А.'!J12</s:f>
        <s:v>2.4074074074074074</s:v>
      </s:c>
      <s:c r="L8" s="308">
        <s:f>'Корж А. А.'!M12</s:f>
        <s:v>1.4161220043572986</s:v>
      </s:c>
      <s:c r="M8" s="305">
        <s:f>'Козлова В. Э.'!K12</s:f>
        <s:v>1.0180995475113124</s:v>
      </s:c>
      <s:c r="N8" s="312">
        <s:f>'Козлова В. Э.'!J12</s:f>
        <s:v>1.7307692307692308</s:v>
      </s:c>
      <s:c r="O8" s="308">
        <s:f>'Козлова В. Э.'!M12</s:f>
        <s:v>1.0180995475113124</s:v>
      </s:c>
      <s:c r="P8" s="305">
        <s:f>'Стекольщикова А. А.'!K12</s:f>
        <s:v>0.91503267973856217</s:v>
      </s:c>
      <s:c r="Q8" s="312">
        <s:f>'Стекольщикова А. А.'!J12</s:f>
        <s:v>1.5555555555555556</s:v>
      </s:c>
      <s:c r="R8" s="308">
        <s:f>'Стекольщикова А. А.'!M12</s:f>
        <s:v>0.91503267973856217</s:v>
      </s:c>
    </s:row>
    <s:row r="9">
      <s:c r="A9" s="49" t="s">
        <s:v>19</s:v>
      </s:c>
      <s:c r="B9" s="49"/>
      <s:c r="C9" s="49"/>
      <s:c r="D9" s="302">
        <s:f>'Центрум'!K13</s:f>
        <s:v>0.64327485380116955</s:v>
      </s:c>
      <s:c r="E9" s="303">
        <s:f>'Центрум'!J13</s:f>
        <s:v>110</s:v>
      </s:c>
      <s:c r="F9" s="304">
        <s:f>'Центрум'!M13</s:f>
        <s:v>0.64327485380116922</s:v>
      </s:c>
      <s:c r="G9" s="305">
        <s:f>'Свидовская С. А.'!K13</s:f>
        <s:v>0.97964462438146649</s:v>
      </s:c>
      <s:c r="H9" s="306">
        <s:f>'Свидовская С. А.'!J13</s:f>
        <s:v>31</s:v>
      </s:c>
      <s:c r="I9" s="307">
        <s:f>'Свидовская С. А.'!M13</s:f>
        <s:v>1.0226579009157082</s:v>
      </s:c>
      <s:c r="J9" s="305">
        <s:f>'Корж А. А.'!K13</s:f>
        <s:v>0.47965860597439541</s:v>
      </s:c>
      <s:c r="K9" s="306">
        <s:f>'Корж А. А.'!J13</s:f>
        <s:v>27</s:v>
      </s:c>
      <s:c r="L9" s="308">
        <s:f>'Корж А. А.'!M13</s:f>
        <s:v>0.51561385028373374</s:v>
      </s:c>
      <s:c r="M9" s="305">
        <s:f>'Козлова В. Э.'!K13</s:f>
        <s:v>0.46694148851180772</s:v>
      </s:c>
      <s:c r="N9" s="306">
        <s:f>'Козлова В. Э.'!J13</s:f>
        <s:v>26</s:v>
      </s:c>
      <s:c r="O9" s="308">
        <s:f>'Козлова В. Э.'!M13</s:f>
        <s:v>0.55449301760777181</s:v>
      </s:c>
      <s:c r="P9" s="305">
        <s:f>'Стекольщикова А. А.'!K13</s:f>
        <s:v>0.32865497076023392</s:v>
      </s:c>
      <s:c r="Q9" s="306">
        <s:f>'Стекольщикова А. А.'!J13</s:f>
        <s:v>9</s:v>
      </s:c>
      <s:c r="R9" s="308">
        <s:f>'Стекольщикова А. А.'!M13</s:f>
        <s:v>1.5223538120306943</s:v>
      </s:c>
    </s:row>
    <s:row r="10">
      <s:c r="A10" s="49" t="s">
        <s:v>98</s:v>
      </s:c>
      <s:c r="B10" s="49"/>
      <s:c r="C10" s="49"/>
      <s:c r="D10" s="302">
        <s:f>'Центрум'!K14</s:f>
        <s:v>1</s:v>
      </s:c>
      <s:c r="E10" s="303">
        <s:f>'Центрум'!J14</s:f>
        <s:v>31</s:v>
      </s:c>
      <s:c r="F10" s="304"/>
      <s:c r="G10" s="305">
        <s:f>'Свидовская С. А.'!K14</s:f>
        <s:v>1.8</s:v>
      </s:c>
      <s:c r="H10" s="306">
        <s:f>'Свидовская С. А.'!J14</s:f>
        <s:v>18</s:v>
      </s:c>
      <s:c r="I10" s="307"/>
      <s:c r="J10" s="305">
        <s:f>'Корж А. А.'!K14</s:f>
        <s:v>1.0555555555555556</s:v>
      </s:c>
      <s:c r="K10" s="306">
        <s:f>'Корж А. А.'!J14</s:f>
        <s:v>19</s:v>
      </s:c>
      <s:c r="L10" s="308"/>
      <s:c r="M10" s="305">
        <s:f>'Козлова В. Э.'!K14</s:f>
        <s:v>1</s:v>
      </s:c>
      <s:c r="N10" s="306">
        <s:f>'Козлова В. Э.'!J14</s:f>
        <s:v>19</s:v>
      </s:c>
      <s:c r="O10" s="308"/>
      <s:c r="P10" s="305">
        <s:f>'Стекольщикова А. А.'!K14</s:f>
        <s:v>0.5</s:v>
      </s:c>
      <s:c r="Q10" s="306">
        <s:f>'Стекольщикова А. А.'!J14</s:f>
        <s:v>5</s:v>
      </s:c>
      <s:c r="R10" s="308"/>
    </s:row>
    <s:row r="11">
      <s:c r="A11" s="313" t="s">
        <s:v>21</s:v>
      </s:c>
      <s:c r="B11" s="313"/>
      <s:c r="C11" s="313"/>
      <s:c r="D11" s="314">
        <s:f>'Центрум'!K15</s:f>
        <s:v>0.74142872481262567</s:v>
      </s:c>
      <s:c r="E11" s="315">
        <s:f>'Центрум'!J15</s:f>
        <s:v>45887.741290322578</s:v>
      </s:c>
      <s:c r="F11" s="316">
        <s:f>'Центрум'!M15</s:f>
        <s:v>0.74142872481262567</s:v>
      </s:c>
      <s:c r="G11" s="317">
        <s:f>'Свидовская С. А.'!K15</s:f>
        <s:v>0.48117414252605167</s:v>
      </s:c>
      <s:c r="H11" s="318">
        <s:f>'Свидовская С. А.'!J15</s:f>
        <s:v>14890.166666666666</s:v>
      </s:c>
      <s:c r="I11" s="319">
        <s:f>'Свидовская С. А.'!M15</s:f>
        <s:v>0.48117414252605167</s:v>
      </s:c>
      <s:c r="J11" s="317">
        <s:f>'Корж А. А.'!K15</s:f>
        <s:v>0.85912544597569851</s:v>
      </s:c>
      <s:c r="K11" s="318">
        <s:f>'Корж А. А.'!J15</s:f>
        <s:v>26586.052631578947</s:v>
      </s:c>
      <s:c r="L11" s="320">
        <s:f>'Корж А. А.'!M15</s:f>
        <s:v>0.85912544597569851</s:v>
      </s:c>
      <s:c r="M11" s="317">
        <s:f>'Козлова В. Э.'!K15</s:f>
        <s:v>0.44701868393346311</s:v>
      </s:c>
      <s:c r="N11" s="318">
        <s:f>'Козлова В. Э.'!J15</s:f>
        <s:v>13833.20947368421</s:v>
      </s:c>
      <s:c r="O11" s="320">
        <s:f>'Козлова В. Э.'!M15</s:f>
        <s:v>0.44701868393346311</s:v>
      </s:c>
      <s:c r="P11" s="317">
        <s:f>'Стекольщикова А. А.'!K15</s:f>
        <s:v>0.28574767280649632</s:v>
      </s:c>
      <s:c r="Q11" s="318">
        <s:f>'Стекольщикова А. А.'!J15</s:f>
        <s:v>17685.200000000001</s:v>
      </s:c>
      <s:c r="R11" s="320">
        <s:f>'Стекольщикова А. А.'!M15</s:f>
        <s:v>0.28574767280649632</s:v>
      </s:c>
    </s:row>
    <s:row r="12">
      <s:c r="A12" s="321" t="s">
        <s:v>22</s:v>
      </s:c>
      <s:c r="B12" s="321"/>
      <s:c r="C12" s="321"/>
      <s:c r="D12" s="322">
        <s:f>Центрум!J16</s:f>
        <s:v>-496100.02000000002</s:v>
      </s:c>
      <s:c r="E12" s="323"/>
      <s:c r="F12" s="324"/>
      <s:c r="G12" s="325">
        <s:f>'Свидовская С. А.'!N8</s:f>
        <s:v>-68255.593676735356</s:v>
      </s:c>
      <s:c r="H12" s="326"/>
      <s:c r="I12" s="326"/>
      <s:c r="J12" s="327">
        <s:f>'Корж А. А.'!N8</s:f>
        <s:v>-110684.23431448027</s:v>
      </s:c>
      <s:c r="K12" s="328"/>
      <s:c r="L12" s="329"/>
      <s:c r="M12" s="327">
        <s:f ca="1">'Козлова В. Э.'!N8</s:f>
        <s:v>-312634.58135676157</s:v>
      </s:c>
      <s:c r="N12" s="328"/>
      <s:c r="O12" s="329"/>
      <s:c r="P12" s="330">
        <s:f>'Стекольщикова А. А.'!N8</s:f>
        <s:v>160942.25508880097</s:v>
      </s:c>
      <s:c r="Q12" s="331"/>
      <s:c r="R12" s="332"/>
    </s:row>
  </s:sheetData>
  <s:mergeCells count="26">
    <s:mergeCell ref="A1:R1"/>
    <s:mergeCell ref="A2:C3"/>
    <s:mergeCell ref="D2:F2"/>
    <s:mergeCell ref="G2:I2"/>
    <s:mergeCell ref="J2:L2"/>
    <s:mergeCell ref="M2:O2"/>
    <s:mergeCell ref="P2:R2"/>
    <s:mergeCell ref="D3:E3"/>
    <s:mergeCell ref="G3:H3"/>
    <s:mergeCell ref="J3:K3"/>
    <s:mergeCell ref="M3:N3"/>
    <s:mergeCell ref="P3:Q3"/>
    <s:mergeCell ref="A4:C4"/>
    <s:mergeCell ref="A5:C5"/>
    <s:mergeCell ref="A6:C6"/>
    <s:mergeCell ref="A7:C7"/>
    <s:mergeCell ref="A8:C8"/>
    <s:mergeCell ref="A9:C9"/>
    <s:mergeCell ref="A10:C10"/>
    <s:mergeCell ref="A11:C11"/>
    <s:mergeCell ref="A12:C12"/>
    <s:mergeCell ref="D12:F12"/>
    <s:mergeCell ref="G12:I12"/>
    <s:mergeCell ref="J12:L12"/>
    <s:mergeCell ref="M12:O12"/>
    <s:mergeCell ref="P12:R12"/>
  </s:mergeCells>
  <s:conditionalFormatting sqref="D12:R12">
    <s:cfRule type="cellIs" dxfId="1" priority="33" operator="greaterThan">
      <s:formula>0</s:formula>
    </s:cfRule>
  </s:conditionalFormatting>
  <s:conditionalFormatting sqref="D12:R12">
    <s:cfRule type="cellIs" dxfId="2" priority="32" operator="lessThan">
      <s:formula>0</s:formula>
    </s:cfRule>
  </s:conditionalFormatting>
  <s:conditionalFormatting sqref="F4:G9 I4:J9 D4:D11 G10 J10 F11:G11 I11:J11">
    <s:cfRule type="cellIs" dxfId="1" priority="12" operator="greaterThan">
      <s:formula>1</s:formula>
    </s:cfRule>
  </s:conditionalFormatting>
  <s:conditionalFormatting sqref="I4:J9 L4:L9 I11:J11 L11 F4:G9 D4:D11 G10 J10 F11:G11">
    <s:cfRule type="cellIs" dxfId="2" priority="11" operator="lessThan">
      <s:formula>1</s:formula>
    </s:cfRule>
  </s:conditionalFormatting>
  <s:conditionalFormatting sqref="O4:O9 O11 M4:M11">
    <s:cfRule type="cellIs" dxfId="2" priority="7" operator="lessThan">
      <s:formula>1</s:formula>
    </s:cfRule>
  </s:conditionalFormatting>
  <s:conditionalFormatting sqref="I4:I11 L4:M11">
    <s:cfRule type="cellIs" dxfId="1" priority="6" operator="greaterThan">
      <s:formula>1</s:formula>
    </s:cfRule>
  </s:conditionalFormatting>
  <s:conditionalFormatting sqref="I4:I11 L4:L11 O4:O11">
    <s:cfRule type="cellIs" dxfId="4" priority="5" operator="between">
      <s:formula>0.95</s:formula>
      <s:formula>1</s:formula>
    </s:cfRule>
  </s:conditionalFormatting>
  <s:conditionalFormatting sqref="O4:P11">
    <s:cfRule type="cellIs" dxfId="1" priority="4" operator="greaterThan">
      <s:formula>1</s:formula>
    </s:cfRule>
  </s:conditionalFormatting>
  <s:conditionalFormatting sqref="R4:R9 R11 P4:P11">
    <s:cfRule type="cellIs" dxfId="2" priority="3" operator="lessThan">
      <s:formula>1</s:formula>
    </s:cfRule>
  </s:conditionalFormatting>
  <s:conditionalFormatting sqref="R4:R11">
    <s:cfRule type="cellIs" dxfId="1" priority="2" operator="greaterThan">
      <s:formula>1</s:formula>
    </s:cfRule>
  </s:conditionalFormatting>
  <s:conditionalFormatting sqref="R4:R11">
    <s:cfRule type="cellIs" dxfId="4" priority="1" operator="between">
      <s:formula>0.95</s:formula>
      <s:formula>1</s:formula>
    </s:cfRule>
  </s:conditionalFormatting>
  <s:dataValidations count="1">
    <s:dataValidation type="decimal" sqref="F4:F11 D4:E12" vyd:viewType="arrow" mc:Ignorable="vyd">
      <s:formula1>0</s:formula1>
      <s:formula2>1000000000000000</s:formula2>
    </s:dataValidation>
  </s:dataValidations>
  <s:printOptions headings="0" gridLines="0"/>
  <s:pageMargins left="0.7" right="0.7" top="0.75" bottom="0.75" header="0.3" footer="0.3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  <s:extLst>
    <s:ext uri="{CCE6A557-97BC-4b89-ADB6-D9C93CAAB3DF}">
      <x14:dataValidations disablePrompts="0" count="0"/>
    </s:ext>
  </s:extLst>
</s:worksheet>
</file>

<file path=xl/worksheets/sheet4.xml><?xml version="1.0" encoding="utf-8"?>
<s:worksheet xmlns:x14ac="http://schemas.microsoft.com/office/spreadsheetml/2009/9/ac" xmlns:mc="http://schemas.openxmlformats.org/markup-compatibility/2006" xmlns:s="http://schemas.openxmlformats.org/spreadsheetml/2006/main" mc:Ignorable="x14ac">
  <s:sheetPr>
    <s:tabColor rgb="FFDBDBDB"/>
    <s:outlinePr applyStyles="0" summaryBelow="1" summaryRight="1" showOutlineSymbols="1"/>
    <s:pageSetUpPr autoPageBreaks="1" fitToPage="1"/>
  </s:sheetPr>
  <s:sheetViews>
    <s:sheetView showGridLines="0" showZeros="0" tabSelected="0" zoomScale="100" workbookViewId="0">
      <s:selection activeCell="A3" activeCellId="0" sqref="A3"/>
    </s:sheetView>
  </s:sheetViews>
  <s:sheetFormatPr baseColWidth="10" defaultColWidth="8.664" defaultRowHeight="14.25"/>
  <s:sheetData>
    <s:row r="1">
      <s:c r="A1" t="s">
        <s:v>99</s:v>
      </s:c>
    </s:row>
    <s:row r="2">
      <s:c r="A2" t="s">
        <s:v>100</s:v>
      </s:c>
    </s:row>
    <s:row r="3">
      <s:c r="A3" t="s">
        <s:v>101</s:v>
      </s:c>
    </s:row>
  </s:sheetData>
  <s:printOptions headings="0" gridLines="1"/>
  <s:pageMargins left="0.7" right="0.7" top="0.75" bottom="0.75" header="0.512" footer="0.512"/>
  <s:pageSetup paperSize="9" scale="100" firstPageNumber="0" fitToWidth="1" fitToHeight="0" pageOrder="downThenOver" orientation="landscape" usePrinterDefaults="1" blackAndWhite="0" draft="0" cellComments="none" useFirstPageNumber="0" errors="displayed" horizontalDpi="300" verticalDpi="300" copies="1"/>
  <s:headerFooter/>
</s:worksheet>
</file>

<file path=xl/worksheets/sheet5.xml><?xml version="1.0" encoding="utf-8"?>
<s:worksheet xmlns:s="http://schemas.openxmlformats.org/spreadsheetml/2006/main" xmlns:x14ac="http://schemas.microsoft.com/office/spreadsheetml/2009/9/ac" xmlns:mc="http://schemas.openxmlformats.org/markup-compatibility/2006" xmlns:vyd="http://volga.yandex.com/schemas/document/model" xmlns:x14="http://schemas.microsoft.com/office/spreadsheetml/2009/9/main" mc:Ignorable="x14ac">
  <s:sheetPr>
    <s:tabColor rgb="FFDBDBDB"/>
    <s:outlinePr applyStyles="0" summaryBelow="1" summaryRight="1" showOutlineSymbols="1"/>
    <s:pageSetUpPr autoPageBreaks="1" fitToPage="1"/>
  </s:sheetPr>
  <s:sheetViews>
    <s:sheetView showGridLines="0" showZeros="0" tabSelected="0" zoomScale="166" workbookViewId="0">
      <s:selection activeCell="D2" activeCellId="0" sqref="D2"/>
    </s:sheetView>
  </s:sheetViews>
  <s:sheetFormatPr baseColWidth="10" defaultColWidth="11.5" defaultRowHeight="14.25"/>
  <s:cols>
    <s:col min="1" max="4" width="11.5" style="1"/>
  </s:cols>
  <s:sheetData>
    <s:row r="1">
      <s:c r="A1" s="59" t="s">
        <s:v>14</s:v>
      </s:c>
      <s:c r="B1" s="59"/>
      <s:c r="C1" s="59"/>
      <s:c r="D1" s="333">
        <s:f>86000</s:f>
        <s:v>86000</s:v>
      </s:c>
    </s:row>
    <s:row r="2">
      <s:c r="A2" s="49" t="s">
        <s:v>15</s:v>
      </s:c>
      <s:c r="B2" s="49"/>
      <s:c r="C2" s="49"/>
      <s:c r="D2" s="50">
        <s:f>D1/D4</s:f>
        <s:v>13.030303030303031</s:v>
      </s:c>
    </s:row>
    <s:row r="3">
      <s:c r="A3" s="59" t="s">
        <s:v>16</s:v>
      </s:c>
      <s:c r="B3" s="59"/>
      <s:c r="C3" s="59"/>
      <s:c r="D3" s="60">
        <s:f>D4*D5</s:f>
        <s:v>11220</s:v>
      </s:c>
    </s:row>
    <s:row r="4">
      <s:c r="A4" s="49" t="s">
        <s:v>17</s:v>
      </s:c>
      <s:c r="B4" s="49"/>
      <s:c r="C4" s="49"/>
      <s:c r="D4" s="68">
        <s:f>Центрум!I11</s:f>
        <s:v>6600</s:v>
      </s:c>
    </s:row>
    <s:row r="5">
      <s:c r="A5" s="49" t="s">
        <s:v>18</s:v>
      </s:c>
      <s:c r="B5" s="49"/>
      <s:c r="C5" s="49"/>
      <s:c r="D5" s="70">
        <s:f>'Центрум'!I12</s:f>
        <s:v>1.7</s:v>
      </s:c>
    </s:row>
    <s:row r="6">
      <s:c r="A6" s="49" t="s">
        <s:v>19</s:v>
      </s:c>
      <s:c r="B6" s="49"/>
      <s:c r="C6" s="49"/>
      <s:c r="D6" s="50">
        <s:f>IF(D5&lt;&gt;0,D2/D5,"")</s:f>
        <s:v>7.6648841354723718</s:v>
      </s:c>
    </s:row>
    <s:row r="7">
      <s:c r="A7" s="49" t="s">
        <s:v>25</s:v>
      </s:c>
      <s:c r="B7" s="49"/>
      <s:c r="C7" s="49"/>
      <s:c r="D7" s="334">
        <s:f>Центрум!I20</s:f>
        <s:v>0.089999999999999997</s:v>
      </s:c>
    </s:row>
  </s:sheetData>
  <s:mergeCells count="7">
    <s:mergeCell ref="A1:C1"/>
    <s:mergeCell ref="A2:C2"/>
    <s:mergeCell ref="A3:C3"/>
    <s:mergeCell ref="A4:C4"/>
    <s:mergeCell ref="A5:C5"/>
    <s:mergeCell ref="A6:C6"/>
    <s:mergeCell ref="A7:C7"/>
  </s:mergeCells>
  <s:dataValidations count="1">
    <s:dataValidation type="decimal" sqref="D1:D7" vyd:viewType="arrow" mc:Ignorable="vyd">
      <s:formula1>0</s:formula1>
      <s:formula2>1000000000000000</s:formula2>
    </s:dataValidation>
  </s:dataValidations>
  <s:printOptions headings="0" gridLines="1"/>
  <s:pageMargins left="0.788" right="0.788" top="0.788" bottom="0.788" header="0.512" footer="0.512"/>
  <s:pageSetup paperSize="9" scale="100" firstPageNumber="0" fitToWidth="1" fitToHeight="0" pageOrder="downThenOver" orientation="landscape" usePrinterDefaults="1" blackAndWhite="0" draft="0" cellComments="none" useFirstPageNumber="0" errors="displayed" horizontalDpi="300" verticalDpi="300" copies="1"/>
  <s:headerFooter/>
  <s:extLst>
    <s:ext uri="{CCE6A557-97BC-4b89-ADB6-D9C93CAAB3DF}">
      <x14:dataValidations disablePrompts="0" count="0"/>
    </s:ext>
  </s:extLst>
</s:worksheet>
</file>

<file path=xl/worksheets/sheet6.xml><?xml version="1.0" encoding="utf-8"?>
<s:worksheet xmlns:r="http://schemas.openxmlformats.org/officeDocument/2006/relationships" xmlns:s="http://schemas.openxmlformats.org/spreadsheetml/2006/main" xmlns:vyd="http://volga.yandex.com/schemas/document/model" xmlns:mc="http://schemas.openxmlformats.org/markup-compatibility/2006" xmlns:x14="http://schemas.microsoft.com/office/spreadsheetml/2009/9/main" xmlns:x14ac="http://schemas.microsoft.com/office/spreadsheetml/2009/9/ac" mc:Ignorable="x14ac">
  <s:sheetPr>
    <s:tabColor rgb="FFDBDBDB"/>
    <s:outlinePr applyStyles="0" summaryBelow="1" summaryRight="1" showOutlineSymbols="1"/>
    <s:pageSetUpPr autoPageBreaks="1" fitToPage="1"/>
  </s:sheetPr>
  <s:sheetViews>
    <s:sheetView showGridLines="0" showZeros="0" tabSelected="0" topLeftCell="A23" zoomScale="100" workbookViewId="0">
      <s:selection activeCell="G27" activeCellId="0" sqref="G27"/>
    </s:sheetView>
  </s:sheetViews>
  <s:sheetFormatPr baseColWidth="10" defaultColWidth="9.164" defaultRowHeight="14.25"/>
  <s:cols>
    <s:col min="1" max="1" width="4" style="1" customWidth="1"/>
    <s:col min="2" max="2" width="10.332" style="1" customWidth="1"/>
    <s:col min="3" max="3" width="10.832" style="1" customWidth="1"/>
    <s:col min="4" max="4" width="10.332" style="1" customWidth="1"/>
    <s:col min="5" max="5" width="10.164" style="1" customWidth="1"/>
    <s:col min="6" max="6" width="11.332" style="1" customWidth="1"/>
    <s:col min="7" max="7" width="9.832" style="1" customWidth="1"/>
    <s:col min="8" max="8" width="9.5" style="1" customWidth="1"/>
    <s:col min="9" max="9" width="11" style="1" customWidth="1"/>
    <s:col min="10" max="10" width="8.832" style="1" customWidth="1"/>
    <s:col min="11" max="14" width="12.664" style="1" customWidth="1"/>
    <s:col min="15" max="15" width="11.332" style="1" customWidth="1"/>
    <s:col min="16" max="18" width="10.832" style="1" customWidth="1"/>
    <s:col min="19" max="19" width="11.664" style="1" customWidth="1"/>
    <s:col min="20" max="20" width="12.832" style="1" customWidth="1"/>
    <s:col min="21" max="21" width="10.332" style="1" customWidth="1"/>
    <s:col min="22" max="23" width="11.332" style="1" customWidth="1"/>
    <s:col min="24" max="24" width="11" style="1" customWidth="1"/>
    <s:col min="25" max="25" width="9.5" style="1" customWidth="1"/>
    <s:col min="26" max="26" width="9.164" style="1"/>
    <s:col min="27" max="28" width="10.5" style="1" customWidth="1"/>
    <s:col min="29" max="38" width="9.164" style="1"/>
    <s:col min="39" max="260" width="9.164" style="2"/>
  </s:cols>
  <s:sheetData>
    <s:row r="1" ht="15.75" customHeight="1">
      <s:c r="B1" s="3">
        <s:f ca="1">TODAY()-1</s:f>
        <s:v>46170</s:v>
      </s:c>
      <s:c r="C1" s="3"/>
      <s:c r="D1" s="4"/>
      <s:c r="E1" s="4"/>
      <s:c r="F1" s="5"/>
      <s:c r="G1" s="5"/>
      <s:c r="H1" s="5"/>
      <s:c r="I1" s="5"/>
      <s:c r="J1" s="6"/>
      <s:c r="K1" s="6"/>
      <s:c r="L1" s="6"/>
      <s:c r="M1" s="6"/>
      <s:c r="N1" s="6"/>
      <s:c r="O1" s="6"/>
      <s:c r="P1" s="6"/>
      <s:c r="Q1" s="6"/>
      <s:c r="R1" s="6"/>
      <s:c r="S1" s="6"/>
      <s:c r="T1" s="6"/>
      <s:c r="U1" s="6"/>
      <s:c r="V1" s="7"/>
      <s:c r="W1" s="7"/>
      <s:c r="X1" s="7"/>
      <s:c r="Y1" s="7"/>
      <s:c r="Z1" s="5"/>
      <s:c r="AA1" s="5"/>
      <s:c r="AB1" s="5"/>
    </s:row>
    <s:row r="2" ht="21.75" customHeight="1">
      <s:c r="B2" s="8" t="s">
        <s:v>0</s:v>
      </s:c>
      <s:c r="C2" s="8"/>
      <s:c r="D2" s="4"/>
      <s:c r="E2" s="4"/>
      <s:c r="F2" s="5"/>
      <s:c r="G2" s="5"/>
      <s:c r="H2" s="5"/>
      <s:c r="I2" s="5"/>
      <s:c r="J2" s="335" t="s">
        <s:v>1</s:v>
      </s:c>
      <s:c r="K2" s="335"/>
      <s:c r="L2" s="335"/>
      <s:c r="M2" s="335"/>
      <s:c r="N2" s="335"/>
      <s:c r="O2" s="9"/>
      <s:c r="P2" s="9"/>
      <s:c r="Q2" s="9"/>
      <s:c r="R2" s="9"/>
      <s:c r="S2" s="9"/>
      <s:c r="T2" s="9"/>
      <s:c r="U2" s="9"/>
      <s:c r="V2" s="7"/>
      <s:c r="W2" s="7"/>
      <s:c r="X2" s="7"/>
      <s:c r="Y2" s="7"/>
      <s:c r="Z2" s="5"/>
      <s:c r="AA2" s="5"/>
      <s:c r="AB2" s="5"/>
    </s:row>
    <s:row r="3" ht="14" customHeight="1">
      <s:c r="B3" s="10" t="s">
        <s:v>2</s:v>
      </s:c>
      <s:c r="C3" s="4"/>
      <s:c r="D3" s="4"/>
      <s:c r="E3" s="4"/>
      <s:c r="F3" s="5"/>
      <s:c r="G3" s="5"/>
      <s:c r="H3" s="5"/>
      <s:c r="I3" s="5"/>
      <s:c r="J3" s="336">
        <s:f>График!B23</s:f>
        <s:v>0</s:v>
      </s:c>
      <s:c r="K3" s="337"/>
      <s:c r="L3" s="337"/>
      <s:c r="M3" s="337"/>
      <s:c r="N3" s="338"/>
      <s:c r="O3" s="9"/>
      <s:c r="P3" s="9"/>
      <s:c r="Q3" s="9"/>
      <s:c r="R3" s="9"/>
      <s:c r="S3" s="9"/>
      <s:c r="T3" s="6"/>
      <s:c r="U3" s="14"/>
      <s:c r="V3" s="7"/>
      <s:c r="W3" s="7"/>
      <s:c r="X3" s="7"/>
      <s:c r="Y3" s="7"/>
      <s:c r="Z3" s="5"/>
      <s:c r="AA3" s="5"/>
      <s:c r="AB3" s="5"/>
    </s:row>
    <s:row r="4" ht="15" customHeight="1">
      <s:c r="B4" s="4"/>
      <s:c r="C4" s="339">
        <s:f>I8-D49</s:f>
        <s:v>-165233</s:v>
      </s:c>
      <s:c r="D4" s="339"/>
      <s:c r="E4" s="340">
        <s:f>IF(I8&lt;&gt;0,C4/I8,0)</s:f>
        <s:v>0</s:v>
      </s:c>
      <s:c r="F4" s="5"/>
      <s:c r="G4" s="5"/>
      <s:c r="H4" s="5"/>
      <s:c r="I4" s="5"/>
      <s:c r="J4" s="341"/>
      <s:c r="K4" s="342"/>
      <s:c r="L4" s="342"/>
      <s:c r="M4" s="342"/>
      <s:c r="N4" s="343"/>
      <s:c r="O4" s="9"/>
      <s:c r="P4" s="9"/>
      <s:c r="Q4" s="9"/>
      <s:c r="R4" s="9"/>
      <s:c r="S4" s="9"/>
      <s:c r="T4" s="5"/>
      <s:c r="U4" s="5"/>
      <s:c r="V4" s="7"/>
      <s:c r="W4" s="7"/>
      <s:c r="X4" s="7"/>
      <s:c r="Y4" s="7"/>
      <s:c r="Z4" s="5"/>
      <s:c r="AA4" s="5"/>
      <s:c r="AB4" s="5"/>
    </s:row>
    <s:row r="5">
      <s:c r="B5" s="5"/>
      <s:c r="C5" s="5"/>
      <s:c r="D5" s="5"/>
      <s:c r="E5" s="5"/>
      <s:c r="F5" s="5"/>
      <s:c r="G5" s="5"/>
      <s:c r="H5" s="5"/>
      <s:c r="I5" s="5"/>
      <s:c r="J5" s="22"/>
      <s:c r="K5" s="22"/>
      <s:c r="L5" s="22"/>
      <s:c r="M5" s="22"/>
      <s:c r="N5" s="22"/>
      <s:c r="O5" s="22"/>
      <s:c r="P5" s="22"/>
      <s:c r="Q5" s="22"/>
      <s:c r="R5" s="22"/>
      <s:c r="S5" s="22"/>
      <s:c r="T5" s="5"/>
      <s:c r="U5" s="5"/>
      <s:c r="V5" s="5"/>
      <s:c r="W5" s="5"/>
      <s:c r="X5" s="5"/>
      <s:c r="Y5" s="5"/>
      <s:c r="Z5" s="5"/>
      <s:c r="AA5" s="5"/>
      <s:c r="AB5" s="5"/>
    </s:row>
    <s:row r="6" ht="24" customHeight="1">
      <s:c r="B6" s="23"/>
      <s:c r="C6" s="5"/>
      <s:c r="D6" s="5"/>
      <s:c r="E6" s="5"/>
      <s:c r="F6" s="25" t="s">
        <s:v>4</s:v>
      </s:c>
      <s:c r="G6" s="26"/>
      <s:c r="H6" s="26"/>
      <s:c r="I6" s="26"/>
      <s:c r="J6" s="26"/>
      <s:c r="K6" s="26"/>
      <s:c r="L6" s="26"/>
      <s:c r="M6" s="26"/>
      <s:c r="N6" s="26"/>
      <s:c r="O6" s="26"/>
      <s:c r="P6" s="26"/>
      <s:c r="Q6" s="27"/>
      <s:c r="R6" s="22"/>
      <s:c r="S6" s="22"/>
      <s:c r="T6" s="5"/>
      <s:c r="U6" s="5"/>
      <s:c r="V6" s="5"/>
      <s:c r="W6" s="28"/>
      <s:c r="X6" s="28"/>
      <s:c r="Y6" s="5"/>
      <s:c r="Z6" s="5"/>
      <s:c r="AA6" s="5"/>
      <s:c r="AB6" s="5"/>
    </s:row>
    <s:row r="7" ht="50.75" customHeight="1">
      <s:c r="B7" s="23"/>
      <s:c r="C7" s="5"/>
      <s:c r="D7" s="5"/>
      <s:c r="E7" s="29"/>
      <s:c r="F7" s="344" t="s">
        <s:v>5</s:v>
      </s:c>
      <s:c r="G7" s="344"/>
      <s:c r="H7" s="344"/>
      <s:c r="I7" s="31" t="s">
        <s:v>6</s:v>
      </s:c>
      <s:c r="J7" s="32" t="s">
        <s:v>7</s:v>
      </s:c>
      <s:c r="K7" s="33" t="s">
        <s:v>8</s:v>
      </s:c>
      <s:c r="L7" s="34" t="s">
        <s:v>9</s:v>
      </s:c>
      <s:c r="M7" s="34" t="s">
        <s:v>10</s:v>
      </s:c>
      <s:c r="N7" s="35" t="s">
        <s:v>11</s:v>
      </s:c>
      <s:c r="O7" s="36" t="s">
        <s:v>12</s:v>
      </s:c>
      <s:c r="P7" s="37" t="s">
        <s:v>13</s:v>
      </s:c>
      <s:c r="Q7" s="38"/>
      <s:c r="R7" s="22"/>
      <s:c r="S7" s="22"/>
      <s:c r="T7" s="5"/>
      <s:c r="U7" s="5"/>
      <s:c r="V7" s="5"/>
      <s:c r="W7" s="5"/>
      <s:c r="X7" s="5"/>
      <s:c r="Y7" s="5"/>
    </s:row>
    <s:row r="8" ht="15.75" customHeight="1">
      <s:c r="B8" s="23"/>
      <s:c r="C8" s="5"/>
      <s:c r="D8" s="5"/>
      <s:c r="E8" s="5"/>
      <s:c r="F8" s="59" t="s">
        <s:v>14</s:v>
      </s:c>
      <s:c r="G8" s="59"/>
      <s:c r="H8" s="59"/>
      <s:c r="I8" s="345">
        <s:f>Центрум!I8/График!AJ29*График!AJ23</s:f>
        <s:v>0</s:v>
      </s:c>
      <s:c r="J8" s="41">
        <s:f>D49</s:f>
        <s:v>165233</s:v>
      </s:c>
      <s:c r="K8" s="346" t="str">
        <s:f>IF(AND(I8&lt;&gt;"",I8&lt;&gt;0,J8&lt;&gt;""),J8/I8,"")</s:f>
        <s:v/>
      </s:c>
      <s:c r="L8" s="43">
        <s:f>IF(SUMIF($D$25:$D$47,"&gt;=0",$U$25:$U$47)&lt;&gt;0,I8*D49/SUMIF($D$25:$D$47,"&gt;=0",$U$25:$U$47),0)</s:f>
        <s:v>0</s:v>
      </s:c>
      <s:c r="M8" s="347" t="e">
        <s:f>L8/I8</s:f>
        <s:v>#DIV/0!</s:v>
      </s:c>
      <s:c r="N8" s="45" t="str">
        <s:f>IF(AND(J8&lt;&gt;0,J8&lt;&gt;"",I8&lt;&gt;0,I8&lt;&gt;""),L8-I8,"")</s:f>
        <s:v/>
      </s:c>
      <s:c r="O8" s="46"/>
      <s:c r="P8" s="47" t="str">
        <s:f>IF(AND(O8&lt;&gt;"",O8&lt;&gt;0,L8&lt;&gt;"",L8&lt;&gt;0),-O8+L8,"")</s:f>
        <s:v/>
      </s:c>
      <s:c r="Q8" s="48" t="str">
        <s:f>IF(AND(P8&lt;&gt;"",P8&lt;&gt;0,O8&lt;&gt;0,O8&lt;&gt;""),P8/O8,"")</s:f>
        <s:v/>
      </s:c>
      <s:c r="R8" s="22"/>
      <s:c r="S8" s="22"/>
      <s:c r="T8" s="28"/>
      <s:c r="U8" s="5"/>
      <s:c r="V8" s="5"/>
      <s:c r="W8" s="5"/>
      <s:c r="X8" s="5"/>
    </s:row>
    <s:row r="9" ht="15.75" customHeight="1">
      <s:c r="B9" s="23"/>
      <s:c r="C9" s="5"/>
      <s:c r="D9" s="5"/>
      <s:c r="E9" s="5"/>
      <s:c r="F9" s="49" t="s">
        <s:v>15</s:v>
      </s:c>
      <s:c r="G9" s="49"/>
      <s:c r="H9" s="49"/>
      <s:c r="I9" s="50">
        <s:f>I8/I11</s:f>
        <s:v>0</s:v>
      </s:c>
      <s:c r="J9" s="51">
        <s:f>E49</s:f>
        <s:v>19</s:v>
      </s:c>
      <s:c r="K9" s="348" t="str">
        <s:f>IF(AND(I9&lt;&gt;"",I9&lt;&gt;0,J9&lt;&gt;""),J9/I9,"")</s:f>
        <s:v/>
      </s:c>
      <s:c r="L9" s="79">
        <s:f>IF(SUMIF($E$25:$E$47,"&gt;=0",$V$25:$V$47)&lt;&gt;0,I9*E49/SUMIF($E$25:$E$47,"&gt;=0",$V$25:$V$47),0)</s:f>
        <s:v>0</s:v>
      </s:c>
      <s:c r="M9" s="349" t="str">
        <s:f>IF(AND(I9&lt;&gt;"",I9&lt;&gt;0,L9&lt;&gt;"",L9&lt;&gt;0),L9/I9,"")</s:f>
        <s:v/>
      </s:c>
      <s:c r="N9" s="55" t="str">
        <s:f>IF(AND(J9&lt;&gt;0,J9&lt;&gt;"",I9&lt;&gt;0,I9&lt;&gt;""),L9-I9,"")</s:f>
        <s:v/>
      </s:c>
      <s:c r="O9" s="56" t="e">
        <s:f>O8/O11</s:f>
        <s:v>#DIV/0!</s:v>
      </s:c>
      <s:c r="P9" s="57" t="e">
        <s:f>IF(AND(O9&lt;&gt;"",O9&lt;&gt;0,L9&lt;&gt;"",L9&lt;&gt;0),-O9+L9,"")</s:f>
        <s:v>#DIV/0!</s:v>
      </s:c>
      <s:c r="Q9" s="58" t="e">
        <s:f>IF(AND(P9&lt;&gt;"",P9&lt;&gt;0,O9&lt;&gt;0,O9&lt;&gt;""),P9/O9,"")</s:f>
        <s:v>#DIV/0!</s:v>
      </s:c>
      <s:c r="R9" s="22"/>
      <s:c r="S9" s="22"/>
      <s:c r="T9" s="28"/>
      <s:c r="U9" s="5"/>
      <s:c r="V9" s="5"/>
      <s:c r="W9" s="5"/>
      <s:c r="X9" s="5"/>
    </s:row>
    <s:row r="10" ht="15.75" customHeight="1">
      <s:c r="B10" s="23"/>
      <s:c r="C10" s="5"/>
      <s:c r="D10" s="5"/>
      <s:c r="E10" s="5"/>
      <s:c r="F10" s="59" t="s">
        <s:v>16</s:v>
      </s:c>
      <s:c r="G10" s="59"/>
      <s:c r="H10" s="59"/>
      <s:c r="I10" s="60">
        <s:f>I11*I12</s:f>
        <s:v>11220</s:v>
      </s:c>
      <s:c r="J10" s="61">
        <s:f>H49</s:f>
        <s:v>23604.714285714286</s:v>
      </s:c>
      <s:c r="K10" s="350">
        <s:f>IF(AND(I10&lt;&gt;"",I10&lt;&gt;0,J10&lt;&gt;""),J10/I10,"")</s:f>
        <s:v>2.1038069773363892</s:v>
      </s:c>
      <s:c r="L10" s="79">
        <s:f>J10</s:f>
        <s:v>23604.714285714286</s:v>
      </s:c>
      <s:c r="M10" s="351">
        <s:f>IF(AND(I10&lt;&gt;"",I10&lt;&gt;0,L10&lt;&gt;"",L10&lt;&gt;0),L10/I10,"")</s:f>
        <s:v>2.1038069773363892</s:v>
      </s:c>
      <s:c r="N10" s="64">
        <s:f>IF(AND(J10&lt;&gt;0,J10&lt;&gt;"",I10&lt;&gt;0,I10&lt;&gt;""),L10-I10,"")</s:f>
        <s:v>12384.714285714286</s:v>
      </s:c>
      <s:c r="O10" s="65">
        <s:f>O11*O12</s:f>
        <s:v>0</s:v>
      </s:c>
      <s:c r="P10" s="66" t="str">
        <s:f>IF(AND(O10&lt;&gt;"",O10&lt;&gt;0,L10&lt;&gt;"",L10&lt;&gt;0),-O10+L10,"")</s:f>
        <s:v/>
      </s:c>
      <s:c r="Q10" s="67" t="str">
        <s:f>IF(AND(P10&lt;&gt;"",P10&lt;&gt;0,O10&lt;&gt;0,O10&lt;&gt;""),P10/O10,"")</s:f>
        <s:v/>
      </s:c>
      <s:c r="R10" s="22"/>
      <s:c r="S10" s="22"/>
      <s:c r="T10" s="28"/>
      <s:c r="U10" s="5"/>
      <s:c r="V10" s="5"/>
      <s:c r="W10" s="5"/>
      <s:c r="X10" s="5"/>
    </s:row>
    <s:row r="11" ht="15.75" customHeight="1">
      <s:c r="B11" s="23"/>
      <s:c r="C11" s="5"/>
      <s:c r="D11" s="5"/>
      <s:c r="E11" s="5"/>
      <s:c r="F11" s="49" t="s">
        <s:v>17</s:v>
      </s:c>
      <s:c r="G11" s="49"/>
      <s:c r="H11" s="49"/>
      <s:c r="I11" s="68">
        <s:f>Центрум!I11</s:f>
        <s:v>6600</s:v>
      </s:c>
      <s:c r="J11" s="51">
        <s:f>F49</s:f>
        <s:v>8696.4736842105267</s:v>
      </s:c>
      <s:c r="K11" s="348">
        <s:f>IF(AND(I11&lt;&gt;"",I11&lt;&gt;0,J11&lt;&gt;""),J11/I11,"")</s:f>
        <s:v>1.3176475279106858</s:v>
      </s:c>
      <s:c r="L11" s="79">
        <s:f>J11</s:f>
        <s:v>8696.4736842105267</s:v>
      </s:c>
      <s:c r="M11" s="349">
        <s:f>IF(AND(I11&lt;&gt;"",I11&lt;&gt;0,L11&lt;&gt;"",L11&lt;&gt;0),L11/I11,"")</s:f>
        <s:v>1.3176475279106858</s:v>
      </s:c>
      <s:c r="N11" s="55">
        <s:f>IF(AND(J11&lt;&gt;0,J11&lt;&gt;"",I11&lt;&gt;0,I11&lt;&gt;""),L11-I11,"")</s:f>
        <s:v>2096.4736842105267</s:v>
      </s:c>
      <s:c r="O11" s="69"/>
      <s:c r="P11" s="57" t="str">
        <s:f>IF(AND(O11&lt;&gt;"",O11&lt;&gt;0,L11&lt;&gt;"",L11&lt;&gt;0),-O11+L11,"")</s:f>
        <s:v/>
      </s:c>
      <s:c r="Q11" s="58" t="str">
        <s:f>IF(AND(P11&lt;&gt;"",P11&lt;&gt;0,O11&lt;&gt;0,O11&lt;&gt;""),P11/O11,"")</s:f>
        <s:v/>
      </s:c>
      <s:c r="R11" s="22"/>
      <s:c r="S11" s="22"/>
      <s:c r="T11" s="5"/>
      <s:c r="U11" s="5"/>
      <s:c r="V11" s="5"/>
      <s:c r="W11" s="5"/>
      <s:c r="X11" s="5"/>
    </s:row>
    <s:row r="12" ht="15.75" customHeight="1">
      <s:c r="B12" s="23"/>
      <s:c r="C12" s="5"/>
      <s:c r="D12" s="5"/>
      <s:c r="E12" s="5"/>
      <s:c r="F12" s="49" t="s">
        <s:v>18</s:v>
      </s:c>
      <s:c r="G12" s="49"/>
      <s:c r="H12" s="49"/>
      <s:c r="I12" s="70">
        <s:f>'Центрум'!I12</s:f>
        <s:v>1.7</s:v>
      </s:c>
      <s:c r="J12" s="71">
        <s:f>J49</s:f>
        <s:v>2.7142857142857144</s:v>
      </s:c>
      <s:c r="K12" s="348">
        <s:f>IF(AND(I12&lt;&gt;"",I12&lt;&gt;0,J12&lt;&gt;""),J12/I12,"")</s:f>
        <s:v>1.596638655462185</s:v>
      </s:c>
      <s:c r="L12" s="79">
        <s:f>J12</s:f>
        <s:v>2.7142857142857144</s:v>
      </s:c>
      <s:c r="M12" s="349">
        <s:f>IF(AND(I12&lt;&gt;"",I12&lt;&gt;0,L12&lt;&gt;"",L12&lt;&gt;0),L12/I12,"")</s:f>
        <s:v>1.596638655462185</s:v>
      </s:c>
      <s:c r="N12" s="73">
        <s:f>IF(AND(J12&lt;&gt;0,J12&lt;&gt;"",I12&lt;&gt;0,I12&lt;&gt;""),L12-I12,"")</s:f>
        <s:v>1.0142857142857145</s:v>
      </s:c>
      <s:c r="O12" s="74"/>
      <s:c r="P12" s="57" t="str">
        <s:f>IF(AND(O12&lt;&gt;"",O12&lt;&gt;0,L12&lt;&gt;"",L12&lt;&gt;0),-O12+L12,"")</s:f>
        <s:v/>
      </s:c>
      <s:c r="Q12" s="58" t="str">
        <s:f>IF(AND(P12&lt;&gt;"",P12&lt;&gt;0,O12&lt;&gt;0,O12&lt;&gt;""),P12/O12,"")</s:f>
        <s:v/>
      </s:c>
      <s:c r="R12" s="22"/>
      <s:c r="S12" s="22"/>
      <s:c r="T12" s="5"/>
      <s:c r="U12" s="5"/>
      <s:c r="V12" s="5"/>
      <s:c r="W12" s="5"/>
      <s:c r="X12" s="5"/>
    </s:row>
    <s:row r="13" ht="15.75" customHeight="1">
      <s:c r="B13" s="23"/>
      <s:c r="C13" s="5"/>
      <s:c r="D13" s="5"/>
      <s:c r="E13" s="5"/>
      <s:c r="F13" s="49" t="s">
        <s:v>19</s:v>
      </s:c>
      <s:c r="G13" s="49"/>
      <s:c r="H13" s="49"/>
      <s:c r="I13" s="50">
        <s:f>IF(I12&lt;&gt;0,I9/I12,"")</s:f>
        <s:v>0</s:v>
      </s:c>
      <s:c r="J13" s="51">
        <s:f>G49</s:f>
        <s:v>7</s:v>
      </s:c>
      <s:c r="K13" s="348" t="str">
        <s:f>IF(AND(I13&lt;&gt;"",I13&lt;&gt;0,J13&lt;&gt;""),J13/I13,"")</s:f>
        <s:v/>
      </s:c>
      <s:c r="L13" s="79" t="str">
        <s:f>IF(SUMIF($G$25:$G$47,"&gt;=0",$W$25:$W$47)&lt;&gt;0,I13*G49/SUMIF($G$25:$G$47,"&gt;=0",$W$25:$W$47),"")</s:f>
        <s:v/>
      </s:c>
      <s:c r="M13" s="349" t="str">
        <s:f>IF(AND(I13&lt;&gt;"",I13&lt;&gt;0,L13&lt;&gt;"",L13&lt;&gt;0),L13/I13,"")</s:f>
        <s:v/>
      </s:c>
      <s:c r="N13" s="73" t="str">
        <s:f>IF(AND(J13&lt;&gt;0,J13&lt;&gt;"",I13&lt;&gt;0,I13&lt;&gt;""),L13-I13,"")</s:f>
        <s:v/>
      </s:c>
      <s:c r="O13" s="75"/>
      <s:c r="P13" s="57" t="str">
        <s:f>IF(AND(O13&lt;&gt;"",O13&lt;&gt;0,L13&lt;&gt;"",L13&lt;&gt;0),-O13+L13,"")</s:f>
        <s:v/>
      </s:c>
      <s:c r="Q13" s="58" t="str">
        <s:f>IF(AND(P13&lt;&gt;"",P13&lt;&gt;0,O13&lt;&gt;0,O13&lt;&gt;""),P13/O13,"")</s:f>
        <s:v/>
      </s:c>
      <s:c r="R13" s="22"/>
      <s:c r="S13" s="22"/>
      <s:c r="T13" s="5"/>
      <s:c r="U13" s="5"/>
      <s:c r="V13" s="5"/>
      <s:c r="W13" s="5"/>
      <s:c r="X13" s="5"/>
    </s:row>
    <s:row r="14" ht="15.75" customHeight="1">
      <s:c r="B14" s="23"/>
      <s:c r="C14" s="5"/>
      <s:c r="D14" s="5"/>
      <s:c r="E14" s="5"/>
      <s:c r="F14" s="49" t="s">
        <s:v>98</s:v>
      </s:c>
      <s:c r="G14" s="49"/>
      <s:c r="H14" s="49"/>
      <s:c r="I14" s="68">
        <s:f>График!AI23</s:f>
        <s:v>0</s:v>
      </s:c>
      <s:c r="J14" s="76">
        <s:v>13</s:v>
      </s:c>
      <s:c r="K14" s="348" t="str">
        <s:f>IF(AND(I14&lt;&gt;"",I14&lt;&gt;0,J14&lt;&gt;""),J14/I14,"")</s:f>
        <s:v/>
      </s:c>
      <s:c r="L14" s="79" t="str">
        <s:f>IF(SUMIF($D$25:$D$47,"&gt;=0",$U$25:$U$47),I49*I8/SUMIF($D$25:$D$47,"&gt;=0",$U$25:$U$47),"")</s:f>
        <s:v/>
      </s:c>
      <s:c r="M14" s="349"/>
      <s:c r="N14" s="55" t="str">
        <s:f>IF(AND(J14&lt;&gt;0,J14&lt;&gt;"",I14&lt;&gt;0,I14&lt;&gt;""),L14-I14,"")</s:f>
        <s:v/>
      </s:c>
      <s:c r="O14" s="75"/>
      <s:c r="P14" s="57" t="str">
        <s:f>IF(AND(O14&lt;&gt;"",O14&lt;&gt;0,L14&lt;&gt;"",L14&lt;&gt;0),-O14+L14,"")</s:f>
        <s:v/>
      </s:c>
      <s:c r="Q14" s="58" t="str">
        <s:f>IF(AND(P14&lt;&gt;"",P14&lt;&gt;0,O14&lt;&gt;0,O14&lt;&gt;""),P14/O14,"")</s:f>
        <s:v/>
      </s:c>
      <s:c r="R14" s="22"/>
      <s:c r="S14" s="22"/>
      <s:c r="T14" s="77"/>
      <s:c r="U14" s="5"/>
      <s:c r="V14" s="5"/>
      <s:c r="W14" s="5"/>
      <s:c r="X14" s="5"/>
    </s:row>
    <s:row r="15" ht="15.75" customHeight="1">
      <s:c r="B15" s="23"/>
      <s:c r="C15" s="5"/>
      <s:c r="D15" s="5"/>
      <s:c r="E15" s="5"/>
      <s:c r="F15" s="49" t="s">
        <s:v>21</s:v>
      </s:c>
      <s:c r="G15" s="49"/>
      <s:c r="H15" s="49"/>
      <s:c r="I15" s="352">
        <s:f>Центрум!I15/2</s:f>
        <s:v>30945.483870967742</s:v>
      </s:c>
      <s:c r="J15" s="85">
        <s:f>J8/J14</s:f>
        <s:v>12710.23076923077</s:v>
      </s:c>
      <s:c r="K15" s="353">
        <s:f>IF(AND(I15&lt;&gt;"",I15&lt;&gt;0,J15&lt;&gt;""),J15/I15,"")</s:f>
        <s:v>0.41072974726225503</s:v>
      </s:c>
      <s:c r="L15" s="86">
        <s:f>J15</s:f>
        <s:v>12710.23076923077</s:v>
      </s:c>
      <s:c r="M15" s="349">
        <s:f>IF(AND(I15&lt;&gt;"",I15&lt;&gt;0,L15&lt;&gt;"",L15&lt;&gt;0),L15/I15,"")</s:f>
        <s:v>0.41072974726225503</s:v>
      </s:c>
      <s:c r="N15" s="55">
        <s:f>IF(AND(J15&lt;&gt;0,J15&lt;&gt;"",I15&lt;&gt;0,I15&lt;&gt;""),L15-I15,"")</s:f>
        <s:v>-18235.253101736973</s:v>
      </s:c>
      <s:c r="O15" s="88"/>
      <s:c r="P15" s="57" t="str">
        <s:f>IF(AND(O15&lt;&gt;"",O15&lt;&gt;0,L15&lt;&gt;"",L15&lt;&gt;0),-O15+L15,"")</s:f>
        <s:v/>
      </s:c>
      <s:c r="Q15" s="58" t="str">
        <s:f>IF(AND(P15&lt;&gt;"",P15&lt;&gt;0,O15&lt;&gt;0,O15&lt;&gt;""),P15/O15,"")</s:f>
        <s:v/>
      </s:c>
      <s:c r="R15" s="22"/>
      <s:c r="S15" s="22"/>
      <s:c r="T15" s="28"/>
      <s:c r="U15" s="5"/>
      <s:c r="V15" s="5"/>
      <s:c r="W15" s="5"/>
      <s:c r="X15" s="5"/>
    </s:row>
    <s:row r="16" ht="15.75" customHeight="1">
      <s:c r="B16" s="23"/>
      <s:c r="C16" s="5"/>
      <s:c r="D16" s="5"/>
      <s:c r="E16" s="5"/>
      <s:c r="F16" s="49" t="s">
        <s:v>22</s:v>
      </s:c>
      <s:c r="G16" s="49"/>
      <s:c r="H16" s="49"/>
      <s:c r="I16" s="352"/>
      <s:c r="J16" s="85">
        <s:f>J8-I15*J14</s:f>
        <s:v>-237058.29032258067</s:v>
      </s:c>
      <s:c r="K16" s="353" t="str">
        <s:f>IF(AND(I16&lt;&gt;"",I16&lt;&gt;0,J16&lt;&gt;""),J16/I16,"")</s:f>
        <s:v/>
      </s:c>
      <s:c r="L16" s="86">
        <s:f>J16</s:f>
        <s:v>-237058.29032258067</s:v>
      </s:c>
      <s:c r="M16" s="354" t="str">
        <s:f>IF(AND(I16&lt;&gt;"",I16&lt;&gt;0,L16&lt;&gt;"",L16&lt;&gt;0),L16/I16,"")</s:f>
        <s:v/>
      </s:c>
      <s:c r="N16" s="55" t="str">
        <s:f>IF(AND(J16&lt;&gt;0,J16&lt;&gt;"",I16&lt;&gt;0,I16&lt;&gt;""),L16-I16,"")</s:f>
        <s:v/>
      </s:c>
      <s:c r="O16" s="88"/>
      <s:c r="P16" s="57" t="str">
        <s:f>IF(AND(O16&lt;&gt;"",O16&lt;&gt;0,L16&lt;&gt;"",L16&lt;&gt;0),-O16+L16,"")</s:f>
        <s:v/>
      </s:c>
      <s:c r="Q16" s="58" t="str">
        <s:f>IF(AND(P16&lt;&gt;"",P16&lt;&gt;0,O16&lt;&gt;0,O16&lt;&gt;""),P16/O16,"")</s:f>
        <s:v/>
      </s:c>
      <s:c r="R16" s="22"/>
      <s:c r="S16" s="22"/>
      <s:c r="T16" s="355" t="s">
        <s:v>23</s:v>
      </s:c>
      <s:c r="U16" s="5"/>
      <s:c r="V16" s="5"/>
      <s:c r="W16" s="5"/>
      <s:c r="X16" s="5"/>
    </s:row>
    <s:row r="17" ht="15.75" customHeight="1">
      <s:c r="B17" s="23"/>
      <s:c r="C17" s="5"/>
      <s:c r="D17" s="5"/>
      <s:c r="E17" s="5"/>
      <s:c r="F17" s="49" t="s">
        <s:v>24</s:v>
      </s:c>
      <s:c r="G17" s="49"/>
      <s:c r="H17" s="49"/>
      <s:c r="I17" s="352">
        <s:f>Центрум!I17/График!AJ29*График!AJ23</s:f>
        <s:v>0</s:v>
      </s:c>
      <s:c r="J17" s="85">
        <s:f>I49</s:f>
        <s:v>139.20000000000002</s:v>
      </s:c>
      <s:c r="K17" s="353" t="str">
        <s:f>IF(AND(I17&lt;&gt;"",I17&lt;&gt;0,J17&lt;&gt;""),J17/I17,"")</s:f>
        <s:v/>
      </s:c>
      <s:c r="L17" s="86">
        <s:f>J17/J14*I14</s:f>
        <s:v>0</s:v>
      </s:c>
      <s:c r="M17" s="354" t="str">
        <s:f>IF(AND(I17&lt;&gt;"",I17&lt;&gt;0,L17&lt;&gt;"",L17&lt;&gt;0),L17/I17,"")</s:f>
        <s:v/>
      </s:c>
      <s:c r="N17" s="55" t="str">
        <s:f>IF(AND(J17&lt;&gt;0,J17&lt;&gt;"",I17&lt;&gt;0,I17&lt;&gt;""),L17-I17,"")</s:f>
        <s:v/>
      </s:c>
      <s:c r="O17" s="88"/>
      <s:c r="P17" s="57" t="str">
        <s:f>IF(AND(O17&lt;&gt;"",O17&lt;&gt;0,L17&lt;&gt;"",L17&lt;&gt;0),-O17+L17,"")</s:f>
        <s:v/>
      </s:c>
      <s:c r="Q17" s="58" t="str">
        <s:f>IF(AND(P17&lt;&gt;"",P17&lt;&gt;0,O17&lt;&gt;0,O17&lt;&gt;""),P17/O17,"")</s:f>
        <s:v/>
      </s:c>
      <s:c r="R17" s="22"/>
      <s:c r="S17" s="22"/>
      <s:c r="T17" s="355"/>
      <s:c r="U17" s="5"/>
      <s:c r="V17" s="5"/>
      <s:c r="W17" s="5"/>
      <s:c r="X17" s="5"/>
    </s:row>
    <s:row r="18" ht="15.75" customHeight="1">
      <s:c r="B18" s="23"/>
      <s:c r="C18" s="5"/>
      <s:c r="D18" s="5"/>
      <s:c r="E18" s="5"/>
      <s:c r="F18" s="49"/>
      <s:c r="G18" s="49"/>
      <s:c r="H18" s="49"/>
      <s:c r="I18" s="84"/>
      <s:c r="J18" s="85"/>
      <s:c r="K18" s="353" t="str">
        <s:f>IF(AND(I18&lt;&gt;"",I18&lt;&gt;0,J18&lt;&gt;""),J18/I18,"")</s:f>
        <s:v/>
      </s:c>
      <s:c r="L18" s="86">
        <s:f>J18</s:f>
        <s:v>0</s:v>
      </s:c>
      <s:c r="M18" s="354" t="str">
        <s:f>IF(AND(I18&lt;&gt;"",I18&lt;&gt;0,L18&lt;&gt;"",L18&lt;&gt;0),L18/I18,"")</s:f>
        <s:v/>
      </s:c>
      <s:c r="N18" s="55" t="str">
        <s:f>IF(AND(J18&lt;&gt;0,J18&lt;&gt;"",I18&lt;&gt;0,I18&lt;&gt;""),L18-I18,"")</s:f>
        <s:v/>
      </s:c>
      <s:c r="O18" s="356">
        <s:v>0</s:v>
      </s:c>
      <s:c r="P18" s="57" t="str">
        <s:f>IF(AND(O18&lt;&gt;"",O18&lt;&gt;0,L18&lt;&gt;"",L18&lt;&gt;0),-O18+L18,"")</s:f>
        <s:v/>
      </s:c>
      <s:c r="Q18" s="58" t="str">
        <s:f>IF(AND(P18&lt;&gt;"",P18&lt;&gt;0,O18&lt;&gt;0,O18&lt;&gt;""),P18/O18,"")</s:f>
        <s:v/>
      </s:c>
      <s:c r="R18" s="22"/>
      <s:c r="S18" s="22"/>
      <s:c r="T18" s="83"/>
      <s:c r="U18" s="5"/>
      <s:c r="V18" s="5"/>
      <s:c r="W18" s="5"/>
      <s:c r="X18" s="5"/>
    </s:row>
    <s:row r="19" ht="15.75" customHeight="1">
      <s:c r="B19" s="23"/>
      <s:c r="C19" s="5"/>
      <s:c r="D19" s="5"/>
      <s:c r="E19" s="5"/>
      <s:c r="F19" s="49"/>
      <s:c r="G19" s="49"/>
      <s:c r="H19" s="49"/>
      <s:c r="I19" s="84"/>
      <s:c r="J19" s="85">
        <s:f>P49</s:f>
        <s:v>0</s:v>
      </s:c>
      <s:c r="K19" s="353" t="str">
        <s:f>IF(AND(I19&lt;&gt;"",I19&lt;&gt;0,J19&lt;&gt;""),J19/I19,"")</s:f>
        <s:v/>
      </s:c>
      <s:c r="L19" s="86">
        <s:f>J19</s:f>
        <s:v>0</s:v>
      </s:c>
      <s:c r="M19" s="354" t="str">
        <s:f>IF(AND(I19&lt;&gt;"",I19&lt;&gt;0,L19&lt;&gt;"",L19&lt;&gt;0),L19/I19,"")</s:f>
        <s:v/>
      </s:c>
      <s:c r="N19" s="55" t="str">
        <s:f>IF(AND(J19&lt;&gt;0,J19&lt;&gt;"",I19&lt;&gt;0,I19&lt;&gt;""),L19-I19,"")</s:f>
        <s:v/>
      </s:c>
      <s:c r="O19" s="88">
        <s:v>0</s:v>
      </s:c>
      <s:c r="P19" s="57" t="str">
        <s:f>IF(AND(O19&lt;&gt;"",O19&lt;&gt;0,L19&lt;&gt;"",L19&lt;&gt;0),-O19+L19,"")</s:f>
        <s:v/>
      </s:c>
      <s:c r="Q19" s="58" t="str">
        <s:f>IF(AND(P19&lt;&gt;"",P19&lt;&gt;0,O19&lt;&gt;0,O19&lt;&gt;""),P19/O19,"")</s:f>
        <s:v/>
      </s:c>
      <s:c r="R19" s="22"/>
      <s:c r="S19" s="22"/>
      <s:c r="T19" s="52" t="e">
        <s:f>T18/I16</s:f>
        <s:v>#DIV/0!</s:v>
      </s:c>
      <s:c r="U19" s="5"/>
      <s:c r="V19" s="5"/>
      <s:c r="W19" s="5"/>
      <s:c r="X19" s="5"/>
    </s:row>
    <s:row r="20" ht="15.75" customHeight="1">
      <s:c r="B20" s="23"/>
      <s:c r="C20" s="5"/>
      <s:c r="D20" s="5"/>
      <s:c r="E20" s="5"/>
      <s:c r="F20" s="89" t="s">
        <s:v>102</s:v>
      </s:c>
      <s:c r="G20" s="89"/>
      <s:c r="H20" s="89"/>
      <s:c r="I20" s="357">
        <s:f>Центрум!I20</s:f>
        <s:v>0.089999999999999997</s:v>
      </s:c>
      <s:c r="J20" s="358">
        <s:f>S49</s:f>
        <s:v>0.050287356321839075</s:v>
      </s:c>
      <s:c r="K20" s="91">
        <s:f>J20/I20</s:f>
        <s:v>0.55874840357598976</s:v>
      </s:c>
      <s:c r="L20" s="92">
        <s:f>IF(AND(K8&lt;&gt;0,I14&lt;&gt;0,I49&lt;&gt;0),(I49*S49+(I49/K8-I49)*I20)/(I49/K8),0)</s:f>
        <s:v>0</s:v>
      </s:c>
      <s:c r="M20" s="359" t="str">
        <s:f>IF(AND(I20&lt;&gt;"",I20&lt;&gt;0,L20&lt;&gt;"",L20&lt;&gt;0),L20/I20,"")</s:f>
        <s:v/>
      </s:c>
      <s:c r="N20" s="94">
        <s:f>IF(AND(J20&lt;&gt;0,J20&lt;&gt;"",I20&lt;&gt;0,I20&lt;&gt;""),L20-I20,"")</s:f>
        <s:v>-0.089999999999999997</s:v>
      </s:c>
      <s:c r="O20" s="95"/>
      <s:c r="P20" s="96" t="str">
        <s:f>IF(AND(O20&lt;&gt;"",O20&lt;&gt;0,L20&lt;&gt;"",L20&lt;&gt;0),-O20+L20,"")</s:f>
        <s:v/>
      </s:c>
      <s:c r="Q20" s="97" t="str">
        <s:f>IF(AND(P20&lt;&gt;"",P20&lt;&gt;0,O20&lt;&gt;0,O20&lt;&gt;""),P20/O20,"")</s:f>
        <s:v/>
      </s:c>
      <s:c r="R20" s="22"/>
      <s:c r="S20" s="22"/>
      <s:c r="T20" s="28"/>
      <s:c r="U20" s="5"/>
      <s:c r="V20" s="5"/>
      <s:c r="W20" s="5"/>
      <s:c r="X20" s="5"/>
    </s:row>
    <s:row r="21" ht="15.75" customHeight="1">
      <s:c r="B21" s="23"/>
      <s:c r="C21" s="5"/>
      <s:c r="D21" s="5"/>
      <s:c r="E21" s="5"/>
      <s:c r="F21" s="5"/>
      <s:c r="G21" s="5"/>
      <s:c r="H21" s="5"/>
      <s:c r="I21" s="5"/>
      <s:c r="J21" s="5"/>
      <s:c r="K21" s="5"/>
      <s:c r="L21" s="5"/>
      <s:c r="M21" s="5"/>
      <s:c r="N21" s="5"/>
      <s:c r="O21" s="5"/>
      <s:c r="P21" s="5"/>
      <s:c r="Q21" s="5"/>
      <s:c r="R21" s="5"/>
      <s:c r="S21" s="5"/>
      <s:c r="T21" s="5"/>
      <s:c r="U21" s="5"/>
      <s:c r="V21" s="5"/>
      <s:c r="W21" s="28"/>
      <s:c r="X21" s="28"/>
      <s:c r="Y21" s="5"/>
      <s:c r="Z21" s="5"/>
      <s:c r="AA21" s="5"/>
      <s:c r="AB21" s="5"/>
    </s:row>
    <s:row r="22" ht="16.5" customHeight="1">
      <s:c r="B22" s="360" t="s">
        <s:v>26</s:v>
      </s:c>
      <s:c r="C22" s="360"/>
      <s:c r="D22" s="360"/>
      <s:c r="E22" s="360"/>
      <s:c r="F22" s="360"/>
      <s:c r="G22" s="360"/>
      <s:c r="H22" s="360"/>
      <s:c r="I22" s="360"/>
      <s:c r="J22" s="360"/>
      <s:c r="K22" s="360"/>
      <s:c r="L22" s="360"/>
      <s:c r="M22" s="360"/>
      <s:c r="N22" s="360"/>
      <s:c r="O22" s="360"/>
      <s:c r="P22" s="360"/>
      <s:c r="Q22" s="360"/>
      <s:c r="R22" s="360"/>
      <s:c r="S22" s="360"/>
      <s:c r="T22" s="361" t="s">
        <s:v>46</s:v>
      </s:c>
      <s:c r="U22" s="360" t="s">
        <s:v>27</s:v>
      </s:c>
      <s:c r="V22" s="360"/>
      <s:c r="W22" s="360"/>
      <s:c r="X22" s="360"/>
      <s:c r="Y22" s="360"/>
      <s:c r="Z22" s="360"/>
      <s:c r="AA22" s="360"/>
      <s:c r="AB22" s="360"/>
    </s:row>
    <s:row r="23" ht="42">
      <s:c r="B23" s="361" t="s">
        <s:v>29</s:v>
      </s:c>
      <s:c r="C23" s="361" t="s">
        <s:v>30</s:v>
      </s:c>
      <s:c r="D23" s="361" t="s">
        <s:v>31</s:v>
      </s:c>
      <s:c r="E23" s="361" t="s">
        <s:v>32</s:v>
      </s:c>
      <s:c r="F23" s="361" t="s">
        <s:v>33</s:v>
      </s:c>
      <s:c r="G23" s="361" t="s">
        <s:v>34</s:v>
      </s:c>
      <s:c r="H23" s="361" t="s">
        <s:v>35</s:v>
      </s:c>
      <s:c r="I23" s="361" t="s">
        <s:v>24</s:v>
      </s:c>
      <s:c r="J23" s="361" t="s">
        <s:v>36</s:v>
      </s:c>
      <s:c r="K23" s="362" t="s">
        <s:v>37</s:v>
      </s:c>
      <s:c r="L23" s="105" t="s">
        <s:v>38</s:v>
      </s:c>
      <s:c r="M23" s="362" t="s">
        <s:v>39</s:v>
      </s:c>
      <s:c r="N23" s="105" t="s">
        <s:v>40</s:v>
      </s:c>
      <s:c r="O23" s="362" t="s">
        <s:v>41</s:v>
      </s:c>
      <s:c r="P23" s="105" t="s">
        <s:v>42</s:v>
      </s:c>
      <s:c r="Q23" s="105" t="s">
        <s:v>43</s:v>
      </s:c>
      <s:c r="R23" s="105" t="s">
        <s:v>44</s:v>
      </s:c>
      <s:c r="S23" s="361" t="s">
        <s:v>45</s:v>
      </s:c>
      <s:c r="T23" s="361"/>
      <s:c r="U23" s="361" t="s">
        <s:v>47</s:v>
      </s:c>
      <s:c r="V23" s="361" t="s">
        <s:v>48</s:v>
      </s:c>
      <s:c r="W23" s="361" t="s">
        <s:v>49</s:v>
      </s:c>
      <s:c r="X23" s="361" t="s">
        <s:v>50</s:v>
      </s:c>
      <s:c r="Y23" s="361" t="s">
        <s:v>51</s:v>
      </s:c>
      <s:c r="Z23" s="361" t="s">
        <s:v>52</s:v>
      </s:c>
      <s:c r="AA23" s="363" t="s">
        <s:v>53</s:v>
      </s:c>
      <s:c r="AB23" s="363" t="s">
        <s:v>54</s:v>
      </s:c>
      <s:c r="AC23" s="214"/>
    </s:row>
    <s:row r="24">
      <s:c r="A24" s="364"/>
      <s:c r="B24" s="365">
        <s:v>1</s:v>
      </s:c>
      <s:c r="C24" s="366">
        <s:v>2</s:v>
      </s:c>
      <s:c r="D24" s="367">
        <s:v>3</s:v>
      </s:c>
      <s:c r="E24" s="367" t="s">
        <s:v>103</s:v>
      </s:c>
      <s:c r="F24" s="366">
        <s:v>5</s:v>
      </s:c>
      <s:c r="G24" s="367">
        <s:v>6</s:v>
      </s:c>
      <s:c r="H24" s="366">
        <s:v>7</s:v>
      </s:c>
      <s:c r="I24" s="367">
        <s:v>8</s:v>
      </s:c>
      <s:c r="J24" s="367">
        <s:v>9</s:v>
      </s:c>
      <s:c r="K24" s="112">
        <s:v>10</s:v>
      </s:c>
      <s:c r="L24" s="112">
        <s:v>11</s:v>
      </s:c>
      <s:c r="M24" s="112">
        <s:v>12</s:v>
      </s:c>
      <s:c r="N24" s="112">
        <s:v>13</s:v>
      </s:c>
      <s:c r="O24" s="112">
        <s:v>14</s:v>
      </s:c>
      <s:c r="P24" s="112">
        <s:v>15</s:v>
      </s:c>
      <s:c r="Q24" s="112">
        <s:v>16</s:v>
      </s:c>
      <s:c r="R24" s="112">
        <s:v>17</s:v>
      </s:c>
      <s:c r="S24" s="112">
        <s:v>18</s:v>
      </s:c>
      <s:c r="T24" s="361"/>
      <s:c r="U24" s="368">
        <s:v>1</s:v>
      </s:c>
      <s:c r="V24" s="368">
        <s:v>2</s:v>
      </s:c>
      <s:c r="W24" s="368">
        <s:v>3</s:v>
      </s:c>
      <s:c r="X24" s="368">
        <s:v>4</s:v>
      </s:c>
      <s:c r="Y24" s="368">
        <s:v>5</s:v>
      </s:c>
      <s:c r="Z24" s="368">
        <s:v>6</s:v>
      </s:c>
      <s:c r="AA24" s="368">
        <s:v>10</s:v>
      </s:c>
      <s:c r="AB24" s="368">
        <s:v>11</s:v>
      </s:c>
    </s:row>
    <s:row r="25">
      <s:c r="A25" s="173">
        <s:v>1</s:v>
      </s:c>
      <s:c r="B25" s="160">
        <s:v>46038</s:v>
      </s:c>
      <s:c r="C25" s="161" t="s">
        <s:v>57</s:v>
      </s:c>
      <s:c r="D25" s="165">
        <s:v>0</s:v>
      </s:c>
      <s:c r="E25" s="164">
        <s:v>0</s:v>
      </s:c>
      <s:c r="F25" s="164" t="str">
        <s:f>IF(AND(E25&lt;&gt;"",E25&lt;&gt;0),D25/E25,"")</s:f>
        <s:v/>
      </s:c>
      <s:c r="G25" s="164">
        <s:v>0</s:v>
      </s:c>
      <s:c r="H25" s="164" t="str">
        <s:f>IF(AND(G25&lt;&gt;"",G25&lt;&gt;0),D25/G25,"")</s:f>
        <s:v/>
      </s:c>
      <s:c r="I25" s="199">
        <s:v>12</s:v>
      </s:c>
      <s:c r="J25" s="165" t="str">
        <s:f>IF(AND(G25&lt;&gt;"",G25&lt;&gt;0),E25/G25,"")</s:f>
        <s:v/>
      </s:c>
      <s:c r="K25" s="127"/>
      <s:c r="L25" s="127"/>
      <s:c r="M25" s="127"/>
      <s:c r="N25" s="127"/>
      <s:c r="O25" s="127"/>
      <s:c r="P25" s="127"/>
      <s:c r="Q25" s="127"/>
      <s:c r="R25" s="127"/>
      <s:c r="S25" s="167">
        <s:f>IF(AND(I25&lt;&gt;"",I25&lt;&gt;0),G25/I25,"")</s:f>
        <s:v>0</s:v>
      </s:c>
      <s:c r="T25" s="168" t="e">
        <s:f>D25/U25</s:f>
        <s:v>#DIV/0!</s:v>
      </s:c>
      <s:c r="U25" s="169">
        <s:f>$I$8*AA25*AB25/SUMPRODUCT($AB$25:$AB$56,$AA$25:$AA$56)</s:f>
        <s:v>0</s:v>
      </s:c>
      <s:c r="V25" s="170">
        <s:f>$I$9*AA25*AB25/SUMPRODUCT($AB$25:$AB$56,$AA$25:$AA$56)</s:f>
        <s:v>0</s:v>
      </s:c>
      <s:c r="W25" s="170">
        <s:f>IF($I$12="","",V25/$I$12)</s:f>
        <s:v>0</s:v>
      </s:c>
      <s:c r="X25" s="169">
        <s:f>IF(AB25&lt;&gt;"",IF(D25&lt;&gt;"",D25,($I$8-SUM($X24:X$25))*AA25*AB25/SUMPRODUCT($AB25:$AB$56,$AA25:$AA$56)),"")</s:f>
        <s:v>0</s:v>
      </s:c>
      <s:c r="Y25" s="170">
        <s:f>IF(AB25&lt;&gt;"",IF(E25&lt;&gt;"",E25,($I$9-SUM($Y24:Y$25))*AA25*AB25/SUMPRODUCT($AB25:$AB$56,$AA25:$AA$56)),"")</s:f>
        <s:v>0</s:v>
      </s:c>
      <s:c r="Z25" s="170">
        <s:f>IF(AB25&lt;&gt;"",IF($I$12&lt;&gt;"",IF(G25&lt;&gt;"",G25,($I$9/$I$12-SUM($Z24:Z$25))*AA25*AB25/SUMPRODUCT($AB25:$AB$56,$AA25:$AA$56)),""),"")</s:f>
        <s:v>0</s:v>
      </s:c>
      <s:c r="AA25" s="369">
        <s:v>1</s:v>
      </s:c>
      <s:c r="AB25" s="369">
        <s:v>1</s:v>
      </s:c>
      <s:c r="AC25" s="172"/>
      <s:c r="AD25" s="172"/>
      <s:c r="AE25" s="178"/>
      <s:c r="AF25" s="2"/>
      <s:c r="AG25" s="2"/>
      <s:c r="AH25" s="2"/>
      <s:c r="AI25" s="2"/>
      <s:c r="AJ25" s="2"/>
      <s:c r="AK25" s="2"/>
      <s:c r="AL25" s="2"/>
    </s:row>
    <s:row r="26">
      <s:c r="A26" s="159">
        <s:v>2</s:v>
      </s:c>
      <s:c r="B26" s="370">
        <s:v>46039</s:v>
      </s:c>
      <s:c r="C26" s="205" t="s">
        <s:v>58</s:v>
      </s:c>
      <s:c r="D26" s="371">
        <s:v>15970</s:v>
      </s:c>
      <s:c r="E26" s="199">
        <s:v>2</s:v>
      </s:c>
      <s:c r="F26" s="198">
        <s:f>IF(AND(E26&lt;&gt;"",E26&lt;&gt;0),D26/E26,"")</s:f>
        <s:v>7985</s:v>
      </s:c>
      <s:c r="G26" s="199">
        <s:v>1</s:v>
      </s:c>
      <s:c r="H26" s="198">
        <s:f>IF(AND(G26&lt;&gt;"",G26&lt;&gt;0),D26/G26,"")</s:f>
        <s:v>15970</s:v>
      </s:c>
      <s:c r="I26" s="199">
        <s:v>19</s:v>
      </s:c>
      <s:c r="J26" s="165">
        <s:f>IF(AND(G26&lt;&gt;"",G26&lt;&gt;0),E26/G26,"")</s:f>
        <s:v>2</s:v>
      </s:c>
      <s:c r="K26" s="127"/>
      <s:c r="L26" s="127"/>
      <s:c r="M26" s="127"/>
      <s:c r="N26" s="127"/>
      <s:c r="O26" s="127"/>
      <s:c r="P26" s="127"/>
      <s:c r="Q26" s="127"/>
      <s:c r="R26" s="127"/>
      <s:c r="S26" s="167">
        <s:f>IF(AND(I26&lt;&gt;"",I26&lt;&gt;0),G26/I26,"")</s:f>
        <s:v>0.052631578947368418</s:v>
      </s:c>
      <s:c r="T26" s="168" t="e">
        <s:f>D26/U26</s:f>
        <s:v>#DIV/0!</s:v>
      </s:c>
      <s:c r="U26" s="169">
        <s:f>$I$8*AA26*AB26/SUMPRODUCT($AB$25:$AB$56,$AA$25:$AA$56)</s:f>
        <s:v>0</s:v>
      </s:c>
      <s:c r="V26" s="170">
        <s:f>$I$9*AA26*AB26/SUMPRODUCT($AB$25:$AB$56,$AA$25:$AA$56)</s:f>
        <s:v>0</s:v>
      </s:c>
      <s:c r="W26" s="170">
        <s:f>IF($I$12="","",V26/$I$12)</s:f>
        <s:v>0</s:v>
      </s:c>
      <s:c r="X26" s="169">
        <s:f>IF(AB26&lt;&gt;"",IF(D26&lt;&gt;"",D26,($I$8-SUM($X25:X$25))*AA26*AB26/SUMPRODUCT($AB26:$AB$56,$AA26:$AA$56)),"")</s:f>
        <s:v>15970</s:v>
      </s:c>
      <s:c r="Y26" s="170">
        <s:f>IF(AB26&lt;&gt;"",IF(E26&lt;&gt;"",E26,($I$9-SUM($Y25:Y$25))*AA26*AB26/SUMPRODUCT($AB26:$AB$56,$AA26:$AA$56)),"")</s:f>
        <s:v>2</s:v>
      </s:c>
      <s:c r="Z26" s="170">
        <s:f>IF(AB26&lt;&gt;"",IF($I$12&lt;&gt;"",IF(G26&lt;&gt;"",G26,($I$9/$I$12-SUM($Z25:Z$25))*AA26*AB26/SUMPRODUCT($AB26:$AB$56,$AA26:$AA$56)),""),"")</s:f>
        <s:v>1</s:v>
      </s:c>
      <s:c r="AA26" s="369">
        <s:v>1</s:v>
      </s:c>
      <s:c r="AB26" s="369">
        <s:v>1</s:v>
      </s:c>
      <s:c r="AC26" s="172"/>
      <s:c r="AD26" s="372"/>
      <s:c r="AE26" s="2"/>
      <s:c r="AF26" s="2"/>
      <s:c r="AG26" s="2"/>
      <s:c r="AH26" s="2"/>
      <s:c r="AI26" s="2"/>
      <s:c r="AJ26" s="2"/>
      <s:c r="AK26" s="2"/>
      <s:c r="AL26" s="2"/>
    </s:row>
    <s:row r="27">
      <s:c r="A27" s="173">
        <s:v>3</s:v>
      </s:c>
      <s:c r="B27" s="160">
        <s:v>46040</s:v>
      </s:c>
      <s:c r="C27" s="161" t="s">
        <s:v>59</s:v>
      </s:c>
      <s:c r="D27" s="371">
        <s:v>0</s:v>
      </s:c>
      <s:c r="E27" s="199">
        <s:v>0</s:v>
      </s:c>
      <s:c r="F27" s="164" t="str">
        <s:f>IF(AND(E27&lt;&gt;"",E27&lt;&gt;0),D27/E27,"")</s:f>
        <s:v/>
      </s:c>
      <s:c r="G27" s="199">
        <s:v>0</s:v>
      </s:c>
      <s:c r="H27" s="164" t="str">
        <s:f>IF(AND(G27&lt;&gt;"",G27&lt;&gt;0),D27/G27,"")</s:f>
        <s:v/>
      </s:c>
      <s:c r="I27" s="199">
        <s:v>24</s:v>
      </s:c>
      <s:c r="J27" s="165" t="str">
        <s:f>IF(AND(G27&lt;&gt;"",G27&lt;&gt;0),E27/G27,"")</s:f>
        <s:v/>
      </s:c>
      <s:c r="K27" s="127"/>
      <s:c r="L27" s="127"/>
      <s:c r="M27" s="127"/>
      <s:c r="N27" s="127"/>
      <s:c r="O27" s="127"/>
      <s:c r="P27" s="127"/>
      <s:c r="Q27" s="127"/>
      <s:c r="R27" s="127"/>
      <s:c r="S27" s="167">
        <s:f>IF(AND(I27&lt;&gt;"",I27&lt;&gt;0),G27/I27,"")</s:f>
        <s:v>0</s:v>
      </s:c>
      <s:c r="T27" s="168" t="e">
        <s:f>D27/U27</s:f>
        <s:v>#DIV/0!</s:v>
      </s:c>
      <s:c r="U27" s="169">
        <s:f>$I$8*AA27*AB27/SUMPRODUCT($AB$25:$AB$56,$AA$25:$AA$56)</s:f>
        <s:v>0</s:v>
      </s:c>
      <s:c r="V27" s="170">
        <s:f>$I$9*AA27*AB27/SUMPRODUCT($AB$25:$AB$56,$AA$25:$AA$56)</s:f>
        <s:v>0</s:v>
      </s:c>
      <s:c r="W27" s="170">
        <s:f>IF($I$12="","",V27/$I$12)</s:f>
        <s:v>0</s:v>
      </s:c>
      <s:c r="X27" s="169">
        <s:f>IF(AB27&lt;&gt;"",IF(D27&lt;&gt;"",D27,($I$8-SUM($X$25:X26))*AA27*AB27/SUMPRODUCT($AB27:$AB$56,$AA27:$AA$56)),"")</s:f>
        <s:v>0</s:v>
      </s:c>
      <s:c r="Y27" s="170">
        <s:f>IF(AB27&lt;&gt;"",IF(E27&lt;&gt;"",E27,($I$9-SUM($Y$25:Y26))*AA27*AB27/SUMPRODUCT($AB27:$AB$56,$AA27:$AA$56)),"")</s:f>
        <s:v>0</s:v>
      </s:c>
      <s:c r="Z27" s="170">
        <s:f>IF(AB27&lt;&gt;"",IF($I$12&lt;&gt;"",IF(G27&lt;&gt;"",G27,($I$9/$I$12-SUM($Z$25:Z26))*AA27*AB27/SUMPRODUCT($AB27:$AB$56,$AA27:$AA$56)),""),"")</s:f>
        <s:v>0</s:v>
      </s:c>
      <s:c r="AA27" s="369">
        <s:v>1</s:v>
      </s:c>
      <s:c r="AB27" s="369">
        <s:v>1</s:v>
      </s:c>
      <s:c r="AC27" s="172"/>
      <s:c r="AD27" s="172"/>
      <s:c r="AE27" s="2"/>
      <s:c r="AF27" s="2"/>
      <s:c r="AG27" s="2"/>
      <s:c r="AH27" s="2"/>
      <s:c r="AI27" s="2"/>
      <s:c r="AJ27" s="2"/>
      <s:c r="AK27" s="2"/>
      <s:c r="AL27" s="2"/>
    </s:row>
    <s:row r="28">
      <s:c r="A28" s="159">
        <s:v>4</s:v>
      </s:c>
      <s:c r="B28" s="160">
        <s:v>46042</s:v>
      </s:c>
      <s:c r="C28" s="205" t="s">
        <s:v>63</s:v>
      </s:c>
      <s:c r="D28" s="371">
        <s:v>0</s:v>
      </s:c>
      <s:c r="E28" s="199">
        <s:v>0</s:v>
      </s:c>
      <s:c r="F28" s="198" t="str">
        <s:f>IF(AND(E28&lt;&gt;"",E28&lt;&gt;0),D28/E28,"")</s:f>
        <s:v/>
      </s:c>
      <s:c r="G28" s="199">
        <s:v>0</s:v>
      </s:c>
      <s:c r="H28" s="198" t="str">
        <s:f>IF(AND(G28&lt;&gt;"",G28&lt;&gt;0),D28/G28,"")</s:f>
        <s:v/>
      </s:c>
      <s:c r="I28" s="199">
        <s:v>16</s:v>
      </s:c>
      <s:c r="J28" s="165" t="str">
        <s:f>IF(AND(G28&lt;&gt;"",G28&lt;&gt;0),E28/G28,"")</s:f>
        <s:v/>
      </s:c>
      <s:c r="K28" s="127"/>
      <s:c r="L28" s="127"/>
      <s:c r="M28" s="127"/>
      <s:c r="N28" s="127"/>
      <s:c r="O28" s="127"/>
      <s:c r="P28" s="127"/>
      <s:c r="Q28" s="127"/>
      <s:c r="R28" s="127"/>
      <s:c r="S28" s="167">
        <s:f>IF(AND(I28&lt;&gt;"",I28&lt;&gt;0),G28/I28,"")</s:f>
        <s:v>0</s:v>
      </s:c>
      <s:c r="T28" s="168" t="e">
        <s:f>D28/U28</s:f>
        <s:v>#DIV/0!</s:v>
      </s:c>
      <s:c r="U28" s="169">
        <s:f>$I$8*AA28*AB28/SUMPRODUCT($AB$25:$AB$56,$AA$25:$AA$56)</s:f>
        <s:v>0</s:v>
      </s:c>
      <s:c r="V28" s="170">
        <s:f>$I$9*AA28*AB28/SUMPRODUCT($AB$25:$AB$56,$AA$25:$AA$56)</s:f>
        <s:v>0</s:v>
      </s:c>
      <s:c r="W28" s="170">
        <s:f>IF($I$12="","",V28/$I$12)</s:f>
        <s:v>0</s:v>
      </s:c>
      <s:c r="X28" s="169">
        <s:f>IF(AB28&lt;&gt;"",IF(D28&lt;&gt;"",D28,($I$8-SUM($X$25:X27))*AA28*AB28/SUMPRODUCT($AB28:$AB$56,$AA28:$AA$56)),"")</s:f>
        <s:v>0</s:v>
      </s:c>
      <s:c r="Y28" s="170">
        <s:f>IF(AB28&lt;&gt;"",IF(E28&lt;&gt;"",E28,($I$9-SUM($Y$25:Y27))*AA28*AB28/SUMPRODUCT($AB28:$AB$56,$AA28:$AA$56)),"")</s:f>
        <s:v>0</s:v>
      </s:c>
      <s:c r="Z28" s="170">
        <s:f>IF(AB28&lt;&gt;"",IF($I$12&lt;&gt;"",IF(G28&lt;&gt;"",G28,($I$9/$I$12-SUM($Z$25:Z27))*AA28*AB28/SUMPRODUCT($AB28:$AB$56,$AA28:$AA$56)),""),"")</s:f>
        <s:v>0</s:v>
      </s:c>
      <s:c r="AA28" s="369">
        <s:v>1</s:v>
      </s:c>
      <s:c r="AB28" s="369">
        <s:v>1</s:v>
      </s:c>
      <s:c r="AC28" s="172"/>
      <s:c r="AD28" s="172"/>
      <s:c r="AE28" s="2"/>
      <s:c r="AF28" s="2"/>
      <s:c r="AG28" s="2"/>
      <s:c r="AH28" s="2"/>
      <s:c r="AI28" s="2"/>
      <s:c r="AJ28" s="2"/>
      <s:c r="AK28" s="2"/>
      <s:c r="AL28" s="2"/>
    </s:row>
    <s:row r="29">
      <s:c r="A29" s="173">
        <s:v>5</s:v>
      </s:c>
      <s:c r="B29" s="160">
        <s:v>46043</s:v>
      </s:c>
      <s:c r="C29" s="161" t="s">
        <s:v>65</s:v>
      </s:c>
      <s:c r="D29" s="371">
        <s:v>68258</s:v>
      </s:c>
      <s:c r="E29" s="199">
        <s:v>5</s:v>
      </s:c>
      <s:c r="F29" s="164">
        <s:f>IF(AND(E29&lt;&gt;"",E29&lt;&gt;0),D29/E29,"")</s:f>
        <s:v>13651.6</s:v>
      </s:c>
      <s:c r="G29" s="199">
        <s:v>1</s:v>
      </s:c>
      <s:c r="H29" s="164">
        <s:f>IF(AND(G29&lt;&gt;"",G29&lt;&gt;0),D29/G29,"")</s:f>
        <s:v>68258</s:v>
      </s:c>
      <s:c r="I29" s="199">
        <s:v>12</s:v>
      </s:c>
      <s:c r="J29" s="165">
        <s:f>IF(AND(G29&lt;&gt;"",G29&lt;&gt;0),E29/G29,"")</s:f>
        <s:v>5</s:v>
      </s:c>
      <s:c r="K29" s="127"/>
      <s:c r="L29" s="199"/>
      <s:c r="M29" s="199">
        <s:v>31570</s:v>
      </s:c>
      <s:c r="N29" s="199"/>
      <s:c r="O29" s="127">
        <s:v>36688</s:v>
      </s:c>
      <s:c r="P29" s="127"/>
      <s:c r="Q29" s="127"/>
      <s:c r="R29" s="127"/>
      <s:c r="S29" s="167">
        <s:f>IF(AND(I29&lt;&gt;"",I29&lt;&gt;0),G29/I29,"")</s:f>
        <s:v>0.083333333333333329</s:v>
      </s:c>
      <s:c r="T29" s="168" t="e">
        <s:f>D29/U29</s:f>
        <s:v>#DIV/0!</s:v>
      </s:c>
      <s:c r="U29" s="169">
        <s:f>$I$8*AA29*AB29/SUMPRODUCT($AB$25:$AB$56,$AA$25:$AA$56)</s:f>
        <s:v>0</s:v>
      </s:c>
      <s:c r="V29" s="170">
        <s:f>$I$9*AA29*AB29/SUMPRODUCT($AB$25:$AB$56,$AA$25:$AA$56)</s:f>
        <s:v>0</s:v>
      </s:c>
      <s:c r="W29" s="170">
        <s:f>IF($I$12="","",V29/$I$12)</s:f>
        <s:v>0</s:v>
      </s:c>
      <s:c r="X29" s="169">
        <s:f>IF(AB29&lt;&gt;"",IF(D29&lt;&gt;"",D29,($I$8-SUM($X$25:X28))*AA29*AB29/SUMPRODUCT($AB29:$AB$56,$AA29:$AA$56)),"")</s:f>
        <s:v>68258</s:v>
      </s:c>
      <s:c r="Y29" s="170">
        <s:f>IF(AB29&lt;&gt;"",IF(E29&lt;&gt;"",E29,($I$9-SUM($Y$25:Y28))*AA29*AB29/SUMPRODUCT($AB29:$AB$56,$AA29:$AA$56)),"")</s:f>
        <s:v>5</s:v>
      </s:c>
      <s:c r="Z29" s="170">
        <s:f>IF(AB29&lt;&gt;"",IF($I$12&lt;&gt;"",IF(G29&lt;&gt;"",G29,($I$9/$I$12-SUM($Z$25:Z28))*AA29*AB29/SUMPRODUCT($AB29:$AB$56,$AA29:$AA$56)),""),"")</s:f>
        <s:v>1</s:v>
      </s:c>
      <s:c r="AA29" s="369">
        <s:v>1</s:v>
      </s:c>
      <s:c r="AB29" s="369">
        <s:v>1</s:v>
      </s:c>
      <s:c r="AC29" s="172"/>
      <s:c r="AD29" s="172"/>
      <s:c r="AE29" s="2"/>
      <s:c r="AF29" s="2"/>
      <s:c r="AG29" s="2"/>
      <s:c r="AH29" s="2"/>
      <s:c r="AI29" s="2"/>
      <s:c r="AJ29" s="2"/>
      <s:c r="AK29" s="2"/>
      <s:c r="AL29" s="2"/>
    </s:row>
    <s:row r="30">
      <s:c r="A30" s="173">
        <s:v>6</s:v>
      </s:c>
      <s:c r="B30" s="160">
        <s:v>46044</s:v>
      </s:c>
      <s:c r="C30" s="205" t="s">
        <s:v>55</s:v>
      </s:c>
      <s:c r="D30" s="371">
        <s:v>0</s:v>
      </s:c>
      <s:c r="E30" s="373">
        <s:v>0</s:v>
      </s:c>
      <s:c r="F30" s="198" t="str">
        <s:f>IF(AND(E30&lt;&gt;"",E30&lt;&gt;0),D30/E30,"")</s:f>
        <s:v/>
      </s:c>
      <s:c r="G30" s="199">
        <s:v>0</s:v>
      </s:c>
      <s:c r="H30" s="198" t="str">
        <s:f>IF(AND(G30&lt;&gt;"",G30&lt;&gt;0),D30/G30,"")</s:f>
        <s:v/>
      </s:c>
      <s:c r="I30" s="199">
        <s:v>18</s:v>
      </s:c>
      <s:c r="J30" s="165" t="str">
        <s:f>IF(AND(G30&lt;&gt;"",G30&lt;&gt;0),E30/G30,"")</s:f>
        <s:v/>
      </s:c>
      <s:c r="K30" s="127"/>
      <s:c r="L30" s="127"/>
      <s:c r="M30" s="127"/>
      <s:c r="N30" s="127"/>
      <s:c r="O30" s="127"/>
      <s:c r="P30" s="127"/>
      <s:c r="Q30" s="127"/>
      <s:c r="R30" s="127"/>
      <s:c r="S30" s="167">
        <s:f>IF(AND(I30&lt;&gt;"",I30&lt;&gt;0),G30/I30,"")</s:f>
        <s:v>0</s:v>
      </s:c>
      <s:c r="T30" s="168" t="e">
        <s:f>D30/U30</s:f>
        <s:v>#DIV/0!</s:v>
      </s:c>
      <s:c r="U30" s="169">
        <s:f>$I$8*AA30*AB30/SUMPRODUCT($AB$25:$AB$56,$AA$25:$AA$56)</s:f>
        <s:v>0</s:v>
      </s:c>
      <s:c r="V30" s="170">
        <s:f>$I$9*AA30*AB30/SUMPRODUCT($AB$25:$AB$56,$AA$25:$AA$56)</s:f>
        <s:v>0</s:v>
      </s:c>
      <s:c r="W30" s="170">
        <s:f>IF($I$12="","",V30/$I$12)</s:f>
        <s:v>0</s:v>
      </s:c>
      <s:c r="X30" s="169">
        <s:f>IF(AB30&lt;&gt;"",IF(D30&lt;&gt;"",D30,($I$8-SUM($X$25:X29))*AA30*AB30/SUMPRODUCT($AB30:$AB$56,$AA30:$AA$56)),"")</s:f>
        <s:v>0</s:v>
      </s:c>
      <s:c r="Y30" s="170">
        <s:f>IF(AB30&lt;&gt;"",IF(E30&lt;&gt;"",E30,($I$9-SUM($Y$25:Y29))*AA30*AB30/SUMPRODUCT($AB30:$AB$56,$AA30:$AA$56)),"")</s:f>
        <s:v>0</s:v>
      </s:c>
      <s:c r="Z30" s="170">
        <s:f>IF(AB30&lt;&gt;"",IF($I$12&lt;&gt;"",IF(G30&lt;&gt;"",G30,($I$9/$I$12-SUM($Z$25:Z29))*AA30*AB30/SUMPRODUCT($AB30:$AB$56,$AA30:$AA$56)),""),"")</s:f>
        <s:v>0</s:v>
      </s:c>
      <s:c r="AA30" s="369">
        <s:v>1</s:v>
      </s:c>
      <s:c r="AB30" s="369">
        <s:v>1</s:v>
      </s:c>
      <s:c r="AC30" s="172"/>
      <s:c r="AD30" s="172"/>
      <s:c r="AE30" s="178"/>
      <s:c r="AF30" s="2"/>
      <s:c r="AG30" s="2"/>
      <s:c r="AH30" s="2"/>
      <s:c r="AI30" s="2"/>
      <s:c r="AJ30" s="2"/>
      <s:c r="AK30" s="2"/>
      <s:c r="AL30" s="2"/>
    </s:row>
    <s:row r="31">
      <s:c r="A31" s="173">
        <s:v>7</s:v>
      </s:c>
      <s:c r="B31" s="160">
        <s:v>46045</s:v>
      </s:c>
      <s:c r="C31" s="161" t="s">
        <s:v>57</s:v>
      </s:c>
      <s:c r="D31" s="371">
        <s:f>19277+3951</s:f>
        <s:v>23228</s:v>
      </s:c>
      <s:c r="E31" s="199">
        <s:v>4</s:v>
      </s:c>
      <s:c r="F31" s="164">
        <s:f>IF(AND(E31&lt;&gt;"",E31&lt;&gt;0),D31/E31,"")</s:f>
        <s:v>5807</s:v>
      </s:c>
      <s:c r="G31" s="199">
        <s:v>2</s:v>
      </s:c>
      <s:c r="H31" s="164">
        <s:f>IF(AND(G31&lt;&gt;"",G31&lt;&gt;0),D31/G31,"")</s:f>
        <s:v>11614</s:v>
      </s:c>
      <s:c r="I31" s="199">
        <s:v>19</s:v>
      </s:c>
      <s:c r="J31" s="165">
        <s:f>IF(AND(G31&lt;&gt;"",G31&lt;&gt;0),E31/G31,"")</s:f>
        <s:v>2</s:v>
      </s:c>
      <s:c r="K31" s="127"/>
      <s:c r="L31" s="127"/>
      <s:c r="M31" s="127"/>
      <s:c r="N31" s="127"/>
      <s:c r="O31" s="127"/>
      <s:c r="P31" s="127"/>
      <s:c r="Q31" s="127"/>
      <s:c r="R31" s="127"/>
      <s:c r="S31" s="167">
        <s:f>IF(AND(I31&lt;&gt;"",I31&lt;&gt;0),G31/I31,"")</s:f>
        <s:v>0.10526315789473684</s:v>
      </s:c>
      <s:c r="T31" s="168" t="e">
        <s:f>D31/U31</s:f>
        <s:v>#DIV/0!</s:v>
      </s:c>
      <s:c r="U31" s="169">
        <s:f>$I$8*AA31*AB31/SUMPRODUCT($AB$25:$AB$56,$AA$25:$AA$56)</s:f>
        <s:v>0</s:v>
      </s:c>
      <s:c r="V31" s="170">
        <s:f>$I$9*AA31*AB31/SUMPRODUCT($AB$25:$AB$56,$AA$25:$AA$56)</s:f>
        <s:v>0</s:v>
      </s:c>
      <s:c r="W31" s="170">
        <s:f>IF($I$12="","",V31/$I$12)</s:f>
        <s:v>0</s:v>
      </s:c>
      <s:c r="X31" s="169">
        <s:f>IF(AB31&lt;&gt;"",IF(D31&lt;&gt;"",D31,($I$8-SUM($X$25:X30))*AA31*AB31/SUMPRODUCT($AB31:$AB$56,$AA31:$AA$56)),"")</s:f>
        <s:v>23228</s:v>
      </s:c>
      <s:c r="Y31" s="170">
        <s:f>IF(AB31&lt;&gt;"",IF(E31&lt;&gt;"",E31,($I$9-SUM($Y$25:Y30))*AA31*AB31/SUMPRODUCT($AB31:$AB$56,$AA31:$AA$56)),"")</s:f>
        <s:v>4</s:v>
      </s:c>
      <s:c r="Z31" s="170">
        <s:f>IF(AB31&lt;&gt;"",IF($I$12&lt;&gt;"",IF(G31&lt;&gt;"",G31,($I$9/$I$12-SUM($Z$25:Z30))*AA31*AB31/SUMPRODUCT($AB31:$AB$56,$AA31:$AA$56)),""),"")</s:f>
        <s:v>2</s:v>
      </s:c>
      <s:c r="AA31" s="369">
        <s:v>1</s:v>
      </s:c>
      <s:c r="AB31" s="369">
        <s:v>1</s:v>
      </s:c>
      <s:c r="AC31" s="172"/>
      <s:c r="AD31" s="172"/>
      <s:c r="AE31" s="178"/>
      <s:c r="AF31" s="2"/>
      <s:c r="AG31" s="2"/>
      <s:c r="AH31" s="2"/>
      <s:c r="AI31" s="2"/>
      <s:c r="AJ31" s="2"/>
      <s:c r="AK31" s="2"/>
      <s:c r="AL31" s="2"/>
    </s:row>
    <s:row r="32">
      <s:c r="A32" s="173">
        <s:v>8</s:v>
      </s:c>
      <s:c r="B32" s="160">
        <s:v>46046</s:v>
      </s:c>
      <s:c r="C32" s="205" t="s">
        <s:v>58</s:v>
      </s:c>
      <s:c r="D32" s="165">
        <s:v>16272</s:v>
      </s:c>
      <s:c r="E32" s="199">
        <s:v>3</s:v>
      </s:c>
      <s:c r="F32" s="198">
        <s:f>IF(AND(E32&lt;&gt;"",E32&lt;&gt;0),D32/E32,"")</s:f>
        <s:v>5424</s:v>
      </s:c>
      <s:c r="G32" s="199">
        <s:v>1</s:v>
      </s:c>
      <s:c r="H32" s="198">
        <s:f>IF(AND(G32&lt;&gt;"",G32&lt;&gt;0),D32/G32,"")</s:f>
        <s:v>16272</s:v>
      </s:c>
      <s:c r="I32" s="374">
        <s:v>27</s:v>
      </s:c>
      <s:c r="J32" s="375">
        <s:f>IF(AND(G32&lt;&gt;"",G32&lt;&gt;0),E32/G32,"")</s:f>
        <s:v>3</s:v>
      </s:c>
      <s:c r="K32" s="376"/>
      <s:c r="L32" s="376"/>
      <s:c r="M32" s="376"/>
      <s:c r="N32" s="376"/>
      <s:c r="O32" s="376"/>
      <s:c r="P32" s="376"/>
      <s:c r="Q32" s="376"/>
      <s:c r="R32" s="376"/>
      <s:c r="S32" s="167">
        <s:f>IF(AND(I32&lt;&gt;"",I32&lt;&gt;0),G32/I32,"")</s:f>
        <s:v>0.037037037037037035</s:v>
      </s:c>
      <s:c r="T32" s="168" t="e">
        <s:f>D32/U32</s:f>
        <s:v>#DIV/0!</s:v>
      </s:c>
      <s:c r="U32" s="169">
        <s:f>$I$8*AA32*AB32/SUMPRODUCT($AB$25:$AB$56,$AA$25:$AA$56)</s:f>
        <s:v>0</s:v>
      </s:c>
      <s:c r="V32" s="170">
        <s:f>$I$9*AA32*AB32/SUMPRODUCT($AB$25:$AB$56,$AA$25:$AA$56)</s:f>
        <s:v>0</s:v>
      </s:c>
      <s:c r="W32" s="170">
        <s:f>IF($I$12="","",V32/$I$12)</s:f>
        <s:v>0</s:v>
      </s:c>
      <s:c r="X32" s="169">
        <s:f>IF(AB32&lt;&gt;"",IF(D32&lt;&gt;"",D32,($I$8-SUM($X$25:X31))*AA32*AB32/SUMPRODUCT($AB32:$AB$56,$AA32:$AA$56)),"")</s:f>
        <s:v>16272</s:v>
      </s:c>
      <s:c r="Y32" s="170">
        <s:f>IF(AB32&lt;&gt;"",IF(E32&lt;&gt;"",E32,($I$9-SUM($Y$25:Y31))*AA32*AB32/SUMPRODUCT($AB32:$AB$56,$AA32:$AA$56)),"")</s:f>
        <s:v>3</s:v>
      </s:c>
      <s:c r="Z32" s="170">
        <s:f>IF(AB32&lt;&gt;"",IF($I$12&lt;&gt;"",IF(G32&lt;&gt;"",G32,($I$9/$I$12-SUM($Z$25:Z31))*AA32*AB32/SUMPRODUCT($AB32:$AB$56,$AA32:$AA$56)),""),"")</s:f>
        <s:v>1</s:v>
      </s:c>
      <s:c r="AA32" s="369">
        <s:v>1</s:v>
      </s:c>
      <s:c r="AB32" s="369">
        <s:v>1</s:v>
      </s:c>
      <s:c r="AC32" s="172"/>
      <s:c r="AD32" s="172"/>
      <s:c r="AE32" s="2"/>
      <s:c r="AF32" s="2"/>
      <s:c r="AG32" s="2"/>
      <s:c r="AH32" s="2"/>
      <s:c r="AI32" s="2"/>
      <s:c r="AJ32" s="2"/>
      <s:c r="AK32" s="2"/>
      <s:c r="AL32" s="2"/>
    </s:row>
    <s:row r="33">
      <s:c r="A33" s="173">
        <s:v>9</s:v>
      </s:c>
      <s:c r="B33" s="160">
        <s:v>46049</s:v>
      </s:c>
      <s:c r="C33" s="161" t="s">
        <s:v>63</s:v>
      </s:c>
      <s:c r="D33" s="377">
        <s:v>28856</s:v>
      </s:c>
      <s:c r="E33" s="199">
        <s:v>2</s:v>
      </s:c>
      <s:c r="F33" s="164">
        <s:f>IF(AND(E33&lt;&gt;"",E33&lt;&gt;0),D33/E33,"")</s:f>
        <s:v>14428</s:v>
      </s:c>
      <s:c r="G33" s="199">
        <s:v>1</s:v>
      </s:c>
      <s:c r="H33" s="164">
        <s:f>IF(AND(G33&lt;&gt;"",G33&lt;&gt;0),D33/G33,"")</s:f>
        <s:v>28856</s:v>
      </s:c>
      <s:c r="I33" s="164"/>
      <s:c r="J33" s="165">
        <s:f>IF(AND(G33&lt;&gt;"",G33&lt;&gt;0),E33/G33,"")</s:f>
        <s:v>2</s:v>
      </s:c>
      <s:c r="K33" s="164"/>
      <s:c r="L33" s="164"/>
      <s:c r="M33" s="164"/>
      <s:c r="N33" s="164"/>
      <s:c r="O33" s="164"/>
      <s:c r="P33" s="164"/>
      <s:c r="Q33" s="164"/>
      <s:c r="R33" s="164"/>
      <s:c r="S33" s="167" t="str">
        <s:f>IF(AND(I33&lt;&gt;"",I33&lt;&gt;0),G33/I33,"")</s:f>
        <s:v/>
      </s:c>
      <s:c r="T33" s="378" t="e">
        <s:f>D33/U33</s:f>
        <s:v>#DIV/0!</s:v>
      </s:c>
      <s:c r="U33" s="169">
        <s:f>$I$8*AA33*AB33/SUMPRODUCT($AB$25:$AB$56,$AA$25:$AA$56)</s:f>
        <s:v>0</s:v>
      </s:c>
      <s:c r="V33" s="379">
        <s:f>$I$9*AA33*AB33/SUMPRODUCT($AB$25:$AB$56,$AA$25:$AA$56)</s:f>
        <s:v>0</s:v>
      </s:c>
      <s:c r="W33" s="170">
        <s:f>IF($I$12="","",V33/$I$12)</s:f>
        <s:v>0</s:v>
      </s:c>
      <s:c r="X33" s="169">
        <s:f>IF(AB33&lt;&gt;"",IF(D33&lt;&gt;"",D33,($I$8-SUM($X$25:X32))*AA33*AB33/SUMPRODUCT($AB33:$AB$56,$AA33:$AA$56)),"")</s:f>
        <s:v>28856</s:v>
      </s:c>
      <s:c r="Y33" s="170">
        <s:f>IF(AB33&lt;&gt;"",IF(E33&lt;&gt;"",E33,($I$9-SUM($Y$25:Y32))*AA33*AB33/SUMPRODUCT($AB33:$AB$56,$AA33:$AA$56)),"")</s:f>
        <s:v>2</s:v>
      </s:c>
      <s:c r="Z33" s="379">
        <s:f>IF(AB33&lt;&gt;"",IF($I$12&lt;&gt;"",IF(G33&lt;&gt;"",G33,($I$9/$I$12-SUM($Z$25:Z32))*AA33*AB33/SUMPRODUCT($AB33:$AB$56,$AA33:$AA$56)),""),"")</s:f>
        <s:v>1</s:v>
      </s:c>
      <s:c r="AA33" s="369">
        <s:v>1</s:v>
      </s:c>
      <s:c r="AB33" s="369">
        <s:v>1</s:v>
      </s:c>
      <s:c r="AC33" s="172"/>
      <s:c r="AD33" s="172"/>
      <s:c r="AE33" s="2"/>
      <s:c r="AF33" s="2"/>
      <s:c r="AG33" s="2"/>
      <s:c r="AH33" s="2"/>
      <s:c r="AI33" s="2"/>
      <s:c r="AJ33" s="2"/>
      <s:c r="AK33" s="2"/>
      <s:c r="AL33" s="2"/>
    </s:row>
    <s:row r="34">
      <s:c r="A34" s="159">
        <s:v>10</s:v>
      </s:c>
      <s:c r="B34" s="160">
        <s:v>46050</s:v>
      </s:c>
      <s:c r="C34" s="161" t="s">
        <s:v>65</s:v>
      </s:c>
      <s:c r="D34" s="165">
        <s:f>22501-28856</s:f>
        <s:v>-6355</s:v>
      </s:c>
      <s:c r="E34" s="199">
        <s:v>3</s:v>
      </s:c>
      <s:c r="F34" s="374">
        <s:f>IF(AND(E34&lt;&gt;"",E34&lt;&gt;0),D34/E34,"")</s:f>
        <s:v>-2118.3333333333335</s:v>
      </s:c>
      <s:c r="G34" s="199">
        <s:v>1</s:v>
      </s:c>
      <s:c r="H34" s="164">
        <s:f>IF(AND(G34&lt;&gt;"",G34&lt;&gt;0),D34/G34,"")</s:f>
        <s:v>-6355</s:v>
      </s:c>
      <s:c r="I34" s="164">
        <s:v>27</s:v>
      </s:c>
      <s:c r="J34" s="165">
        <s:f>IF(AND(G34&lt;&gt;"",G34&lt;&gt;0),E34/G34,"")</s:f>
        <s:v>3</s:v>
      </s:c>
      <s:c r="K34" s="164"/>
      <s:c r="L34" s="164"/>
      <s:c r="M34" s="164"/>
      <s:c r="N34" s="164"/>
      <s:c r="O34" s="164"/>
      <s:c r="P34" s="164"/>
      <s:c r="Q34" s="164"/>
      <s:c r="R34" s="164"/>
      <s:c r="S34" s="380">
        <s:f>IF(AND(I34&lt;&gt;"",I34&lt;&gt;0),G34/I34,"")</s:f>
        <s:v>0.037037037037037035</s:v>
      </s:c>
      <s:c r="T34" s="168" t="e">
        <s:f>D34/U34</s:f>
        <s:v>#DIV/0!</s:v>
      </s:c>
      <s:c r="U34" s="381">
        <s:f>$I$8*AA34*AB34/SUMPRODUCT($AB$25:$AB$56,$AA$25:$AA$56)</s:f>
        <s:v>0</s:v>
      </s:c>
      <s:c r="V34" s="170">
        <s:f>$I$9*AA34*AB34/SUMPRODUCT($AB$25:$AB$56,$AA$25:$AA$56)</s:f>
        <s:v>0</s:v>
      </s:c>
      <s:c r="W34" s="379">
        <s:f>IF($I$12="","",V34/$I$12)</s:f>
        <s:v>0</s:v>
      </s:c>
      <s:c r="X34" s="169">
        <s:f>IF(AB34&lt;&gt;"",IF(D34&lt;&gt;"",D34,($I$8-SUM($X$25:X33))*AA34*AB34/SUMPRODUCT($AB34:$AB$56,$AA34:$AA$56)),"")</s:f>
        <s:v>-6355</s:v>
      </s:c>
      <s:c r="Y34" s="379">
        <s:f>IF(AB34&lt;&gt;"",IF(E34&lt;&gt;"",E34,($I$9-SUM($Y$25:Y33))*AA34*AB34/SUMPRODUCT($AB34:$AB$56,$AA34:$AA$56)),"")</s:f>
        <s:v>3</s:v>
      </s:c>
      <s:c r="Z34" s="170">
        <s:f>IF(AB34&lt;&gt;"",IF($I$12&lt;&gt;"",IF(G34&lt;&gt;"",G34,($I$9/$I$12-SUM($Z$25:Z33))*AA34*AB34/SUMPRODUCT($AB34:$AB$56,$AA34:$AA$56)),""),"")</s:f>
        <s:v>1</s:v>
      </s:c>
      <s:c r="AA34" s="369">
        <s:v>1</s:v>
      </s:c>
      <s:c r="AB34" s="369">
        <s:v>1</s:v>
      </s:c>
      <s:c r="AC34" s="172"/>
      <s:c r="AD34" s="172"/>
      <s:c r="AE34" s="178"/>
      <s:c r="AF34" s="2"/>
      <s:c r="AG34" s="2"/>
      <s:c r="AH34" s="2"/>
      <s:c r="AI34" s="2"/>
      <s:c r="AJ34" s="2"/>
      <s:c r="AK34" s="2"/>
      <s:c r="AL34" s="2"/>
    </s:row>
    <s:row r="35">
      <s:c r="A35" s="159">
        <s:v>11</s:v>
      </s:c>
      <s:c r="B35" s="160" t="s">
        <s:v>104</s:v>
      </s:c>
      <s:c r="C35" s="205" t="s">
        <s:v>55</s:v>
      </s:c>
      <s:c r="D35" s="165"/>
      <s:c r="E35" s="199"/>
      <s:c r="F35" s="164" t="str">
        <s:f>IF(AND(E35&lt;&gt;"",E35&lt;&gt;0),D35/E35,"")</s:f>
        <s:v/>
      </s:c>
      <s:c r="G35" s="199"/>
      <s:c r="H35" s="164" t="str">
        <s:f>IF(AND(G35&lt;&gt;"",G35&lt;&gt;0),D35/G35,"")</s:f>
        <s:v/>
      </s:c>
      <s:c r="I35" s="164"/>
      <s:c r="J35" s="165" t="str">
        <s:f>IF(AND(G35&lt;&gt;"",G35&lt;&gt;0),E35/G35,"")</s:f>
        <s:v/>
      </s:c>
      <s:c r="K35" s="164"/>
      <s:c r="L35" s="164"/>
      <s:c r="M35" s="164"/>
      <s:c r="N35" s="164"/>
      <s:c r="O35" s="164"/>
      <s:c r="P35" s="164"/>
      <s:c r="Q35" s="164"/>
      <s:c r="R35" s="164"/>
      <s:c r="S35" s="167" t="str">
        <s:f>IF(AND(I35&lt;&gt;"",I35&lt;&gt;0),G35/I35,"")</s:f>
        <s:v/>
      </s:c>
      <s:c r="T35" s="378" t="e">
        <s:f>D35/U35</s:f>
        <s:v>#DIV/0!</s:v>
      </s:c>
      <s:c r="U35" s="169">
        <s:f>$I$8*AA35*AB35/SUMPRODUCT($AB$25:$AB$56,$AA$25:$AA$56)</s:f>
        <s:v>0</s:v>
      </s:c>
      <s:c r="V35" s="379">
        <s:f>$I$9*AA35*AB35/SUMPRODUCT($AB$25:$AB$56,$AA$25:$AA$56)</s:f>
        <s:v>0</s:v>
      </s:c>
      <s:c r="W35" s="170">
        <s:f>IF($I$12="","",V35/$I$12)</s:f>
        <s:v>0</s:v>
      </s:c>
      <s:c r="X35" s="169">
        <s:f>IF(AB35&lt;&gt;"",IF(D35&lt;&gt;"",D35,($I$8-SUM($X$25:X34))*AA35*AB35/SUMPRODUCT($AB35:$AB$56,$AA35:$AA$56)),"")</s:f>
        <s:v>-73114.5</s:v>
      </s:c>
      <s:c r="Y35" s="170">
        <s:f>IF(AB35&lt;&gt;"",IF(E35&lt;&gt;"",E35,($I$9-SUM($Y$25:Y34))*AA35*AB35/SUMPRODUCT($AB35:$AB$56,$AA35:$AA$56)),"")</s:f>
        <s:v>-9.5</s:v>
      </s:c>
      <s:c r="Z35" s="170">
        <s:f>IF(AB35&lt;&gt;"",IF($I$12&lt;&gt;"",IF(G35&lt;&gt;"",G35,($I$9/$I$12-SUM($Z$25:Z34))*AA35*AB35/SUMPRODUCT($AB35:$AB$56,$AA35:$AA$56)),""),"")</s:f>
        <s:v>-3.5</s:v>
      </s:c>
      <s:c r="AA35" s="369">
        <s:v>1</s:v>
      </s:c>
      <s:c r="AB35" s="369">
        <s:v>1</s:v>
      </s:c>
      <s:c r="AC35" s="172"/>
      <s:c r="AD35" s="172"/>
      <s:c r="AE35" s="178"/>
      <s:c r="AF35" s="2"/>
      <s:c r="AG35" s="2"/>
      <s:c r="AH35" s="2"/>
      <s:c r="AI35" s="2"/>
      <s:c r="AJ35" s="2"/>
      <s:c r="AK35" s="2"/>
      <s:c r="AL35" s="2"/>
    </s:row>
    <s:row r="36">
      <s:c r="A36" s="159">
        <s:v>12</s:v>
      </s:c>
      <s:c r="B36" s="160">
        <s:v>46052</s:v>
      </s:c>
      <s:c r="C36" s="161" t="s">
        <s:v>57</s:v>
      </s:c>
      <s:c r="D36" s="377"/>
      <s:c r="E36" s="199"/>
      <s:c r="F36" s="198" t="str">
        <s:f>IF(AND(E36&lt;&gt;"",E36&lt;&gt;0),D36/E36,"")</s:f>
        <s:v/>
      </s:c>
      <s:c r="G36" s="199"/>
      <s:c r="H36" s="164" t="str">
        <s:f>IF(AND(G36&lt;&gt;"",G36&lt;&gt;0),D36/G36,"")</s:f>
        <s:v/>
      </s:c>
      <s:c r="I36" s="164"/>
      <s:c r="J36" s="165" t="str">
        <s:f>IF(AND(G36&lt;&gt;"",G36&lt;&gt;0),E36/G36,"")</s:f>
        <s:v/>
      </s:c>
      <s:c r="K36" s="164"/>
      <s:c r="L36" s="164"/>
      <s:c r="M36" s="164"/>
      <s:c r="N36" s="164"/>
      <s:c r="O36" s="164"/>
      <s:c r="P36" s="164"/>
      <s:c r="Q36" s="164"/>
      <s:c r="R36" s="164"/>
      <s:c r="S36" s="167" t="str">
        <s:f>IF(AND(I36&lt;&gt;"",I36&lt;&gt;0),G36/I36,"")</s:f>
        <s:v/>
      </s:c>
      <s:c r="T36" s="168" t="e">
        <s:f>D36/U36</s:f>
        <s:v>#DIV/0!</s:v>
      </s:c>
      <s:c r="U36" s="169">
        <s:f>$I$8*AA36*AB36/SUMPRODUCT($AB$25:$AB$56,$AA$25:$AA$56)</s:f>
        <s:v>0</s:v>
      </s:c>
      <s:c r="V36" s="170">
        <s:f>$I$9*AA36*AB36/SUMPRODUCT($AB$25:$AB$56,$AA$25:$AA$56)</s:f>
        <s:v>0</s:v>
      </s:c>
      <s:c r="W36" s="170">
        <s:f>IF($I$12="","",V36/$I$12)</s:f>
        <s:v>0</s:v>
      </s:c>
      <s:c r="X36" s="169">
        <s:f>IF(AB36&lt;&gt;"",IF(D36&lt;&gt;"",D36,($I$8-SUM($X$25:X35))*AA36*AB36/SUMPRODUCT($AB36:$AB$56,$AA36:$AA$56)),"")</s:f>
        <s:v>-73114.5</s:v>
      </s:c>
      <s:c r="Y36" s="170">
        <s:f>IF(AB36&lt;&gt;"",IF(E36&lt;&gt;"",E36,($I$9-SUM($Y$25:Y35))*AA36*AB36/SUMPRODUCT($AB36:$AB$56,$AA36:$AA$56)),"")</s:f>
        <s:v>-9.5</s:v>
      </s:c>
      <s:c r="Z36" s="170">
        <s:f>IF(AB36&lt;&gt;"",IF($I$12&lt;&gt;"",IF(G36&lt;&gt;"",G36,($I$9/$I$12-SUM($Z$25:Z35))*AA36*AB36/SUMPRODUCT($AB36:$AB$56,$AA36:$AA$56)),""),"")</s:f>
        <s:v>-3.5</s:v>
      </s:c>
      <s:c r="AA36" s="369">
        <s:v>1</s:v>
      </s:c>
      <s:c r="AB36" s="369">
        <s:v>1</s:v>
      </s:c>
      <s:c r="AC36" s="172"/>
      <s:c r="AD36" s="172"/>
      <s:c r="AE36" s="178"/>
      <s:c r="AF36" s="2"/>
      <s:c r="AG36" s="2"/>
      <s:c r="AH36" s="2"/>
      <s:c r="AI36" s="2"/>
      <s:c r="AJ36" s="2"/>
      <s:c r="AK36" s="2"/>
      <s:c r="AL36" s="2"/>
    </s:row>
    <s:row r="37">
      <s:c r="A37" s="159">
        <s:v>13</s:v>
      </s:c>
      <s:c r="B37" s="160">
        <s:v>46053</s:v>
      </s:c>
      <s:c r="C37" s="179" t="s">
        <s:v>58</s:v>
      </s:c>
      <s:c r="D37" s="165">
        <s:v>19004</s:v>
      </s:c>
      <s:c r="E37" s="199"/>
      <s:c r="F37" s="164" t="str">
        <s:f>IF(AND(E37&lt;&gt;"",E37&lt;&gt;0),D37/E37,"")</s:f>
        <s:v/>
      </s:c>
      <s:c r="G37" s="199"/>
      <s:c r="H37" s="164" t="str">
        <s:f>IF(AND(G37&lt;&gt;"",G37&lt;&gt;0),D37/G37,"")</s:f>
        <s:v/>
      </s:c>
      <s:c r="I37" s="164"/>
      <s:c r="J37" s="165" t="str">
        <s:f>IF(AND(G37&lt;&gt;"",G37&lt;&gt;0),E37/G37,"")</s:f>
        <s:v/>
      </s:c>
      <s:c r="K37" s="164"/>
      <s:c r="L37" s="164">
        <s:v>220</s:v>
      </s:c>
      <s:c r="M37" s="164">
        <s:v>10892</s:v>
      </s:c>
      <s:c r="N37" s="164"/>
      <s:c r="O37" s="164"/>
      <s:c r="P37" s="164"/>
      <s:c r="Q37" s="164"/>
      <s:c r="R37" s="164"/>
      <s:c r="S37" s="167" t="str">
        <s:f>IF(AND(I37&lt;&gt;"",I37&lt;&gt;0),G37/I37,"")</s:f>
        <s:v/>
      </s:c>
      <s:c r="T37" s="168" t="e">
        <s:f>D37/U37</s:f>
        <s:v>#DIV/0!</s:v>
      </s:c>
      <s:c r="U37" s="169">
        <s:f>$I$8*AA37*AB37/SUMPRODUCT($AB$25:$AB$56,$AA$25:$AA$56)</s:f>
        <s:v>0</s:v>
      </s:c>
      <s:c r="V37" s="379">
        <s:f>$I$9*AA37*AB37/SUMPRODUCT($AB$25:$AB$56,$AA$25:$AA$56)</s:f>
        <s:v>0</s:v>
      </s:c>
      <s:c r="W37" s="170">
        <s:f>IF($I$12="","",V37/$I$12)</s:f>
        <s:v>0</s:v>
      </s:c>
      <s:c r="X37" s="169" t="str">
        <s:f>IF(AB37&lt;&gt;"",IF(D37&lt;&gt;"",D37,($I$8-SUM($X$25:X36))*AA37*AB37/SUMPRODUCT($AB37:$AB$56,$AA37:$AA$56)),"")</s:f>
        <s:v/>
      </s:c>
      <s:c r="Y37" s="170" t="str">
        <s:f>IF(AB37&lt;&gt;"",IF(E37&lt;&gt;"",E37,($I$9-SUM($Y$25:Y36))*AA37*AB37/SUMPRODUCT($AB37:$AB$56,$AA37:$AA$56)),"")</s:f>
        <s:v/>
      </s:c>
      <s:c r="Z37" s="170" t="str">
        <s:f>IF(AB37&lt;&gt;"",IF($I$12&lt;&gt;"",IF(G37&lt;&gt;"",G37,($I$9/$I$12-SUM($Z$25:Z36))*AA37*AB37/SUMPRODUCT($AB37:$AB$56,$AA37:$AA$56)),""),"")</s:f>
        <s:v/>
      </s:c>
      <s:c r="AA37" s="369"/>
      <s:c r="AB37" s="369"/>
      <s:c r="AC37" s="172"/>
      <s:c r="AD37" s="172"/>
      <s:c r="AE37" s="178"/>
      <s:c r="AF37" s="2"/>
      <s:c r="AG37" s="2"/>
      <s:c r="AH37" s="2"/>
      <s:c r="AI37" s="2"/>
      <s:c r="AJ37" s="2"/>
      <s:c r="AK37" s="2"/>
      <s:c r="AL37" s="2"/>
    </s:row>
    <s:row r="38">
      <s:c r="A38" s="159"/>
      <s:c r="B38" s="160"/>
      <s:c r="C38" s="179"/>
      <s:c r="D38" s="165"/>
      <s:c r="E38" s="199"/>
      <s:c r="F38" s="376" t="str">
        <s:f>IF(AND(E38&lt;&gt;"",E38&lt;&gt;0),D38/E38,"")</s:f>
        <s:v/>
      </s:c>
      <s:c r="G38" s="199"/>
      <s:c r="H38" s="164" t="str">
        <s:f>IF(AND(G38&lt;&gt;"",G38&lt;&gt;0),D38/G38,"")</s:f>
        <s:v/>
      </s:c>
      <s:c r="I38" s="164"/>
      <s:c r="J38" s="165" t="str">
        <s:f>IF(AND(G38&lt;&gt;"",G38&lt;&gt;0),E38/G38,"")</s:f>
        <s:v/>
      </s:c>
      <s:c r="K38" s="164"/>
      <s:c r="L38" s="164"/>
      <s:c r="M38" s="164"/>
      <s:c r="N38" s="164"/>
      <s:c r="O38" s="164"/>
      <s:c r="P38" s="164"/>
      <s:c r="Q38" s="164"/>
      <s:c r="R38" s="164"/>
      <s:c r="S38" s="382" t="str">
        <s:f>IF(AND(I38&lt;&gt;"",I38&lt;&gt;0),G38/I38,"")</s:f>
        <s:v/>
      </s:c>
      <s:c r="T38" s="168" t="e">
        <s:f>D38/U38</s:f>
        <s:v>#DIV/0!</s:v>
      </s:c>
      <s:c r="U38" s="169">
        <s:f>$I$8*AA38*AB38/SUMPRODUCT($AB$25:$AB$46,$AA$25:$AA$46)</s:f>
        <s:v>0</s:v>
      </s:c>
      <s:c r="V38" s="170">
        <s:f>$I$9*AA38*AB38/SUMPRODUCT($AB$25:$AB$46,$AA$25:$AA$46)</s:f>
        <s:v>0</s:v>
      </s:c>
      <s:c r="W38" s="170">
        <s:f>IF($I$12="","",V38/$I$12)</s:f>
        <s:v>0</s:v>
      </s:c>
      <s:c r="X38" s="169" t="str">
        <s:f>IF(AB38&lt;&gt;"",IF(D38&lt;&gt;"",D38,($I$8-SUM($X$25:X37))*AA38*AB38/SUMPRODUCT($AB38:$AB$56,$AA38:$AA$56)),"")</s:f>
        <s:v/>
      </s:c>
      <s:c r="Y38" s="170" t="str">
        <s:f>IF(AB38&lt;&gt;"",IF(E38&lt;&gt;"",E38,($I$9-SUM($Y$25:Y37))*AA38*AB38/SUMPRODUCT($AB38:$AB$56,$AA38:$AA$56)),"")</s:f>
        <s:v/>
      </s:c>
      <s:c r="Z38" s="170" t="str">
        <s:f>IF(AB38&lt;&gt;"",IF($I$12&lt;&gt;"",IF(G38&lt;&gt;"",G38,($I$9/$I$12-SUM($Z$25:Z37))*AA38*AB38/SUMPRODUCT($AB38:$AB$56,$AA38:$AA$56)),""),"")</s:f>
        <s:v/>
      </s:c>
      <s:c r="AA38" s="369"/>
      <s:c r="AB38" s="369"/>
      <s:c r="AC38" s="383"/>
      <s:c r="AD38" s="383"/>
    </s:row>
    <s:row r="39">
      <s:c r="A39" s="159"/>
      <s:c r="B39" s="160"/>
      <s:c r="C39" s="161"/>
      <s:c r="D39" s="165"/>
      <s:c r="E39" s="384"/>
      <s:c r="F39" s="385" t="str">
        <s:f>IF(AND(E39&lt;&gt;"",E39&lt;&gt;0),D39/E39,"")</s:f>
        <s:v/>
      </s:c>
      <s:c r="G39" s="127"/>
      <s:c r="H39" s="164" t="str">
        <s:f>IF(AND(G39&lt;&gt;"",G39&lt;&gt;0),D39/G39,"")</s:f>
        <s:v/>
      </s:c>
      <s:c r="I39" s="164"/>
      <s:c r="J39" s="165" t="str">
        <s:f>IF(AND(G39&lt;&gt;"",G39&lt;&gt;0),E39/G39,"")</s:f>
        <s:v/>
      </s:c>
      <s:c r="K39" s="164"/>
      <s:c r="L39" s="164"/>
      <s:c r="M39" s="164"/>
      <s:c r="N39" s="164"/>
      <s:c r="O39" s="164"/>
      <s:c r="P39" s="164"/>
      <s:c r="Q39" s="164"/>
      <s:c r="R39" s="164"/>
      <s:c r="S39" s="382" t="str">
        <s:f>IF(AND(I39&lt;&gt;"",I39&lt;&gt;0),G39/I39,"")</s:f>
        <s:v/>
      </s:c>
      <s:c r="T39" s="168" t="e">
        <s:f>D39/U39</s:f>
        <s:v>#DIV/0!</s:v>
      </s:c>
      <s:c r="U39" s="169">
        <s:f>$I$8*AA39*AB39/SUMPRODUCT($AB$25:$AB$46,$AA$25:$AA$46)</s:f>
        <s:v>0</s:v>
      </s:c>
      <s:c r="V39" s="170">
        <s:f>$I$9*AA39*AB39/SUMPRODUCT($AB$25:$AB$46,$AA$25:$AA$46)</s:f>
        <s:v>0</s:v>
      </s:c>
      <s:c r="W39" s="170">
        <s:f>IF($I$12="","",V39/$I$12)</s:f>
        <s:v>0</s:v>
      </s:c>
      <s:c r="X39" s="169" t="str">
        <s:f>IF(AB39&lt;&gt;"",IF(D39&lt;&gt;"",D39,($I$8-SUM($X$25:X38))*AA39*AB39/SUMPRODUCT($AB39:$AB$56,$AA39:$AA$56)),"")</s:f>
        <s:v/>
      </s:c>
      <s:c r="Y39" s="170" t="str">
        <s:f>IF(AB39&lt;&gt;"",IF(E39&lt;&gt;"",E39,($I$9-SUM($Y$25:Y38))*AA39*AB39/SUMPRODUCT($AB39:$AB$56,$AA39:$AA$56)),"")</s:f>
        <s:v/>
      </s:c>
      <s:c r="Z39" s="170" t="str">
        <s:f>IF(AB39&lt;&gt;"",IF($I$12&lt;&gt;"",IF(G39&lt;&gt;"",G39,($I$9/$I$12-SUM($Z$25:Z38))*AA39*AB39/SUMPRODUCT($AB39:$AB$56,$AA39:$AA$56)),""),"")</s:f>
        <s:v/>
      </s:c>
      <s:c r="AA39" s="369"/>
      <s:c r="AB39" s="369"/>
      <s:c r="AC39" s="383"/>
      <s:c r="AD39" s="383"/>
      <s:c r="AE39" s="386"/>
    </s:row>
    <s:row r="40">
      <s:c r="A40" s="159"/>
      <s:c r="B40" s="160"/>
      <s:c r="C40" s="179"/>
      <s:c r="D40" s="165"/>
      <s:c r="E40" s="199"/>
      <s:c r="F40" s="374" t="str">
        <s:f>IF(AND(E40&lt;&gt;"",E40&lt;&gt;0),D40/E40,"")</s:f>
        <s:v/>
      </s:c>
      <s:c r="G40" s="199"/>
      <s:c r="H40" s="164" t="str">
        <s:f>IF(AND(G40&lt;&gt;"",G40&lt;&gt;0),D40/G40,"")</s:f>
        <s:v/>
      </s:c>
      <s:c r="I40" s="164"/>
      <s:c r="J40" s="165" t="str">
        <s:f>IF(AND(G40&lt;&gt;"",G40&lt;&gt;0),E40/G40,"")</s:f>
        <s:v/>
      </s:c>
      <s:c r="K40" s="164"/>
      <s:c r="L40" s="164"/>
      <s:c r="M40" s="164"/>
      <s:c r="N40" s="164"/>
      <s:c r="O40" s="164"/>
      <s:c r="P40" s="164"/>
      <s:c r="Q40" s="164"/>
      <s:c r="R40" s="164"/>
      <s:c r="S40" s="382" t="str">
        <s:f>IF(AND(I40&lt;&gt;"",I40&lt;&gt;0),G40/I40,"")</s:f>
        <s:v/>
      </s:c>
      <s:c r="T40" s="168" t="e">
        <s:f>D40/U40</s:f>
        <s:v>#DIV/0!</s:v>
      </s:c>
      <s:c r="U40" s="169">
        <s:f>$I$8*AA40*AB40/SUMPRODUCT($AB$25:$AB$46,$AA$25:$AA$46)</s:f>
        <s:v>0</s:v>
      </s:c>
      <s:c r="V40" s="170">
        <s:f>$I$9*AA40*AB40/SUMPRODUCT($AB$25:$AB$46,$AA$25:$AA$46)</s:f>
        <s:v>0</s:v>
      </s:c>
      <s:c r="W40" s="170">
        <s:f>IF($I$12="","",V40/$I$12)</s:f>
        <s:v>0</s:v>
      </s:c>
      <s:c r="X40" s="169" t="str">
        <s:f>IF(AB40&lt;&gt;"",IF(D40&lt;&gt;"",D40,($I$8-SUM($X$25:X39))*AA40*AB40/SUMPRODUCT($AB40:$AB$56,$AA40:$AA$56)),"")</s:f>
        <s:v/>
      </s:c>
      <s:c r="Y40" s="170" t="str">
        <s:f>IF(AB40&lt;&gt;"",IF(E40&lt;&gt;"",E40,($I$9-SUM($Y$25:Y39))*AA40*AB40/SUMPRODUCT($AB40:$AB$56,$AA40:$AA$56)),"")</s:f>
        <s:v/>
      </s:c>
      <s:c r="Z40" s="170" t="str">
        <s:f>IF(AB40&lt;&gt;"",IF($I$12&lt;&gt;"",IF(G40&lt;&gt;"",G40,($I$9/$I$12-SUM($Z$25:Z39))*AA40*AB40/SUMPRODUCT($AB40:$AB$56,$AA40:$AA$56)),""),"")</s:f>
        <s:v/>
      </s:c>
      <s:c r="AA40" s="369"/>
      <s:c r="AB40" s="369"/>
      <s:c r="AC40" s="383"/>
      <s:c r="AD40" s="383"/>
      <s:c r="AE40" s="386"/>
    </s:row>
    <s:row r="41">
      <s:c r="A41" s="159"/>
      <s:c r="B41" s="160"/>
      <s:c r="C41" s="179"/>
      <s:c r="D41" s="165"/>
      <s:c r="E41" s="199"/>
      <s:c r="F41" s="164" t="str">
        <s:f>IF(AND(E41&lt;&gt;"",E41&lt;&gt;0),D41/E41,"")</s:f>
        <s:v/>
      </s:c>
      <s:c r="G41" s="199"/>
      <s:c r="H41" s="164" t="str">
        <s:f>IF(AND(G41&lt;&gt;"",G41&lt;&gt;0),D41/G41,"")</s:f>
        <s:v/>
      </s:c>
      <s:c r="I41" s="164"/>
      <s:c r="J41" s="165" t="str">
        <s:f>IF(AND(G41&lt;&gt;"",G41&lt;&gt;0),E41/G41,"")</s:f>
        <s:v/>
      </s:c>
      <s:c r="K41" s="164"/>
      <s:c r="L41" s="164"/>
      <s:c r="M41" s="164"/>
      <s:c r="N41" s="164"/>
      <s:c r="O41" s="164"/>
      <s:c r="P41" s="164"/>
      <s:c r="Q41" s="164"/>
      <s:c r="R41" s="164"/>
      <s:c r="S41" s="382" t="str">
        <s:f>IF(AND(I41&lt;&gt;"",I41&lt;&gt;0),G41/I41,"")</s:f>
        <s:v/>
      </s:c>
      <s:c r="T41" s="168" t="e">
        <s:f>D41/U41</s:f>
        <s:v>#DIV/0!</s:v>
      </s:c>
      <s:c r="U41" s="169">
        <s:f>$I$8*AA41*AB41/SUMPRODUCT($AB$25:$AB$46,$AA$25:$AA$46)</s:f>
        <s:v>0</s:v>
      </s:c>
      <s:c r="V41" s="170">
        <s:f>$I$9*AA41*AB41/SUMPRODUCT($AB$25:$AB$46,$AA$25:$AA$46)</s:f>
        <s:v>0</s:v>
      </s:c>
      <s:c r="W41" s="170">
        <s:f>IF($I$12="","",V41/$I$12)</s:f>
        <s:v>0</s:v>
      </s:c>
      <s:c r="X41" s="169" t="str">
        <s:f>IF(AB41&lt;&gt;"",IF(D41&lt;&gt;"",D41,($I$8-SUM($X$25:X40))*AA41*AB41/SUMPRODUCT($AB41:$AB$56,$AA41:$AA$56)),"")</s:f>
        <s:v/>
      </s:c>
      <s:c r="Y41" s="170" t="str">
        <s:f>IF(AB41&lt;&gt;"",IF(E41&lt;&gt;"",E41,($I$9-SUM($Y$25:Y40))*AA41*AB41/SUMPRODUCT($AB41:$AB$56,$AA41:$AA$56)),"")</s:f>
        <s:v/>
      </s:c>
      <s:c r="Z41" s="170" t="str">
        <s:f>IF(AB41&lt;&gt;"",IF($I$12&lt;&gt;"",IF(G41&lt;&gt;"",G41,($I$9/$I$12-SUM($Z$25:Z40))*AA41*AB41/SUMPRODUCT($AB41:$AB$56,$AA41:$AA$56)),""),"")</s:f>
        <s:v/>
      </s:c>
      <s:c r="AA41" s="369"/>
      <s:c r="AB41" s="369"/>
      <s:c r="AC41" s="383"/>
      <s:c r="AD41" s="383"/>
      <s:c r="AE41" s="386"/>
    </s:row>
    <s:row r="42">
      <s:c r="A42" s="159"/>
      <s:c r="B42" s="160"/>
      <s:c r="C42" s="179"/>
      <s:c r="D42" s="165"/>
      <s:c r="E42" s="199"/>
      <s:c r="F42" s="164" t="str">
        <s:f>IF(AND(E42&lt;&gt;"",E42&lt;&gt;0),D42/E42,"")</s:f>
        <s:v/>
      </s:c>
      <s:c r="G42" s="199"/>
      <s:c r="H42" s="164" t="str">
        <s:f>IF(AND(G42&lt;&gt;"",G42&lt;&gt;0),D42/G42,"")</s:f>
        <s:v/>
      </s:c>
      <s:c r="I42" s="199"/>
      <s:c r="J42" s="165" t="str">
        <s:f>IF(AND(G42&lt;&gt;"",G42&lt;&gt;0),E42/G42,"")</s:f>
        <s:v/>
      </s:c>
      <s:c r="K42" s="164"/>
      <s:c r="L42" s="164"/>
      <s:c r="M42" s="164"/>
      <s:c r="N42" s="164"/>
      <s:c r="O42" s="164"/>
      <s:c r="P42" s="164"/>
      <s:c r="Q42" s="164"/>
      <s:c r="R42" s="164"/>
      <s:c r="S42" s="382" t="str">
        <s:f>IF(AND(I42&lt;&gt;"",I42&lt;&gt;0),G42/I42,"")</s:f>
        <s:v/>
      </s:c>
      <s:c r="T42" s="168" t="e">
        <s:f>D42/U42</s:f>
        <s:v>#DIV/0!</s:v>
      </s:c>
      <s:c r="U42" s="169">
        <s:f>$I$8*AA42*AB42/SUMPRODUCT($AB$25:$AB$46,$AA$25:$AA$46)</s:f>
        <s:v>0</s:v>
      </s:c>
      <s:c r="V42" s="170">
        <s:f>$I$9*AA42*AB42/SUMPRODUCT($AB$25:$AB$46,$AA$25:$AA$46)</s:f>
        <s:v>0</s:v>
      </s:c>
      <s:c r="W42" s="170">
        <s:f>IF($I$12="","",V42/$I$12)</s:f>
        <s:v>0</s:v>
      </s:c>
      <s:c r="X42" s="169" t="str">
        <s:f>IF(AB42&lt;&gt;"",IF(D42&lt;&gt;"",D42,($I$8-SUM($X$25:X41))*AA42*AB42/SUMPRODUCT($AB42:$AB$56,$AA42:$AA$56)),"")</s:f>
        <s:v/>
      </s:c>
      <s:c r="Y42" s="170" t="str">
        <s:f>IF(AB42&lt;&gt;"",IF(E42&lt;&gt;"",E42,($I$9-SUM($Y$25:Y41))*AA42*AB42/SUMPRODUCT($AB42:$AB$56,$AA42:$AA$56)),"")</s:f>
        <s:v/>
      </s:c>
      <s:c r="Z42" s="170" t="str">
        <s:f>IF(AB42&lt;&gt;"",IF($I$12&lt;&gt;"",IF(G42&lt;&gt;"",G42,($I$9/$I$12-SUM($Z$25:Z41))*AA42*AB42/SUMPRODUCT($AB42:$AB$56,$AA42:$AA$56)),""),"")</s:f>
        <s:v/>
      </s:c>
      <s:c r="AA42" s="369"/>
      <s:c r="AB42" s="369"/>
      <s:c r="AC42" s="383"/>
      <s:c r="AD42" s="383"/>
      <s:c r="AE42" s="386"/>
    </s:row>
    <s:row r="43" ht="15" customHeight="1">
      <s:c r="A43" s="159"/>
      <s:c r="B43" s="160"/>
      <s:c r="C43" s="179"/>
      <s:c r="D43" s="387"/>
      <s:c r="E43" s="388"/>
      <s:c r="F43" s="164" t="str">
        <s:f>IF(AND(E43&lt;&gt;"",E43&lt;&gt;0),D43/E43,"")</s:f>
        <s:v/>
      </s:c>
      <s:c r="G43" s="388"/>
      <s:c r="H43" s="164" t="str">
        <s:f>IF(AND(G43&lt;&gt;"",G43&lt;&gt;0),D43/G43,"")</s:f>
        <s:v/>
      </s:c>
      <s:c r="I43" s="388"/>
      <s:c r="J43" s="165" t="str">
        <s:f>IF(AND(G43&lt;&gt;"",G43&lt;&gt;0),E43/G43,"")</s:f>
        <s:v/>
      </s:c>
      <s:c r="K43" s="164"/>
      <s:c r="L43" s="164"/>
      <s:c r="M43" s="164"/>
      <s:c r="N43" s="164"/>
      <s:c r="O43" s="164"/>
      <s:c r="P43" s="164"/>
      <s:c r="Q43" s="164"/>
      <s:c r="R43" s="164"/>
      <s:c r="S43" s="382" t="str">
        <s:f>IF(AND(I43&lt;&gt;"",I43&lt;&gt;0),G43/I43,"")</s:f>
        <s:v/>
      </s:c>
      <s:c r="T43" s="168" t="e">
        <s:f>D43/U43</s:f>
        <s:v>#DIV/0!</s:v>
      </s:c>
      <s:c r="U43" s="169">
        <s:f>$I$8*AA43*AB43/SUMPRODUCT($AB$25:$AB$46,$AA$25:$AA$46)</s:f>
        <s:v>0</s:v>
      </s:c>
      <s:c r="V43" s="170">
        <s:f>$I$9*AA43*AB43/SUMPRODUCT($AB$25:$AB$46,$AA$25:$AA$46)</s:f>
        <s:v>0</s:v>
      </s:c>
      <s:c r="W43" s="170">
        <s:f>IF($I$12="","",V43/$I$12)</s:f>
        <s:v>0</s:v>
      </s:c>
      <s:c r="X43" s="169" t="str">
        <s:f>IF(AB43&lt;&gt;"",IF(D43&lt;&gt;"",D43,($I$8-SUM($X$25:X42))*AA43*AB43/SUMPRODUCT($AB43:$AB$56,$AA43:$AA$56)),"")</s:f>
        <s:v/>
      </s:c>
      <s:c r="Y43" s="170" t="str">
        <s:f>IF(AB43&lt;&gt;"",IF(E43&lt;&gt;"",E43,($I$9-SUM($Y$25:Y42))*AA43*AB43/SUMPRODUCT($AB43:$AB$56,$AA43:$AA$56)),"")</s:f>
        <s:v/>
      </s:c>
      <s:c r="Z43" s="170" t="str">
        <s:f>IF(AB43&lt;&gt;"",IF($I$12&lt;&gt;"",IF(G43&lt;&gt;"",G43,($I$9/$I$12-SUM($Z$25:Z42))*AA43*AB43/SUMPRODUCT($AB43:$AB$56,$AA43:$AA$56)),""),"")</s:f>
        <s:v/>
      </s:c>
      <s:c r="AA43" s="369"/>
      <s:c r="AB43" s="369"/>
      <s:c r="AC43" s="383"/>
      <s:c r="AD43" s="383"/>
      <s:c r="AE43" s="386"/>
    </s:row>
    <s:row r="44">
      <s:c r="A44" s="159"/>
      <s:c r="B44" s="160"/>
      <s:c r="C44" s="179"/>
      <s:c r="D44" s="387"/>
      <s:c r="E44" s="388"/>
      <s:c r="F44" s="164" t="str">
        <s:f>IF(AND(E44&lt;&gt;"",E44&lt;&gt;0),D44/E44,"")</s:f>
        <s:v/>
      </s:c>
      <s:c r="G44" s="388"/>
      <s:c r="H44" s="164" t="str">
        <s:f>IF(AND(G44&lt;&gt;"",G44&lt;&gt;0),D44/G44,"")</s:f>
        <s:v/>
      </s:c>
      <s:c r="I44" s="388"/>
      <s:c r="J44" s="165" t="str">
        <s:f>IF(AND(G44&lt;&gt;"",G44&lt;&gt;0),E44/G44,"")</s:f>
        <s:v/>
      </s:c>
      <s:c r="K44" s="164"/>
      <s:c r="L44" s="164"/>
      <s:c r="M44" s="164"/>
      <s:c r="N44" s="164"/>
      <s:c r="O44" s="164"/>
      <s:c r="P44" s="164"/>
      <s:c r="Q44" s="164"/>
      <s:c r="R44" s="164"/>
      <s:c r="S44" s="382" t="str">
        <s:f>IF(AND(I44&lt;&gt;"",I44&lt;&gt;0),G44/I44,"")</s:f>
        <s:v/>
      </s:c>
      <s:c r="T44" s="168" t="e">
        <s:f>D44/U44</s:f>
        <s:v>#DIV/0!</s:v>
      </s:c>
      <s:c r="U44" s="169">
        <s:f>$I$8*AA44*AB44/SUMPRODUCT($AB$25:$AB$46,$AA$25:$AA$46)</s:f>
        <s:v>0</s:v>
      </s:c>
      <s:c r="V44" s="170">
        <s:f>$I$9*AA44*AB44/SUMPRODUCT($AB$25:$AB$46,$AA$25:$AA$46)</s:f>
        <s:v>0</s:v>
      </s:c>
      <s:c r="W44" s="170">
        <s:f>IF($I$12="","",V44/$I$12)</s:f>
        <s:v>0</s:v>
      </s:c>
      <s:c r="X44" s="169" t="str">
        <s:f>IF(AB44&lt;&gt;"",IF(D44&lt;&gt;"",D44,($I$8-SUM($X$25:X43))*AA44*AB44/SUMPRODUCT($AB44:$AB$56,$AA44:$AA$56)),"")</s:f>
        <s:v/>
      </s:c>
      <s:c r="Y44" s="170" t="str">
        <s:f>IF(AB44&lt;&gt;"",IF(E44&lt;&gt;"",E44,($I$9-SUM($Y$25:Y43))*AA44*AB44/SUMPRODUCT($AB44:$AB$56,$AA44:$AA$56)),"")</s:f>
        <s:v/>
      </s:c>
      <s:c r="Z44" s="170" t="str">
        <s:f>IF(AB44&lt;&gt;"",IF($I$12&lt;&gt;"",IF(G44&lt;&gt;"",G44,($I$9/$I$12-SUM($Z$25:Z43))*AA44*AB44/SUMPRODUCT($AB44:$AB$56,$AA44:$AA$56)),""),"")</s:f>
        <s:v/>
      </s:c>
      <s:c r="AA44" s="389"/>
      <s:c r="AB44" s="389"/>
      <s:c r="AC44" s="383"/>
      <s:c r="AD44" s="383"/>
      <s:c r="AE44" s="386"/>
    </s:row>
    <s:row r="45">
      <s:c r="A45" s="159"/>
      <s:c r="B45" s="160"/>
      <s:c r="C45" s="179"/>
      <s:c r="D45" s="387"/>
      <s:c r="E45" s="388"/>
      <s:c r="F45" s="164" t="str">
        <s:f>IF(AND(E45&lt;&gt;"",E45&lt;&gt;0),D45/E45,"")</s:f>
        <s:v/>
      </s:c>
      <s:c r="G45" s="388"/>
      <s:c r="H45" s="164" t="str">
        <s:f>IF(AND(G45&lt;&gt;"",G45&lt;&gt;0),D45/G45,"")</s:f>
        <s:v/>
      </s:c>
      <s:c r="I45" s="388"/>
      <s:c r="J45" s="165" t="str">
        <s:f>IF(AND(G45&lt;&gt;"",G45&lt;&gt;0),E45/G45,"")</s:f>
        <s:v/>
      </s:c>
      <s:c r="K45" s="164"/>
      <s:c r="L45" s="164"/>
      <s:c r="M45" s="164"/>
      <s:c r="N45" s="164"/>
      <s:c r="O45" s="164"/>
      <s:c r="P45" s="164"/>
      <s:c r="Q45" s="164"/>
      <s:c r="R45" s="164"/>
      <s:c r="S45" s="382" t="str">
        <s:f>IF(AND(I45&lt;&gt;"",I45&lt;&gt;0),G45/I45,"")</s:f>
        <s:v/>
      </s:c>
      <s:c r="T45" s="168" t="e">
        <s:f>D45/U45</s:f>
        <s:v>#DIV/0!</s:v>
      </s:c>
      <s:c r="U45" s="169">
        <s:f>$I$8*AA45*AB45/SUMPRODUCT($AB$25:$AB$46,$AA$25:$AA$46)</s:f>
        <s:v>0</s:v>
      </s:c>
      <s:c r="V45" s="170">
        <s:f>$I$9*AA45*AB45/SUMPRODUCT($AB$25:$AB$46,$AA$25:$AA$46)</s:f>
        <s:v>0</s:v>
      </s:c>
      <s:c r="W45" s="170">
        <s:f>IF($I$12="","",V45/$I$12)</s:f>
        <s:v>0</s:v>
      </s:c>
      <s:c r="X45" s="169" t="str">
        <s:f>IF(AB45&lt;&gt;"",IF(D45&lt;&gt;"",D45,($I$8-SUM($X$25:X44))*AA45*AB45/SUMPRODUCT($AB45:$AB$56,$AA45:$AA$56)),"")</s:f>
        <s:v/>
      </s:c>
      <s:c r="Y45" s="170" t="str">
        <s:f>IF(AB45&lt;&gt;"",IF(E45&lt;&gt;"",E45,($I$9-SUM($Y$25:Y44))*AA45*AB45/SUMPRODUCT($AB45:$AB$56,$AA45:$AA$56)),"")</s:f>
        <s:v/>
      </s:c>
      <s:c r="Z45" s="170" t="str">
        <s:f>IF(AB45&lt;&gt;"",IF($I$12&lt;&gt;"",IF(G45&lt;&gt;"",G45,($I$9/$I$12-SUM($Z$25:Z44))*AA45*AB45/SUMPRODUCT($AB45:$AB$56,$AA45:$AA$56)),""),"")</s:f>
        <s:v/>
      </s:c>
      <s:c r="AA45" s="389"/>
      <s:c r="AB45" s="389"/>
      <s:c r="AC45" s="383"/>
      <s:c r="AD45" s="383"/>
      <s:c r="AE45" s="386"/>
    </s:row>
    <s:row r="46">
      <s:c r="A46" s="159"/>
      <s:c r="B46" s="160"/>
      <s:c r="C46" s="179"/>
      <s:c r="D46" s="371"/>
      <s:c r="E46" s="199"/>
      <s:c r="F46" s="164" t="str">
        <s:f>IF(AND(E46&lt;&gt;"",E46&lt;&gt;0),D46/E46,"")</s:f>
        <s:v/>
      </s:c>
      <s:c r="G46" s="199"/>
      <s:c r="H46" s="164" t="str">
        <s:f>IF(AND(G46&lt;&gt;"",G46&lt;&gt;0),D46/G46,"")</s:f>
        <s:v/>
      </s:c>
      <s:c r="I46" s="199"/>
      <s:c r="J46" s="165" t="str">
        <s:f>IF(AND(G46&lt;&gt;"",G46&lt;&gt;0),E46/G46,"")</s:f>
        <s:v/>
      </s:c>
      <s:c r="K46" s="164"/>
      <s:c r="L46" s="164"/>
      <s:c r="M46" s="164"/>
      <s:c r="N46" s="164"/>
      <s:c r="O46" s="164"/>
      <s:c r="P46" s="164"/>
      <s:c r="Q46" s="164"/>
      <s:c r="R46" s="164"/>
      <s:c r="S46" s="382" t="str">
        <s:f>IF(AND(I46&lt;&gt;"",I46&lt;&gt;0),G46/I46,"")</s:f>
        <s:v/>
      </s:c>
      <s:c r="T46" s="168" t="e">
        <s:f>D46/U46</s:f>
        <s:v>#DIV/0!</s:v>
      </s:c>
      <s:c r="U46" s="169">
        <s:f>$I$8*AA46*AB46/SUMPRODUCT($AB$25:$AB$46,$AA$25:$AA$46)</s:f>
        <s:v>0</s:v>
      </s:c>
      <s:c r="V46" s="170">
        <s:f>$I$9*AA46*AB46/SUMPRODUCT($AB$25:$AB$46,$AA$25:$AA$46)</s:f>
        <s:v>0</s:v>
      </s:c>
      <s:c r="W46" s="170">
        <s:f>IF($I$12="","",V46/$I$12)</s:f>
        <s:v>0</s:v>
      </s:c>
      <s:c r="X46" s="169" t="str">
        <s:f>IF(AB46&lt;&gt;"",IF(D46&lt;&gt;"",D46,($I$8-SUM($X$25:X45))*AA46*AB46/SUMPRODUCT($AB46:$AB$56,$AA46:$AA$56)),"")</s:f>
        <s:v/>
      </s:c>
      <s:c r="Y46" s="170" t="str">
        <s:f>IF(AB46&lt;&gt;"",IF(E46&lt;&gt;"",E46,($I$9-SUM($Y$25:Y45))*AA46*AB46/SUMPRODUCT($AB46:$AB$56,$AA46:$AA$56)),"")</s:f>
        <s:v/>
      </s:c>
      <s:c r="Z46" s="170" t="str">
        <s:f>IF(AB46&lt;&gt;"",IF($I$12&lt;&gt;"",IF(G46&lt;&gt;"",G46,($I$9/$I$12-SUM($Z$25:Z45))*AA46*AB46/SUMPRODUCT($AB46:$AB$56,$AA46:$AA$56)),""),"")</s:f>
        <s:v/>
      </s:c>
      <s:c r="AA46" s="389"/>
      <s:c r="AB46" s="389"/>
      <s:c r="AC46" s="383"/>
      <s:c r="AD46" s="390"/>
    </s:row>
    <s:row r="47">
      <s:c r="A47" s="159"/>
      <s:c r="B47" s="160"/>
      <s:c r="C47" s="161"/>
      <s:c r="D47" s="165"/>
      <s:c r="E47" s="164"/>
      <s:c r="F47" s="164" t="str">
        <s:f>IF(AND(E47&lt;&gt;"",E47&lt;&gt;0),D47/E47,"")</s:f>
        <s:v/>
      </s:c>
      <s:c r="G47" s="164"/>
      <s:c r="H47" s="164" t="str">
        <s:f>IF(AND(G47&lt;&gt;"",G47&lt;&gt;0),D47/G47,"")</s:f>
        <s:v/>
      </s:c>
      <s:c r="I47" s="164"/>
      <s:c r="J47" s="165" t="str">
        <s:f>IF(AND(G47&lt;&gt;"",G47&lt;&gt;0),E47/G47,"")</s:f>
        <s:v/>
      </s:c>
      <s:c r="K47" s="164"/>
      <s:c r="L47" s="164"/>
      <s:c r="M47" s="164"/>
      <s:c r="N47" s="164"/>
      <s:c r="O47" s="164"/>
      <s:c r="P47" s="164"/>
      <s:c r="Q47" s="164"/>
      <s:c r="R47" s="164"/>
      <s:c r="S47" s="382" t="str">
        <s:f>IF(AND(I47&lt;&gt;"",I47&lt;&gt;0),G47/I47,"")</s:f>
        <s:v/>
      </s:c>
      <s:c r="T47" s="168" t="e">
        <s:f>D47/U47</s:f>
        <s:v>#DIV/0!</s:v>
      </s:c>
      <s:c r="U47" s="169">
        <s:f>$I$8*AA47*AB47/SUMPRODUCT($AB$25:$AB$46,$AA$25:$AA$46)</s:f>
        <s:v>0</s:v>
      </s:c>
      <s:c r="V47" s="170">
        <s:f>$I$9*AA47*AB47/SUMPRODUCT($AB$25:$AB$46,$AA$25:$AA$46)</s:f>
        <s:v>0</s:v>
      </s:c>
      <s:c r="W47" s="170">
        <s:f>IF($I$12="","",V47/$I$12)</s:f>
        <s:v>0</s:v>
      </s:c>
      <s:c r="X47" s="169" t="str">
        <s:f>IF(AB47&lt;&gt;"",IF(D47&lt;&gt;"",D47,($I$8-SUM($X$25:X46))*AA47*AB47/SUMPRODUCT($AB47:$AB$56,$AA47:$AA$56)),"")</s:f>
        <s:v/>
      </s:c>
      <s:c r="Y47" s="170" t="str">
        <s:f>IF(AB47&lt;&gt;"",IF(E47&lt;&gt;"",E47,($I$9-SUM($Y$25:Y46))*AA47*AB47/SUMPRODUCT($AB47:$AB$56,$AA47:$AA$56)),"")</s:f>
        <s:v/>
      </s:c>
      <s:c r="Z47" s="170" t="str">
        <s:f>IF(AB47&lt;&gt;"",IF($I$12&lt;&gt;"",IF(G47&lt;&gt;"",G47,($I$9/$I$12-SUM($Z$25:Z46))*AA47*AB47/SUMPRODUCT($AB47:$AB$56,$AA47:$AA$56)),""),"")</s:f>
        <s:v/>
      </s:c>
      <s:c r="AA47" s="389"/>
      <s:c r="AB47" s="389"/>
      <s:c r="AC47" s="383"/>
      <s:c r="AD47" s="383"/>
    </s:row>
    <s:row r="48">
      <s:c r="A48" s="159"/>
      <s:c r="B48" s="160"/>
      <s:c r="C48" s="161"/>
      <s:c r="D48" s="165"/>
      <s:c r="E48" s="164"/>
      <s:c r="F48" s="164" t="str">
        <s:f>IF(AND(E48&lt;&gt;"",E48&lt;&gt;0),D48/E48,"")</s:f>
        <s:v/>
      </s:c>
      <s:c r="G48" s="164"/>
      <s:c r="H48" s="164" t="str">
        <s:f>IF(AND(G48&lt;&gt;"",G48&lt;&gt;0),D48/G48,"")</s:f>
        <s:v/>
      </s:c>
      <s:c r="I48" s="164"/>
      <s:c r="J48" s="165" t="str">
        <s:f>IF(AND(G48&lt;&gt;"",G48&lt;&gt;0),E48/G48,"")</s:f>
        <s:v/>
      </s:c>
      <s:c r="K48" s="164"/>
      <s:c r="L48" s="164"/>
      <s:c r="M48" s="164"/>
      <s:c r="N48" s="164"/>
      <s:c r="O48" s="164"/>
      <s:c r="P48" s="164"/>
      <s:c r="Q48" s="164"/>
      <s:c r="R48" s="164"/>
      <s:c r="S48" s="382" t="str">
        <s:f>IF(AND(I48&lt;&gt;"",I48&lt;&gt;0),G48/I48,"")</s:f>
        <s:v/>
      </s:c>
      <s:c r="T48" s="378" t="e">
        <s:f>D48/U48</s:f>
        <s:v>#DIV/0!</s:v>
      </s:c>
      <s:c r="U48" s="169">
        <s:f>$I$8*AA48*AB48/SUMPRODUCT($AB$25:$AB$46,$AA$25:$AA$46)</s:f>
        <s:v>0</s:v>
      </s:c>
      <s:c r="V48" s="170">
        <s:f>$I$9*AA48*AB48/SUMPRODUCT($AB$25:$AB$46,$AA$25:$AA$46)</s:f>
        <s:v>0</s:v>
      </s:c>
      <s:c r="W48" s="170">
        <s:f>IF($I$12="","",V48/$I$12)</s:f>
        <s:v>0</s:v>
      </s:c>
      <s:c r="X48" s="169" t="str">
        <s:f>IF(AB48&lt;&gt;"",IF(D48&lt;&gt;"",D48,($I$8-SUM($X$25:X47))*AA48*AB48/SUMPRODUCT($AB48:$AB$56,$AA48:$AA$56)),"")</s:f>
        <s:v/>
      </s:c>
      <s:c r="Y48" s="170" t="str">
        <s:f>IF(AB48&lt;&gt;"",IF(E48&lt;&gt;"",E48,($I$9-SUM($Y$25:Y47))*AA48*AB48/SUMPRODUCT($AB48:$AB$56,$AA48:$AA$56)),"")</s:f>
        <s:v/>
      </s:c>
      <s:c r="Z48" s="170" t="str">
        <s:f>IF(AB48&lt;&gt;"",IF($I$12&lt;&gt;"",IF(G48&lt;&gt;"",G48,($I$9/$I$12-SUM($Z$25:Z47))*AA48*AB48/SUMPRODUCT($AB48:$AB$56,$AA48:$AA$56)),""),"")</s:f>
        <s:v/>
      </s:c>
      <s:c r="AA48" s="389"/>
      <s:c r="AB48" s="389"/>
      <s:c r="AC48" s="383"/>
      <s:c r="AD48" s="383"/>
    </s:row>
    <s:row r="49" ht="15" customHeight="1">
      <s:c r="B49" s="391" t="s">
        <s:v>85</s:v>
      </s:c>
      <s:c r="C49" s="392"/>
      <s:c r="D49" s="393">
        <s:f>SUM(D25:D47)</s:f>
        <s:v>165233</s:v>
      </s:c>
      <s:c r="E49" s="393">
        <s:f>SUM(E25:E47)</s:f>
        <s:v>19</s:v>
      </s:c>
      <s:c r="F49" s="393">
        <s:f>IF(AND(E49&lt;&gt;"",E49&lt;&gt;0),D49/E49,"")</s:f>
        <s:v>8696.4736842105267</s:v>
      </s:c>
      <s:c r="G49" s="393">
        <s:f>SUM(G25:G47)</s:f>
        <s:v>7</s:v>
      </s:c>
      <s:c r="H49" s="393">
        <s:f>IF(AND(G49&lt;&gt;"",G49&lt;&gt;0),D49/G49,"")</s:f>
        <s:v>23604.714285714286</s:v>
      </s:c>
      <s:c r="I49" s="393">
        <s:f>SUM(I25:I47)*0.8</s:f>
        <s:v>139.20000000000002</s:v>
      </s:c>
      <s:c r="J49" s="394">
        <s:f>IF(AND(G49&lt;&gt;"",G49&lt;&gt;0),E49/G49,"")</s:f>
        <s:v>2.7142857142857144</s:v>
      </s:c>
      <s:c r="K49" s="393">
        <s:f>SUM(K25:K48)</s:f>
        <s:v>0</s:v>
      </s:c>
      <s:c r="L49" s="393">
        <s:f>SUM(L25:L48)</s:f>
        <s:v>220</s:v>
      </s:c>
      <s:c r="M49" s="393">
        <s:f>SUM(M25:M48)</s:f>
        <s:v>42462</s:v>
      </s:c>
      <s:c r="N49" s="393">
        <s:f>SUM(N25:N48)</s:f>
        <s:v>0</s:v>
      </s:c>
      <s:c r="O49" s="393">
        <s:f>SUM(O25:O48)</s:f>
        <s:v>36688</s:v>
      </s:c>
      <s:c r="P49" s="393">
        <s:f>SUM(P25:P48)</s:f>
        <s:v>0</s:v>
      </s:c>
      <s:c r="Q49" s="393">
        <s:f>SUM(Q25:Q48)</s:f>
        <s:v>0</s:v>
      </s:c>
      <s:c r="R49" s="393">
        <s:f>SUM(R25:R48)</s:f>
        <s:v>0</s:v>
      </s:c>
      <s:c r="S49" s="202">
        <s:f>IF(AND(I49&lt;&gt;"",I49&lt;&gt;0),G49/I49,"")</s:f>
        <s:v>0.050287356321839075</s:v>
      </s:c>
      <s:c r="T49" s="395" t="e">
        <s:f>D49/U49</s:f>
        <s:v>#DIV/0!</s:v>
      </s:c>
      <s:c r="U49" s="396">
        <s:f>SUM(U25:U47)</s:f>
        <s:v>0</s:v>
      </s:c>
      <s:c r="V49" s="396">
        <s:f>SUM(V25:V47)</s:f>
        <s:v>0</s:v>
      </s:c>
      <s:c r="W49" s="396">
        <s:f>SUM(W25:W47)</s:f>
        <s:v>0</s:v>
      </s:c>
      <s:c r="X49" s="396">
        <s:f>SUM(X25:X47)</s:f>
        <s:v>0</s:v>
      </s:c>
      <s:c r="Y49" s="396">
        <s:f>SUM(Y25:Y47)</s:f>
        <s:v>0</s:v>
      </s:c>
      <s:c r="Z49" s="396">
        <s:f>SUM(Z25:Z47)</s:f>
        <s:v>0</s:v>
      </s:c>
      <s:c r="AA49" s="397"/>
      <s:c r="AB49" s="397"/>
    </s:row>
    <s:row r="50">
      <s:c r="B50" s="205"/>
      <s:c r="C50" s="206"/>
      <s:c r="D50" s="207">
        <s:f>SUMIF(D25:D47,"",U25:U47)+D49</s:f>
        <s:v>165233</s:v>
      </s:c>
      <s:c r="E50" s="208"/>
      <s:c r="F50" s="206"/>
      <s:c r="G50" s="206"/>
      <s:c r="H50" s="209"/>
      <s:c r="I50" s="210"/>
      <s:c r="J50" s="209"/>
      <s:c r="O50" s="211"/>
      <s:c r="P50" s="208"/>
      <s:c r="Q50" s="208"/>
      <s:c r="R50" s="208"/>
      <s:c r="S50" s="211"/>
      <s:c r="T50" s="211"/>
      <s:c r="U50" s="211"/>
      <s:c r="V50" s="212"/>
    </s:row>
    <s:row r="51">
      <s:c r="D51" s="214"/>
    </s:row>
    <s:row r="53">
      <s:c r="D53" s="214"/>
    </s:row>
    <s:row r="54">
      <s:c r="D54" s="214"/>
    </s:row>
  </s:sheetData>
  <s:mergeCells count="27">
    <s:mergeCell ref="B1:C1"/>
    <s:mergeCell ref="V1:Y4"/>
    <s:mergeCell ref="B2:C2"/>
    <s:mergeCell ref="J2:N2"/>
    <s:mergeCell ref="J3:N4"/>
    <s:mergeCell ref="C4:D4"/>
    <s:mergeCell ref="F6:Q6"/>
    <s:mergeCell ref="F7:H7"/>
    <s:mergeCell ref="P7:Q7"/>
    <s:mergeCell ref="F8:H8"/>
    <s:mergeCell ref="F9:H9"/>
    <s:mergeCell ref="F10:H10"/>
    <s:mergeCell ref="F11:H11"/>
    <s:mergeCell ref="F12:H12"/>
    <s:mergeCell ref="F13:H13"/>
    <s:mergeCell ref="F14:H14"/>
    <s:mergeCell ref="F15:H15"/>
    <s:mergeCell ref="F16:H16"/>
    <s:mergeCell ref="T16:T17"/>
    <s:mergeCell ref="F17:H17"/>
    <s:mergeCell ref="F18:H18"/>
    <s:mergeCell ref="F19:H19"/>
    <s:mergeCell ref="F20:H20"/>
    <s:mergeCell ref="B22:S22"/>
    <s:mergeCell ref="T22:T24"/>
    <s:mergeCell ref="U22:AB22"/>
    <s:mergeCell ref="B49:C49"/>
  </s:mergeCells>
  <s:conditionalFormatting sqref="T37:T48">
    <s:cfRule type="cellIs" dxfId="4" priority="45" operator="between">
      <s:formula>0.9001</s:formula>
      <s:formula>0.9999</s:formula>
    </s:cfRule>
  </s:conditionalFormatting>
  <s:conditionalFormatting sqref="T37:T48">
    <s:cfRule type="cellIs" dxfId="2" priority="44" operator="lessThan">
      <s:formula>0.9</s:formula>
    </s:cfRule>
  </s:conditionalFormatting>
  <s:conditionalFormatting sqref="T37:T48">
    <s:cfRule type="cellIs" dxfId="3" priority="43" operator="between">
      <s:formula>0.85</s:formula>
      <s:formula>1</s:formula>
    </s:cfRule>
  </s:conditionalFormatting>
  <s:conditionalFormatting sqref="S37">
    <s:cfRule type="cellIs" dxfId="4" priority="42" operator="between">
      <s:formula>0.2</s:formula>
      <s:formula>0.25</s:formula>
    </s:cfRule>
  </s:conditionalFormatting>
  <s:conditionalFormatting sqref="T33:T35">
    <s:cfRule type="cellIs" dxfId="4" priority="41" operator="between">
      <s:formula>0.9001</s:formula>
      <s:formula>0.9999</s:formula>
    </s:cfRule>
  </s:conditionalFormatting>
  <s:conditionalFormatting sqref="T33:T35">
    <s:cfRule type="cellIs" dxfId="2" priority="40" operator="lessThan">
      <s:formula>0.9</s:formula>
    </s:cfRule>
  </s:conditionalFormatting>
  <s:conditionalFormatting sqref="T33:T35">
    <s:cfRule type="cellIs" dxfId="3" priority="39" operator="between">
      <s:formula>0.85</s:formula>
      <s:formula>1</s:formula>
    </s:cfRule>
  </s:conditionalFormatting>
  <s:conditionalFormatting sqref="S33:S35">
    <s:cfRule type="cellIs" dxfId="4" priority="38" operator="between">
      <s:formula>0.2</s:formula>
      <s:formula>0.25</s:formula>
    </s:cfRule>
  </s:conditionalFormatting>
  <s:conditionalFormatting sqref="P10:Q10">
    <s:cfRule type="cellIs" dxfId="0" priority="36" operator="lessThan">
      <s:formula>0</s:formula>
    </s:cfRule>
  </s:conditionalFormatting>
  <s:conditionalFormatting sqref="J16">
    <s:cfRule type="cellIs" dxfId="1" priority="35" operator="greaterThan">
      <s:formula>0</s:formula>
    </s:cfRule>
  </s:conditionalFormatting>
  <s:conditionalFormatting sqref="J16">
    <s:cfRule type="cellIs" dxfId="2" priority="34" operator="lessThan">
      <s:formula>0</s:formula>
    </s:cfRule>
  </s:conditionalFormatting>
  <s:conditionalFormatting sqref="T37:T48">
    <s:cfRule type="cellIs" dxfId="0" priority="33" operator="between">
      <s:formula>0.01</s:formula>
      <s:formula>0.99</s:formula>
    </s:cfRule>
  </s:conditionalFormatting>
  <s:conditionalFormatting sqref="T38:T45 T47:T48">
    <s:cfRule type="cellIs" dxfId="3" priority="32" operator="between">
      <s:formula>0.85</s:formula>
      <s:formula>1</s:formula>
    </s:cfRule>
  </s:conditionalFormatting>
  <s:conditionalFormatting sqref="T38:T48">
    <s:cfRule type="cellIs" dxfId="2" priority="31" operator="lessThan">
      <s:formula>0.9</s:formula>
    </s:cfRule>
  </s:conditionalFormatting>
  <s:conditionalFormatting sqref="T38:T48">
    <s:cfRule type="cellIs" dxfId="4" priority="30" operator="between">
      <s:formula>0.9001</s:formula>
      <s:formula>0.9999</s:formula>
    </s:cfRule>
  </s:conditionalFormatting>
  <s:conditionalFormatting sqref="T46">
    <s:cfRule type="cellIs" dxfId="0" priority="29" operator="between">
      <s:formula>0.01</s:formula>
      <s:formula>0.99</s:formula>
    </s:cfRule>
  </s:conditionalFormatting>
  <s:conditionalFormatting sqref="T46">
    <s:cfRule type="cellIs" dxfId="3" priority="28" operator="between">
      <s:formula>0.85</s:formula>
      <s:formula>1</s:formula>
    </s:cfRule>
  </s:conditionalFormatting>
  <s:conditionalFormatting sqref="S37:S48">
    <s:cfRule type="cellIs" dxfId="1" priority="25" operator="greaterThanOrEqual">
      <s:formula>0.25</s:formula>
    </s:cfRule>
  </s:conditionalFormatting>
  <s:conditionalFormatting sqref="S38:S48">
    <s:cfRule type="cellIs" dxfId="4" priority="24" operator="between">
      <s:formula>0.2</s:formula>
      <s:formula>0.25</s:formula>
    </s:cfRule>
  </s:conditionalFormatting>
  <s:conditionalFormatting sqref="T32:T36">
    <s:cfRule type="cellIs" dxfId="0" priority="23" operator="between">
      <s:formula>0.01</s:formula>
      <s:formula>0.99</s:formula>
    </s:cfRule>
  </s:conditionalFormatting>
  <s:conditionalFormatting sqref="T36">
    <s:cfRule type="cellIs" dxfId="3" priority="22" operator="between">
      <s:formula>0.85</s:formula>
      <s:formula>1</s:formula>
    </s:cfRule>
  </s:conditionalFormatting>
  <s:conditionalFormatting sqref="T35:T36">
    <s:cfRule type="cellIs" dxfId="2" priority="21" operator="lessThan">
      <s:formula>0.9</s:formula>
    </s:cfRule>
  </s:conditionalFormatting>
  <s:conditionalFormatting sqref="T35:T36">
    <s:cfRule type="cellIs" dxfId="4" priority="20" operator="between">
      <s:formula>0.9001</s:formula>
      <s:formula>0.9999</s:formula>
    </s:cfRule>
  </s:conditionalFormatting>
  <s:conditionalFormatting sqref="M9:M15">
    <s:cfRule type="cellIs" dxfId="1" priority="19" operator="greaterThan">
      <s:formula>1</s:formula>
    </s:cfRule>
  </s:conditionalFormatting>
  <s:conditionalFormatting sqref="M9:M15">
    <s:cfRule type="cellIs" dxfId="2" priority="18" operator="lessThan">
      <s:formula>1</s:formula>
    </s:cfRule>
  </s:conditionalFormatting>
  <s:conditionalFormatting sqref="K15">
    <s:cfRule type="cellIs" dxfId="1" priority="17" operator="greaterThan">
      <s:formula>1</s:formula>
    </s:cfRule>
  </s:conditionalFormatting>
  <s:conditionalFormatting sqref="K15">
    <s:cfRule type="cellIs" dxfId="2" priority="16" operator="lessThan">
      <s:formula>1</s:formula>
    </s:cfRule>
  </s:conditionalFormatting>
  <s:conditionalFormatting sqref="K10:K12">
    <s:cfRule type="cellIs" dxfId="1" priority="15" operator="greaterThan">
      <s:formula>1</s:formula>
    </s:cfRule>
  </s:conditionalFormatting>
  <s:conditionalFormatting sqref="K10:K12">
    <s:cfRule type="cellIs" dxfId="2" priority="14" operator="lessThan">
      <s:formula>1</s:formula>
    </s:cfRule>
  </s:conditionalFormatting>
  <s:conditionalFormatting sqref="S25:S48">
    <s:cfRule type="cellIs" dxfId="2" priority="13" operator="lessThan">
      <s:formula>0.2</s:formula>
    </s:cfRule>
  </s:conditionalFormatting>
  <s:conditionalFormatting sqref="S25:S36">
    <s:cfRule type="cellIs" dxfId="1" priority="12" operator="greaterThanOrEqual">
      <s:formula>0.25</s:formula>
    </s:cfRule>
  </s:conditionalFormatting>
  <s:conditionalFormatting sqref="S25:S36">
    <s:cfRule type="cellIs" dxfId="4" priority="11" operator="between">
      <s:formula>0.2</s:formula>
      <s:formula>0.25</s:formula>
    </s:cfRule>
  </s:conditionalFormatting>
  <s:conditionalFormatting sqref="T25:T31">
    <s:cfRule type="cellIs" dxfId="0" priority="10" operator="between">
      <s:formula>0.01</s:formula>
      <s:formula>0.99</s:formula>
    </s:cfRule>
  </s:conditionalFormatting>
  <s:conditionalFormatting sqref="T25:T32">
    <s:cfRule type="cellIs" dxfId="3" priority="9" operator="between">
      <s:formula>0.85</s:formula>
      <s:formula>1</s:formula>
    </s:cfRule>
  </s:conditionalFormatting>
  <s:conditionalFormatting sqref="T25:T48">
    <s:cfRule type="cellIs" dxfId="1" priority="8" operator="greaterThan">
      <s:formula>100</s:formula>
    </s:cfRule>
  </s:conditionalFormatting>
  <s:conditionalFormatting sqref="T25:T48">
    <s:cfRule type="cellIs" dxfId="1" priority="7" operator="greaterThan">
      <s:formula>1</s:formula>
    </s:cfRule>
  </s:conditionalFormatting>
  <s:conditionalFormatting sqref="T25:T32">
    <s:cfRule type="cellIs" dxfId="2" priority="6" operator="lessThan">
      <s:formula>0.9</s:formula>
    </s:cfRule>
  </s:conditionalFormatting>
  <s:conditionalFormatting sqref="T25:T32">
    <s:cfRule type="cellIs" dxfId="4" priority="5" operator="between">
      <s:formula>0.9001</s:formula>
      <s:formula>0.9999</s:formula>
    </s:cfRule>
  </s:conditionalFormatting>
  <s:conditionalFormatting sqref="K20">
    <s:cfRule type="cellIs" dxfId="1" priority="2" operator="greaterThan">
      <s:formula>1</s:formula>
    </s:cfRule>
  </s:conditionalFormatting>
  <s:conditionalFormatting sqref="K20">
    <s:cfRule type="cellIs" dxfId="2" priority="1" operator="lessThan">
      <s:formula>1</s:formula>
    </s:cfRule>
  </s:conditionalFormatting>
  <s:conditionalFormatting sqref="J33:J37">
    <s:cfRule type="cellIs" dxfId="2" priority="37" operator="lessThan">
      <s:formula>$I$12</s:formula>
    </s:cfRule>
  </s:conditionalFormatting>
  <s:conditionalFormatting sqref="J37:J48">
    <s:cfRule type="cellIs" dxfId="1" priority="27" operator="greaterThan">
      <s:formula>$I$12</s:formula>
    </s:cfRule>
  </s:conditionalFormatting>
  <s:conditionalFormatting sqref="J38:J48">
    <s:cfRule type="cellIs" dxfId="2" priority="26" operator="lessThan">
      <s:formula>$I$12</s:formula>
    </s:cfRule>
  </s:conditionalFormatting>
  <s:conditionalFormatting sqref="J25:J36">
    <s:cfRule type="cellIs" dxfId="1" priority="4" operator="greaterThan">
      <s:formula>$I$12</s:formula>
    </s:cfRule>
  </s:conditionalFormatting>
  <s:conditionalFormatting sqref="J25:J36">
    <s:cfRule type="cellIs" dxfId="2" priority="3" operator="lessThan">
      <s:formula>$I$12</s:formula>
    </s:cfRule>
  </s:conditionalFormatting>
  <s:dataValidations count="1">
    <s:dataValidation type="decimal" sqref="I8:J13 L10:L11 I14" vyd:viewType="arrow" mc:Ignorable="vyd">
      <s:formula1>0</s:formula1>
      <s:formula2>1000000000000000</s:formula2>
    </s:dataValidation>
  </s:dataValidations>
  <s:printOptions headings="0" gridLines="1"/>
  <s:pageMargins left="0.7" right="0.7" top="0.75" bottom="0.75" header="0.512" footer="0.512"/>
  <s:pageSetup paperSize="9" scale="100" firstPageNumber="0" fitToWidth="1" fitToHeight="0" pageOrder="downThenOver" orientation="landscape" usePrinterDefaults="1" blackAndWhite="0" draft="0" cellComments="none" useFirstPageNumber="0" errors="displayed" horizontalDpi="300" verticalDpi="300" copies="1"/>
  <s:headerFooter/>
  <s:drawing r:id="rId1"/>
  <s:extLst>
    <s:ext uri="{CCE6A557-97BC-4b89-ADB6-D9C93CAAB3DF}">
      <x14:dataValidations disablePrompts="0" count="0"/>
    </s:ext>
  </s:extLst>
</s:worksheet>
</file>

<file path=xl/worksheets/sheet7.xml><?xml version="1.0" encoding="utf-8"?>
<s:worksheet xmlns:r="http://schemas.openxmlformats.org/officeDocument/2006/relationships" xmlns:s="http://schemas.openxmlformats.org/spreadsheetml/2006/main" xmlns:vyd="http://volga.yandex.com/schemas/document/model" xmlns:mc="http://schemas.openxmlformats.org/markup-compatibility/2006" xmlns:x14="http://schemas.microsoft.com/office/spreadsheetml/2009/9/main" xmlns:x14ac="http://schemas.microsoft.com/office/spreadsheetml/2009/9/ac" mc:Ignorable="x14ac">
  <s:sheetPr>
    <s:tabColor rgb="FFDBDBDB"/>
    <s:outlinePr applyStyles="0" summaryBelow="1" summaryRight="1" showOutlineSymbols="1"/>
    <s:pageSetUpPr autoPageBreaks="1" fitToPage="1"/>
  </s:sheetPr>
  <s:sheetViews>
    <s:sheetView showGridLines="0" showZeros="0" tabSelected="0" zoomScale="100" workbookViewId="0">
      <s:selection activeCell="K11" activeCellId="0" sqref="K11"/>
    </s:sheetView>
  </s:sheetViews>
  <s:sheetFormatPr baseColWidth="10" defaultColWidth="9.164" defaultRowHeight="14.25"/>
  <s:cols>
    <s:col min="1" max="1" width="4" style="1" customWidth="1"/>
    <s:col min="2" max="2" width="10.332" style="1" customWidth="1"/>
    <s:col min="3" max="3" width="10.832" style="1" customWidth="1"/>
    <s:col min="4" max="4" width="10.332" style="1" customWidth="1"/>
    <s:col min="5" max="5" width="10.164" style="1" customWidth="1"/>
    <s:col min="6" max="6" width="11.332" style="1" customWidth="1"/>
    <s:col min="7" max="7" width="9.832" style="1" customWidth="1"/>
    <s:col min="8" max="8" width="9.5" style="1" customWidth="1"/>
    <s:col min="9" max="9" width="11" style="1" customWidth="1"/>
    <s:col min="10" max="10" width="8.832" style="1" customWidth="1"/>
    <s:col min="11" max="14" width="12.664" style="1" customWidth="1"/>
    <s:col min="15" max="15" width="10.164" style="1" customWidth="1"/>
    <s:col min="16" max="18" width="10.832" style="1" customWidth="1"/>
    <s:col min="19" max="19" width="11.664" style="1" customWidth="1"/>
    <s:col min="20" max="20" width="12.832" style="1" customWidth="1"/>
    <s:col min="21" max="21" width="10.332" style="1" customWidth="1"/>
    <s:col min="22" max="23" width="11.332" style="1" customWidth="1"/>
    <s:col min="24" max="24" width="11" style="1" customWidth="1"/>
    <s:col min="25" max="25" width="9.5" style="1" customWidth="1"/>
    <s:col min="26" max="26" width="9.164" style="1"/>
    <s:col min="27" max="28" width="10.5" style="1" customWidth="1"/>
    <s:col min="29" max="38" width="9.164" style="1"/>
    <s:col min="39" max="260" width="9.164" style="2"/>
  </s:cols>
  <s:sheetData>
    <s:row r="1" ht="15.75" customHeight="1">
      <s:c r="B1" s="3">
        <s:f ca="1">TODAY()-1</s:f>
        <s:v>46170</s:v>
      </s:c>
      <s:c r="C1" s="3"/>
      <s:c r="D1" s="4"/>
      <s:c r="E1" s="4"/>
      <s:c r="F1" s="5"/>
      <s:c r="G1" s="5"/>
      <s:c r="H1" s="5"/>
      <s:c r="I1" s="5"/>
      <s:c r="J1" s="6"/>
      <s:c r="K1" s="6"/>
      <s:c r="L1" s="6"/>
      <s:c r="M1" s="6"/>
      <s:c r="N1" s="6"/>
      <s:c r="O1" s="6"/>
      <s:c r="P1" s="6"/>
      <s:c r="Q1" s="6"/>
      <s:c r="R1" s="6"/>
      <s:c r="S1" s="6"/>
      <s:c r="T1" s="6"/>
      <s:c r="U1" s="6"/>
      <s:c r="V1" s="7"/>
      <s:c r="W1" s="7"/>
      <s:c r="X1" s="7"/>
      <s:c r="Y1" s="7"/>
      <s:c r="Z1" s="5"/>
      <s:c r="AA1" s="5"/>
      <s:c r="AB1" s="5"/>
    </s:row>
    <s:row r="2" ht="21.75" customHeight="1">
      <s:c r="B2" s="8" t="s">
        <s:v>0</s:v>
      </s:c>
      <s:c r="C2" s="8"/>
      <s:c r="D2" s="4"/>
      <s:c r="E2" s="4"/>
      <s:c r="F2" s="5"/>
      <s:c r="G2" s="5"/>
      <s:c r="H2" s="5"/>
      <s:c r="I2" s="5"/>
      <s:c r="J2" s="335" t="s">
        <s:v>1</s:v>
      </s:c>
      <s:c r="K2" s="335"/>
      <s:c r="L2" s="335"/>
      <s:c r="M2" s="335"/>
      <s:c r="N2" s="335"/>
      <s:c r="O2" s="9"/>
      <s:c r="P2" s="9"/>
      <s:c r="Q2" s="9"/>
      <s:c r="R2" s="9"/>
      <s:c r="S2" s="9"/>
      <s:c r="T2" s="9"/>
      <s:c r="U2" s="9"/>
      <s:c r="V2" s="7"/>
      <s:c r="W2" s="7"/>
      <s:c r="X2" s="7"/>
      <s:c r="Y2" s="7"/>
      <s:c r="Z2" s="5"/>
      <s:c r="AA2" s="5"/>
      <s:c r="AB2" s="5"/>
    </s:row>
    <s:row r="3" ht="14" customHeight="1">
      <s:c r="B3" s="10" t="s">
        <s:v>2</s:v>
      </s:c>
      <s:c r="C3" s="4"/>
      <s:c r="D3" s="4"/>
      <s:c r="E3" s="4"/>
      <s:c r="F3" s="5"/>
      <s:c r="G3" s="5"/>
      <s:c r="H3" s="5"/>
      <s:c r="I3" s="5"/>
      <s:c r="J3" s="336" t="str">
        <s:f>График!B26</s:f>
        <s:v>Козлова Валерия</s:v>
      </s:c>
      <s:c r="K3" s="337"/>
      <s:c r="L3" s="337"/>
      <s:c r="M3" s="337"/>
      <s:c r="N3" s="338"/>
      <s:c r="O3" s="9"/>
      <s:c r="P3" s="9"/>
      <s:c r="Q3" s="9"/>
      <s:c r="R3" s="9"/>
      <s:c r="S3" s="9"/>
      <s:c r="T3" s="6"/>
      <s:c r="U3" s="14"/>
      <s:c r="V3" s="7"/>
      <s:c r="W3" s="7"/>
      <s:c r="X3" s="7"/>
      <s:c r="Y3" s="7"/>
      <s:c r="Z3" s="5"/>
      <s:c r="AA3" s="5"/>
      <s:c r="AB3" s="5"/>
    </s:row>
    <s:row r="4" ht="15" customHeight="1">
      <s:c r="B4" s="4"/>
      <s:c r="C4" s="339">
        <s:f>I8-D49</s:f>
        <s:v>361915.3901067616</s:v>
      </s:c>
      <s:c r="D4" s="339"/>
      <s:c r="E4" s="340">
        <s:f>IF(I8&lt;&gt;0,C4/I8,0)</s:f>
        <s:v>0.57929970852798174</s:v>
      </s:c>
      <s:c r="F4" s="5"/>
      <s:c r="G4" s="5"/>
      <s:c r="H4" s="5"/>
      <s:c r="I4" s="5"/>
      <s:c r="J4" s="341"/>
      <s:c r="K4" s="342"/>
      <s:c r="L4" s="342"/>
      <s:c r="M4" s="342"/>
      <s:c r="N4" s="343"/>
      <s:c r="O4" s="9"/>
      <s:c r="P4" s="9"/>
      <s:c r="Q4" s="9"/>
      <s:c r="R4" s="9"/>
      <s:c r="S4" s="9"/>
      <s:c r="T4" s="5"/>
      <s:c r="U4" s="5"/>
      <s:c r="V4" s="7"/>
      <s:c r="W4" s="7"/>
      <s:c r="X4" s="7"/>
      <s:c r="Y4" s="7"/>
      <s:c r="Z4" s="5"/>
      <s:c r="AA4" s="5"/>
      <s:c r="AB4" s="5"/>
    </s:row>
    <s:row r="5">
      <s:c r="B5" s="5"/>
      <s:c r="C5" s="5"/>
      <s:c r="D5" s="5"/>
      <s:c r="E5" s="5"/>
      <s:c r="F5" s="5"/>
      <s:c r="G5" s="5"/>
      <s:c r="H5" s="5"/>
      <s:c r="I5" s="5"/>
      <s:c r="J5" s="22"/>
      <s:c r="K5" s="22"/>
      <s:c r="L5" s="22"/>
      <s:c r="M5" s="22"/>
      <s:c r="N5" s="22"/>
      <s:c r="O5" s="22"/>
      <s:c r="P5" s="22"/>
      <s:c r="Q5" s="22"/>
      <s:c r="R5" s="22"/>
      <s:c r="S5" s="22"/>
      <s:c r="T5" s="5"/>
      <s:c r="U5" s="5"/>
      <s:c r="V5" s="5"/>
      <s:c r="W5" s="5"/>
      <s:c r="X5" s="5"/>
      <s:c r="Y5" s="5"/>
      <s:c r="Z5" s="5"/>
      <s:c r="AA5" s="5"/>
      <s:c r="AB5" s="5"/>
    </s:row>
    <s:row r="6" ht="24" customHeight="1">
      <s:c r="B6" s="23"/>
      <s:c r="C6" s="5"/>
      <s:c r="D6" s="5"/>
      <s:c r="E6" s="5"/>
      <s:c r="F6" s="25" t="s">
        <s:v>4</s:v>
      </s:c>
      <s:c r="G6" s="26"/>
      <s:c r="H6" s="26"/>
      <s:c r="I6" s="26"/>
      <s:c r="J6" s="26"/>
      <s:c r="K6" s="26"/>
      <s:c r="L6" s="26"/>
      <s:c r="M6" s="26"/>
      <s:c r="N6" s="26"/>
      <s:c r="O6" s="26"/>
      <s:c r="P6" s="26"/>
      <s:c r="Q6" s="27"/>
      <s:c r="R6" s="22"/>
      <s:c r="S6" s="22"/>
      <s:c r="T6" s="5"/>
      <s:c r="U6" s="5"/>
      <s:c r="V6" s="5"/>
      <s:c r="W6" s="28"/>
      <s:c r="X6" s="28"/>
      <s:c r="Y6" s="5"/>
      <s:c r="Z6" s="5"/>
      <s:c r="AA6" s="5"/>
      <s:c r="AB6" s="5"/>
    </s:row>
    <s:row r="7" ht="50.75" customHeight="1">
      <s:c r="B7" s="23"/>
      <s:c r="C7" s="5"/>
      <s:c r="D7" s="5"/>
      <s:c r="E7" s="29"/>
      <s:c r="F7" s="344" t="s">
        <s:v>5</s:v>
      </s:c>
      <s:c r="G7" s="344"/>
      <s:c r="H7" s="344"/>
      <s:c r="I7" s="31" t="s">
        <s:v>6</s:v>
      </s:c>
      <s:c r="J7" s="32" t="s">
        <s:v>7</s:v>
      </s:c>
      <s:c r="K7" s="33" t="s">
        <s:v>8</s:v>
      </s:c>
      <s:c r="L7" s="34" t="s">
        <s:v>9</s:v>
      </s:c>
      <s:c r="M7" s="34" t="s">
        <s:v>10</s:v>
      </s:c>
      <s:c r="N7" s="35" t="s">
        <s:v>11</s:v>
      </s:c>
      <s:c r="O7" s="36" t="s">
        <s:v>12</s:v>
      </s:c>
      <s:c r="P7" s="37" t="s">
        <s:v>13</s:v>
      </s:c>
      <s:c r="Q7" s="38"/>
      <s:c r="R7" s="22"/>
      <s:c r="S7" s="22"/>
      <s:c r="T7" s="5"/>
      <s:c r="U7" s="5"/>
      <s:c r="V7" s="5"/>
      <s:c r="W7" s="5"/>
      <s:c r="X7" s="5"/>
      <s:c r="Y7" s="5"/>
    </s:row>
    <s:row r="8" ht="15.75" customHeight="1">
      <s:c r="B8" s="23"/>
      <s:c r="C8" s="5"/>
      <s:c r="D8" s="5"/>
      <s:c r="E8" s="5"/>
      <s:c r="F8" s="59" t="s">
        <s:v>14</s:v>
      </s:c>
      <s:c r="G8" s="59"/>
      <s:c r="H8" s="59"/>
      <s:c r="I8" s="345">
        <s:f>Центрум!I8/График!AJ29*График!AJ26</s:f>
        <s:v>624746.37010676158</s:v>
      </s:c>
      <s:c r="J8" s="41">
        <s:f>D49</s:f>
        <s:v>262830.97999999998</s:v>
      </s:c>
      <s:c r="K8" s="346">
        <s:f>IF(AND(I8&lt;&gt;"",I8&lt;&gt;0,J8&lt;&gt;""),J8/I8,"")</s:f>
        <s:v>0.42070029147201826</s:v>
      </s:c>
      <s:c r="L8" s="43">
        <s:f ca="1">IF(SUMIF($D$25:$D$47,"&gt;=0",$U$25:$U$47)&lt;&gt;0,I8*D49/SUMIF($D$25:$D$47,"&gt;=0",$U$25:$U$47),0)</s:f>
        <s:v>312111.78875000001</s:v>
      </s:c>
      <s:c r="M8" s="347">
        <s:f ca="1">L8/I8</s:f>
        <s:v>0.49958159612302172</s:v>
      </s:c>
      <s:c r="N8" s="45">
        <s:f ca="1">IF(AND(J8&lt;&gt;0,J8&lt;&gt;"",I8&lt;&gt;0,I8&lt;&gt;""),L8-I8,"")</s:f>
        <s:v>-312634.58135676157</s:v>
      </s:c>
      <s:c r="O8" s="46"/>
      <s:c r="P8" s="47" t="str">
        <s:f ca="1">IF(AND(O8&lt;&gt;"",O8&lt;&gt;0,L8&lt;&gt;"",L8&lt;&gt;0),-O8+L8,"")</s:f>
        <s:v/>
      </s:c>
      <s:c r="Q8" s="48" t="str">
        <s:f ca="1">IF(AND(P8&lt;&gt;"",P8&lt;&gt;0,O8&lt;&gt;0,O8&lt;&gt;""),P8/O8,"")</s:f>
        <s:v/>
      </s:c>
      <s:c r="R8" s="22"/>
      <s:c r="S8" s="22"/>
      <s:c r="T8" s="28"/>
      <s:c r="U8" s="5"/>
      <s:c r="V8" s="5"/>
      <s:c r="W8" s="5"/>
      <s:c r="X8" s="5"/>
    </s:row>
    <s:row r="9" ht="15.75" customHeight="1">
      <s:c r="B9" s="23"/>
      <s:c r="C9" s="5"/>
      <s:c r="D9" s="5"/>
      <s:c r="E9" s="5"/>
      <s:c r="F9" s="49" t="s">
        <s:v>15</s:v>
      </s:c>
      <s:c r="G9" s="49"/>
      <s:c r="H9" s="49"/>
      <s:c r="I9" s="50">
        <s:f>I8/I11</s:f>
        <s:v>94.658540925266905</s:v>
      </s:c>
      <s:c r="J9" s="51">
        <s:f>E49</s:f>
        <s:v>45</s:v>
      </s:c>
      <s:c r="K9" s="348">
        <s:f>IF(AND(I9&lt;&gt;"",I9&lt;&gt;0,J9&lt;&gt;""),J9/I9,"")</s:f>
        <s:v>0.47539291816813006</s:v>
      </s:c>
      <s:c r="L9" s="79">
        <s:f ca="1">IF(SUMIF($E$25:$E$47,"&gt;=0",$V$25:$V$47)&lt;&gt;0,I9*E49/SUMIF($E$25:$E$47,"&gt;=0",$V$25:$V$47),0)</s:f>
        <s:v>53.437500000000014</s:v>
      </s:c>
      <s:c r="M9" s="349">
        <s:f ca="1">IF(AND(I9&lt;&gt;"",I9&lt;&gt;0,L9&lt;&gt;"",L9&lt;&gt;0),L9/I9,"")</s:f>
        <s:v>0.56452909032465459</s:v>
      </s:c>
      <s:c r="N9" s="55">
        <s:f ca="1">IF(AND(J9&lt;&gt;0,J9&lt;&gt;"",I9&lt;&gt;0,I9&lt;&gt;""),L9-I9,"")</s:f>
        <s:v>-41.221040925266891</s:v>
      </s:c>
      <s:c r="O9" s="56" t="e">
        <s:f>O8/O11</s:f>
        <s:v>#DIV/0!</s:v>
      </s:c>
      <s:c r="P9" s="57" t="e">
        <s:f ca="1">IF(AND(O9&lt;&gt;"",O9&lt;&gt;0,L9&lt;&gt;"",L9&lt;&gt;0),-O9+L9,"")</s:f>
        <s:v>#DIV/0!</s:v>
      </s:c>
      <s:c r="Q9" s="58" t="e">
        <s:f ca="1">IF(AND(P9&lt;&gt;"",P9&lt;&gt;0,O9&lt;&gt;0,O9&lt;&gt;""),P9/O9,"")</s:f>
        <s:v>#DIV/0!</s:v>
      </s:c>
      <s:c r="R9" s="22"/>
      <s:c r="S9" s="22"/>
      <s:c r="T9" s="28"/>
      <s:c r="U9" s="5"/>
      <s:c r="V9" s="5"/>
      <s:c r="W9" s="5"/>
      <s:c r="X9" s="5"/>
    </s:row>
    <s:row r="10" ht="15.75" customHeight="1">
      <s:c r="B10" s="23"/>
      <s:c r="C10" s="5"/>
      <s:c r="D10" s="5"/>
      <s:c r="E10" s="5"/>
      <s:c r="F10" s="59" t="s">
        <s:v>16</s:v>
      </s:c>
      <s:c r="G10" s="59"/>
      <s:c r="H10" s="59"/>
      <s:c r="I10" s="60">
        <s:f>I11*I12</s:f>
        <s:v>11220</s:v>
      </s:c>
      <s:c r="J10" s="61">
        <s:f>H49</s:f>
        <s:v>10108.883846153845</s:v>
      </s:c>
      <s:c r="K10" s="350">
        <s:f>IF(AND(I10&lt;&gt;"",I10&lt;&gt;0,J10&lt;&gt;""),J10/I10,"")</s:f>
        <s:v>0.90097003976415735</s:v>
      </s:c>
      <s:c r="L10" s="79">
        <s:f>J10</s:f>
        <s:v>10108.883846153845</s:v>
      </s:c>
      <s:c r="M10" s="351">
        <s:f>IF(AND(I10&lt;&gt;"",I10&lt;&gt;0,L10&lt;&gt;"",L10&lt;&gt;0),L10/I10,"")</s:f>
        <s:v>0.90097003976415735</s:v>
      </s:c>
      <s:c r="N10" s="64">
        <s:f>IF(AND(J10&lt;&gt;0,J10&lt;&gt;"",I10&lt;&gt;0,I10&lt;&gt;""),L10-I10,"")</s:f>
        <s:v>-1111.1161538461547</s:v>
      </s:c>
      <s:c r="O10" s="65">
        <s:f>O11*O12</s:f>
        <s:v>0</s:v>
      </s:c>
      <s:c r="P10" s="66" t="str">
        <s:f>IF(AND(O10&lt;&gt;"",O10&lt;&gt;0,L10&lt;&gt;"",L10&lt;&gt;0),-O10+L10,"")</s:f>
        <s:v/>
      </s:c>
      <s:c r="Q10" s="67" t="str">
        <s:f>IF(AND(P10&lt;&gt;"",P10&lt;&gt;0,O10&lt;&gt;0,O10&lt;&gt;""),P10/O10,"")</s:f>
        <s:v/>
      </s:c>
      <s:c r="R10" s="22"/>
      <s:c r="S10" s="22"/>
      <s:c r="T10" s="28"/>
      <s:c r="U10" s="5"/>
      <s:c r="V10" s="5"/>
      <s:c r="W10" s="5"/>
      <s:c r="X10" s="5"/>
    </s:row>
    <s:row r="11" ht="15.75" customHeight="1">
      <s:c r="B11" s="23"/>
      <s:c r="C11" s="5"/>
      <s:c r="D11" s="5"/>
      <s:c r="E11" s="5"/>
      <s:c r="F11" s="49" t="s">
        <s:v>17</s:v>
      </s:c>
      <s:c r="G11" s="49"/>
      <s:c r="H11" s="49"/>
      <s:c r="I11" s="68">
        <s:f>Центрум!I11</s:f>
        <s:v>6600</s:v>
      </s:c>
      <s:c r="J11" s="51">
        <s:f>F49</s:f>
        <s:v>5840.688444444444</s:v>
      </s:c>
      <s:c r="K11" s="348">
        <s:f>IF(AND(I11&lt;&gt;"",I11&lt;&gt;0,J11&lt;&gt;""),J11/I11,"")</s:f>
        <s:v>0.88495279461279452</s:v>
      </s:c>
      <s:c r="L11" s="79">
        <s:f>J11</s:f>
        <s:v>5840.688444444444</s:v>
      </s:c>
      <s:c r="M11" s="349">
        <s:f>IF(AND(I11&lt;&gt;"",I11&lt;&gt;0,L11&lt;&gt;"",L11&lt;&gt;0),L11/I11,"")</s:f>
        <s:v>0.88495279461279452</s:v>
      </s:c>
      <s:c r="N11" s="55">
        <s:f>IF(AND(J11&lt;&gt;0,J11&lt;&gt;"",I11&lt;&gt;0,I11&lt;&gt;""),L11-I11,"")</s:f>
        <s:v>-759.31155555555597</s:v>
      </s:c>
      <s:c r="O11" s="69"/>
      <s:c r="P11" s="57" t="str">
        <s:f>IF(AND(O11&lt;&gt;"",O11&lt;&gt;0,L11&lt;&gt;"",L11&lt;&gt;0),-O11+L11,"")</s:f>
        <s:v/>
      </s:c>
      <s:c r="Q11" s="58" t="str">
        <s:f>IF(AND(P11&lt;&gt;"",P11&lt;&gt;0,O11&lt;&gt;0,O11&lt;&gt;""),P11/O11,"")</s:f>
        <s:v/>
      </s:c>
      <s:c r="R11" s="22"/>
      <s:c r="S11" s="22"/>
      <s:c r="T11" s="5"/>
      <s:c r="U11" s="5"/>
      <s:c r="V11" s="5"/>
      <s:c r="W11" s="5"/>
      <s:c r="X11" s="5"/>
    </s:row>
    <s:row r="12" ht="15.75" customHeight="1">
      <s:c r="B12" s="23"/>
      <s:c r="C12" s="5"/>
      <s:c r="D12" s="5"/>
      <s:c r="E12" s="5"/>
      <s:c r="F12" s="49" t="s">
        <s:v>18</s:v>
      </s:c>
      <s:c r="G12" s="49"/>
      <s:c r="H12" s="49"/>
      <s:c r="I12" s="70">
        <s:f>'Центрум'!I12</s:f>
        <s:v>1.7</s:v>
      </s:c>
      <s:c r="J12" s="71">
        <s:f>J49</s:f>
        <s:v>1.7307692307692308</s:v>
      </s:c>
      <s:c r="K12" s="348">
        <s:f>IF(AND(I12&lt;&gt;"",I12&lt;&gt;0,J12&lt;&gt;""),J12/I12,"")</s:f>
        <s:v>1.0180995475113124</s:v>
      </s:c>
      <s:c r="L12" s="79">
        <s:f>J12</s:f>
        <s:v>1.7307692307692308</s:v>
      </s:c>
      <s:c r="M12" s="349">
        <s:f>IF(AND(I12&lt;&gt;"",I12&lt;&gt;0,L12&lt;&gt;"",L12&lt;&gt;0),L12/I12,"")</s:f>
        <s:v>1.0180995475113124</s:v>
      </s:c>
      <s:c r="N12" s="73">
        <s:f>IF(AND(J12&lt;&gt;0,J12&lt;&gt;"",I12&lt;&gt;0,I12&lt;&gt;""),L12-I12,"")</s:f>
        <s:v>0.030769230769230882</s:v>
      </s:c>
      <s:c r="O12" s="74"/>
      <s:c r="P12" s="57" t="str">
        <s:f>IF(AND(O12&lt;&gt;"",O12&lt;&gt;0,L12&lt;&gt;"",L12&lt;&gt;0),-O12+L12,"")</s:f>
        <s:v/>
      </s:c>
      <s:c r="Q12" s="58" t="str">
        <s:f>IF(AND(P12&lt;&gt;"",P12&lt;&gt;0,O12&lt;&gt;0,O12&lt;&gt;""),P12/O12,"")</s:f>
        <s:v/>
      </s:c>
      <s:c r="R12" s="22"/>
      <s:c r="S12" s="22"/>
      <s:c r="T12" s="5"/>
      <s:c r="U12" s="5"/>
      <s:c r="V12" s="5"/>
      <s:c r="W12" s="5"/>
      <s:c r="X12" s="5"/>
    </s:row>
    <s:row r="13" ht="15.75" customHeight="1">
      <s:c r="B13" s="23"/>
      <s:c r="C13" s="5"/>
      <s:c r="D13" s="5"/>
      <s:c r="E13" s="5"/>
      <s:c r="F13" s="49" t="s">
        <s:v>19</s:v>
      </s:c>
      <s:c r="G13" s="49"/>
      <s:c r="H13" s="49"/>
      <s:c r="I13" s="50">
        <s:f>IF(I12&lt;&gt;0,I9/I12,"")</s:f>
        <s:v>55.681494661921711</s:v>
      </s:c>
      <s:c r="J13" s="51">
        <s:f>G49</s:f>
        <s:v>26</s:v>
      </s:c>
      <s:c r="K13" s="348">
        <s:f>IF(AND(I13&lt;&gt;"",I13&lt;&gt;0,J13&lt;&gt;""),J13/I13,"")</s:f>
        <s:v>0.46694148851180772</s:v>
      </s:c>
      <s:c r="L13" s="79">
        <s:f ca="1">IF(SUMIF($G$25:$G$47,"&gt;=0",$W$25:$W$47)&lt;&gt;0,I13*G49/SUMIF($G$25:$G$47,"&gt;=0",$W$25:$W$47),"")</s:f>
        <s:v>30.875000000000007</s:v>
      </s:c>
      <s:c r="M13" s="349">
        <s:f>IF(AND(I13&lt;&gt;"",I13&lt;&gt;0,L13&lt;&gt;"",L13&lt;&gt;0),L13/I13,"")</s:f>
        <s:v>0.55449301760777181</s:v>
      </s:c>
      <s:c r="N13" s="73">
        <s:f>IF(AND(J13&lt;&gt;0,J13&lt;&gt;"",I13&lt;&gt;0,I13&lt;&gt;""),L13-I13,"")</s:f>
        <s:v>-24.806494661921704</s:v>
      </s:c>
      <s:c r="O13" s="75"/>
      <s:c r="P13" s="57" t="str">
        <s:f>IF(AND(O13&lt;&gt;"",O13&lt;&gt;0,L13&lt;&gt;"",L13&lt;&gt;0),-O13+L13,"")</s:f>
        <s:v/>
      </s:c>
      <s:c r="Q13" s="58" t="str">
        <s:f>IF(AND(P13&lt;&gt;"",P13&lt;&gt;0,O13&lt;&gt;0,O13&lt;&gt;""),P13/O13,"")</s:f>
        <s:v/>
      </s:c>
      <s:c r="R13" s="22"/>
      <s:c r="S13" s="22"/>
      <s:c r="T13" s="5"/>
      <s:c r="U13" s="5"/>
      <s:c r="V13" s="5"/>
      <s:c r="W13" s="5"/>
      <s:c r="X13" s="5"/>
    </s:row>
    <s:row r="14" ht="15.75" customHeight="1">
      <s:c r="B14" s="23"/>
      <s:c r="C14" s="5"/>
      <s:c r="D14" s="5"/>
      <s:c r="E14" s="5"/>
      <s:c r="F14" s="49" t="s">
        <s:v>98</s:v>
      </s:c>
      <s:c r="G14" s="49"/>
      <s:c r="H14" s="49"/>
      <s:c r="I14" s="68">
        <s:f>График!AI26</s:f>
        <s:v>19</s:v>
      </s:c>
      <s:c r="J14" s="76">
        <s:v>19</s:v>
      </s:c>
      <s:c r="K14" s="348">
        <s:f>IF(AND(I14&lt;&gt;"",I14&lt;&gt;0,J14&lt;&gt;""),J14/I14,"")</s:f>
        <s:v>1</s:v>
      </s:c>
      <s:c r="L14" s="79">
        <s:f ca="1">IF(SUMIF($D$25:$D$47,"&gt;=0",$U$25:$U$47),I49*I8/SUMIF($D$25:$D$47,"&gt;=0",$U$25:$U$47),"")</s:f>
        <s:v>404.70000000000005</s:v>
      </s:c>
      <s:c r="M14" s="349"/>
      <s:c r="N14" s="55">
        <s:f>IF(AND(J14&lt;&gt;0,J14&lt;&gt;"",I14&lt;&gt;0,I14&lt;&gt;""),L14-I14,"")</s:f>
        <s:v>385.70000000000005</s:v>
      </s:c>
      <s:c r="O14" s="75"/>
      <s:c r="P14" s="57" t="str">
        <s:f>IF(AND(O14&lt;&gt;"",O14&lt;&gt;0,L14&lt;&gt;"",L14&lt;&gt;0),-O14+L14,"")</s:f>
        <s:v/>
      </s:c>
      <s:c r="Q14" s="58" t="str">
        <s:f>IF(AND(P14&lt;&gt;"",P14&lt;&gt;0,O14&lt;&gt;0,O14&lt;&gt;""),P14/O14,"")</s:f>
        <s:v/>
      </s:c>
      <s:c r="R14" s="22"/>
      <s:c r="S14" s="22"/>
      <s:c r="T14" s="77"/>
      <s:c r="U14" s="5"/>
      <s:c r="V14" s="5"/>
      <s:c r="W14" s="5"/>
      <s:c r="X14" s="5"/>
    </s:row>
    <s:row r="15" ht="15.75" customHeight="1">
      <s:c r="B15" s="23"/>
      <s:c r="C15" s="5"/>
      <s:c r="D15" s="5"/>
      <s:c r="E15" s="5"/>
      <s:c r="F15" s="49" t="s">
        <s:v>21</s:v>
      </s:c>
      <s:c r="G15" s="49"/>
      <s:c r="H15" s="49"/>
      <s:c r="I15" s="352">
        <s:f>Центрум!I15/2</s:f>
        <s:v>30945.483870967742</s:v>
      </s:c>
      <s:c r="J15" s="85">
        <s:f>J8/J14</s:f>
        <s:v>13833.20947368421</s:v>
      </s:c>
      <s:c r="K15" s="353">
        <s:f>IF(AND(I15&lt;&gt;"",I15&lt;&gt;0,J15&lt;&gt;""),J15/I15,"")</s:f>
        <s:v>0.44701868393346311</s:v>
      </s:c>
      <s:c r="L15" s="86">
        <s:f>J15</s:f>
        <s:v>13833.20947368421</s:v>
      </s:c>
      <s:c r="M15" s="349">
        <s:f>IF(AND(I15&lt;&gt;"",I15&lt;&gt;0,L15&lt;&gt;"",L15&lt;&gt;0),L15/I15,"")</s:f>
        <s:v>0.44701868393346311</s:v>
      </s:c>
      <s:c r="N15" s="55">
        <s:f>IF(AND(J15&lt;&gt;0,J15&lt;&gt;"",I15&lt;&gt;0,I15&lt;&gt;""),L15-I15,"")</s:f>
        <s:v>-17112.274397283531</s:v>
      </s:c>
      <s:c r="O15" s="88"/>
      <s:c r="P15" s="57" t="str">
        <s:f>IF(AND(O15&lt;&gt;"",O15&lt;&gt;0,L15&lt;&gt;"",L15&lt;&gt;0),-O15+L15,"")</s:f>
        <s:v/>
      </s:c>
      <s:c r="Q15" s="58" t="str">
        <s:f>IF(AND(P15&lt;&gt;"",P15&lt;&gt;0,O15&lt;&gt;0,O15&lt;&gt;""),P15/O15,"")</s:f>
        <s:v/>
      </s:c>
      <s:c r="R15" s="22"/>
      <s:c r="S15" s="22"/>
      <s:c r="T15" s="28"/>
      <s:c r="U15" s="5"/>
      <s:c r="V15" s="5"/>
      <s:c r="W15" s="5"/>
      <s:c r="X15" s="5"/>
    </s:row>
    <s:row r="16" ht="15.75" customHeight="1">
      <s:c r="B16" s="23"/>
      <s:c r="C16" s="5"/>
      <s:c r="D16" s="5"/>
      <s:c r="E16" s="5"/>
      <s:c r="F16" s="49" t="s">
        <s:v>22</s:v>
      </s:c>
      <s:c r="G16" s="49"/>
      <s:c r="H16" s="49"/>
      <s:c r="I16" s="352"/>
      <s:c r="J16" s="85">
        <s:f>J8-I15*J14</s:f>
        <s:v>-325133.21354838717</s:v>
      </s:c>
      <s:c r="K16" s="353" t="str">
        <s:f>IF(AND(I16&lt;&gt;"",I16&lt;&gt;0,J16&lt;&gt;""),J16/I16,"")</s:f>
        <s:v/>
      </s:c>
      <s:c r="L16" s="86">
        <s:f>J16</s:f>
        <s:v>-325133.21354838717</s:v>
      </s:c>
      <s:c r="M16" s="354" t="str">
        <s:f>IF(AND(I16&lt;&gt;"",I16&lt;&gt;0,L16&lt;&gt;"",L16&lt;&gt;0),L16/I16,"")</s:f>
        <s:v/>
      </s:c>
      <s:c r="N16" s="55" t="str">
        <s:f>IF(AND(J16&lt;&gt;0,J16&lt;&gt;"",I16&lt;&gt;0,I16&lt;&gt;""),L16-I16,"")</s:f>
        <s:v/>
      </s:c>
      <s:c r="O16" s="88"/>
      <s:c r="P16" s="57" t="str">
        <s:f>IF(AND(O16&lt;&gt;"",O16&lt;&gt;0,L16&lt;&gt;"",L16&lt;&gt;0),-O16+L16,"")</s:f>
        <s:v/>
      </s:c>
      <s:c r="Q16" s="58" t="str">
        <s:f>IF(AND(P16&lt;&gt;"",P16&lt;&gt;0,O16&lt;&gt;0,O16&lt;&gt;""),P16/O16,"")</s:f>
        <s:v/>
      </s:c>
      <s:c r="R16" s="22"/>
      <s:c r="S16" s="22"/>
      <s:c r="T16" s="355" t="s">
        <s:v>23</s:v>
      </s:c>
      <s:c r="U16" s="5"/>
      <s:c r="V16" s="5"/>
      <s:c r="W16" s="5"/>
      <s:c r="X16" s="5"/>
    </s:row>
    <s:row r="17" ht="15.75" customHeight="1">
      <s:c r="B17" s="23"/>
      <s:c r="C17" s="5"/>
      <s:c r="D17" s="5"/>
      <s:c r="E17" s="5"/>
      <s:c r="F17" s="49" t="s">
        <s:v>24</s:v>
      </s:c>
      <s:c r="G17" s="49"/>
      <s:c r="H17" s="49"/>
      <s:c r="I17" s="352">
        <s:f>Центрум!I17/График!AJ29*График!AJ26</s:f>
        <s:v>618.6832740213523</s:v>
      </s:c>
      <s:c r="J17" s="85">
        <s:f>I49</s:f>
        <s:v>340.80000000000001</s:v>
      </s:c>
      <s:c r="K17" s="353">
        <s:f>IF(AND(I17&lt;&gt;"",I17&lt;&gt;0,J17&lt;&gt;""),J17/I17,"")</s:f>
        <s:v>0.55084728213977574</s:v>
      </s:c>
      <s:c r="L17" s="86">
        <s:f>J17/J14*I14</s:f>
        <s:v>340.79999999999995</s:v>
      </s:c>
      <s:c r="M17" s="354">
        <s:f>IF(AND(I17&lt;&gt;"",I17&lt;&gt;0,L17&lt;&gt;"",L17&lt;&gt;0),L17/I17,"")</s:f>
        <s:v>0.55084728213977563</s:v>
      </s:c>
      <s:c r="N17" s="55">
        <s:f>IF(AND(J17&lt;&gt;0,J17&lt;&gt;"",I17&lt;&gt;0,I17&lt;&gt;""),L17-I17,"")</s:f>
        <s:v>-277.88327402135235</s:v>
      </s:c>
      <s:c r="O17" s="88"/>
      <s:c r="P17" s="57" t="str">
        <s:f>IF(AND(O17&lt;&gt;"",O17&lt;&gt;0,L17&lt;&gt;"",L17&lt;&gt;0),-O17+L17,"")</s:f>
        <s:v/>
      </s:c>
      <s:c r="Q17" s="58" t="str">
        <s:f>IF(AND(P17&lt;&gt;"",P17&lt;&gt;0,O17&lt;&gt;0,O17&lt;&gt;""),P17/O17,"")</s:f>
        <s:v/>
      </s:c>
      <s:c r="R17" s="22"/>
      <s:c r="S17" s="22"/>
      <s:c r="T17" s="355"/>
      <s:c r="U17" s="5"/>
      <s:c r="V17" s="5"/>
      <s:c r="W17" s="5"/>
      <s:c r="X17" s="5"/>
    </s:row>
    <s:row r="18" ht="15.75" customHeight="1">
      <s:c r="B18" s="23"/>
      <s:c r="C18" s="5"/>
      <s:c r="D18" s="5"/>
      <s:c r="E18" s="5"/>
      <s:c r="F18" s="49"/>
      <s:c r="G18" s="49"/>
      <s:c r="H18" s="49"/>
      <s:c r="I18" s="84"/>
      <s:c r="J18" s="85"/>
      <s:c r="K18" s="353" t="str">
        <s:f>IF(AND(I18&lt;&gt;"",I18&lt;&gt;0,J18&lt;&gt;""),J18/I18,"")</s:f>
        <s:v/>
      </s:c>
      <s:c r="L18" s="86">
        <s:f>J18</s:f>
        <s:v>0</s:v>
      </s:c>
      <s:c r="M18" s="354" t="str">
        <s:f>IF(AND(I18&lt;&gt;"",I18&lt;&gt;0,L18&lt;&gt;"",L18&lt;&gt;0),L18/I18,"")</s:f>
        <s:v/>
      </s:c>
      <s:c r="N18" s="55" t="str">
        <s:f>IF(AND(J18&lt;&gt;0,J18&lt;&gt;"",I18&lt;&gt;0,I18&lt;&gt;""),L18-I18,"")</s:f>
        <s:v/>
      </s:c>
      <s:c r="O18" s="356">
        <s:v>0</s:v>
      </s:c>
      <s:c r="P18" s="57" t="str">
        <s:f>IF(AND(O18&lt;&gt;"",O18&lt;&gt;0,L18&lt;&gt;"",L18&lt;&gt;0),-O18+L18,"")</s:f>
        <s:v/>
      </s:c>
      <s:c r="Q18" s="58" t="str">
        <s:f>IF(AND(P18&lt;&gt;"",P18&lt;&gt;0,O18&lt;&gt;0,O18&lt;&gt;""),P18/O18,"")</s:f>
        <s:v/>
      </s:c>
      <s:c r="R18" s="22"/>
      <s:c r="S18" s="22"/>
      <s:c r="T18" s="83"/>
      <s:c r="U18" s="5"/>
      <s:c r="V18" s="5"/>
      <s:c r="W18" s="5"/>
      <s:c r="X18" s="5"/>
    </s:row>
    <s:row r="19" ht="15.75" customHeight="1">
      <s:c r="B19" s="23"/>
      <s:c r="C19" s="5"/>
      <s:c r="D19" s="5"/>
      <s:c r="E19" s="5"/>
      <s:c r="F19" s="49"/>
      <s:c r="G19" s="49"/>
      <s:c r="H19" s="49"/>
      <s:c r="I19" s="84"/>
      <s:c r="J19" s="85">
        <s:f>P49</s:f>
        <s:v>0</s:v>
      </s:c>
      <s:c r="K19" s="353" t="str">
        <s:f>IF(AND(I19&lt;&gt;"",I19&lt;&gt;0,J19&lt;&gt;""),J19/I19,"")</s:f>
        <s:v/>
      </s:c>
      <s:c r="L19" s="86">
        <s:f>J19</s:f>
        <s:v>0</s:v>
      </s:c>
      <s:c r="M19" s="354" t="str">
        <s:f>IF(AND(I19&lt;&gt;"",I19&lt;&gt;0,L19&lt;&gt;"",L19&lt;&gt;0),L19/I19,"")</s:f>
        <s:v/>
      </s:c>
      <s:c r="N19" s="55" t="str">
        <s:f>IF(AND(J19&lt;&gt;0,J19&lt;&gt;"",I19&lt;&gt;0,I19&lt;&gt;""),L19-I19,"")</s:f>
        <s:v/>
      </s:c>
      <s:c r="O19" s="88">
        <s:v>0</s:v>
      </s:c>
      <s:c r="P19" s="57" t="str">
        <s:f>IF(AND(O19&lt;&gt;"",O19&lt;&gt;0,L19&lt;&gt;"",L19&lt;&gt;0),-O19+L19,"")</s:f>
        <s:v/>
      </s:c>
      <s:c r="Q19" s="58" t="str">
        <s:f>IF(AND(P19&lt;&gt;"",P19&lt;&gt;0,O19&lt;&gt;0,O19&lt;&gt;""),P19/O19,"")</s:f>
        <s:v/>
      </s:c>
      <s:c r="R19" s="22"/>
      <s:c r="S19" s="22"/>
      <s:c r="T19" s="52" t="e">
        <s:f>T18/I16</s:f>
        <s:v>#DIV/0!</s:v>
      </s:c>
      <s:c r="U19" s="5"/>
      <s:c r="V19" s="5"/>
      <s:c r="W19" s="5"/>
      <s:c r="X19" s="5"/>
    </s:row>
    <s:row r="20" ht="15.75" customHeight="1">
      <s:c r="B20" s="23"/>
      <s:c r="C20" s="5"/>
      <s:c r="D20" s="5"/>
      <s:c r="E20" s="5"/>
      <s:c r="F20" s="89" t="s">
        <s:v>102</s:v>
      </s:c>
      <s:c r="G20" s="89"/>
      <s:c r="H20" s="89"/>
      <s:c r="I20" s="357">
        <s:f>Центрум!I20</s:f>
        <s:v>0.089999999999999997</s:v>
      </s:c>
      <s:c r="J20" s="358">
        <s:f>S49</s:f>
        <s:v>0.076291079812206564</s:v>
      </s:c>
      <s:c r="K20" s="91">
        <s:f>J20/I20</s:f>
        <s:v>0.84767866458007302</s:v>
      </s:c>
      <s:c r="L20" s="92">
        <s:f>IF(AND(K8&lt;&gt;0,I14&lt;&gt;0,I49&lt;&gt;0),(I49*S49+(I49/K8-I49)*I20)/(I49/K8),0)</s:f>
        <s:v>0.08423265328122867</s:v>
      </s:c>
      <s:c r="M20" s="359">
        <s:f>IF(AND(I20&lt;&gt;"",I20&lt;&gt;0,L20&lt;&gt;"",L20&lt;&gt;0),L20/I20,"")</s:f>
        <s:v>0.93591836979142973</s:v>
      </s:c>
      <s:c r="N20" s="94">
        <s:f>IF(AND(J20&lt;&gt;0,J20&lt;&gt;"",I20&lt;&gt;0,I20&lt;&gt;""),L20-I20,"")</s:f>
        <s:v>-0.0057673467187713268</s:v>
      </s:c>
      <s:c r="O20" s="95"/>
      <s:c r="P20" s="96" t="str">
        <s:f>IF(AND(O20&lt;&gt;"",O20&lt;&gt;0,L20&lt;&gt;"",L20&lt;&gt;0),-O20+L20,"")</s:f>
        <s:v/>
      </s:c>
      <s:c r="Q20" s="97" t="str">
        <s:f>IF(AND(P20&lt;&gt;"",P20&lt;&gt;0,O20&lt;&gt;0,O20&lt;&gt;""),P20/O20,"")</s:f>
        <s:v/>
      </s:c>
      <s:c r="R20" s="22"/>
      <s:c r="S20" s="22"/>
      <s:c r="T20" s="28"/>
      <s:c r="U20" s="5"/>
      <s:c r="V20" s="5"/>
      <s:c r="W20" s="5"/>
      <s:c r="X20" s="5"/>
    </s:row>
    <s:row r="21" ht="15.75" customHeight="1">
      <s:c r="B21" s="23"/>
      <s:c r="C21" s="5"/>
      <s:c r="D21" s="5"/>
      <s:c r="E21" s="5"/>
      <s:c r="F21" s="5"/>
      <s:c r="G21" s="5"/>
      <s:c r="H21" s="5"/>
      <s:c r="I21" s="5"/>
      <s:c r="J21" s="5"/>
      <s:c r="K21" s="5"/>
      <s:c r="L21" s="5"/>
      <s:c r="M21" s="5"/>
      <s:c r="N21" s="5"/>
      <s:c r="O21" s="5"/>
      <s:c r="P21" s="5"/>
      <s:c r="Q21" s="5"/>
      <s:c r="R21" s="5"/>
      <s:c r="S21" s="5"/>
      <s:c r="T21" s="5"/>
      <s:c r="U21" s="5"/>
      <s:c r="V21" s="5"/>
      <s:c r="W21" s="28"/>
      <s:c r="X21" s="28"/>
      <s:c r="Y21" s="5"/>
      <s:c r="Z21" s="5"/>
      <s:c r="AA21" s="5"/>
      <s:c r="AB21" s="5"/>
    </s:row>
    <s:row r="22" ht="16.5" customHeight="1">
      <s:c r="B22" s="360" t="s">
        <s:v>26</s:v>
      </s:c>
      <s:c r="C22" s="360"/>
      <s:c r="D22" s="360"/>
      <s:c r="E22" s="360"/>
      <s:c r="F22" s="360"/>
      <s:c r="G22" s="360"/>
      <s:c r="H22" s="360"/>
      <s:c r="I22" s="360"/>
      <s:c r="J22" s="360"/>
      <s:c r="K22" s="360"/>
      <s:c r="L22" s="360"/>
      <s:c r="M22" s="360"/>
      <s:c r="N22" s="360"/>
      <s:c r="O22" s="360"/>
      <s:c r="P22" s="360"/>
      <s:c r="Q22" s="360"/>
      <s:c r="R22" s="360"/>
      <s:c r="S22" s="360"/>
      <s:c r="T22" s="361" t="s">
        <s:v>46</s:v>
      </s:c>
      <s:c r="U22" s="360" t="s">
        <s:v>27</s:v>
      </s:c>
      <s:c r="V22" s="360"/>
      <s:c r="W22" s="360"/>
      <s:c r="X22" s="360"/>
      <s:c r="Y22" s="360"/>
      <s:c r="Z22" s="360"/>
      <s:c r="AA22" s="360"/>
      <s:c r="AB22" s="360"/>
    </s:row>
    <s:row r="23" ht="42">
      <s:c r="B23" s="361" t="s">
        <s:v>29</s:v>
      </s:c>
      <s:c r="C23" s="361" t="s">
        <s:v>30</s:v>
      </s:c>
      <s:c r="D23" s="361" t="s">
        <s:v>31</s:v>
      </s:c>
      <s:c r="E23" s="361" t="s">
        <s:v>32</s:v>
      </s:c>
      <s:c r="F23" s="361" t="s">
        <s:v>33</s:v>
      </s:c>
      <s:c r="G23" s="361" t="s">
        <s:v>34</s:v>
      </s:c>
      <s:c r="H23" s="361" t="s">
        <s:v>35</s:v>
      </s:c>
      <s:c r="I23" s="361" t="s">
        <s:v>24</s:v>
      </s:c>
      <s:c r="J23" s="361" t="s">
        <s:v>36</s:v>
      </s:c>
      <s:c r="K23" s="362" t="s">
        <s:v>37</s:v>
      </s:c>
      <s:c r="L23" s="105" t="s">
        <s:v>38</s:v>
      </s:c>
      <s:c r="M23" s="362" t="s">
        <s:v>39</s:v>
      </s:c>
      <s:c r="N23" s="105" t="s">
        <s:v>40</s:v>
      </s:c>
      <s:c r="O23" s="362" t="s">
        <s:v>41</s:v>
      </s:c>
      <s:c r="P23" s="105" t="s">
        <s:v>42</s:v>
      </s:c>
      <s:c r="Q23" s="105" t="s">
        <s:v>43</s:v>
      </s:c>
      <s:c r="R23" s="105" t="s">
        <s:v>44</s:v>
      </s:c>
      <s:c r="S23" s="361" t="s">
        <s:v>45</s:v>
      </s:c>
      <s:c r="T23" s="361"/>
      <s:c r="U23" s="361" t="s">
        <s:v>47</s:v>
      </s:c>
      <s:c r="V23" s="361" t="s">
        <s:v>48</s:v>
      </s:c>
      <s:c r="W23" s="361" t="s">
        <s:v>49</s:v>
      </s:c>
      <s:c r="X23" s="361" t="s">
        <s:v>50</s:v>
      </s:c>
      <s:c r="Y23" s="361" t="s">
        <s:v>51</s:v>
      </s:c>
      <s:c r="Z23" s="361" t="s">
        <s:v>52</s:v>
      </s:c>
      <s:c r="AA23" s="363" t="s">
        <s:v>53</s:v>
      </s:c>
      <s:c r="AB23" s="363" t="s">
        <s:v>54</s:v>
      </s:c>
      <s:c r="AC23" s="214"/>
    </s:row>
    <s:row r="24">
      <s:c r="A24" s="364"/>
      <s:c r="B24" s="365">
        <s:v>1</s:v>
      </s:c>
      <s:c r="C24" s="366">
        <s:v>2</s:v>
      </s:c>
      <s:c r="D24" s="367">
        <s:v>3</s:v>
      </s:c>
      <s:c r="E24" s="367" t="s">
        <s:v>103</s:v>
      </s:c>
      <s:c r="F24" s="366">
        <s:v>5</s:v>
      </s:c>
      <s:c r="G24" s="367">
        <s:v>6</s:v>
      </s:c>
      <s:c r="H24" s="366">
        <s:v>7</s:v>
      </s:c>
      <s:c r="I24" s="367">
        <s:v>8</s:v>
      </s:c>
      <s:c r="J24" s="367">
        <s:v>9</s:v>
      </s:c>
      <s:c r="K24" s="112">
        <s:v>10</s:v>
      </s:c>
      <s:c r="L24" s="112">
        <s:v>11</s:v>
      </s:c>
      <s:c r="M24" s="112">
        <s:v>12</s:v>
      </s:c>
      <s:c r="N24" s="112">
        <s:v>13</s:v>
      </s:c>
      <s:c r="O24" s="112">
        <s:v>14</s:v>
      </s:c>
      <s:c r="P24" s="112">
        <s:v>15</s:v>
      </s:c>
      <s:c r="Q24" s="112">
        <s:v>16</s:v>
      </s:c>
      <s:c r="R24" s="112">
        <s:v>17</s:v>
      </s:c>
      <s:c r="S24" s="112">
        <s:v>18</s:v>
      </s:c>
      <s:c r="T24" s="361"/>
      <s:c r="U24" s="368">
        <s:v>1</s:v>
      </s:c>
      <s:c r="V24" s="368">
        <s:v>2</s:v>
      </s:c>
      <s:c r="W24" s="368">
        <s:v>3</s:v>
      </s:c>
      <s:c r="X24" s="368">
        <s:v>4</s:v>
      </s:c>
      <s:c r="Y24" s="368">
        <s:v>5</s:v>
      </s:c>
      <s:c r="Z24" s="368">
        <s:v>6</s:v>
      </s:c>
      <s:c r="AA24" s="368">
        <s:v>10</s:v>
      </s:c>
      <s:c r="AB24" s="368">
        <s:v>11</s:v>
      </s:c>
    </s:row>
    <s:row r="25">
      <s:c r="A25" s="173">
        <s:v>1</s:v>
      </s:c>
      <s:c r="B25" s="160">
        <s:v>46024</s:v>
      </s:c>
      <s:c r="C25" s="161" t="s">
        <s:v>57</s:v>
      </s:c>
      <s:c r="D25" s="165">
        <s:v>0</s:v>
      </s:c>
      <s:c r="E25" s="164">
        <s:v>0</s:v>
      </s:c>
      <s:c r="F25" s="164" t="str">
        <s:f>IF(AND(E25&lt;&gt;"",E25&lt;&gt;0),D25/E25,"")</s:f>
        <s:v/>
      </s:c>
      <s:c r="G25" s="164">
        <s:v>0</s:v>
      </s:c>
      <s:c r="H25" s="164" t="str">
        <s:f>IF(AND(G25&lt;&gt;"",G25&lt;&gt;0),D25/G25,"")</s:f>
        <s:v/>
      </s:c>
      <s:c r="I25" s="199">
        <s:v>25</s:v>
      </s:c>
      <s:c r="J25" s="165" t="str">
        <s:f>IF(AND(G25&lt;&gt;"",G25&lt;&gt;0),E25/G25,"")</s:f>
        <s:v/>
      </s:c>
      <s:c r="K25" s="127"/>
      <s:c r="L25" s="127"/>
      <s:c r="M25" s="127"/>
      <s:c r="N25" s="127"/>
      <s:c r="O25" s="127"/>
      <s:c r="P25" s="127"/>
      <s:c r="Q25" s="127"/>
      <s:c r="R25" s="127"/>
      <s:c r="S25" s="167">
        <s:f>IF(AND(I25&lt;&gt;"",I25&lt;&gt;0),G25/I25,"")</s:f>
        <s:v>0</s:v>
      </s:c>
      <s:c r="T25" s="168" t="e">
        <s:f ca="1">D25/U25</s:f>
        <s:v>#REF!</s:v>
      </s:c>
      <s:c r="U25" s="169" t="e">
        <s:f ca="1">$I$8*AA25*AB25/SUMPRODUCT($AA$25:$AA$55,$Z$25:$Z$55)</s:f>
        <s:v>#REF!</s:v>
      </s:c>
      <s:c r="V25" s="170" t="e">
        <s:f ca="1">$I$9*AA25*AB25/SUMPRODUCT($AA$25:$AA$55,$Z$25:$Z$55)</s:f>
        <s:v>#REF!</s:v>
      </s:c>
      <s:c r="W25" s="170" t="e">
        <s:f ca="1">IF($I$12="","",V25/$I$12)</s:f>
        <s:v>#REF!</s:v>
      </s:c>
      <s:c r="X25" s="169">
        <s:f>IF(AB25&lt;&gt;"",IF(E25&lt;&gt;"",E25,($I$8-SUM($W24:X$25))*AA25*AB25/SUMPRODUCT($AA25:$AA$48,$Z25:$Z$48)),"")</s:f>
        <s:v>0</s:v>
      </s:c>
      <s:c r="Y25" s="170" t="e">
        <s:f ca="1">IF(AB25&lt;&gt;"",IF(F25&lt;&gt;"",F25,($I$9-SUM($X24:Y$25))*AA25*AB25/SUMPRODUCT($AA25:$AA$55,$Z25:$Z$55)),"")</s:f>
        <s:v>#REF!</s:v>
      </s:c>
      <s:c r="Z25" s="170" t="e">
        <s:f ca="1">IF(AB25&lt;&gt;"",IF($I$12&lt;&gt;"",IF(H25&lt;&gt;"",H25,($I$9/$I$12-SUM($Y24:Z$25))*AA25*AB25/SUMPRODUCT($AA25:$AA$55,$Z25:$Z$55)),""),"")</s:f>
        <s:v>#REF!</s:v>
      </s:c>
      <s:c r="AA25" s="398">
        <s:v>1</s:v>
      </s:c>
      <s:c r="AB25" s="398">
        <s:v>1</s:v>
      </s:c>
      <s:c r="AC25" s="172"/>
      <s:c r="AD25" s="172"/>
      <s:c r="AE25" s="178"/>
      <s:c r="AF25" s="2"/>
      <s:c r="AG25" s="2"/>
      <s:c r="AH25" s="2"/>
      <s:c r="AI25" s="2"/>
      <s:c r="AJ25" s="2"/>
      <s:c r="AK25" s="2"/>
      <s:c r="AL25" s="2"/>
    </s:row>
    <s:row r="26">
      <s:c r="A26" s="159">
        <s:v>2</s:v>
      </s:c>
      <s:c r="B26" s="370">
        <s:v>46025</s:v>
      </s:c>
      <s:c r="C26" s="205" t="s">
        <s:v>58</s:v>
      </s:c>
      <s:c r="D26" s="371">
        <s:v>0</s:v>
      </s:c>
      <s:c r="E26" s="199">
        <s:v>0</s:v>
      </s:c>
      <s:c r="F26" s="198" t="str">
        <s:f>IF(AND(E26&lt;&gt;"",E26&lt;&gt;0),D26/E26,"")</s:f>
        <s:v/>
      </s:c>
      <s:c r="G26" s="199">
        <s:v>0</s:v>
      </s:c>
      <s:c r="H26" s="198" t="str">
        <s:f>IF(AND(G26&lt;&gt;"",G26&lt;&gt;0),D26/G26,"")</s:f>
        <s:v/>
      </s:c>
      <s:c r="I26" s="199">
        <s:v>25</s:v>
      </s:c>
      <s:c r="J26" s="165" t="str">
        <s:f>IF(AND(G26&lt;&gt;"",G26&lt;&gt;0),E26/G26,"")</s:f>
        <s:v/>
      </s:c>
      <s:c r="K26" s="127"/>
      <s:c r="L26" s="127"/>
      <s:c r="M26" s="127"/>
      <s:c r="N26" s="127"/>
      <s:c r="O26" s="127"/>
      <s:c r="P26" s="127"/>
      <s:c r="Q26" s="127"/>
      <s:c r="R26" s="127"/>
      <s:c r="S26" s="167">
        <s:f>IF(AND(I26&lt;&gt;"",I26&lt;&gt;0),G26/I26,"")</s:f>
        <s:v>0</s:v>
      </s:c>
      <s:c r="T26" s="168">
        <s:f ca="1">D26/U26</s:f>
        <s:v>0</s:v>
      </s:c>
      <s:c r="U26" s="169">
        <s:f>$I$8*AA26*AB26/SUMPRODUCT($AB$25:$AB$56,$AA$25:$AA$56)</s:f>
        <s:v>32881.387900355876</s:v>
      </s:c>
      <s:c r="V26" s="170">
        <s:f>$I$9*AA26*AB26/SUMPRODUCT($AB$25:$AB$56,$AA$25:$AA$56)</s:f>
        <s:v>4.9820284697508894</s:v>
      </s:c>
      <s:c r="W26" s="170">
        <s:f ca="1">IF($I$12="","",V26/$I$12)</s:f>
        <s:v>2.9306049822064058</s:v>
      </s:c>
      <s:c r="X26" s="169">
        <s:f>IF(AB26&lt;&gt;"",IF(D26&lt;&gt;"",D26,($I$8-SUM($X$25:X25))*AA26*AB26/SUMPRODUCT($AB26:$AB$56,$AA26:$AA$56)),"")</s:f>
        <s:v>0</s:v>
      </s:c>
      <s:c r="Y26" s="170">
        <s:f>IF(AB26&lt;&gt;"",IF(E26&lt;&gt;"",E26,($I$9-SUM($Y$25:Y25))*AA26*AB26/SUMPRODUCT($AB26:$AB$56,$AA26:$AA$56)),"")</s:f>
        <s:v>0</s:v>
      </s:c>
      <s:c r="Z26" s="170">
        <s:f>IF(AB26&lt;&gt;"",IF($I$12&lt;&gt;"",IF(G26&lt;&gt;"",G26,($I$9/$I$12-SUM($Z$25:Z25))*AA26*AB26/SUMPRODUCT($AB26:$AB$56,$AA26:$AA$56)),""),"")</s:f>
        <s:v>0</s:v>
      </s:c>
      <s:c r="AA26" s="369">
        <s:v>1</s:v>
      </s:c>
      <s:c r="AB26" s="369">
        <s:v>1</s:v>
      </s:c>
      <s:c r="AC26" s="172"/>
      <s:c r="AD26" s="372"/>
      <s:c r="AE26" s="2"/>
      <s:c r="AF26" s="2"/>
      <s:c r="AG26" s="2"/>
      <s:c r="AH26" s="2"/>
      <s:c r="AI26" s="2"/>
      <s:c r="AJ26" s="2"/>
      <s:c r="AK26" s="2"/>
      <s:c r="AL26" s="2"/>
    </s:row>
    <s:row r="27">
      <s:c r="A27" s="173">
        <s:v>3</s:v>
      </s:c>
      <s:c r="B27" s="160">
        <s:v>46026</s:v>
      </s:c>
      <s:c r="C27" s="161" t="s">
        <s:v>59</s:v>
      </s:c>
      <s:c r="D27" s="371">
        <s:v>0</s:v>
      </s:c>
      <s:c r="E27" s="199">
        <s:v>0</s:v>
      </s:c>
      <s:c r="F27" s="164" t="str">
        <s:f>IF(AND(E27&lt;&gt;"",E27&lt;&gt;0),D27/E27,"")</s:f>
        <s:v/>
      </s:c>
      <s:c r="G27" s="199">
        <s:v>0</s:v>
      </s:c>
      <s:c r="H27" s="164" t="str">
        <s:f>IF(AND(G27&lt;&gt;"",G27&lt;&gt;0),D27/G27,"")</s:f>
        <s:v/>
      </s:c>
      <s:c r="I27" s="199">
        <s:v>30</s:v>
      </s:c>
      <s:c r="J27" s="165" t="str">
        <s:f>IF(AND(G27&lt;&gt;"",G27&lt;&gt;0),E27/G27,"")</s:f>
        <s:v/>
      </s:c>
      <s:c r="K27" s="127"/>
      <s:c r="L27" s="127"/>
      <s:c r="M27" s="127"/>
      <s:c r="N27" s="127"/>
      <s:c r="O27" s="127"/>
      <s:c r="P27" s="127"/>
      <s:c r="Q27" s="127"/>
      <s:c r="R27" s="127"/>
      <s:c r="S27" s="167">
        <s:f>IF(AND(I27&lt;&gt;"",I27&lt;&gt;0),G27/I27,"")</s:f>
        <s:v>0</s:v>
      </s:c>
      <s:c r="T27" s="168">
        <s:f ca="1">D27/U27</s:f>
        <s:v>0</s:v>
      </s:c>
      <s:c r="U27" s="169">
        <s:f>$I$8*AA27*AB27/SUMPRODUCT($AB$25:$AB$56,$AA$25:$AA$56)</s:f>
        <s:v>32881.387900355876</s:v>
      </s:c>
      <s:c r="V27" s="170">
        <s:f>$I$9*AA27*AB27/SUMPRODUCT($AB$25:$AB$56,$AA$25:$AA$56)</s:f>
        <s:v>4.9820284697508894</s:v>
      </s:c>
      <s:c r="W27" s="170">
        <s:f ca="1">IF($I$12="","",V27/$I$12)</s:f>
        <s:v>2.9306049822064058</s:v>
      </s:c>
      <s:c r="X27" s="169">
        <s:f>IF(AB27&lt;&gt;"",IF(D27&lt;&gt;"",D27,($I$8-SUM($X$25:X26))*AA27*AB27/SUMPRODUCT($AB27:$AB$56,$AA27:$AA$56)),"")</s:f>
        <s:v>0</s:v>
      </s:c>
      <s:c r="Y27" s="170">
        <s:f>IF(AB27&lt;&gt;"",IF(E27&lt;&gt;"",E27,($I$9-SUM($Y$25:Y26))*AA27*AB27/SUMPRODUCT($AB27:$AB$56,$AA27:$AA$56)),"")</s:f>
        <s:v>0</s:v>
      </s:c>
      <s:c r="Z27" s="170">
        <s:f>IF(AB27&lt;&gt;"",IF($I$12&lt;&gt;"",IF(G27&lt;&gt;"",G27,($I$9/$I$12-SUM($Z$25:Z26))*AA27*AB27/SUMPRODUCT($AB27:$AB$56,$AA27:$AA$56)),""),"")</s:f>
        <s:v>0</s:v>
      </s:c>
      <s:c r="AA27" s="369">
        <s:v>1</s:v>
      </s:c>
      <s:c r="AB27" s="369">
        <s:v>1</s:v>
      </s:c>
      <s:c r="AC27" s="172"/>
      <s:c r="AD27" s="172"/>
      <s:c r="AE27" s="2"/>
      <s:c r="AF27" s="2"/>
      <s:c r="AG27" s="2"/>
      <s:c r="AH27" s="2"/>
      <s:c r="AI27" s="2"/>
      <s:c r="AJ27" s="2"/>
      <s:c r="AK27" s="2"/>
      <s:c r="AL27" s="2"/>
    </s:row>
    <s:row r="28">
      <s:c r="A28" s="159">
        <s:v>4</s:v>
      </s:c>
      <s:c r="B28" s="160">
        <s:v>46027</s:v>
      </s:c>
      <s:c r="C28" s="205" t="s">
        <s:v>61</s:v>
      </s:c>
      <s:c r="D28" s="371">
        <s:f>5890+7093</s:f>
        <s:v>12983</s:v>
      </s:c>
      <s:c r="E28" s="199">
        <s:v>2</s:v>
      </s:c>
      <s:c r="F28" s="198">
        <s:f>IF(AND(E28&lt;&gt;"",E28&lt;&gt;0),D28/E28,"")</s:f>
        <s:v>6491.5</s:v>
      </s:c>
      <s:c r="G28" s="199">
        <s:v>2</s:v>
      </s:c>
      <s:c r="H28" s="198">
        <s:f>IF(AND(G28&lt;&gt;"",G28&lt;&gt;0),D28/G28,"")</s:f>
        <s:v>6491.5</s:v>
      </s:c>
      <s:c r="I28" s="199">
        <s:v>50</s:v>
      </s:c>
      <s:c r="J28" s="165">
        <s:f>IF(AND(G28&lt;&gt;"",G28&lt;&gt;0),E28/G28,"")</s:f>
        <s:v>1</s:v>
      </s:c>
      <s:c r="K28" s="127"/>
      <s:c r="L28" s="127"/>
      <s:c r="M28" s="127">
        <s:v>7093</s:v>
      </s:c>
      <s:c r="N28" s="127"/>
      <s:c r="O28" s="127"/>
      <s:c r="P28" s="127"/>
      <s:c r="Q28" s="127"/>
      <s:c r="R28" s="127"/>
      <s:c r="S28" s="167">
        <s:f>IF(AND(I28&lt;&gt;"",I28&lt;&gt;0),G28/I28,"")</s:f>
        <s:v>0.040000000000000001</s:v>
      </s:c>
      <s:c r="T28" s="168">
        <s:f ca="1">D28/U28</s:f>
        <s:v>0.39484343055542021</s:v>
      </s:c>
      <s:c r="U28" s="169">
        <s:f>$I$8*AA28*AB28/SUMPRODUCT($AB$25:$AB$56,$AA$25:$AA$56)</s:f>
        <s:v>32881.387900355876</s:v>
      </s:c>
      <s:c r="V28" s="170">
        <s:f>$I$9*AA28*AB28/SUMPRODUCT($AB$25:$AB$56,$AA$25:$AA$56)</s:f>
        <s:v>4.9820284697508894</s:v>
      </s:c>
      <s:c r="W28" s="170">
        <s:f ca="1">IF($I$12="","",V28/$I$12)</s:f>
        <s:v>2.9306049822064058</s:v>
      </s:c>
      <s:c r="X28" s="169">
        <s:f>IF(AB28&lt;&gt;"",IF(D28&lt;&gt;"",D28,($I$8-SUM($X$25:X27))*AA28*AB28/SUMPRODUCT($AB28:$AB$56,$AA28:$AA$56)),"")</s:f>
        <s:v>12983</s:v>
      </s:c>
      <s:c r="Y28" s="170">
        <s:f>IF(AB28&lt;&gt;"",IF(E28&lt;&gt;"",E28,($I$9-SUM($Y$25:Y27))*AA28*AB28/SUMPRODUCT($AB28:$AB$56,$AA28:$AA$56)),"")</s:f>
        <s:v>2</s:v>
      </s:c>
      <s:c r="Z28" s="170">
        <s:f>IF(AB28&lt;&gt;"",IF($I$12&lt;&gt;"",IF(G28&lt;&gt;"",G28,($I$9/$I$12-SUM($Z$25:Z27))*AA28*AB28/SUMPRODUCT($AB28:$AB$56,$AA28:$AA$56)),""),"")</s:f>
        <s:v>2</s:v>
      </s:c>
      <s:c r="AA28" s="369">
        <s:v>1</s:v>
      </s:c>
      <s:c r="AB28" s="369">
        <s:v>1</s:v>
      </s:c>
      <s:c r="AC28" s="172"/>
      <s:c r="AD28" s="172"/>
      <s:c r="AE28" s="2"/>
      <s:c r="AF28" s="2"/>
      <s:c r="AG28" s="2"/>
      <s:c r="AH28" s="2"/>
      <s:c r="AI28" s="2"/>
      <s:c r="AJ28" s="2"/>
      <s:c r="AK28" s="2"/>
      <s:c r="AL28" s="2"/>
    </s:row>
    <s:row r="29">
      <s:c r="A29" s="173">
        <s:v>5</s:v>
      </s:c>
      <s:c r="B29" s="160">
        <s:v>46028</s:v>
      </s:c>
      <s:c r="C29" s="161" t="s">
        <s:v>63</s:v>
      </s:c>
      <s:c r="D29" s="371">
        <s:f>5236.98+55522+4293</s:f>
        <s:v>65051.979999999996</s:v>
      </s:c>
      <s:c r="E29" s="199">
        <s:v>12</s:v>
      </s:c>
      <s:c r="F29" s="164">
        <s:f>IF(AND(E29&lt;&gt;"",E29&lt;&gt;0),D29/E29,"")</s:f>
        <s:v>5420.998333333333</s:v>
      </s:c>
      <s:c r="G29" s="199">
        <s:v>3</s:v>
      </s:c>
      <s:c r="H29" s="164">
        <s:f>IF(AND(G29&lt;&gt;"",G29&lt;&gt;0),D29/G29,"")</s:f>
        <s:v>21683.993333333332</s:v>
      </s:c>
      <s:c r="I29" s="199">
        <s:v>37</s:v>
      </s:c>
      <s:c r="J29" s="165">
        <s:f>IF(AND(G29&lt;&gt;"",G29&lt;&gt;0),E29/G29,"")</s:f>
        <s:v>4</s:v>
      </s:c>
      <s:c r="K29" s="127"/>
      <s:c r="L29" s="199"/>
      <s:c r="M29" s="199"/>
      <s:c r="N29" s="199"/>
      <s:c r="O29" s="127"/>
      <s:c r="P29" s="127"/>
      <s:c r="Q29" s="127">
        <s:v>9390</s:v>
      </s:c>
      <s:c r="R29" s="127"/>
      <s:c r="S29" s="167">
        <s:f>IF(AND(I29&lt;&gt;"",I29&lt;&gt;0),G29/I29,"")</s:f>
        <s:v>0.081081081081081086</s:v>
      </s:c>
      <s:c r="T29" s="168">
        <s:f ca="1">D29/U29</s:f>
        <s:v>1.9783830353248544</s:v>
      </s:c>
      <s:c r="U29" s="169">
        <s:f>$I$8*AA29*AB29/SUMPRODUCT($AB$25:$AB$56,$AA$25:$AA$56)</s:f>
        <s:v>32881.387900355876</s:v>
      </s:c>
      <s:c r="V29" s="170">
        <s:f>$I$9*AA29*AB29/SUMPRODUCT($AB$25:$AB$56,$AA$25:$AA$56)</s:f>
        <s:v>4.9820284697508894</s:v>
      </s:c>
      <s:c r="W29" s="170">
        <s:f ca="1">IF($I$12="","",V29/$I$12)</s:f>
        <s:v>2.9306049822064058</s:v>
      </s:c>
      <s:c r="X29" s="169">
        <s:f>IF(AB29&lt;&gt;"",IF(D29&lt;&gt;"",D29,($I$8-SUM($X$25:X28))*AA29*AB29/SUMPRODUCT($AB29:$AB$56,$AA29:$AA$56)),"")</s:f>
        <s:v>65051.979999999996</s:v>
      </s:c>
      <s:c r="Y29" s="170">
        <s:f>IF(AB29&lt;&gt;"",IF(E29&lt;&gt;"",E29,($I$9-SUM($Y$25:Y28))*AA29*AB29/SUMPRODUCT($AB29:$AB$56,$AA29:$AA$56)),"")</s:f>
        <s:v>12</s:v>
      </s:c>
      <s:c r="Z29" s="170">
        <s:f>IF(AB29&lt;&gt;"",IF($I$12&lt;&gt;"",IF(G29&lt;&gt;"",G29,($I$9/$I$12-SUM($Z$25:Z28))*AA29*AB29/SUMPRODUCT($AB29:$AB$56,$AA29:$AA$56)),""),"")</s:f>
        <s:v>3</s:v>
      </s:c>
      <s:c r="AA29" s="369">
        <s:v>1</s:v>
      </s:c>
      <s:c r="AB29" s="369">
        <s:v>1</s:v>
      </s:c>
      <s:c r="AC29" s="172"/>
      <s:c r="AD29" s="172"/>
      <s:c r="AE29" s="2"/>
      <s:c r="AF29" s="2"/>
      <s:c r="AG29" s="2"/>
      <s:c r="AH29" s="2"/>
      <s:c r="AI29" s="2"/>
      <s:c r="AJ29" s="2"/>
      <s:c r="AK29" s="2"/>
      <s:c r="AL29" s="2"/>
    </s:row>
    <s:row r="30">
      <s:c r="A30" s="173">
        <s:v>6</s:v>
      </s:c>
      <s:c r="B30" s="160">
        <s:v>46031</s:v>
      </s:c>
      <s:c r="C30" s="205" t="s">
        <s:v>57</s:v>
      </s:c>
      <s:c r="D30" s="371">
        <s:v>0</s:v>
      </s:c>
      <s:c r="E30" s="373">
        <s:v>0</s:v>
      </s:c>
      <s:c r="F30" s="198" t="str">
        <s:f>IF(AND(E30&lt;&gt;"",E30&lt;&gt;0),D30/E30,"")</s:f>
        <s:v/>
      </s:c>
      <s:c r="G30" s="199">
        <s:v>0</s:v>
      </s:c>
      <s:c r="H30" s="198" t="str">
        <s:f>IF(AND(G30&lt;&gt;"",G30&lt;&gt;0),D30/G30,"")</s:f>
        <s:v/>
      </s:c>
      <s:c r="I30" s="199">
        <s:v>26</s:v>
      </s:c>
      <s:c r="J30" s="165" t="str">
        <s:f>IF(AND(G30&lt;&gt;"",G30&lt;&gt;0),E30/G30,"")</s:f>
        <s:v/>
      </s:c>
      <s:c r="K30" s="127"/>
      <s:c r="L30" s="127"/>
      <s:c r="M30" s="127"/>
      <s:c r="N30" s="127"/>
      <s:c r="O30" s="127"/>
      <s:c r="P30" s="127"/>
      <s:c r="Q30" s="127"/>
      <s:c r="R30" s="127"/>
      <s:c r="S30" s="167">
        <s:f>IF(AND(I30&lt;&gt;"",I30&lt;&gt;0),G30/I30,"")</s:f>
        <s:v>0</s:v>
      </s:c>
      <s:c r="T30" s="168">
        <s:f ca="1">D30/U30</s:f>
        <s:v>0</s:v>
      </s:c>
      <s:c r="U30" s="169">
        <s:f>$I$8*AA30*AB30/SUMPRODUCT($AB$25:$AB$56,$AA$25:$AA$56)</s:f>
        <s:v>32881.387900355876</s:v>
      </s:c>
      <s:c r="V30" s="170">
        <s:f>$I$9*AA30*AB30/SUMPRODUCT($AB$25:$AB$56,$AA$25:$AA$56)</s:f>
        <s:v>4.9820284697508894</s:v>
      </s:c>
      <s:c r="W30" s="170">
        <s:f ca="1">IF($I$12="","",V30/$I$12)</s:f>
        <s:v>2.9306049822064058</s:v>
      </s:c>
      <s:c r="X30" s="169">
        <s:f>IF(AB30&lt;&gt;"",IF(D30&lt;&gt;"",D30,($I$8-SUM($X$25:X29))*AA30*AB30/SUMPRODUCT($AB30:$AB$56,$AA30:$AA$56)),"")</s:f>
        <s:v>0</s:v>
      </s:c>
      <s:c r="Y30" s="170">
        <s:f>IF(AB30&lt;&gt;"",IF(E30&lt;&gt;"",E30,($I$9-SUM($Y$25:Y29))*AA30*AB30/SUMPRODUCT($AB30:$AB$56,$AA30:$AA$56)),"")</s:f>
        <s:v>0</s:v>
      </s:c>
      <s:c r="Z30" s="170">
        <s:f>IF(AB30&lt;&gt;"",IF($I$12&lt;&gt;"",IF(G30&lt;&gt;"",G30,($I$9/$I$12-SUM($Z$25:Z29))*AA30*AB30/SUMPRODUCT($AB30:$AB$56,$AA30:$AA$56)),""),"")</s:f>
        <s:v>0</s:v>
      </s:c>
      <s:c r="AA30" s="369">
        <s:v>1</s:v>
      </s:c>
      <s:c r="AB30" s="369">
        <s:v>1</s:v>
      </s:c>
      <s:c r="AC30" s="172"/>
      <s:c r="AD30" s="172"/>
      <s:c r="AE30" s="178"/>
      <s:c r="AF30" s="2"/>
      <s:c r="AG30" s="2"/>
      <s:c r="AH30" s="2"/>
      <s:c r="AI30" s="2"/>
      <s:c r="AJ30" s="2"/>
      <s:c r="AK30" s="2"/>
      <s:c r="AL30" s="2"/>
    </s:row>
    <s:row r="31">
      <s:c r="A31" s="173">
        <s:v>7</s:v>
      </s:c>
      <s:c r="B31" s="160">
        <s:v>46032</s:v>
      </s:c>
      <s:c r="C31" s="161" t="s">
        <s:v>58</s:v>
      </s:c>
      <s:c r="D31" s="371">
        <s:f>4693+8393</s:f>
        <s:v>13086</s:v>
      </s:c>
      <s:c r="E31" s="199">
        <s:v>2</s:v>
      </s:c>
      <s:c r="F31" s="164">
        <s:f>IF(AND(E31&lt;&gt;"",E31&lt;&gt;0),D31/E31,"")</s:f>
        <s:v>6543</s:v>
      </s:c>
      <s:c r="G31" s="199">
        <s:v>2</s:v>
      </s:c>
      <s:c r="H31" s="164">
        <s:f>IF(AND(G31&lt;&gt;"",G31&lt;&gt;0),D31/G31,"")</s:f>
        <s:v>6543</s:v>
      </s:c>
      <s:c r="I31" s="199">
        <s:v>32</s:v>
      </s:c>
      <s:c r="J31" s="165">
        <s:f>IF(AND(G31&lt;&gt;"",G31&lt;&gt;0),E31/G31,"")</s:f>
        <s:v>1</s:v>
      </s:c>
      <s:c r="K31" s="127"/>
      <s:c r="L31" s="127"/>
      <s:c r="M31" s="127">
        <s:v>8393</s:v>
      </s:c>
      <s:c r="N31" s="127"/>
      <s:c r="O31" s="127"/>
      <s:c r="P31" s="127"/>
      <s:c r="Q31" s="127"/>
      <s:c r="R31" s="127"/>
      <s:c r="S31" s="167">
        <s:f>IF(AND(I31&lt;&gt;"",I31&lt;&gt;0),G31/I31,"")</s:f>
        <s:v>0.0625</s:v>
      </s:c>
      <s:c r="T31" s="168">
        <s:f ca="1">D31/U31</s:f>
        <s:v>0.39797590173675029</s:v>
      </s:c>
      <s:c r="U31" s="169">
        <s:f>$I$8*AA31*AB31/SUMPRODUCT($AB$25:$AB$56,$AA$25:$AA$56)</s:f>
        <s:v>32881.387900355876</s:v>
      </s:c>
      <s:c r="V31" s="170">
        <s:f>$I$9*AA31*AB31/SUMPRODUCT($AB$25:$AB$56,$AA$25:$AA$56)</s:f>
        <s:v>4.9820284697508894</s:v>
      </s:c>
      <s:c r="W31" s="170">
        <s:f ca="1">IF($I$12="","",V31/$I$12)</s:f>
        <s:v>2.9306049822064058</s:v>
      </s:c>
      <s:c r="X31" s="169">
        <s:f>IF(AB31&lt;&gt;"",IF(D31&lt;&gt;"",D31,($I$8-SUM($X$25:X30))*AA31*AB31/SUMPRODUCT($AB31:$AB$56,$AA31:$AA$56)),"")</s:f>
        <s:v>13086</s:v>
      </s:c>
      <s:c r="Y31" s="170">
        <s:f>IF(AB31&lt;&gt;"",IF(E31&lt;&gt;"",E31,($I$9-SUM($Y$25:Y30))*AA31*AB31/SUMPRODUCT($AB31:$AB$56,$AA31:$AA$56)),"")</s:f>
        <s:v>2</s:v>
      </s:c>
      <s:c r="Z31" s="170">
        <s:f>IF(AB31&lt;&gt;"",IF($I$12&lt;&gt;"",IF(G31&lt;&gt;"",G31,($I$9/$I$12-SUM($Z$25:Z30))*AA31*AB31/SUMPRODUCT($AB31:$AB$56,$AA31:$AA$56)),""),"")</s:f>
        <s:v>2</s:v>
      </s:c>
      <s:c r="AA31" s="369">
        <s:v>1</s:v>
      </s:c>
      <s:c r="AB31" s="369">
        <s:v>1</s:v>
      </s:c>
      <s:c r="AC31" s="172"/>
      <s:c r="AD31" s="172"/>
      <s:c r="AE31" s="178"/>
      <s:c r="AF31" s="2"/>
      <s:c r="AG31" s="2"/>
      <s:c r="AH31" s="2"/>
      <s:c r="AI31" s="2"/>
      <s:c r="AJ31" s="2"/>
      <s:c r="AK31" s="2"/>
      <s:c r="AL31" s="2"/>
    </s:row>
    <s:row r="32">
      <s:c r="A32" s="173">
        <s:v>8</s:v>
      </s:c>
      <s:c r="B32" s="160">
        <s:v>46033</s:v>
      </s:c>
      <s:c r="C32" s="205" t="s">
        <s:v>59</s:v>
      </s:c>
      <s:c r="D32" s="165">
        <s:v>0</s:v>
      </s:c>
      <s:c r="E32" s="199">
        <s:v>0</s:v>
      </s:c>
      <s:c r="F32" s="198" t="str">
        <s:f>IF(AND(E32&lt;&gt;"",E32&lt;&gt;0),D32/E32,"")</s:f>
        <s:v/>
      </s:c>
      <s:c r="G32" s="199">
        <s:v>0</s:v>
      </s:c>
      <s:c r="H32" s="198" t="str">
        <s:f>IF(AND(G32&lt;&gt;"",G32&lt;&gt;0),D32/G32,"")</s:f>
        <s:v/>
      </s:c>
      <s:c r="I32" s="374">
        <s:v>15</s:v>
      </s:c>
      <s:c r="J32" s="375" t="str">
        <s:f>IF(AND(G32&lt;&gt;"",G32&lt;&gt;0),E32/G32,"")</s:f>
        <s:v/>
      </s:c>
      <s:c r="K32" s="376"/>
      <s:c r="L32" s="376"/>
      <s:c r="M32" s="376"/>
      <s:c r="N32" s="376"/>
      <s:c r="O32" s="376"/>
      <s:c r="P32" s="376"/>
      <s:c r="Q32" s="376"/>
      <s:c r="R32" s="376"/>
      <s:c r="S32" s="167">
        <s:f>IF(AND(I32&lt;&gt;"",I32&lt;&gt;0),G32/I32,"")</s:f>
        <s:v>0</s:v>
      </s:c>
      <s:c r="T32" s="168">
        <s:f ca="1">D32/U32</s:f>
        <s:v>0</s:v>
      </s:c>
      <s:c r="U32" s="169">
        <s:f>$I$8*AA32*AB32/SUMPRODUCT($AB$25:$AB$56,$AA$25:$AA$56)</s:f>
        <s:v>32881.387900355876</s:v>
      </s:c>
      <s:c r="V32" s="170">
        <s:f>$I$9*AA32*AB32/SUMPRODUCT($AB$25:$AB$56,$AA$25:$AA$56)</s:f>
        <s:v>4.9820284697508894</s:v>
      </s:c>
      <s:c r="W32" s="170">
        <s:f ca="1">IF($I$12="","",V32/$I$12)</s:f>
        <s:v>2.9306049822064058</s:v>
      </s:c>
      <s:c r="X32" s="169">
        <s:f>IF(AB32&lt;&gt;"",IF(D32&lt;&gt;"",D32,($I$8-SUM($X$25:X31))*AA32*AB32/SUMPRODUCT($AB32:$AB$56,$AA32:$AA$56)),"")</s:f>
        <s:v>0</s:v>
      </s:c>
      <s:c r="Y32" s="170">
        <s:f>IF(AB32&lt;&gt;"",IF(E32&lt;&gt;"",E32,($I$9-SUM($Y$25:Y31))*AA32*AB32/SUMPRODUCT($AB32:$AB$56,$AA32:$AA$56)),"")</s:f>
        <s:v>0</s:v>
      </s:c>
      <s:c r="Z32" s="170">
        <s:f>IF(AB32&lt;&gt;"",IF($I$12&lt;&gt;"",IF(G32&lt;&gt;"",G32,($I$9/$I$12-SUM($Z$25:Z31))*AA32*AB32/SUMPRODUCT($AB32:$AB$56,$AA32:$AA$56)),""),"")</s:f>
        <s:v>0</s:v>
      </s:c>
      <s:c r="AA32" s="369">
        <s:v>1</s:v>
      </s:c>
      <s:c r="AB32" s="369">
        <s:v>1</s:v>
      </s:c>
      <s:c r="AC32" s="172"/>
      <s:c r="AD32" s="172"/>
      <s:c r="AE32" s="2"/>
      <s:c r="AF32" s="2"/>
      <s:c r="AG32" s="2"/>
      <s:c r="AH32" s="2"/>
      <s:c r="AI32" s="2"/>
      <s:c r="AJ32" s="2"/>
      <s:c r="AK32" s="2"/>
      <s:c r="AL32" s="2"/>
    </s:row>
    <s:row r="33">
      <s:c r="A33" s="173">
        <s:v>9</s:v>
      </s:c>
      <s:c r="B33" s="160">
        <s:v>46036</s:v>
      </s:c>
      <s:c r="C33" s="161" t="s">
        <s:v>65</s:v>
      </s:c>
      <s:c r="D33" s="377">
        <s:f>6443+20361</s:f>
        <s:v>26804</s:v>
      </s:c>
      <s:c r="E33" s="199">
        <s:v>6</s:v>
      </s:c>
      <s:c r="F33" s="164">
        <s:f>IF(AND(E33&lt;&gt;"",E33&lt;&gt;0),D33/E33,"")</s:f>
        <s:v>4467.333333333333</s:v>
      </s:c>
      <s:c r="G33" s="199">
        <s:v>3</s:v>
      </s:c>
      <s:c r="H33" s="164">
        <s:f>IF(AND(G33&lt;&gt;"",G33&lt;&gt;0),D33/G33,"")</s:f>
        <s:v>8934.6666666666661</s:v>
      </s:c>
      <s:c r="I33" s="164">
        <s:v>30</s:v>
      </s:c>
      <s:c r="J33" s="165">
        <s:f>IF(AND(G33&lt;&gt;"",G33&lt;&gt;0),E33/G33,"")</s:f>
        <s:v>2</s:v>
      </s:c>
      <s:c r="K33" s="164"/>
      <s:c r="L33" s="164">
        <s:v>6443</s:v>
      </s:c>
      <s:c r="M33" s="164"/>
      <s:c r="N33" s="164"/>
      <s:c r="O33" s="164"/>
      <s:c r="P33" s="164"/>
      <s:c r="Q33" s="164"/>
      <s:c r="R33" s="164"/>
      <s:c r="S33" s="167">
        <s:f>IF(AND(I33&lt;&gt;"",I33&lt;&gt;0),G33/I33,"")</s:f>
        <s:v>0.10000000000000001</s:v>
      </s:c>
      <s:c r="T33" s="378">
        <s:f ca="1">D33/U33</s:f>
        <s:v>0.81517240334340935</s:v>
      </s:c>
      <s:c r="U33" s="169">
        <s:f>$I$8*AA33*AB33/SUMPRODUCT($AB$25:$AB$56,$AA$25:$AA$56)</s:f>
        <s:v>32881.387900355876</s:v>
      </s:c>
      <s:c r="V33" s="379">
        <s:f>$I$9*AA33*AB33/SUMPRODUCT($AB$25:$AB$56,$AA$25:$AA$56)</s:f>
        <s:v>4.9820284697508894</s:v>
      </s:c>
      <s:c r="W33" s="170">
        <s:f ca="1">IF($I$12="","",V33/$I$12)</s:f>
        <s:v>2.9306049822064058</s:v>
      </s:c>
      <s:c r="X33" s="169">
        <s:f>IF(AB33&lt;&gt;"",IF(D33&lt;&gt;"",D33,($I$8-SUM($X$25:X32))*AA33*AB33/SUMPRODUCT($AB33:$AB$56,$AA33:$AA$56)),"")</s:f>
        <s:v>26804</s:v>
      </s:c>
      <s:c r="Y33" s="170">
        <s:f>IF(AB33&lt;&gt;"",IF(E33&lt;&gt;"",E33,($I$9-SUM($Y$25:Y32))*AA33*AB33/SUMPRODUCT($AB33:$AB$56,$AA33:$AA$56)),"")</s:f>
        <s:v>6</s:v>
      </s:c>
      <s:c r="Z33" s="379">
        <s:f>IF(AB33&lt;&gt;"",IF($I$12&lt;&gt;"",IF(G33&lt;&gt;"",G33,($I$9/$I$12-SUM($Z$25:Z32))*AA33*AB33/SUMPRODUCT($AB33:$AB$56,$AA33:$AA$56)),""),"")</s:f>
        <s:v>3</s:v>
      </s:c>
      <s:c r="AA33" s="369">
        <s:v>1</s:v>
      </s:c>
      <s:c r="AB33" s="369">
        <s:v>1</s:v>
      </s:c>
      <s:c r="AC33" s="172"/>
      <s:c r="AD33" s="172"/>
      <s:c r="AE33" s="2"/>
      <s:c r="AF33" s="2"/>
      <s:c r="AG33" s="2"/>
      <s:c r="AH33" s="2"/>
      <s:c r="AI33" s="2"/>
      <s:c r="AJ33" s="2"/>
      <s:c r="AK33" s="2"/>
      <s:c r="AL33" s="2"/>
    </s:row>
    <s:row r="34">
      <s:c r="A34" s="159">
        <s:v>10</s:v>
      </s:c>
      <s:c r="B34" s="160">
        <s:v>46037</s:v>
      </s:c>
      <s:c r="C34" s="161" t="s">
        <s:v>55</s:v>
      </s:c>
      <s:c r="D34" s="165">
        <s:v>0</s:v>
      </s:c>
      <s:c r="E34" s="199">
        <s:v>0</s:v>
      </s:c>
      <s:c r="F34" s="374" t="str">
        <s:f>IF(AND(E34&lt;&gt;"",E34&lt;&gt;0),D34/E34,"")</s:f>
        <s:v/>
      </s:c>
      <s:c r="G34" s="199">
        <s:v>0</s:v>
      </s:c>
      <s:c r="H34" s="164" t="str">
        <s:f>IF(AND(G34&lt;&gt;"",G34&lt;&gt;0),D34/G34,"")</s:f>
        <s:v/>
      </s:c>
      <s:c r="I34" s="164">
        <s:v>17</s:v>
      </s:c>
      <s:c r="J34" s="165" t="str">
        <s:f>IF(AND(G34&lt;&gt;"",G34&lt;&gt;0),E34/G34,"")</s:f>
        <s:v/>
      </s:c>
      <s:c r="K34" s="164"/>
      <s:c r="L34" s="164"/>
      <s:c r="M34" s="164"/>
      <s:c r="N34" s="164"/>
      <s:c r="O34" s="164"/>
      <s:c r="P34" s="164"/>
      <s:c r="Q34" s="164"/>
      <s:c r="R34" s="164"/>
      <s:c r="S34" s="380">
        <s:f>IF(AND(I34&lt;&gt;"",I34&lt;&gt;0),G34/I34,"")</s:f>
        <s:v>0</s:v>
      </s:c>
      <s:c r="T34" s="168">
        <s:f ca="1">D34/U34</s:f>
        <s:v>0</s:v>
      </s:c>
      <s:c r="U34" s="381">
        <s:f>$I$8*AA34*AB34/SUMPRODUCT($AB$25:$AB$56,$AA$25:$AA$56)</s:f>
        <s:v>32881.387900355876</s:v>
      </s:c>
      <s:c r="V34" s="170">
        <s:f>$I$9*AA34*AB34/SUMPRODUCT($AB$25:$AB$56,$AA$25:$AA$56)</s:f>
        <s:v>4.9820284697508894</s:v>
      </s:c>
      <s:c r="W34" s="379">
        <s:f ca="1">IF($I$12="","",V34/$I$12)</s:f>
        <s:v>2.9306049822064058</s:v>
      </s:c>
      <s:c r="X34" s="169">
        <s:f>IF(AB34&lt;&gt;"",IF(D34&lt;&gt;"",D34,($I$8-SUM($X$25:X33))*AA34*AB34/SUMPRODUCT($AB34:$AB$56,$AA34:$AA$56)),"")</s:f>
        <s:v>0</s:v>
      </s:c>
      <s:c r="Y34" s="379">
        <s:f>IF(AB34&lt;&gt;"",IF(E34&lt;&gt;"",E34,($I$9-SUM($Y$25:Y33))*AA34*AB34/SUMPRODUCT($AB34:$AB$56,$AA34:$AA$56)),"")</s:f>
        <s:v>0</s:v>
      </s:c>
      <s:c r="Z34" s="170">
        <s:f>IF(AB34&lt;&gt;"",IF($I$12&lt;&gt;"",IF(G34&lt;&gt;"",G34,($I$9/$I$12-SUM($Z$25:Z33))*AA34*AB34/SUMPRODUCT($AB34:$AB$56,$AA34:$AA$56)),""),"")</s:f>
        <s:v>0</s:v>
      </s:c>
      <s:c r="AA34" s="369">
        <s:v>1</s:v>
      </s:c>
      <s:c r="AB34" s="369">
        <s:v>1</s:v>
      </s:c>
      <s:c r="AC34" s="172"/>
      <s:c r="AD34" s="172"/>
      <s:c r="AE34" s="178"/>
      <s:c r="AF34" s="2"/>
      <s:c r="AG34" s="2"/>
      <s:c r="AH34" s="2"/>
      <s:c r="AI34" s="2"/>
      <s:c r="AJ34" s="2"/>
      <s:c r="AK34" s="2"/>
      <s:c r="AL34" s="2"/>
    </s:row>
    <s:row r="35">
      <s:c r="A35" s="159">
        <s:v>11</s:v>
      </s:c>
      <s:c r="B35" s="160">
        <s:v>46040</s:v>
      </s:c>
      <s:c r="C35" s="205" t="s">
        <s:v>59</s:v>
      </s:c>
      <s:c r="D35" s="165">
        <s:v>21509</s:v>
      </s:c>
      <s:c r="E35" s="199">
        <s:v>5</s:v>
      </s:c>
      <s:c r="F35" s="164">
        <s:f>IF(AND(E35&lt;&gt;"",E35&lt;&gt;0),D35/E35,"")</s:f>
        <s:v>4301.8000000000002</s:v>
      </s:c>
      <s:c r="G35" s="199">
        <s:v>3</s:v>
      </s:c>
      <s:c r="H35" s="164">
        <s:f>IF(AND(G35&lt;&gt;"",G35&lt;&gt;0),D35/G35,"")</s:f>
        <s:v>7169.666666666667</s:v>
      </s:c>
      <s:c r="I35" s="164">
        <s:v>24</s:v>
      </s:c>
      <s:c r="J35" s="165">
        <s:f>IF(AND(G35&lt;&gt;"",G35&lt;&gt;0),E35/G35,"")</s:f>
        <s:v>1.6666666666666667</s:v>
      </s:c>
      <s:c r="K35" s="164"/>
      <s:c r="L35" s="164"/>
      <s:c r="M35" s="164"/>
      <s:c r="N35" s="164"/>
      <s:c r="O35" s="164"/>
      <s:c r="P35" s="164"/>
      <s:c r="Q35" s="164"/>
      <s:c r="R35" s="164"/>
      <s:c r="S35" s="167">
        <s:f>IF(AND(I35&lt;&gt;"",I35&lt;&gt;0),G35/I35,"")</s:f>
        <s:v>0.125</s:v>
      </s:c>
      <s:c r="T35" s="378">
        <s:f ca="1">D35/U35</s:f>
        <s:v>0.65413905474979073</s:v>
      </s:c>
      <s:c r="U35" s="169">
        <s:f>$I$8*AA35*AB35/SUMPRODUCT($AB$25:$AB$56,$AA$25:$AA$56)</s:f>
        <s:v>32881.387900355876</s:v>
      </s:c>
      <s:c r="V35" s="379">
        <s:f>$I$9*AA35*AB35/SUMPRODUCT($AB$25:$AB$56,$AA$25:$AA$56)</s:f>
        <s:v>4.9820284697508894</s:v>
      </s:c>
      <s:c r="W35" s="170">
        <s:f ca="1">IF($I$12="","",V35/$I$12)</s:f>
        <s:v>2.9306049822064058</s:v>
      </s:c>
      <s:c r="X35" s="169">
        <s:f>IF(AB35&lt;&gt;"",IF(D35&lt;&gt;"",D35,($I$8-SUM($X$25:X34))*AA35*AB35/SUMPRODUCT($AB35:$AB$56,$AA35:$AA$56)),"")</s:f>
        <s:v>21509</s:v>
      </s:c>
      <s:c r="Y35" s="170">
        <s:f>IF(AB35&lt;&gt;"",IF(E35&lt;&gt;"",E35,($I$9-SUM($Y$25:Y34))*AA35*AB35/SUMPRODUCT($AB35:$AB$56,$AA35:$AA$56)),"")</s:f>
        <s:v>5</s:v>
      </s:c>
      <s:c r="Z35" s="170">
        <s:f>IF(AB35&lt;&gt;"",IF($I$12&lt;&gt;"",IF(G35&lt;&gt;"",G35,($I$9/$I$12-SUM($Z$25:Z34))*AA35*AB35/SUMPRODUCT($AB35:$AB$56,$AA35:$AA$56)),""),"")</s:f>
        <s:v>3</s:v>
      </s:c>
      <s:c r="AA35" s="369">
        <s:v>1</s:v>
      </s:c>
      <s:c r="AB35" s="369">
        <s:v>1</s:v>
      </s:c>
      <s:c r="AC35" s="172"/>
      <s:c r="AD35" s="172"/>
      <s:c r="AE35" s="178"/>
      <s:c r="AF35" s="2"/>
      <s:c r="AG35" s="2"/>
      <s:c r="AH35" s="2"/>
      <s:c r="AI35" s="2"/>
      <s:c r="AJ35" s="2"/>
      <s:c r="AK35" s="2"/>
      <s:c r="AL35" s="2"/>
    </s:row>
    <s:row r="36">
      <s:c r="A36" s="159">
        <s:v>12</s:v>
      </s:c>
      <s:c r="B36" s="160">
        <s:v>46041</s:v>
      </s:c>
      <s:c r="C36" s="161" t="s">
        <s:v>61</s:v>
      </s:c>
      <s:c r="D36" s="377">
        <s:v>24125</s:v>
      </s:c>
      <s:c r="E36" s="199">
        <s:v>4</s:v>
      </s:c>
      <s:c r="F36" s="198">
        <s:f>IF(AND(E36&lt;&gt;"",E36&lt;&gt;0),D36/E36,"")</s:f>
        <s:v>6031.25</s:v>
      </s:c>
      <s:c r="G36" s="199">
        <s:v>2</s:v>
      </s:c>
      <s:c r="H36" s="164">
        <s:f>IF(AND(G36&lt;&gt;"",G36&lt;&gt;0),D36/G36,"")</s:f>
        <s:v>12062.5</s:v>
      </s:c>
      <s:c r="I36" s="164">
        <s:v>17</s:v>
      </s:c>
      <s:c r="J36" s="165">
        <s:f>IF(AND(G36&lt;&gt;"",G36&lt;&gt;0),E36/G36,"")</s:f>
        <s:v>2</s:v>
      </s:c>
      <s:c r="K36" s="164"/>
      <s:c r="L36" s="164"/>
      <s:c r="M36" s="164"/>
      <s:c r="N36" s="164"/>
      <s:c r="O36" s="164"/>
      <s:c r="P36" s="164"/>
      <s:c r="Q36" s="164"/>
      <s:c r="R36" s="164"/>
      <s:c r="S36" s="167">
        <s:f>IF(AND(I36&lt;&gt;"",I36&lt;&gt;0),G36/I36,"")</s:f>
        <s:v>0.11764705882352941</s:v>
      </s:c>
      <s:c r="T36" s="168">
        <s:f ca="1">D36/U36</s:f>
        <s:v>0.7336977402872612</s:v>
      </s:c>
      <s:c r="U36" s="169">
        <s:f>$I$8*AA36*AB36/SUMPRODUCT($AB$25:$AB$56,$AA$25:$AA$56)</s:f>
        <s:v>32881.387900355876</s:v>
      </s:c>
      <s:c r="V36" s="170">
        <s:f>$I$9*AA36*AB36/SUMPRODUCT($AB$25:$AB$56,$AA$25:$AA$56)</s:f>
        <s:v>4.9820284697508894</s:v>
      </s:c>
      <s:c r="W36" s="170">
        <s:f ca="1">IF($I$12="","",V36/$I$12)</s:f>
        <s:v>2.9306049822064058</s:v>
      </s:c>
      <s:c r="X36" s="169">
        <s:f>IF(AB36&lt;&gt;"",IF(D36&lt;&gt;"",D36,($I$8-SUM($X$25:X35))*AA36*AB36/SUMPRODUCT($AB36:$AB$56,$AA36:$AA$56)),"")</s:f>
        <s:v>24125</s:v>
      </s:c>
      <s:c r="Y36" s="170">
        <s:f>IF(AB36&lt;&gt;"",IF(E36&lt;&gt;"",E36,($I$9-SUM($Y$25:Y35))*AA36*AB36/SUMPRODUCT($AB36:$AB$56,$AA36:$AA$56)),"")</s:f>
        <s:v>4</s:v>
      </s:c>
      <s:c r="Z36" s="170">
        <s:f>IF(AB36&lt;&gt;"",IF($I$12&lt;&gt;"",IF(G36&lt;&gt;"",G36,($I$9/$I$12-SUM($Z$25:Z35))*AA36*AB36/SUMPRODUCT($AB36:$AB$56,$AA36:$AA$56)),""),"")</s:f>
        <s:v>2</s:v>
      </s:c>
      <s:c r="AA36" s="369">
        <s:v>1</s:v>
      </s:c>
      <s:c r="AB36" s="369">
        <s:v>1</s:v>
      </s:c>
      <s:c r="AC36" s="172"/>
      <s:c r="AD36" s="172"/>
      <s:c r="AE36" s="178"/>
      <s:c r="AF36" s="2"/>
      <s:c r="AG36" s="2"/>
      <s:c r="AH36" s="2"/>
      <s:c r="AI36" s="2"/>
      <s:c r="AJ36" s="2"/>
      <s:c r="AK36" s="2"/>
      <s:c r="AL36" s="2"/>
    </s:row>
    <s:row r="37">
      <s:c r="A37" s="159">
        <s:v>13</s:v>
      </s:c>
      <s:c r="B37" s="160">
        <s:v>46042</s:v>
      </s:c>
      <s:c r="C37" s="179" t="s">
        <s:v>63</s:v>
      </s:c>
      <s:c r="D37" s="165">
        <s:v>17518</s:v>
      </s:c>
      <s:c r="E37" s="199">
        <s:v>3</s:v>
      </s:c>
      <s:c r="F37" s="164">
        <s:f>IF(AND(E37&lt;&gt;"",E37&lt;&gt;0),D37/E37,"")</s:f>
        <s:v>5839.333333333333</s:v>
      </s:c>
      <s:c r="G37" s="199">
        <s:v>2</s:v>
      </s:c>
      <s:c r="H37" s="164">
        <s:f>IF(AND(G37&lt;&gt;"",G37&lt;&gt;0),D37/G37,"")</s:f>
        <s:v>8759</s:v>
      </s:c>
      <s:c r="I37" s="164">
        <s:v>16</s:v>
      </s:c>
      <s:c r="J37" s="165">
        <s:f>IF(AND(G37&lt;&gt;"",G37&lt;&gt;0),E37/G37,"")</s:f>
        <s:v>1.5</s:v>
      </s:c>
      <s:c r="K37" s="164"/>
      <s:c r="L37" s="164"/>
      <s:c r="M37" s="164"/>
      <s:c r="N37" s="164"/>
      <s:c r="O37" s="164"/>
      <s:c r="P37" s="164"/>
      <s:c r="Q37" s="164"/>
      <s:c r="R37" s="164">
        <s:v>9390</s:v>
      </s:c>
      <s:c r="S37" s="167">
        <s:f>IF(AND(I37&lt;&gt;"",I37&lt;&gt;0),G37/I37,"")</s:f>
        <s:v>0.125</s:v>
      </s:c>
      <s:c r="T37" s="168">
        <s:f ca="1">D37/U37</s:f>
        <s:v>0.53276339955864216</s:v>
      </s:c>
      <s:c r="U37" s="169">
        <s:f>$I$8*AA37*AB37/SUMPRODUCT($AB$25:$AB$56,$AA$25:$AA$56)</s:f>
        <s:v>32881.387900355876</s:v>
      </s:c>
      <s:c r="V37" s="379">
        <s:f>$I$9*AA37*AB37/SUMPRODUCT($AB$25:$AB$56,$AA$25:$AA$56)</s:f>
        <s:v>4.9820284697508894</s:v>
      </s:c>
      <s:c r="W37" s="170">
        <s:f ca="1">IF($I$12="","",V37/$I$12)</s:f>
        <s:v>2.9306049822064058</s:v>
      </s:c>
      <s:c r="X37" s="169">
        <s:f>IF(AB37&lt;&gt;"",IF(D37&lt;&gt;"",D37,($I$8-SUM($X$25:X36))*AA37*AB37/SUMPRODUCT($AB37:$AB$56,$AA37:$AA$56)),"")</s:f>
        <s:v>17518</s:v>
      </s:c>
      <s:c r="Y37" s="170">
        <s:f>IF(AB37&lt;&gt;"",IF(E37&lt;&gt;"",E37,($I$9-SUM($Y$25:Y36))*AA37*AB37/SUMPRODUCT($AB37:$AB$56,$AA37:$AA$56)),"")</s:f>
        <s:v>3</s:v>
      </s:c>
      <s:c r="Z37" s="170">
        <s:f>IF(AB37&lt;&gt;"",IF($I$12&lt;&gt;"",IF(G37&lt;&gt;"",G37,($I$9/$I$12-SUM($Z$25:Z36))*AA37*AB37/SUMPRODUCT($AB37:$AB$56,$AA37:$AA$56)),""),"")</s:f>
        <s:v>2</s:v>
      </s:c>
      <s:c r="AA37" s="369">
        <s:v>1</s:v>
      </s:c>
      <s:c r="AB37" s="369">
        <s:v>1</s:v>
      </s:c>
      <s:c r="AC37" s="172"/>
      <s:c r="AD37" s="172"/>
      <s:c r="AE37" s="178"/>
      <s:c r="AF37" s="2"/>
      <s:c r="AG37" s="2"/>
      <s:c r="AH37" s="2"/>
      <s:c r="AI37" s="2"/>
      <s:c r="AJ37" s="2"/>
      <s:c r="AK37" s="2"/>
      <s:c r="AL37" s="2"/>
    </s:row>
    <s:row r="38">
      <s:c r="A38" s="159">
        <s:v>14</s:v>
      </s:c>
      <s:c r="B38" s="160">
        <s:v>46045</s:v>
      </s:c>
      <s:c r="C38" s="179" t="s">
        <s:v>57</s:v>
      </s:c>
      <s:c r="D38" s="165">
        <s:f>2945+26242</s:f>
        <s:v>29187</s:v>
      </s:c>
      <s:c r="E38" s="199">
        <s:v>2</s:v>
      </s:c>
      <s:c r="F38" s="376">
        <s:f>IF(AND(E38&lt;&gt;"",E38&lt;&gt;0),D38/E38,"")</s:f>
        <s:v>14593.5</s:v>
      </s:c>
      <s:c r="G38" s="199">
        <s:v>3</s:v>
      </s:c>
      <s:c r="H38" s="164">
        <s:f>IF(AND(G38&lt;&gt;"",G38&lt;&gt;0),D38/G38,"")</s:f>
        <s:v>9729</s:v>
      </s:c>
      <s:c r="I38" s="164">
        <s:v>19</s:v>
      </s:c>
      <s:c r="J38" s="165">
        <s:f>IF(AND(G38&lt;&gt;"",G38&lt;&gt;0),E38/G38,"")</s:f>
        <s:v>0.66666666666666663</s:v>
      </s:c>
      <s:c r="K38" s="164"/>
      <s:c r="L38" s="164"/>
      <s:c r="M38" s="164"/>
      <s:c r="N38" s="164"/>
      <s:c r="O38" s="164"/>
      <s:c r="P38" s="164"/>
      <s:c r="Q38" s="164"/>
      <s:c r="R38" s="164">
        <s:v>26242</s:v>
      </s:c>
      <s:c r="S38" s="382">
        <s:f>IF(AND(I38&lt;&gt;"",I38&lt;&gt;0),G38/I38,"")</s:f>
        <s:v>0.15789473684210525</s:v>
      </s:c>
      <s:c r="T38" s="168">
        <s:f ca="1">D38/U38</s:f>
        <s:v>0.88764501329592926</s:v>
      </s:c>
      <s:c r="U38" s="169">
        <s:f>$I$8*AA38*AB38/SUMPRODUCT($AB$25:$AB$46,$AA$25:$AA$46)</s:f>
        <s:v>32881.387900355876</s:v>
      </s:c>
      <s:c r="V38" s="170">
        <s:f>$I$9*AA38*AB38/SUMPRODUCT($AB$25:$AB$46,$AA$25:$AA$46)</s:f>
        <s:v>4.9820284697508894</s:v>
      </s:c>
      <s:c r="W38" s="170">
        <s:f ca="1">IF($I$12="","",V38/$I$12)</s:f>
        <s:v>2.9306049822064058</s:v>
      </s:c>
      <s:c r="X38" s="169">
        <s:f>IF(AB38&lt;&gt;"",IF(D38&lt;&gt;"",D38,($I$8-SUM($X$25:X37))*AA38*AB38/SUMPRODUCT($AB38:$AB$56,$AA38:$AA$56)),"")</s:f>
        <s:v>29187</s:v>
      </s:c>
      <s:c r="Y38" s="170">
        <s:f>IF(AB38&lt;&gt;"",IF(E38&lt;&gt;"",E38,($I$9-SUM($Y$25:Y37))*AA38*AB38/SUMPRODUCT($AB38:$AB$56,$AA38:$AA$56)),"")</s:f>
        <s:v>2</s:v>
      </s:c>
      <s:c r="Z38" s="170">
        <s:f>IF(AB38&lt;&gt;"",IF($I$12&lt;&gt;"",IF(G38&lt;&gt;"",G38,($I$9/$I$12-SUM($Z$25:Z37))*AA38*AB38/SUMPRODUCT($AB38:$AB$56,$AA38:$AA$56)),""),"")</s:f>
        <s:v>3</s:v>
      </s:c>
      <s:c r="AA38" s="369">
        <s:v>1</s:v>
      </s:c>
      <s:c r="AB38" s="369">
        <s:v>1</s:v>
      </s:c>
      <s:c r="AC38" s="383"/>
      <s:c r="AD38" s="383"/>
    </s:row>
    <s:row r="39">
      <s:c r="A39" s="159">
        <s:v>15</s:v>
      </s:c>
      <s:c r="B39" s="160">
        <s:v>46046</s:v>
      </s:c>
      <s:c r="C39" s="161" t="s">
        <s:v>58</s:v>
      </s:c>
      <s:c r="D39" s="165">
        <s:v>42565</s:v>
      </s:c>
      <s:c r="E39" s="384">
        <s:v>7</s:v>
      </s:c>
      <s:c r="F39" s="385">
        <s:f>IF(AND(E39&lt;&gt;"",E39&lt;&gt;0),D39/E39,"")</s:f>
        <s:v>6080.7142857142853</s:v>
      </s:c>
      <s:c r="G39" s="127">
        <s:v>4</s:v>
      </s:c>
      <s:c r="H39" s="164">
        <s:f>IF(AND(G39&lt;&gt;"",G39&lt;&gt;0),D39/G39,"")</s:f>
        <s:v>10641.25</s:v>
      </s:c>
      <s:c r="I39" s="164">
        <s:v>27</s:v>
      </s:c>
      <s:c r="J39" s="165">
        <s:f>IF(AND(G39&lt;&gt;"",G39&lt;&gt;0),E39/G39,"")</s:f>
        <s:v>1.75</s:v>
      </s:c>
      <s:c r="K39" s="164"/>
      <s:c r="L39" s="164"/>
      <s:c r="M39" s="164"/>
      <s:c r="N39" s="164"/>
      <s:c r="O39" s="164"/>
      <s:c r="P39" s="164"/>
      <s:c r="Q39" s="164"/>
      <s:c r="R39" s="164"/>
      <s:c r="S39" s="382">
        <s:f>IF(AND(I39&lt;&gt;"",I39&lt;&gt;0),G39/I39,"")</s:f>
        <s:v>0.14814814814814814</s:v>
      </s:c>
      <s:c r="T39" s="168">
        <s:f ca="1">D39/U39</s:f>
        <s:v>1.2945013187700425</s:v>
      </s:c>
      <s:c r="U39" s="169">
        <s:f>$I$8*AA39*AB39/SUMPRODUCT($AB$25:$AB$46,$AA$25:$AA$46)</s:f>
        <s:v>32881.387900355876</s:v>
      </s:c>
      <s:c r="V39" s="170">
        <s:f>$I$9*AA39*AB39/SUMPRODUCT($AB$25:$AB$46,$AA$25:$AA$46)</s:f>
        <s:v>4.9820284697508894</s:v>
      </s:c>
      <s:c r="W39" s="170">
        <s:f ca="1">IF($I$12="","",V39/$I$12)</s:f>
        <s:v>2.9306049822064058</s:v>
      </s:c>
      <s:c r="X39" s="169">
        <s:f>IF(AB39&lt;&gt;"",IF(D39&lt;&gt;"",D39,($I$8-SUM($X$25:X38))*AA39*AB39/SUMPRODUCT($AB39:$AB$56,$AA39:$AA$56)),"")</s:f>
        <s:v>42565</s:v>
      </s:c>
      <s:c r="Y39" s="170">
        <s:f>IF(AB39&lt;&gt;"",IF(E39&lt;&gt;"",E39,($I$9-SUM($Y$25:Y38))*AA39*AB39/SUMPRODUCT($AB39:$AB$56,$AA39:$AA$56)),"")</s:f>
        <s:v>7</s:v>
      </s:c>
      <s:c r="Z39" s="170">
        <s:f>IF(AB39&lt;&gt;"",IF($I$12&lt;&gt;"",IF(G39&lt;&gt;"",G39,($I$9/$I$12-SUM($Z$25:Z38))*AA39*AB39/SUMPRODUCT($AB39:$AB$56,$AA39:$AA$56)),""),"")</s:f>
        <s:v>4</s:v>
      </s:c>
      <s:c r="AA39" s="369">
        <s:v>1</s:v>
      </s:c>
      <s:c r="AB39" s="369">
        <s:v>1</s:v>
      </s:c>
      <s:c r="AC39" s="383"/>
      <s:c r="AD39" s="383"/>
      <s:c r="AE39" s="386"/>
    </s:row>
    <s:row r="40">
      <s:c r="A40" s="159">
        <s:v>16</s:v>
      </s:c>
      <s:c r="B40" s="160">
        <s:v>46047</s:v>
      </s:c>
      <s:c r="C40" s="179" t="s">
        <s:v>59</s:v>
      </s:c>
      <s:c r="D40" s="165"/>
      <s:c r="E40" s="199"/>
      <s:c r="F40" s="374" t="str">
        <s:f>IF(AND(E40&lt;&gt;"",E40&lt;&gt;0),D40/E40,"")</s:f>
        <s:v/>
      </s:c>
      <s:c r="G40" s="199"/>
      <s:c r="H40" s="164" t="str">
        <s:f>IF(AND(G40&lt;&gt;"",G40&lt;&gt;0),D40/G40,"")</s:f>
        <s:v/>
      </s:c>
      <s:c r="I40" s="164">
        <s:v>25</s:v>
      </s:c>
      <s:c r="J40" s="165" t="str">
        <s:f>IF(AND(G40&lt;&gt;"",G40&lt;&gt;0),E40/G40,"")</s:f>
        <s:v/>
      </s:c>
      <s:c r="K40" s="164"/>
      <s:c r="L40" s="164"/>
      <s:c r="M40" s="164"/>
      <s:c r="N40" s="164"/>
      <s:c r="O40" s="164"/>
      <s:c r="P40" s="164"/>
      <s:c r="Q40" s="164"/>
      <s:c r="R40" s="164"/>
      <s:c r="S40" s="382">
        <s:f>IF(AND(I40&lt;&gt;"",I40&lt;&gt;0),G40/I40,"")</s:f>
        <s:v>0</s:v>
      </s:c>
      <s:c r="T40" s="168">
        <s:f ca="1">D40/U40</s:f>
        <s:v>0</s:v>
      </s:c>
      <s:c r="U40" s="169">
        <s:f>$I$8*AA40*AB40/SUMPRODUCT($AB$25:$AB$46,$AA$25:$AA$46)</s:f>
        <s:v>32881.387900355876</s:v>
      </s:c>
      <s:c r="V40" s="170">
        <s:f>$I$9*AA40*AB40/SUMPRODUCT($AB$25:$AB$46,$AA$25:$AA$46)</s:f>
        <s:v>4.9820284697508894</s:v>
      </s:c>
      <s:c r="W40" s="170">
        <s:f ca="1">IF($I$12="","",V40/$I$12)</s:f>
        <s:v>2.9306049822064058</s:v>
      </s:c>
      <s:c r="X40" s="169">
        <s:f>IF(AB40&lt;&gt;"",IF(D40&lt;&gt;"",D40,($I$8-SUM($X$25:X39))*AA40*AB40/SUMPRODUCT($AB40:$AB$56,$AA40:$AA$56)),"")</s:f>
        <s:v>92979.347526690399</s:v>
      </s:c>
      <s:c r="Y40" s="170" t="e">
        <s:f>IF(AB40&lt;&gt;"",IF(E40&lt;&gt;"",E40,($I$9-SUM($Y$25:Y39))*AA40*AB40/SUMPRODUCT($AB40:$AB$56,$AA40:$AA$56)),"")</s:f>
        <s:v>#REF!</s:v>
      </s:c>
      <s:c r="Z40" s="170" t="e">
        <s:f>IF(AB40&lt;&gt;"",IF($I$12&lt;&gt;"",IF(G40&lt;&gt;"",G40,($I$9/$I$12-SUM($Z$25:Z39))*AA40*AB40/SUMPRODUCT($AB40:$AB$56,$AA40:$AA$56)),""),"")</s:f>
        <s:v>#REF!</s:v>
      </s:c>
      <s:c r="AA40" s="369">
        <s:v>1</s:v>
      </s:c>
      <s:c r="AB40" s="369">
        <s:v>1</s:v>
      </s:c>
      <s:c r="AC40" s="383"/>
      <s:c r="AD40" s="383"/>
      <s:c r="AE40" s="386"/>
    </s:row>
    <s:row r="41">
      <s:c r="A41" s="159">
        <s:v>17</s:v>
      </s:c>
      <s:c r="B41" s="160">
        <s:v>46048</s:v>
      </s:c>
      <s:c r="C41" s="179" t="s">
        <s:v>61</s:v>
      </s:c>
      <s:c r="D41" s="165">
        <s:v>5001</s:v>
      </s:c>
      <s:c r="E41" s="199">
        <s:v>1</s:v>
      </s:c>
      <s:c r="F41" s="164">
        <s:f>IF(AND(E41&lt;&gt;"",E41&lt;&gt;0),D41/E41,"")</s:f>
        <s:v>5001</s:v>
      </s:c>
      <s:c r="G41" s="199">
        <s:v>1</s:v>
      </s:c>
      <s:c r="H41" s="164">
        <s:f>IF(AND(G41&lt;&gt;"",G41&lt;&gt;0),D41/G41,"")</s:f>
        <s:v>5001</s:v>
      </s:c>
      <s:c r="I41" s="164">
        <s:v>11</s:v>
      </s:c>
      <s:c r="J41" s="165">
        <s:f>IF(AND(G41&lt;&gt;"",G41&lt;&gt;0),E41/G41,"")</s:f>
        <s:v>1</s:v>
      </s:c>
      <s:c r="K41" s="164"/>
      <s:c r="L41" s="164"/>
      <s:c r="M41" s="164"/>
      <s:c r="N41" s="164"/>
      <s:c r="O41" s="164"/>
      <s:c r="P41" s="164"/>
      <s:c r="Q41" s="164"/>
      <s:c r="R41" s="164"/>
      <s:c r="S41" s="382">
        <s:f>IF(AND(I41&lt;&gt;"",I41&lt;&gt;0),G41/I41,"")</s:f>
        <s:v>0.090909090909090912</s:v>
      </s:c>
      <s:c r="T41" s="168">
        <s:f ca="1">D41/U41</s:f>
        <s:v>0.15209212017312304</s:v>
      </s:c>
      <s:c r="U41" s="169">
        <s:f>$I$8*AA41*AB41/SUMPRODUCT($AB$25:$AB$46,$AA$25:$AA$46)</s:f>
        <s:v>32881.387900355876</s:v>
      </s:c>
      <s:c r="V41" s="170">
        <s:f>$I$9*AA41*AB41/SUMPRODUCT($AB$25:$AB$46,$AA$25:$AA$46)</s:f>
        <s:v>4.9820284697508894</s:v>
      </s:c>
      <s:c r="W41" s="170">
        <s:f ca="1">IF($I$12="","",V41/$I$12)</s:f>
        <s:v>2.9306049822064058</s:v>
      </s:c>
      <s:c r="X41" s="169">
        <s:f>IF(AB41&lt;&gt;"",IF(D41&lt;&gt;"",D41,($I$8-SUM($X$25:X40))*AA41*AB41/SUMPRODUCT($AB41:$AB$56,$AA41:$AA$56)),"")</s:f>
        <s:v>5001</s:v>
      </s:c>
      <s:c r="Y41" s="170">
        <s:f>IF(AB41&lt;&gt;"",IF(E41&lt;&gt;"",E41,($I$9-SUM($Y$25:Y40))*AA41*AB41/SUMPRODUCT($AB41:$AB$56,$AA41:$AA$56)),"")</s:f>
        <s:v>1</s:v>
      </s:c>
      <s:c r="Z41" s="170">
        <s:f>IF(AB41&lt;&gt;"",IF($I$12&lt;&gt;"",IF(G41&lt;&gt;"",G41,($I$9/$I$12-SUM($Z$25:Z40))*AA41*AB41/SUMPRODUCT($AB41:$AB$56,$AA41:$AA$56)),""),"")</s:f>
        <s:v>1</s:v>
      </s:c>
      <s:c r="AA41" s="369">
        <s:v>1</s:v>
      </s:c>
      <s:c r="AB41" s="369">
        <s:v>1</s:v>
      </s:c>
      <s:c r="AC41" s="383"/>
      <s:c r="AD41" s="383"/>
      <s:c r="AE41" s="386"/>
    </s:row>
    <s:row r="42">
      <s:c r="A42" s="159">
        <s:v>18</s:v>
      </s:c>
      <s:c r="B42" s="160">
        <s:v>46051</s:v>
      </s:c>
      <s:c r="C42" s="179" t="s">
        <s:v>55</s:v>
      </s:c>
      <s:c r="D42" s="165"/>
      <s:c r="E42" s="199"/>
      <s:c r="F42" s="164" t="str">
        <s:f>IF(AND(E42&lt;&gt;"",E42&lt;&gt;0),D42/E42,"")</s:f>
        <s:v/>
      </s:c>
      <s:c r="G42" s="199"/>
      <s:c r="H42" s="164" t="str">
        <s:f>IF(AND(G42&lt;&gt;"",G42&lt;&gt;0),D42/G42,"")</s:f>
        <s:v/>
      </s:c>
      <s:c r="I42" s="199"/>
      <s:c r="J42" s="165" t="str">
        <s:f>IF(AND(G42&lt;&gt;"",G42&lt;&gt;0),E42/G42,"")</s:f>
        <s:v/>
      </s:c>
      <s:c r="K42" s="164"/>
      <s:c r="L42" s="164"/>
      <s:c r="M42" s="164"/>
      <s:c r="N42" s="164"/>
      <s:c r="O42" s="164"/>
      <s:c r="P42" s="164"/>
      <s:c r="Q42" s="164"/>
      <s:c r="R42" s="164"/>
      <s:c r="S42" s="382" t="str">
        <s:f>IF(AND(I42&lt;&gt;"",I42&lt;&gt;0),G42/I42,"")</s:f>
        <s:v/>
      </s:c>
      <s:c r="T42" s="168">
        <s:f ca="1">D42/U42</s:f>
        <s:v>0</s:v>
      </s:c>
      <s:c r="U42" s="169">
        <s:f>$I$8*AA42*AB42/SUMPRODUCT($AB$25:$AB$46,$AA$25:$AA$46)</s:f>
        <s:v>32881.387900355876</s:v>
      </s:c>
      <s:c r="V42" s="170">
        <s:f>$I$9*AA42*AB42/SUMPRODUCT($AB$25:$AB$46,$AA$25:$AA$46)</s:f>
        <s:v>4.9820284697508894</s:v>
      </s:c>
      <s:c r="W42" s="170">
        <s:f ca="1">IF($I$12="","",V42/$I$12)</s:f>
        <s:v>2.9306049822064058</s:v>
      </s:c>
      <s:c r="X42" s="169">
        <s:f>IF(AB42&lt;&gt;"",IF(D42&lt;&gt;"",D42,($I$8-SUM($X$25:X41))*AA42*AB42/SUMPRODUCT($AB42:$AB$56,$AA42:$AA$56)),"")</s:f>
        <s:v>136968.5212900356</s:v>
      </s:c>
      <s:c r="Y42" s="170" t="e">
        <s:f>IF(AB42&lt;&gt;"",IF(E42&lt;&gt;"",E42,($I$9-SUM($Y$25:Y41))*AA42*AB42/SUMPRODUCT($AB42:$AB$56,$AA42:$AA$56)),"")</s:f>
        <s:v>#REF!</s:v>
      </s:c>
      <s:c r="Z42" s="170" t="e">
        <s:f>IF(AB42&lt;&gt;"",IF($I$12&lt;&gt;"",IF(G42&lt;&gt;"",G42,($I$9/$I$12-SUM($Z$25:Z41))*AA42*AB42/SUMPRODUCT($AB42:$AB$56,$AA42:$AA$56)),""),"")</s:f>
        <s:v>#REF!</s:v>
      </s:c>
      <s:c r="AA42" s="369">
        <s:v>1</s:v>
      </s:c>
      <s:c r="AB42" s="369">
        <s:v>1</s:v>
      </s:c>
      <s:c r="AC42" s="383"/>
      <s:c r="AD42" s="383"/>
      <s:c r="AE42" s="386"/>
    </s:row>
    <s:row r="43" ht="15" customHeight="1">
      <s:c r="A43" s="159">
        <s:v>19</s:v>
      </s:c>
      <s:c r="B43" s="160">
        <s:v>46052</s:v>
      </s:c>
      <s:c r="C43" s="179" t="s">
        <s:v>57</s:v>
      </s:c>
      <s:c r="D43" s="387">
        <s:v>5001</s:v>
      </s:c>
      <s:c r="E43" s="388">
        <s:v>1</s:v>
      </s:c>
      <s:c r="F43" s="164">
        <s:f>IF(AND(E43&lt;&gt;"",E43&lt;&gt;0),D43/E43,"")</s:f>
        <s:v>5001</s:v>
      </s:c>
      <s:c r="G43" s="388">
        <s:v>1</s:v>
      </s:c>
      <s:c r="H43" s="164">
        <s:f>IF(AND(G43&lt;&gt;"",G43&lt;&gt;0),D43/G43,"")</s:f>
        <s:v>5001</s:v>
      </s:c>
      <s:c r="I43" s="388"/>
      <s:c r="J43" s="165">
        <s:f>IF(AND(G43&lt;&gt;"",G43&lt;&gt;0),E43/G43,"")</s:f>
        <s:v>1</s:v>
      </s:c>
      <s:c r="K43" s="164"/>
      <s:c r="L43" s="164"/>
      <s:c r="M43" s="164"/>
      <s:c r="N43" s="164"/>
      <s:c r="O43" s="164"/>
      <s:c r="P43" s="164"/>
      <s:c r="Q43" s="164"/>
      <s:c r="R43" s="164"/>
      <s:c r="S43" s="382" t="str">
        <s:f>IF(AND(I43&lt;&gt;"",I43&lt;&gt;0),G43/I43,"")</s:f>
        <s:v/>
      </s:c>
      <s:c r="T43" s="168">
        <s:f ca="1">D43/U43</s:f>
        <s:v>0.15209212017312304</s:v>
      </s:c>
      <s:c r="U43" s="169">
        <s:f>$I$8*AA43*AB43/SUMPRODUCT($AB$25:$AB$46,$AA$25:$AA$46)</s:f>
        <s:v>32881.387900355876</s:v>
      </s:c>
      <s:c r="V43" s="170">
        <s:f>$I$9*AA43*AB43/SUMPRODUCT($AB$25:$AB$46,$AA$25:$AA$46)</s:f>
        <s:v>4.9820284697508894</s:v>
      </s:c>
      <s:c r="W43" s="170">
        <s:f ca="1">IF($I$12="","",V43/$I$12)</s:f>
        <s:v>2.9306049822064058</s:v>
      </s:c>
      <s:c r="X43" s="169">
        <s:f>IF(AB43&lt;&gt;"",IF(D43&lt;&gt;"",D43,($I$8-SUM($X$25:X42))*AA43*AB43/SUMPRODUCT($AB43:$AB$56,$AA43:$AA$56)),"")</s:f>
        <s:v>5001</s:v>
      </s:c>
      <s:c r="Y43" s="170">
        <s:f>IF(AB43&lt;&gt;"",IF(E43&lt;&gt;"",E43,($I$9-SUM($Y$25:Y42))*AA43*AB43/SUMPRODUCT($AB43:$AB$56,$AA43:$AA$56)),"")</s:f>
        <s:v>1</s:v>
      </s:c>
      <s:c r="Z43" s="170">
        <s:f>IF(AB43&lt;&gt;"",IF($I$12&lt;&gt;"",IF(G43&lt;&gt;"",G43,($I$9/$I$12-SUM($Z$25:Z42))*AA43*AB43/SUMPRODUCT($AB43:$AB$56,$AA43:$AA$56)),""),"")</s:f>
        <s:v>1</s:v>
      </s:c>
      <s:c r="AA43" s="369">
        <s:v>1</s:v>
      </s:c>
      <s:c r="AB43" s="369">
        <s:v>1</s:v>
      </s:c>
      <s:c r="AC43" s="383"/>
      <s:c r="AD43" s="383"/>
      <s:c r="AE43" s="386"/>
    </s:row>
    <s:row r="44">
      <s:c r="A44" s="159"/>
      <s:c r="B44" s="160"/>
      <s:c r="C44" s="179"/>
      <s:c r="D44" s="387"/>
      <s:c r="E44" s="388"/>
      <s:c r="F44" s="164" t="str">
        <s:f>IF(AND(E44&lt;&gt;"",E44&lt;&gt;0),D44/E44,"")</s:f>
        <s:v/>
      </s:c>
      <s:c r="G44" s="388"/>
      <s:c r="H44" s="164" t="str">
        <s:f>IF(AND(G44&lt;&gt;"",G44&lt;&gt;0),D44/G44,"")</s:f>
        <s:v/>
      </s:c>
      <s:c r="I44" s="388"/>
      <s:c r="J44" s="165" t="str">
        <s:f>IF(AND(G44&lt;&gt;"",G44&lt;&gt;0),E44/G44,"")</s:f>
        <s:v/>
      </s:c>
      <s:c r="K44" s="164"/>
      <s:c r="L44" s="164"/>
      <s:c r="M44" s="164"/>
      <s:c r="N44" s="164"/>
      <s:c r="O44" s="164"/>
      <s:c r="P44" s="164"/>
      <s:c r="Q44" s="164"/>
      <s:c r="R44" s="164"/>
      <s:c r="S44" s="382" t="str">
        <s:f>IF(AND(I44&lt;&gt;"",I44&lt;&gt;0),G44/I44,"")</s:f>
        <s:v/>
      </s:c>
      <s:c r="T44" s="168" t="e">
        <s:f ca="1">D44/U44</s:f>
        <s:v>#DIV/0!</s:v>
      </s:c>
      <s:c r="U44" s="169">
        <s:f>$I$8*AA44*AB44/SUMPRODUCT($AB$25:$AB$46,$AA$25:$AA$46)</s:f>
        <s:v>0</s:v>
      </s:c>
      <s:c r="V44" s="170">
        <s:f>$I$9*AA44*AB44/SUMPRODUCT($AB$25:$AB$46,$AA$25:$AA$46)</s:f>
        <s:v>0</s:v>
      </s:c>
      <s:c r="W44" s="170">
        <s:f ca="1">IF($I$12="","",V44/$I$12)</s:f>
        <s:v>0</s:v>
      </s:c>
      <s:c r="X44" s="169" t="str">
        <s:f>IF(AB44&lt;&gt;"",IF(D44&lt;&gt;"",D44,($I$8-SUM($X$25:X43))*AA44*AB44/SUMPRODUCT($AB44:$AB$56,$AA44:$AA$56)),"")</s:f>
        <s:v/>
      </s:c>
      <s:c r="Y44" s="170" t="str">
        <s:f>IF(AB44&lt;&gt;"",IF(E44&lt;&gt;"",E44,($I$9-SUM($Y$25:Y43))*AA44*AB44/SUMPRODUCT($AB44:$AB$56,$AA44:$AA$56)),"")</s:f>
        <s:v/>
      </s:c>
      <s:c r="Z44" s="170" t="str">
        <s:f>IF(AB44&lt;&gt;"",IF($I$12&lt;&gt;"",IF(G44&lt;&gt;"",G44,($I$9/$I$12-SUM($Z$25:Z43))*AA44*AB44/SUMPRODUCT($AB44:$AB$56,$AA44:$AA$56)),""),"")</s:f>
        <s:v/>
      </s:c>
      <s:c r="AA44" s="389"/>
      <s:c r="AB44" s="389"/>
      <s:c r="AC44" s="383"/>
      <s:c r="AD44" s="383"/>
      <s:c r="AE44" s="386"/>
    </s:row>
    <s:row r="45">
      <s:c r="A45" s="159"/>
      <s:c r="B45" s="160"/>
      <s:c r="C45" s="179"/>
      <s:c r="D45" s="387"/>
      <s:c r="E45" s="388"/>
      <s:c r="F45" s="164" t="str">
        <s:f>IF(AND(E45&lt;&gt;"",E45&lt;&gt;0),D45/E45,"")</s:f>
        <s:v/>
      </s:c>
      <s:c r="G45" s="388"/>
      <s:c r="H45" s="164" t="str">
        <s:f>IF(AND(G45&lt;&gt;"",G45&lt;&gt;0),D45/G45,"")</s:f>
        <s:v/>
      </s:c>
      <s:c r="I45" s="388"/>
      <s:c r="J45" s="165" t="str">
        <s:f>IF(AND(G45&lt;&gt;"",G45&lt;&gt;0),E45/G45,"")</s:f>
        <s:v/>
      </s:c>
      <s:c r="K45" s="164"/>
      <s:c r="L45" s="164"/>
      <s:c r="M45" s="164"/>
      <s:c r="N45" s="164"/>
      <s:c r="O45" s="164"/>
      <s:c r="P45" s="164"/>
      <s:c r="Q45" s="164"/>
      <s:c r="R45" s="164"/>
      <s:c r="S45" s="382" t="str">
        <s:f>IF(AND(I45&lt;&gt;"",I45&lt;&gt;0),G45/I45,"")</s:f>
        <s:v/>
      </s:c>
      <s:c r="T45" s="168" t="e">
        <s:f ca="1">D45/U45</s:f>
        <s:v>#DIV/0!</s:v>
      </s:c>
      <s:c r="U45" s="169">
        <s:f>$I$8*AA45*AB45/SUMPRODUCT($AB$25:$AB$46,$AA$25:$AA$46)</s:f>
        <s:v>0</s:v>
      </s:c>
      <s:c r="V45" s="170">
        <s:f>$I$9*AA45*AB45/SUMPRODUCT($AB$25:$AB$46,$AA$25:$AA$46)</s:f>
        <s:v>0</s:v>
      </s:c>
      <s:c r="W45" s="170">
        <s:f ca="1">IF($I$12="","",V45/$I$12)</s:f>
        <s:v>0</s:v>
      </s:c>
      <s:c r="X45" s="169" t="str">
        <s:f>IF(AB45&lt;&gt;"",IF(D45&lt;&gt;"",D45,($I$8-SUM($X$25:X44))*AA45*AB45/SUMPRODUCT($AB45:$AB$56,$AA45:$AA$56)),"")</s:f>
        <s:v/>
      </s:c>
      <s:c r="Y45" s="170" t="str">
        <s:f>IF(AB45&lt;&gt;"",IF(E45&lt;&gt;"",E45,($I$9-SUM($Y$25:Y44))*AA45*AB45/SUMPRODUCT($AB45:$AB$56,$AA45:$AA$56)),"")</s:f>
        <s:v/>
      </s:c>
      <s:c r="Z45" s="170" t="str">
        <s:f>IF(AB45&lt;&gt;"",IF($I$12&lt;&gt;"",IF(G45&lt;&gt;"",G45,($I$9/$I$12-SUM($Z$25:Z44))*AA45*AB45/SUMPRODUCT($AB45:$AB$56,$AA45:$AA$56)),""),"")</s:f>
        <s:v/>
      </s:c>
      <s:c r="AA45" s="389"/>
      <s:c r="AB45" s="389"/>
      <s:c r="AC45" s="383"/>
      <s:c r="AD45" s="383"/>
      <s:c r="AE45" s="386"/>
    </s:row>
    <s:row r="46">
      <s:c r="A46" s="159"/>
      <s:c r="B46" s="160"/>
      <s:c r="C46" s="179"/>
      <s:c r="D46" s="371"/>
      <s:c r="E46" s="199"/>
      <s:c r="F46" s="164" t="str">
        <s:f>IF(AND(E46&lt;&gt;"",E46&lt;&gt;0),D46/E46,"")</s:f>
        <s:v/>
      </s:c>
      <s:c r="G46" s="199"/>
      <s:c r="H46" s="164" t="str">
        <s:f>IF(AND(G46&lt;&gt;"",G46&lt;&gt;0),D46/G46,"")</s:f>
        <s:v/>
      </s:c>
      <s:c r="I46" s="199"/>
      <s:c r="J46" s="165" t="str">
        <s:f>IF(AND(G46&lt;&gt;"",G46&lt;&gt;0),E46/G46,"")</s:f>
        <s:v/>
      </s:c>
      <s:c r="K46" s="164"/>
      <s:c r="L46" s="164"/>
      <s:c r="M46" s="164"/>
      <s:c r="N46" s="164"/>
      <s:c r="O46" s="164"/>
      <s:c r="P46" s="164"/>
      <s:c r="Q46" s="164"/>
      <s:c r="R46" s="164"/>
      <s:c r="S46" s="382" t="str">
        <s:f>IF(AND(I46&lt;&gt;"",I46&lt;&gt;0),G46/I46,"")</s:f>
        <s:v/>
      </s:c>
      <s:c r="T46" s="168" t="e">
        <s:f ca="1">D46/U46</s:f>
        <s:v>#DIV/0!</s:v>
      </s:c>
      <s:c r="U46" s="169">
        <s:f>$I$8*AA46*AB46/SUMPRODUCT($AB$25:$AB$46,$AA$25:$AA$46)</s:f>
        <s:v>0</s:v>
      </s:c>
      <s:c r="V46" s="170">
        <s:f>$I$9*AA46*AB46/SUMPRODUCT($AB$25:$AB$46,$AA$25:$AA$46)</s:f>
        <s:v>0</s:v>
      </s:c>
      <s:c r="W46" s="170">
        <s:f ca="1">IF($I$12="","",V46/$I$12)</s:f>
        <s:v>0</s:v>
      </s:c>
      <s:c r="X46" s="169" t="str">
        <s:f>IF(AB46&lt;&gt;"",IF(D46&lt;&gt;"",D46,($I$8-SUM($X$25:X45))*AA46*AB46/SUMPRODUCT($AB46:$AB$56,$AA46:$AA$56)),"")</s:f>
        <s:v/>
      </s:c>
      <s:c r="Y46" s="170" t="str">
        <s:f>IF(AB46&lt;&gt;"",IF(E46&lt;&gt;"",E46,($I$9-SUM($Y$25:Y45))*AA46*AB46/SUMPRODUCT($AB46:$AB$56,$AA46:$AA$56)),"")</s:f>
        <s:v/>
      </s:c>
      <s:c r="Z46" s="170" t="str">
        <s:f>IF(AB46&lt;&gt;"",IF($I$12&lt;&gt;"",IF(G46&lt;&gt;"",G46,($I$9/$I$12-SUM($Z$25:Z45))*AA46*AB46/SUMPRODUCT($AB46:$AB$56,$AA46:$AA$56)),""),"")</s:f>
        <s:v/>
      </s:c>
      <s:c r="AA46" s="389"/>
      <s:c r="AB46" s="389"/>
      <s:c r="AC46" s="383"/>
      <s:c r="AD46" s="390"/>
    </s:row>
    <s:row r="47">
      <s:c r="A47" s="159"/>
      <s:c r="B47" s="160"/>
      <s:c r="C47" s="161"/>
      <s:c r="D47" s="165"/>
      <s:c r="E47" s="164"/>
      <s:c r="F47" s="164" t="str">
        <s:f>IF(AND(E47&lt;&gt;"",E47&lt;&gt;0),D47/E47,"")</s:f>
        <s:v/>
      </s:c>
      <s:c r="G47" s="164"/>
      <s:c r="H47" s="164" t="str">
        <s:f>IF(AND(G47&lt;&gt;"",G47&lt;&gt;0),D47/G47,"")</s:f>
        <s:v/>
      </s:c>
      <s:c r="I47" s="164"/>
      <s:c r="J47" s="165" t="str">
        <s:f>IF(AND(G47&lt;&gt;"",G47&lt;&gt;0),E47/G47,"")</s:f>
        <s:v/>
      </s:c>
      <s:c r="K47" s="164"/>
      <s:c r="L47" s="164"/>
      <s:c r="M47" s="164"/>
      <s:c r="N47" s="164"/>
      <s:c r="O47" s="164"/>
      <s:c r="P47" s="164"/>
      <s:c r="Q47" s="164"/>
      <s:c r="R47" s="164"/>
      <s:c r="S47" s="382" t="str">
        <s:f>IF(AND(I47&lt;&gt;"",I47&lt;&gt;0),G47/I47,"")</s:f>
        <s:v/>
      </s:c>
      <s:c r="T47" s="168" t="e">
        <s:f ca="1">D47/U47</s:f>
        <s:v>#DIV/0!</s:v>
      </s:c>
      <s:c r="U47" s="169">
        <s:f>$I$8*AA47*AB47/SUMPRODUCT($AB$25:$AB$46,$AA$25:$AA$46)</s:f>
        <s:v>0</s:v>
      </s:c>
      <s:c r="V47" s="170">
        <s:f>$I$9*AA47*AB47/SUMPRODUCT($AB$25:$AB$46,$AA$25:$AA$46)</s:f>
        <s:v>0</s:v>
      </s:c>
      <s:c r="W47" s="170">
        <s:f ca="1">IF($I$12="","",V47/$I$12)</s:f>
        <s:v>0</s:v>
      </s:c>
      <s:c r="X47" s="169" t="str">
        <s:f>IF(AB47&lt;&gt;"",IF(D47&lt;&gt;"",D47,($I$8-SUM($X$25:X46))*AA47*AB47/SUMPRODUCT($AB47:$AB$56,$AA47:$AA$56)),"")</s:f>
        <s:v/>
      </s:c>
      <s:c r="Y47" s="170" t="str">
        <s:f>IF(AB47&lt;&gt;"",IF(E47&lt;&gt;"",E47,($I$9-SUM($Y$25:Y46))*AA47*AB47/SUMPRODUCT($AB47:$AB$56,$AA47:$AA$56)),"")</s:f>
        <s:v/>
      </s:c>
      <s:c r="Z47" s="170" t="str">
        <s:f>IF(AB47&lt;&gt;"",IF($I$12&lt;&gt;"",IF(G47&lt;&gt;"",G47,($I$9/$I$12-SUM($Z$25:Z46))*AA47*AB47/SUMPRODUCT($AB47:$AB$56,$AA47:$AA$56)),""),"")</s:f>
        <s:v/>
      </s:c>
      <s:c r="AA47" s="389"/>
      <s:c r="AB47" s="389"/>
      <s:c r="AC47" s="383"/>
      <s:c r="AD47" s="383"/>
    </s:row>
    <s:row r="48">
      <s:c r="A48" s="159"/>
      <s:c r="B48" s="160"/>
      <s:c r="C48" s="161"/>
      <s:c r="D48" s="165"/>
      <s:c r="E48" s="164"/>
      <s:c r="F48" s="164" t="str">
        <s:f>IF(AND(E48&lt;&gt;"",E48&lt;&gt;0),D48/E48,"")</s:f>
        <s:v/>
      </s:c>
      <s:c r="G48" s="164"/>
      <s:c r="H48" s="164" t="str">
        <s:f>IF(AND(G48&lt;&gt;"",G48&lt;&gt;0),D48/G48,"")</s:f>
        <s:v/>
      </s:c>
      <s:c r="I48" s="164"/>
      <s:c r="J48" s="165" t="str">
        <s:f>IF(AND(G48&lt;&gt;"",G48&lt;&gt;0),E48/G48,"")</s:f>
        <s:v/>
      </s:c>
      <s:c r="K48" s="164"/>
      <s:c r="L48" s="164"/>
      <s:c r="M48" s="164"/>
      <s:c r="N48" s="164"/>
      <s:c r="O48" s="164"/>
      <s:c r="P48" s="164"/>
      <s:c r="Q48" s="164"/>
      <s:c r="R48" s="164"/>
      <s:c r="S48" s="382" t="str">
        <s:f>IF(AND(I48&lt;&gt;"",I48&lt;&gt;0),G48/I48,"")</s:f>
        <s:v/>
      </s:c>
      <s:c r="T48" s="378" t="e">
        <s:f ca="1">D48/U48</s:f>
        <s:v>#DIV/0!</s:v>
      </s:c>
      <s:c r="U48" s="169">
        <s:f>$I$8*AA48*AB48/SUMPRODUCT($AB$25:$AB$46,$AA$25:$AA$46)</s:f>
        <s:v>0</s:v>
      </s:c>
      <s:c r="V48" s="170">
        <s:f>$I$9*AA48*AB48/SUMPRODUCT($AB$25:$AB$46,$AA$25:$AA$46)</s:f>
        <s:v>0</s:v>
      </s:c>
      <s:c r="W48" s="170">
        <s:f ca="1">IF($I$12="","",V48/$I$12)</s:f>
        <s:v>0</s:v>
      </s:c>
      <s:c r="X48" s="169" t="str">
        <s:f>IF(AB48&lt;&gt;"",IF(D48&lt;&gt;"",D48,($I$8-SUM($X$25:X47))*AA48*AB48/SUMPRODUCT($AB48:$AB$56,$AA48:$AA$56)),"")</s:f>
        <s:v/>
      </s:c>
      <s:c r="Y48" s="170" t="str">
        <s:f>IF(AB48&lt;&gt;"",IF(E48&lt;&gt;"",E48,($I$9-SUM($Y$25:Y47))*AA48*AB48/SUMPRODUCT($AB48:$AB$56,$AA48:$AA$56)),"")</s:f>
        <s:v/>
      </s:c>
      <s:c r="Z48" s="170" t="str">
        <s:f>IF(AB48&lt;&gt;"",IF($I$12&lt;&gt;"",IF(G48&lt;&gt;"",G48,($I$9/$I$12-SUM($Z$25:Z47))*AA48*AB48/SUMPRODUCT($AB48:$AB$56,$AA48:$AA$56)),""),"")</s:f>
        <s:v/>
      </s:c>
      <s:c r="AA48" s="389"/>
      <s:c r="AB48" s="389"/>
      <s:c r="AC48" s="383"/>
      <s:c r="AD48" s="383"/>
    </s:row>
    <s:row r="49" ht="15" customHeight="1">
      <s:c r="B49" s="391" t="s">
        <s:v>85</s:v>
      </s:c>
      <s:c r="C49" s="392"/>
      <s:c r="D49" s="393">
        <s:f>SUM(D25:D47)</s:f>
        <s:v>262830.97999999998</s:v>
      </s:c>
      <s:c r="E49" s="393">
        <s:f>SUM(E25:E47)</s:f>
        <s:v>45</s:v>
      </s:c>
      <s:c r="F49" s="393">
        <s:f>IF(AND(E49&lt;&gt;"",E49&lt;&gt;0),D49/E49,"")</s:f>
        <s:v>5840.688444444444</s:v>
      </s:c>
      <s:c r="G49" s="393">
        <s:f>SUM(G25:G47)</s:f>
        <s:v>26</s:v>
      </s:c>
      <s:c r="H49" s="393">
        <s:f>IF(AND(G49&lt;&gt;"",G49&lt;&gt;0),D49/G49,"")</s:f>
        <s:v>10108.883846153845</s:v>
      </s:c>
      <s:c r="I49" s="393">
        <s:f>SUM(I25:I47)*0.8</s:f>
        <s:v>340.80000000000001</s:v>
      </s:c>
      <s:c r="J49" s="394">
        <s:f>IF(AND(G49&lt;&gt;"",G49&lt;&gt;0),E49/G49,"")</s:f>
        <s:v>1.7307692307692308</s:v>
      </s:c>
      <s:c r="K49" s="393">
        <s:f>SUM(K25:K48)</s:f>
        <s:v>0</s:v>
      </s:c>
      <s:c r="L49" s="393">
        <s:f>SUM(L25:L48)</s:f>
        <s:v>6443</s:v>
      </s:c>
      <s:c r="M49" s="393">
        <s:f>SUM(M25:M48)</s:f>
        <s:v>15486</s:v>
      </s:c>
      <s:c r="N49" s="393">
        <s:f>SUM(N25:N48)</s:f>
        <s:v>0</s:v>
      </s:c>
      <s:c r="O49" s="393">
        <s:f>SUM(O25:O48)</s:f>
        <s:v>0</s:v>
      </s:c>
      <s:c r="P49" s="393">
        <s:f>SUM(P25:P48)</s:f>
        <s:v>0</s:v>
      </s:c>
      <s:c r="Q49" s="393">
        <s:f>SUM(Q25:Q48)</s:f>
        <s:v>9390</s:v>
      </s:c>
      <s:c r="R49" s="393">
        <s:f>SUM(R25:R48)</s:f>
        <s:v>35632</s:v>
      </s:c>
      <s:c r="S49" s="202">
        <s:f>IF(AND(I49&lt;&gt;"",I49&lt;&gt;0),G49/I49,"")</s:f>
        <s:v>0.076291079812206564</s:v>
      </s:c>
      <s:c r="T49" s="395" t="e">
        <s:f ca="1">D49/U49</s:f>
        <s:v>#REF!</s:v>
      </s:c>
      <s:c r="U49" s="396" t="e">
        <s:f ca="1">SUM(U25:U47)</s:f>
        <s:v>#REF!</s:v>
      </s:c>
      <s:c r="V49" s="396" t="e">
        <s:f ca="1">SUM(V25:V47)</s:f>
        <s:v>#REF!</s:v>
      </s:c>
      <s:c r="W49" s="396" t="e">
        <s:f ca="1">SUM(W25:W47)</s:f>
        <s:v>#REF!</s:v>
      </s:c>
      <s:c r="X49" s="396">
        <s:f ca="1">SUM(X25:X47)</s:f>
        <s:v>492778.84881672601</s:v>
      </s:c>
      <s:c r="Y49" s="396" t="e">
        <s:f ca="1">SUM(Y25:Y47)</s:f>
        <s:v>#REF!</s:v>
      </s:c>
      <s:c r="Z49" s="396" t="e">
        <s:f ca="1">SUM(Z25:Z47)</s:f>
        <s:v>#REF!</s:v>
      </s:c>
      <s:c r="AA49" s="397"/>
      <s:c r="AB49" s="397"/>
    </s:row>
    <s:row r="50">
      <s:c r="B50" s="205"/>
      <s:c r="C50" s="206"/>
      <s:c r="D50" s="207">
        <s:f>SUMIF(D25:D47,"",U25:U47)+D49</s:f>
        <s:v>328593.75580071175</s:v>
      </s:c>
      <s:c r="E50" s="208"/>
      <s:c r="F50" s="206"/>
      <s:c r="G50" s="206"/>
      <s:c r="H50" s="209"/>
      <s:c r="I50" s="210"/>
      <s:c r="J50" s="209"/>
      <s:c r="O50" s="211"/>
      <s:c r="P50" s="208"/>
      <s:c r="Q50" s="208"/>
      <s:c r="R50" s="208"/>
      <s:c r="S50" s="211"/>
      <s:c r="T50" s="211"/>
      <s:c r="U50" s="211"/>
      <s:c r="V50" s="212"/>
    </s:row>
    <s:row r="51">
      <s:c r="D51" s="214"/>
    </s:row>
    <s:row r="53">
      <s:c r="D53" s="214"/>
    </s:row>
    <s:row r="54">
      <s:c r="D54" s="214"/>
    </s:row>
  </s:sheetData>
  <s:mergeCells count="27">
    <s:mergeCell ref="B1:C1"/>
    <s:mergeCell ref="V1:Y4"/>
    <s:mergeCell ref="B2:C2"/>
    <s:mergeCell ref="J2:N2"/>
    <s:mergeCell ref="J3:N4"/>
    <s:mergeCell ref="C4:D4"/>
    <s:mergeCell ref="F6:Q6"/>
    <s:mergeCell ref="F7:H7"/>
    <s:mergeCell ref="P7:Q7"/>
    <s:mergeCell ref="F8:H8"/>
    <s:mergeCell ref="F9:H9"/>
    <s:mergeCell ref="F10:H10"/>
    <s:mergeCell ref="F11:H11"/>
    <s:mergeCell ref="F12:H12"/>
    <s:mergeCell ref="F13:H13"/>
    <s:mergeCell ref="F14:H14"/>
    <s:mergeCell ref="F15:H15"/>
    <s:mergeCell ref="F16:H16"/>
    <s:mergeCell ref="T16:T17"/>
    <s:mergeCell ref="F17:H17"/>
    <s:mergeCell ref="F18:H18"/>
    <s:mergeCell ref="F19:H19"/>
    <s:mergeCell ref="F20:H20"/>
    <s:mergeCell ref="B22:S22"/>
    <s:mergeCell ref="T22:T24"/>
    <s:mergeCell ref="U22:AB22"/>
    <s:mergeCell ref="B49:C49"/>
  </s:mergeCells>
  <s:conditionalFormatting sqref="T37:T48">
    <s:cfRule type="cellIs" dxfId="4" priority="411" operator="between">
      <s:formula>0.9001</s:formula>
      <s:formula>0.9999</s:formula>
    </s:cfRule>
  </s:conditionalFormatting>
  <s:conditionalFormatting sqref="T37:T48">
    <s:cfRule type="cellIs" dxfId="2" priority="410" operator="lessThan">
      <s:formula>0.9</s:formula>
    </s:cfRule>
  </s:conditionalFormatting>
  <s:conditionalFormatting sqref="T37:T48">
    <s:cfRule type="cellIs" dxfId="3" priority="407" operator="between">
      <s:formula>0.85</s:formula>
      <s:formula>1</s:formula>
    </s:cfRule>
  </s:conditionalFormatting>
  <s:conditionalFormatting sqref="S37">
    <s:cfRule type="cellIs" dxfId="4" priority="405" operator="between">
      <s:formula>0.2</s:formula>
      <s:formula>0.25</s:formula>
    </s:cfRule>
  </s:conditionalFormatting>
  <s:conditionalFormatting sqref="T33:T35">
    <s:cfRule type="cellIs" dxfId="4" priority="400" operator="between">
      <s:formula>0.9001</s:formula>
      <s:formula>0.9999</s:formula>
    </s:cfRule>
  </s:conditionalFormatting>
  <s:conditionalFormatting sqref="T33:T35">
    <s:cfRule type="cellIs" dxfId="2" priority="398" operator="lessThan">
      <s:formula>0.9</s:formula>
    </s:cfRule>
  </s:conditionalFormatting>
  <s:conditionalFormatting sqref="T33:T35">
    <s:cfRule type="cellIs" dxfId="3" priority="392" operator="between">
      <s:formula>0.85</s:formula>
      <s:formula>1</s:formula>
    </s:cfRule>
  </s:conditionalFormatting>
  <s:conditionalFormatting sqref="S33:S35">
    <s:cfRule type="cellIs" dxfId="4" priority="388" operator="between">
      <s:formula>0.2</s:formula>
      <s:formula>0.25</s:formula>
    </s:cfRule>
  </s:conditionalFormatting>
  <s:conditionalFormatting sqref="P10:Q10">
    <s:cfRule type="cellIs" dxfId="0" priority="357" operator="lessThan">
      <s:formula>0</s:formula>
    </s:cfRule>
  </s:conditionalFormatting>
  <s:conditionalFormatting sqref="J16">
    <s:cfRule type="cellIs" dxfId="1" priority="356" operator="greaterThan">
      <s:formula>0</s:formula>
    </s:cfRule>
  </s:conditionalFormatting>
  <s:conditionalFormatting sqref="J16">
    <s:cfRule type="cellIs" dxfId="2" priority="355" operator="lessThan">
      <s:formula>0</s:formula>
    </s:cfRule>
  </s:conditionalFormatting>
  <s:conditionalFormatting sqref="T37:T48">
    <s:cfRule type="cellIs" dxfId="0" priority="352" operator="between">
      <s:formula>0.01</s:formula>
      <s:formula>0.99</s:formula>
    </s:cfRule>
  </s:conditionalFormatting>
  <s:conditionalFormatting sqref="T38:T45 T47:T48">
    <s:cfRule type="cellIs" dxfId="3" priority="351" operator="between">
      <s:formula>0.85</s:formula>
      <s:formula>1</s:formula>
    </s:cfRule>
  </s:conditionalFormatting>
  <s:conditionalFormatting sqref="T38:T48">
    <s:cfRule type="cellIs" dxfId="2" priority="349" operator="lessThan">
      <s:formula>0.9</s:formula>
    </s:cfRule>
  </s:conditionalFormatting>
  <s:conditionalFormatting sqref="T38:T48">
    <s:cfRule type="cellIs" dxfId="4" priority="348" operator="between">
      <s:formula>0.9001</s:formula>
      <s:formula>0.9999</s:formula>
    </s:cfRule>
  </s:conditionalFormatting>
  <s:conditionalFormatting sqref="T46">
    <s:cfRule type="cellIs" dxfId="0" priority="347" operator="between">
      <s:formula>0.01</s:formula>
      <s:formula>0.99</s:formula>
    </s:cfRule>
  </s:conditionalFormatting>
  <s:conditionalFormatting sqref="T46">
    <s:cfRule type="cellIs" dxfId="3" priority="346" operator="between">
      <s:formula>0.85</s:formula>
      <s:formula>1</s:formula>
    </s:cfRule>
  </s:conditionalFormatting>
  <s:conditionalFormatting sqref="S37:S48">
    <s:cfRule type="cellIs" dxfId="1" priority="137" operator="greaterThanOrEqual">
      <s:formula>0.25</s:formula>
    </s:cfRule>
  </s:conditionalFormatting>
  <s:conditionalFormatting sqref="S38:S48">
    <s:cfRule type="cellIs" dxfId="4" priority="136" operator="between">
      <s:formula>0.2</s:formula>
      <s:formula>0.25</s:formula>
    </s:cfRule>
  </s:conditionalFormatting>
  <s:conditionalFormatting sqref="T32:T36">
    <s:cfRule type="cellIs" dxfId="0" priority="124" operator="between">
      <s:formula>0.01</s:formula>
      <s:formula>0.99</s:formula>
    </s:cfRule>
  </s:conditionalFormatting>
  <s:conditionalFormatting sqref="T36">
    <s:cfRule type="cellIs" dxfId="3" priority="123" operator="between">
      <s:formula>0.85</s:formula>
      <s:formula>1</s:formula>
    </s:cfRule>
  </s:conditionalFormatting>
  <s:conditionalFormatting sqref="T35:T36">
    <s:cfRule type="cellIs" dxfId="2" priority="120" operator="lessThan">
      <s:formula>0.9</s:formula>
    </s:cfRule>
  </s:conditionalFormatting>
  <s:conditionalFormatting sqref="T35:T36">
    <s:cfRule type="cellIs" dxfId="4" priority="119" operator="between">
      <s:formula>0.9001</s:formula>
      <s:formula>0.9999</s:formula>
    </s:cfRule>
  </s:conditionalFormatting>
  <s:conditionalFormatting sqref="M9:M15">
    <s:cfRule type="cellIs" dxfId="1" priority="30" operator="greaterThan">
      <s:formula>1</s:formula>
    </s:cfRule>
  </s:conditionalFormatting>
  <s:conditionalFormatting sqref="M9:M15">
    <s:cfRule type="cellIs" dxfId="2" priority="29" operator="lessThan">
      <s:formula>1</s:formula>
    </s:cfRule>
  </s:conditionalFormatting>
  <s:conditionalFormatting sqref="K15">
    <s:cfRule type="cellIs" dxfId="1" priority="28" operator="greaterThan">
      <s:formula>1</s:formula>
    </s:cfRule>
  </s:conditionalFormatting>
  <s:conditionalFormatting sqref="K15">
    <s:cfRule type="cellIs" dxfId="2" priority="27" operator="lessThan">
      <s:formula>1</s:formula>
    </s:cfRule>
  </s:conditionalFormatting>
  <s:conditionalFormatting sqref="K10:K12">
    <s:cfRule type="cellIs" dxfId="1" priority="26" operator="greaterThan">
      <s:formula>1</s:formula>
    </s:cfRule>
  </s:conditionalFormatting>
  <s:conditionalFormatting sqref="K10:K12">
    <s:cfRule type="cellIs" dxfId="2" priority="25" operator="lessThan">
      <s:formula>1</s:formula>
    </s:cfRule>
  </s:conditionalFormatting>
  <s:conditionalFormatting sqref="S25:S48">
    <s:cfRule type="cellIs" dxfId="2" priority="13" operator="lessThan">
      <s:formula>0.2</s:formula>
    </s:cfRule>
  </s:conditionalFormatting>
  <s:conditionalFormatting sqref="S25:S36">
    <s:cfRule type="cellIs" dxfId="1" priority="12" operator="greaterThanOrEqual">
      <s:formula>0.25</s:formula>
    </s:cfRule>
  </s:conditionalFormatting>
  <s:conditionalFormatting sqref="S25:S36">
    <s:cfRule type="cellIs" dxfId="4" priority="11" operator="between">
      <s:formula>0.2</s:formula>
      <s:formula>0.25</s:formula>
    </s:cfRule>
  </s:conditionalFormatting>
  <s:conditionalFormatting sqref="T25:T31">
    <s:cfRule type="cellIs" dxfId="0" priority="10" operator="between">
      <s:formula>0.01</s:formula>
      <s:formula>0.99</s:formula>
    </s:cfRule>
  </s:conditionalFormatting>
  <s:conditionalFormatting sqref="T25:T32">
    <s:cfRule type="cellIs" dxfId="3" priority="9" operator="between">
      <s:formula>0.85</s:formula>
      <s:formula>1</s:formula>
    </s:cfRule>
  </s:conditionalFormatting>
  <s:conditionalFormatting sqref="T25:T48">
    <s:cfRule type="cellIs" dxfId="1" priority="8" operator="greaterThan">
      <s:formula>100</s:formula>
    </s:cfRule>
  </s:conditionalFormatting>
  <s:conditionalFormatting sqref="T25:T48">
    <s:cfRule type="cellIs" dxfId="1" priority="7" operator="greaterThan">
      <s:formula>1</s:formula>
    </s:cfRule>
  </s:conditionalFormatting>
  <s:conditionalFormatting sqref="T25:T32">
    <s:cfRule type="cellIs" dxfId="2" priority="6" operator="lessThan">
      <s:formula>0.9</s:formula>
    </s:cfRule>
  </s:conditionalFormatting>
  <s:conditionalFormatting sqref="T25:T32">
    <s:cfRule type="cellIs" dxfId="4" priority="5" operator="between">
      <s:formula>0.9001</s:formula>
      <s:formula>0.9999</s:formula>
    </s:cfRule>
  </s:conditionalFormatting>
  <s:conditionalFormatting sqref="K20">
    <s:cfRule type="cellIs" dxfId="1" priority="2" operator="greaterThan">
      <s:formula>1</s:formula>
    </s:cfRule>
  </s:conditionalFormatting>
  <s:conditionalFormatting sqref="K20">
    <s:cfRule type="cellIs" dxfId="2" priority="1" operator="lessThan">
      <s:formula>1</s:formula>
    </s:cfRule>
  </s:conditionalFormatting>
  <s:conditionalFormatting sqref="J33:J37">
    <s:cfRule type="cellIs" dxfId="2" priority="382" operator="lessThan">
      <s:formula>$I$12</s:formula>
    </s:cfRule>
  </s:conditionalFormatting>
  <s:conditionalFormatting sqref="J37:J48">
    <s:cfRule type="cellIs" dxfId="1" priority="140" operator="greaterThan">
      <s:formula>$I$12</s:formula>
    </s:cfRule>
  </s:conditionalFormatting>
  <s:conditionalFormatting sqref="J38:J48">
    <s:cfRule type="cellIs" dxfId="2" priority="139" operator="lessThan">
      <s:formula>$I$12</s:formula>
    </s:cfRule>
  </s:conditionalFormatting>
  <s:conditionalFormatting sqref="J25:J36">
    <s:cfRule type="cellIs" dxfId="1" priority="4" operator="greaterThan">
      <s:formula>$I$12</s:formula>
    </s:cfRule>
  </s:conditionalFormatting>
  <s:conditionalFormatting sqref="J25:J36">
    <s:cfRule type="cellIs" dxfId="2" priority="3" operator="lessThan">
      <s:formula>$I$12</s:formula>
    </s:cfRule>
  </s:conditionalFormatting>
  <s:dataValidations count="1">
    <s:dataValidation type="decimal" sqref="I8:J13 L10:L11 I14" vyd:viewType="arrow" mc:Ignorable="vyd">
      <s:formula1>0</s:formula1>
      <s:formula2>1000000000000000</s:formula2>
    </s:dataValidation>
  </s:dataValidations>
  <s:printOptions headings="0" gridLines="1"/>
  <s:pageMargins left="0.7" right="0.7" top="0.75" bottom="0.75" header="0.512" footer="0.512"/>
  <s:pageSetup paperSize="9" scale="100" firstPageNumber="0" fitToWidth="1" fitToHeight="0" pageOrder="downThenOver" orientation="landscape" usePrinterDefaults="1" blackAndWhite="0" draft="0" cellComments="none" useFirstPageNumber="0" errors="displayed" horizontalDpi="300" verticalDpi="300" copies="1"/>
  <s:headerFooter/>
  <s:drawing r:id="rId1"/>
  <s:extLst>
    <s:ext uri="{CCE6A557-97BC-4b89-ADB6-D9C93CAAB3DF}">
      <x14:dataValidations disablePrompts="0" count="0"/>
    </s:ext>
  </s:extLst>
</s:worksheet>
</file>

<file path=xl/worksheets/sheet8.xml><?xml version="1.0" encoding="utf-8"?>
<s:worksheet xmlns:r="http://schemas.openxmlformats.org/officeDocument/2006/relationships" xmlns:s="http://schemas.openxmlformats.org/spreadsheetml/2006/main" xmlns:vyd="http://volga.yandex.com/schemas/document/model" xmlns:mc="http://schemas.openxmlformats.org/markup-compatibility/2006" xmlns:x14="http://schemas.microsoft.com/office/spreadsheetml/2009/9/main" xmlns:x14ac="http://schemas.microsoft.com/office/spreadsheetml/2009/9/ac" mc:Ignorable="x14ac">
  <s:sheetPr>
    <s:tabColor rgb="FFDBDBDB"/>
    <s:outlinePr applyStyles="0" summaryBelow="1" summaryRight="1" showOutlineSymbols="1"/>
    <s:pageSetUpPr autoPageBreaks="1" fitToPage="1"/>
  </s:sheetPr>
  <s:sheetViews>
    <s:sheetView showGridLines="0" showZeros="0" tabSelected="0" topLeftCell="A16" zoomScale="111" workbookViewId="0">
      <s:selection activeCell="K12" activeCellId="0" sqref="K12"/>
    </s:sheetView>
  </s:sheetViews>
  <s:sheetFormatPr baseColWidth="10" defaultColWidth="9.164" defaultRowHeight="14.25"/>
  <s:cols>
    <s:col min="1" max="1" width="4" style="1" customWidth="1"/>
    <s:col min="2" max="2" width="10.332" style="1" customWidth="1"/>
    <s:col min="3" max="3" width="10.832" style="1" customWidth="1"/>
    <s:col min="4" max="4" width="10.332" style="1" customWidth="1"/>
    <s:col min="5" max="5" width="10.164" style="1" customWidth="1"/>
    <s:col min="6" max="6" width="11.332" style="1" customWidth="1"/>
    <s:col min="7" max="7" width="9.832" style="1" customWidth="1"/>
    <s:col min="8" max="8" width="9.5" style="1" customWidth="1"/>
    <s:col min="9" max="9" width="11" style="1" customWidth="1"/>
    <s:col min="10" max="10" width="9.664" style="1" customWidth="1"/>
    <s:col min="11" max="14" width="12.664" style="1" customWidth="1"/>
    <s:col min="15" max="15" width="10.164" style="1" customWidth="1"/>
    <s:col min="16" max="18" width="10.832" style="1" customWidth="1"/>
    <s:col min="19" max="19" width="11.664" style="1" customWidth="1"/>
    <s:col min="20" max="20" width="12.832" style="1" customWidth="1"/>
    <s:col min="21" max="21" width="10.332" style="1" customWidth="1"/>
    <s:col min="22" max="23" width="11.332" style="1" customWidth="1"/>
    <s:col min="24" max="24" width="11" style="1" customWidth="1"/>
    <s:col min="25" max="25" width="9.5" style="1" customWidth="1"/>
    <s:col min="26" max="26" width="9.164" style="1"/>
    <s:col min="27" max="28" width="10.5" style="399" customWidth="1"/>
    <s:col min="29" max="38" width="9.164" style="1"/>
    <s:col min="39" max="260" width="9.164" style="2"/>
  </s:cols>
  <s:sheetData>
    <s:row r="1" ht="15.75" customHeight="1">
      <s:c r="B1" s="3">
        <s:f ca="1">TODAY()-1</s:f>
        <s:v>46170</s:v>
      </s:c>
      <s:c r="C1" s="3"/>
      <s:c r="D1" s="4"/>
      <s:c r="E1" s="4"/>
      <s:c r="F1" s="5"/>
      <s:c r="G1" s="5"/>
      <s:c r="H1" s="5"/>
      <s:c r="I1" s="5"/>
      <s:c r="J1" s="6"/>
      <s:c r="K1" s="6"/>
      <s:c r="L1" s="6"/>
      <s:c r="M1" s="6"/>
      <s:c r="N1" s="6"/>
      <s:c r="O1" s="6"/>
      <s:c r="P1" s="6"/>
      <s:c r="Q1" s="6"/>
      <s:c r="R1" s="6"/>
      <s:c r="S1" s="6"/>
      <s:c r="T1" s="6"/>
      <s:c r="U1" s="6"/>
      <s:c r="V1" s="7"/>
      <s:c r="W1" s="7"/>
      <s:c r="X1" s="7"/>
      <s:c r="Y1" s="7"/>
      <s:c r="Z1" s="5"/>
      <s:c r="AA1" s="400"/>
      <s:c r="AB1" s="400"/>
    </s:row>
    <s:row r="2" ht="21.75" customHeight="1">
      <s:c r="B2" s="8" t="s">
        <s:v>0</s:v>
      </s:c>
      <s:c r="C2" s="8"/>
      <s:c r="D2" s="4"/>
      <s:c r="E2" s="4"/>
      <s:c r="F2" s="5"/>
      <s:c r="G2" s="5"/>
      <s:c r="H2" s="5"/>
      <s:c r="I2" s="5"/>
      <s:c r="J2" s="335" t="s">
        <s:v>1</s:v>
      </s:c>
      <s:c r="K2" s="335"/>
      <s:c r="L2" s="335"/>
      <s:c r="M2" s="335"/>
      <s:c r="N2" s="335"/>
      <s:c r="O2" s="9"/>
      <s:c r="P2" s="9"/>
      <s:c r="Q2" s="9"/>
      <s:c r="R2" s="9"/>
      <s:c r="S2" s="9"/>
      <s:c r="T2" s="9"/>
      <s:c r="U2" s="9"/>
      <s:c r="V2" s="7"/>
      <s:c r="W2" s="7"/>
      <s:c r="X2" s="7"/>
      <s:c r="Y2" s="7"/>
      <s:c r="Z2" s="5"/>
      <s:c r="AA2" s="400"/>
      <s:c r="AB2" s="400"/>
    </s:row>
    <s:row r="3" ht="14" customHeight="1">
      <s:c r="B3" s="10" t="s">
        <s:v>2</s:v>
      </s:c>
      <s:c r="C3" s="4"/>
      <s:c r="D3" s="4"/>
      <s:c r="E3" s="4"/>
      <s:c r="F3" s="5"/>
      <s:c r="G3" s="5"/>
      <s:c r="H3" s="5"/>
      <s:c r="I3" s="5"/>
      <s:c r="J3" s="336" t="str">
        <s:f>График!B25</s:f>
        <s:v>Корж Анастасия</s:v>
      </s:c>
      <s:c r="K3" s="337"/>
      <s:c r="L3" s="337"/>
      <s:c r="M3" s="337"/>
      <s:c r="N3" s="338"/>
      <s:c r="O3" s="9"/>
      <s:c r="P3" s="9"/>
      <s:c r="Q3" s="9"/>
      <s:c r="R3" s="9"/>
      <s:c r="S3" s="9"/>
      <s:c r="T3" s="6"/>
      <s:c r="U3" s="14"/>
      <s:c r="V3" s="7"/>
      <s:c r="W3" s="7"/>
      <s:c r="X3" s="7"/>
      <s:c r="Y3" s="7"/>
      <s:c r="Z3" s="5"/>
      <s:c r="AA3" s="400"/>
      <s:c r="AB3" s="400"/>
    </s:row>
    <s:row r="4" ht="15" customHeight="1">
      <s:c r="B4" s="4"/>
      <s:c r="C4" s="339">
        <s:f>I8-D48</s:f>
        <s:v>126439.19928825623</s:v>
      </s:c>
      <s:c r="D4" s="339"/>
      <s:c r="E4" s="340">
        <s:f>IF(I8&lt;&gt;0,C4/I8,0)</s:f>
        <s:v>0.2001969039120742</s:v>
      </s:c>
      <s:c r="F4" s="5"/>
      <s:c r="G4" s="5"/>
      <s:c r="H4" s="5"/>
      <s:c r="I4" s="5"/>
      <s:c r="J4" s="341"/>
      <s:c r="K4" s="342"/>
      <s:c r="L4" s="342"/>
      <s:c r="M4" s="342"/>
      <s:c r="N4" s="343"/>
      <s:c r="O4" s="9"/>
      <s:c r="P4" s="9"/>
      <s:c r="Q4" s="9"/>
      <s:c r="R4" s="9"/>
      <s:c r="S4" s="9"/>
      <s:c r="T4" s="5"/>
      <s:c r="U4" s="5"/>
      <s:c r="V4" s="7"/>
      <s:c r="W4" s="7"/>
      <s:c r="X4" s="7"/>
      <s:c r="Y4" s="7"/>
      <s:c r="Z4" s="5"/>
      <s:c r="AA4" s="400"/>
      <s:c r="AB4" s="400"/>
    </s:row>
    <s:row r="5">
      <s:c r="B5" s="5"/>
      <s:c r="C5" s="5"/>
      <s:c r="D5" s="5"/>
      <s:c r="E5" s="5"/>
      <s:c r="F5" s="5"/>
      <s:c r="G5" s="5"/>
      <s:c r="H5" s="5"/>
      <s:c r="I5" s="5"/>
      <s:c r="J5" s="22"/>
      <s:c r="K5" s="22"/>
      <s:c r="L5" s="22"/>
      <s:c r="M5" s="22"/>
      <s:c r="N5" s="22"/>
      <s:c r="O5" s="22"/>
      <s:c r="P5" s="22"/>
      <s:c r="Q5" s="22"/>
      <s:c r="R5" s="22"/>
      <s:c r="S5" s="22"/>
      <s:c r="T5" s="5"/>
      <s:c r="U5" s="5"/>
      <s:c r="V5" s="5"/>
      <s:c r="W5" s="5"/>
      <s:c r="X5" s="5"/>
      <s:c r="Y5" s="5"/>
      <s:c r="Z5" s="5"/>
      <s:c r="AA5" s="400"/>
      <s:c r="AB5" s="400"/>
    </s:row>
    <s:row r="6" ht="25" customHeight="1">
      <s:c r="B6" s="23"/>
      <s:c r="C6" s="5"/>
      <s:c r="D6" s="5"/>
      <s:c r="E6" s="5"/>
      <s:c r="F6" s="25" t="s">
        <s:v>4</s:v>
      </s:c>
      <s:c r="G6" s="26"/>
      <s:c r="H6" s="26"/>
      <s:c r="I6" s="26"/>
      <s:c r="J6" s="26"/>
      <s:c r="K6" s="26"/>
      <s:c r="L6" s="26"/>
      <s:c r="M6" s="26"/>
      <s:c r="N6" s="26"/>
      <s:c r="O6" s="26"/>
      <s:c r="P6" s="26"/>
      <s:c r="Q6" s="27"/>
      <s:c r="R6" s="22"/>
      <s:c r="S6" s="22"/>
      <s:c r="T6" s="28"/>
      <s:c r="U6" s="5"/>
      <s:c r="V6" s="5"/>
      <s:c r="W6" s="28"/>
      <s:c r="X6" s="28"/>
      <s:c r="Y6" s="5"/>
      <s:c r="Z6" s="5"/>
      <s:c r="AA6" s="400"/>
      <s:c r="AB6" s="400"/>
    </s:row>
    <s:row r="7" ht="55" customHeight="1">
      <s:c r="B7" s="23"/>
      <s:c r="C7" s="5"/>
      <s:c r="D7" s="5"/>
      <s:c r="E7" s="29"/>
      <s:c r="F7" s="30" t="s">
        <s:v>5</s:v>
      </s:c>
      <s:c r="G7" s="30"/>
      <s:c r="H7" s="30"/>
      <s:c r="I7" s="401" t="s">
        <s:v>6</s:v>
      </s:c>
      <s:c r="J7" s="402" t="s">
        <s:v>7</s:v>
      </s:c>
      <s:c r="K7" s="403" t="s">
        <s:v>8</s:v>
      </s:c>
      <s:c r="L7" s="404" t="s">
        <s:v>9</s:v>
      </s:c>
      <s:c r="M7" s="404" t="s">
        <s:v>10</s:v>
      </s:c>
      <s:c r="N7" s="405" t="s">
        <s:v>11</s:v>
      </s:c>
      <s:c r="O7" s="36" t="s">
        <s:v>12</s:v>
      </s:c>
      <s:c r="P7" s="406" t="s">
        <s:v>13</s:v>
      </s:c>
      <s:c r="Q7" s="407"/>
      <s:c r="R7" s="22"/>
      <s:c r="S7" s="22"/>
      <s:c r="T7" s="28"/>
      <s:c r="U7" s="28"/>
      <s:c r="V7" s="5"/>
      <s:c r="W7" s="5"/>
      <s:c r="X7" s="5"/>
      <s:c r="Y7" s="5"/>
      <s:c r="Z7" s="5"/>
      <s:c r="AA7" s="400"/>
      <s:c r="AB7" s="400"/>
    </s:row>
    <s:row r="8" ht="15.75" customHeight="1">
      <s:c r="B8" s="23"/>
      <s:c r="C8" s="5"/>
      <s:c r="D8" s="5"/>
      <s:c r="E8" s="5"/>
      <s:c r="F8" s="295" t="s">
        <s:v>14</s:v>
      </s:c>
      <s:c r="G8" s="295"/>
      <s:c r="H8" s="295"/>
      <s:c r="I8" s="345">
        <s:f>Центрум!I8/График!AJ29*График!AJ25</s:f>
        <s:v>631574.19928825623</s:v>
      </s:c>
      <s:c r="J8" s="41">
        <s:f>D48</s:f>
        <s:v>505135</s:v>
      </s:c>
      <s:c r="K8" s="346">
        <s:f>IF(AND(I8&lt;&gt;"",I8&lt;&gt;0,J8&lt;&gt;""),J8/I8,"")</s:f>
        <s:v>0.79980309608792577</s:v>
      </s:c>
      <s:c r="L8" s="43">
        <s:f>IF(SUMIF($D$25:$D$47,"&gt;=0",$U$25:$U$47)&lt;&gt;0,I8*D48/SUMIF($D$25:$D$47,"&gt;=0",$U$25:$U$47),0)</s:f>
        <s:v>520889.96497377596</s:v>
      </s:c>
      <s:c r="M8" s="347">
        <s:f>L8/I8</s:f>
        <s:v>0.82474864483189092</s:v>
      </s:c>
      <s:c r="N8" s="45">
        <s:f>IF(AND(J8&lt;&gt;0,J8&lt;&gt;"",I8&lt;&gt;0,I8&lt;&gt;""),L8-I8,"")</s:f>
        <s:v>-110684.23431448027</s:v>
      </s:c>
      <s:c r="O8" s="408"/>
      <s:c r="P8" s="47" t="str">
        <s:f>IF(AND(O8&lt;&gt;"",O8&lt;&gt;0,L8&lt;&gt;"",L8&lt;&gt;0),-O8+L8,"")</s:f>
        <s:v/>
      </s:c>
      <s:c r="Q8" s="48" t="str">
        <s:f>IF(AND(P8&lt;&gt;"",P8&lt;&gt;0,O8&lt;&gt;0,O8&lt;&gt;""),P8/O8,"")</s:f>
        <s:v/>
      </s:c>
      <s:c r="R8" s="22"/>
      <s:c r="S8" s="22"/>
      <s:c r="T8" s="28"/>
      <s:c r="U8" s="28"/>
      <s:c r="V8" s="5"/>
      <s:c r="W8" s="5"/>
      <s:c r="X8" s="5"/>
      <s:c r="Y8" s="5"/>
      <s:c r="Z8" s="5"/>
      <s:c r="AA8" s="400"/>
      <s:c r="AB8" s="400"/>
    </s:row>
    <s:row r="9" ht="15.75" customHeight="1">
      <s:c r="B9" s="23"/>
      <s:c r="C9" s="5"/>
      <s:c r="D9" s="5"/>
      <s:c r="E9" s="5"/>
      <s:c r="F9" s="49" t="s">
        <s:v>15</s:v>
      </s:c>
      <s:c r="G9" s="49"/>
      <s:c r="H9" s="49"/>
      <s:c r="I9" s="50">
        <s:f>I8/I11</s:f>
        <s:v>95.693060498220646</s:v>
      </s:c>
      <s:c r="J9" s="51">
        <s:f>E48</s:f>
        <s:v>65</s:v>
      </s:c>
      <s:c r="K9" s="348">
        <s:f>IF(AND(I9&lt;&gt;"",I9&lt;&gt;0,J9&lt;&gt;""),J9/I9,"")</s:f>
        <s:v>0.67925510649968845</s:v>
      </s:c>
      <s:c r="L9" s="79">
        <s:f>IF(SUMIF($E$25:$E$47,"&gt;=0",$V$25:$V$47)&lt;&gt;0,I9*E48/SUMIF($E$25:$E$47,"&gt;=0",$V$25:$V$47),0)</s:f>
        <s:v>69.404614178074723</s:v>
      </s:c>
      <s:c r="M9" s="349">
        <s:f>IF(AND(I9&lt;&gt;"",I9&lt;&gt;0,L9&lt;&gt;"",L9&lt;&gt;0),L9/I9,"")</s:f>
        <s:v>0.72528367069381439</s:v>
      </s:c>
      <s:c r="N9" s="55">
        <s:f>IF(AND(J9&lt;&gt;0,J9&lt;&gt;"",I9&lt;&gt;0,I9&lt;&gt;""),L9-I9,"")</s:f>
        <s:v>-26.288446320145923</s:v>
      </s:c>
      <s:c r="O9" s="56" t="e">
        <s:f>O8/O11</s:f>
        <s:v>#DIV/0!</s:v>
      </s:c>
      <s:c r="P9" s="57" t="e">
        <s:f>IF(AND(O9&lt;&gt;"",O9&lt;&gt;0,L9&lt;&gt;"",L9&lt;&gt;0),-O9+L9,"")</s:f>
        <s:v>#DIV/0!</s:v>
      </s:c>
      <s:c r="Q9" s="58" t="e">
        <s:f>IF(AND(P9&lt;&gt;"",P9&lt;&gt;0,O9&lt;&gt;0,O9&lt;&gt;""),P9/O9,"")</s:f>
        <s:v>#DIV/0!</s:v>
      </s:c>
      <s:c r="R9" s="22"/>
      <s:c r="S9" s="22"/>
      <s:c r="T9" s="28"/>
      <s:c r="U9" s="28"/>
      <s:c r="V9" s="5"/>
      <s:c r="W9" s="5"/>
      <s:c r="X9" s="5"/>
      <s:c r="Y9" s="5"/>
      <s:c r="Z9" s="5"/>
      <s:c r="AA9" s="400"/>
      <s:c r="AB9" s="400"/>
    </s:row>
    <s:row r="10" ht="15.75" customHeight="1">
      <s:c r="B10" s="23"/>
      <s:c r="C10" s="5"/>
      <s:c r="D10" s="5"/>
      <s:c r="E10" s="5"/>
      <s:c r="F10" s="59" t="s">
        <s:v>16</s:v>
      </s:c>
      <s:c r="G10" s="59"/>
      <s:c r="H10" s="59"/>
      <s:c r="I10" s="60">
        <s:f>I11*I12</s:f>
        <s:v>11220</s:v>
      </s:c>
      <s:c r="J10" s="61">
        <s:f>H48</s:f>
        <s:v>18708.703703703704</s:v>
      </s:c>
      <s:c r="K10" s="350">
        <s:f>IF(AND(I10&lt;&gt;"",I10&lt;&gt;0,J10&lt;&gt;""),J10/I10,"")</s:f>
        <s:v>1.6674423978345547</s:v>
      </s:c>
      <s:c r="L10" s="79">
        <s:f>J10</s:f>
        <s:v>18708.703703703704</s:v>
      </s:c>
      <s:c r="M10" s="351">
        <s:f>IF(AND(I10&lt;&gt;"",I10&lt;&gt;0,L10&lt;&gt;"",L10&lt;&gt;0),L10/I10,"")</s:f>
        <s:v>1.6674423978345547</s:v>
      </s:c>
      <s:c r="N10" s="64">
        <s:f>IF(AND(J10&lt;&gt;0,J10&lt;&gt;"",I10&lt;&gt;0,I10&lt;&gt;""),L10-I10,"")</s:f>
        <s:v>7488.7037037037044</s:v>
      </s:c>
      <s:c r="O10" s="65">
        <s:f>O11*O12</s:f>
        <s:v>0</s:v>
      </s:c>
      <s:c r="P10" s="66" t="str">
        <s:f>IF(AND(O10&lt;&gt;"",O10&lt;&gt;0,L10&lt;&gt;"",L10&lt;&gt;0),-O10+L10,"")</s:f>
        <s:v/>
      </s:c>
      <s:c r="Q10" s="67" t="str">
        <s:f>IF(AND(P10&lt;&gt;"",P10&lt;&gt;0,O10&lt;&gt;0,O10&lt;&gt;""),P10/O10,"")</s:f>
        <s:v/>
      </s:c>
      <s:c r="R10" s="22"/>
      <s:c r="S10" s="22"/>
      <s:c r="T10" s="28"/>
      <s:c r="U10" s="28"/>
      <s:c r="V10" s="5"/>
      <s:c r="W10" s="5"/>
      <s:c r="X10" s="5"/>
      <s:c r="Y10" s="5"/>
      <s:c r="Z10" s="5"/>
      <s:c r="AA10" s="400"/>
      <s:c r="AB10" s="400"/>
    </s:row>
    <s:row r="11" ht="15.75" customHeight="1">
      <s:c r="B11" s="23"/>
      <s:c r="C11" s="5"/>
      <s:c r="D11" s="5"/>
      <s:c r="E11" s="5"/>
      <s:c r="F11" s="49" t="s">
        <s:v>17</s:v>
      </s:c>
      <s:c r="G11" s="49"/>
      <s:c r="H11" s="49"/>
      <s:c r="I11" s="68">
        <s:f>Центрум!I11</s:f>
        <s:v>6600</s:v>
      </s:c>
      <s:c r="J11" s="51">
        <s:f>F48</s:f>
        <s:v>7771.3076923076924</s:v>
      </s:c>
      <s:c r="K11" s="348">
        <s:f>IF(AND(I11&lt;&gt;"",I11&lt;&gt;0,J11&lt;&gt;""),J11/I11,"")</s:f>
        <s:v>1.1774708624708625</s:v>
      </s:c>
      <s:c r="L11" s="79">
        <s:f>J11</s:f>
        <s:v>7771.3076923076924</s:v>
      </s:c>
      <s:c r="M11" s="349">
        <s:f>IF(AND(I11&lt;&gt;"",I11&lt;&gt;0,L11&lt;&gt;"",L11&lt;&gt;0),L11/I11,"")</s:f>
        <s:v>1.1774708624708625</s:v>
      </s:c>
      <s:c r="N11" s="55">
        <s:f>IF(AND(J11&lt;&gt;0,J11&lt;&gt;"",I11&lt;&gt;0,I11&lt;&gt;""),L11-I11,"")</s:f>
        <s:v>1171.3076923076924</s:v>
      </s:c>
      <s:c r="O11" s="69"/>
      <s:c r="P11" s="57" t="str">
        <s:f>IF(AND(O11&lt;&gt;"",O11&lt;&gt;0,L11&lt;&gt;"",L11&lt;&gt;0),-O11+L11,"")</s:f>
        <s:v/>
      </s:c>
      <s:c r="Q11" s="58" t="str">
        <s:f>IF(AND(P11&lt;&gt;"",P11&lt;&gt;0,O11&lt;&gt;0,O11&lt;&gt;""),P11/O11,"")</s:f>
        <s:v/>
      </s:c>
      <s:c r="R11" s="22"/>
      <s:c r="S11" s="22"/>
      <s:c r="T11" s="28"/>
      <s:c r="U11" s="5"/>
      <s:c r="V11" s="5"/>
      <s:c r="W11" s="5"/>
      <s:c r="X11" s="5"/>
      <s:c r="Y11" s="5"/>
      <s:c r="Z11" s="5"/>
      <s:c r="AA11" s="400"/>
      <s:c r="AB11" s="400"/>
    </s:row>
    <s:row r="12" ht="15.75" customHeight="1">
      <s:c r="B12" s="23"/>
      <s:c r="C12" s="5"/>
      <s:c r="D12" s="5"/>
      <s:c r="E12" s="5"/>
      <s:c r="F12" s="49" t="s">
        <s:v>18</s:v>
      </s:c>
      <s:c r="G12" s="49"/>
      <s:c r="H12" s="49"/>
      <s:c r="I12" s="70">
        <s:f>'Центрум'!I12</s:f>
        <s:v>1.7</s:v>
      </s:c>
      <s:c r="J12" s="71">
        <s:f>J48</s:f>
        <s:v>2.4074074074074074</s:v>
      </s:c>
      <s:c r="K12" s="348">
        <s:f>IF(AND(I12&lt;&gt;"",I12&lt;&gt;0,J12&lt;&gt;""),J12/I12,"")</s:f>
        <s:v>1.4161220043572986</s:v>
      </s:c>
      <s:c r="L12" s="79">
        <s:f>J12</s:f>
        <s:v>2.4074074074074074</s:v>
      </s:c>
      <s:c r="M12" s="349">
        <s:f>IF(AND(I12&lt;&gt;"",I12&lt;&gt;0,L12&lt;&gt;"",L12&lt;&gt;0),L12/I12,"")</s:f>
        <s:v>1.4161220043572986</s:v>
      </s:c>
      <s:c r="N12" s="73">
        <s:f>IF(AND(J12&lt;&gt;0,J12&lt;&gt;"",I12&lt;&gt;0,I12&lt;&gt;""),L12-I12,"")</s:f>
        <s:v>0.70740740740740748</s:v>
      </s:c>
      <s:c r="O12" s="74"/>
      <s:c r="P12" s="57" t="str">
        <s:f>IF(AND(O12&lt;&gt;"",O12&lt;&gt;0,L12&lt;&gt;"",L12&lt;&gt;0),-O12+L12,"")</s:f>
        <s:v/>
      </s:c>
      <s:c r="Q12" s="58" t="str">
        <s:f>IF(AND(P12&lt;&gt;"",P12&lt;&gt;0,O12&lt;&gt;0,O12&lt;&gt;""),P12/O12,"")</s:f>
        <s:v/>
      </s:c>
      <s:c r="R12" s="22"/>
      <s:c r="S12" s="22"/>
      <s:c r="T12" s="28"/>
      <s:c r="U12" s="5"/>
      <s:c r="V12" s="5"/>
      <s:c r="W12" s="5"/>
      <s:c r="X12" s="5"/>
      <s:c r="Y12" s="5"/>
      <s:c r="Z12" s="5"/>
      <s:c r="AA12" s="400"/>
      <s:c r="AB12" s="400"/>
    </s:row>
    <s:row r="13" ht="15.75" customHeight="1">
      <s:c r="B13" s="23"/>
      <s:c r="C13" s="5"/>
      <s:c r="D13" s="5"/>
      <s:c r="E13" s="5"/>
      <s:c r="F13" s="49" t="s">
        <s:v>19</s:v>
      </s:c>
      <s:c r="G13" s="49"/>
      <s:c r="H13" s="49"/>
      <s:c r="I13" s="50">
        <s:f>IF(I12&lt;&gt;0,I9/I12,"")</s:f>
        <s:v>56.290035587188619</s:v>
      </s:c>
      <s:c r="J13" s="51">
        <s:f>G48</s:f>
        <s:v>27</s:v>
      </s:c>
      <s:c r="K13" s="348">
        <s:f>IF(AND(I13&lt;&gt;"",I13&lt;&gt;0,J13&lt;&gt;""),J13/I13,"")</s:f>
        <s:v>0.47965860597439541</s:v>
      </s:c>
      <s:c r="L13" s="79">
        <s:f>IF(SUMIF($G$25:$G$47,"&gt;=0",$W$25:$W$47)&lt;&gt;0,I13*G48/SUMIF($G$25:$G$47,"&gt;=0",$W$25:$W$47),"")</s:f>
        <s:v>29.023921981718715</s:v>
      </s:c>
      <s:c r="M13" s="349">
        <s:f>IF(AND(I13&lt;&gt;"",I13&lt;&gt;0,L13&lt;&gt;"",L13&lt;&gt;0),L13/I13,"")</s:f>
        <s:v>0.51561385028373374</s:v>
      </s:c>
      <s:c r="N13" s="73">
        <s:f>IF(AND(J13&lt;&gt;0,J13&lt;&gt;"",I13&lt;&gt;0,I13&lt;&gt;""),L13-I13,"")</s:f>
        <s:v>-27.266113605469904</s:v>
      </s:c>
      <s:c r="O13" s="75"/>
      <s:c r="P13" s="57" t="str">
        <s:f>IF(AND(O13&lt;&gt;"",O13&lt;&gt;0,L13&lt;&gt;"",L13&lt;&gt;0),-O13+L13,"")</s:f>
        <s:v/>
      </s:c>
      <s:c r="Q13" s="58" t="str">
        <s:f>IF(AND(P13&lt;&gt;"",P13&lt;&gt;0,O13&lt;&gt;0,O13&lt;&gt;""),P13/O13,"")</s:f>
        <s:v/>
      </s:c>
      <s:c r="R13" s="22"/>
      <s:c r="S13" s="22"/>
      <s:c r="T13" s="28"/>
      <s:c r="U13" s="5"/>
      <s:c r="V13" s="5"/>
      <s:c r="W13" s="5"/>
      <s:c r="X13" s="5"/>
      <s:c r="Y13" s="5"/>
      <s:c r="Z13" s="5"/>
      <s:c r="AA13" s="400"/>
      <s:c r="AB13" s="400"/>
    </s:row>
    <s:row r="14" ht="15.75" customHeight="1">
      <s:c r="B14" s="23"/>
      <s:c r="C14" s="5"/>
      <s:c r="D14" s="5"/>
      <s:c r="E14" s="5"/>
      <s:c r="F14" s="49" t="s">
        <s:v>98</s:v>
      </s:c>
      <s:c r="G14" s="49"/>
      <s:c r="H14" s="49"/>
      <s:c r="I14" s="68">
        <s:f>График!AI25</s:f>
        <s:v>18</s:v>
      </s:c>
      <s:c r="J14" s="76">
        <s:v>19</s:v>
      </s:c>
      <s:c r="K14" s="348">
        <s:f>IF(AND(I14&lt;&gt;"",I14&lt;&gt;0,J14&lt;&gt;""),J14/I14,"")</s:f>
        <s:v>1.0555555555555556</s:v>
      </s:c>
      <s:c r="L14" s="79">
        <s:f>IF(SUMIF($D$25:$D$47,"&gt;=0",$U$25:$U$47),I48*I8/SUMIF($D$25:$D$47,"&gt;=0",$U$25:$U$47),"")</s:f>
        <s:v>320.90620744917521</s:v>
      </s:c>
      <s:c r="M14" s="349"/>
      <s:c r="N14" s="55">
        <s:f>IF(AND(J14&lt;&gt;0,J14&lt;&gt;"",I14&lt;&gt;0,I14&lt;&gt;""),L14-I14,"")</s:f>
        <s:v>302.90620744917521</s:v>
      </s:c>
      <s:c r="O14" s="75"/>
      <s:c r="P14" s="57" t="str">
        <s:f>IF(AND(O14&lt;&gt;"",O14&lt;&gt;0,L14&lt;&gt;"",L14&lt;&gt;0),-O14+L14,"")</s:f>
        <s:v/>
      </s:c>
      <s:c r="Q14" s="58" t="str">
        <s:f>IF(AND(P14&lt;&gt;"",P14&lt;&gt;0,O14&lt;&gt;0,O14&lt;&gt;""),P14/O14,"")</s:f>
        <s:v/>
      </s:c>
      <s:c r="R14" s="22"/>
      <s:c r="S14" s="22"/>
      <s:c r="T14" s="28"/>
      <s:c r="U14" s="77"/>
      <s:c r="V14" s="5"/>
      <s:c r="W14" s="5"/>
      <s:c r="X14" s="5"/>
      <s:c r="Y14" s="5"/>
      <s:c r="Z14" s="5"/>
      <s:c r="AA14" s="400"/>
      <s:c r="AB14" s="400"/>
    </s:row>
    <s:row r="15" ht="15.75" customHeight="1">
      <s:c r="B15" s="23"/>
      <s:c r="C15" s="5"/>
      <s:c r="D15" s="5"/>
      <s:c r="E15" s="5"/>
      <s:c r="F15" s="49" t="s">
        <s:v>21</s:v>
      </s:c>
      <s:c r="G15" s="49"/>
      <s:c r="H15" s="49"/>
      <s:c r="I15" s="352">
        <s:f>Центрум!I15/2</s:f>
        <s:v>30945.483870967742</s:v>
      </s:c>
      <s:c r="J15" s="85">
        <s:f>J8/J14</s:f>
        <s:v>26586.052631578947</s:v>
      </s:c>
      <s:c r="K15" s="353">
        <s:f>IF(AND(I15&lt;&gt;"",I15&lt;&gt;0,J15&lt;&gt;""),J15/I15,"")</s:f>
        <s:v>0.85912544597569851</s:v>
      </s:c>
      <s:c r="L15" s="86">
        <s:f>J15</s:f>
        <s:v>26586.052631578947</s:v>
      </s:c>
      <s:c r="M15" s="349">
        <s:f>IF(AND(I15&lt;&gt;"",I15&lt;&gt;0,L15&lt;&gt;"",L15&lt;&gt;0),L15/I15,"")</s:f>
        <s:v>0.85912544597569851</s:v>
      </s:c>
      <s:c r="N15" s="55">
        <s:f>IF(AND(J15&lt;&gt;0,J15&lt;&gt;"",I15&lt;&gt;0,I15&lt;&gt;""),L15-I15,"")</s:f>
        <s:v>-4359.4312393887958</s:v>
      </s:c>
      <s:c r="O15" s="88"/>
      <s:c r="P15" s="57" t="str">
        <s:f>IF(AND(O15&lt;&gt;"",O15&lt;&gt;0,L15&lt;&gt;"",L15&lt;&gt;0),-O15+L15,"")</s:f>
        <s:v/>
      </s:c>
      <s:c r="Q15" s="58" t="str">
        <s:f>IF(AND(P15&lt;&gt;"",P15&lt;&gt;0,O15&lt;&gt;0,O15&lt;&gt;""),P15/O15,"")</s:f>
        <s:v/>
      </s:c>
      <s:c r="R15" s="22"/>
      <s:c r="S15" s="22"/>
      <s:c r="T15" s="28"/>
      <s:c r="U15" s="28"/>
      <s:c r="V15" s="5"/>
      <s:c r="W15" s="5"/>
      <s:c r="X15" s="5"/>
      <s:c r="Y15" s="5"/>
      <s:c r="Z15" s="5"/>
      <s:c r="AA15" s="400"/>
      <s:c r="AB15" s="400"/>
    </s:row>
    <s:row r="16" ht="15.75" customHeight="1">
      <s:c r="B16" s="23"/>
      <s:c r="C16" s="5"/>
      <s:c r="D16" s="5"/>
      <s:c r="E16" s="5"/>
      <s:c r="F16" s="49" t="s">
        <s:v>22</s:v>
      </s:c>
      <s:c r="G16" s="49"/>
      <s:c r="H16" s="49"/>
      <s:c r="I16" s="352"/>
      <s:c r="J16" s="85">
        <s:f>J8-I15*J14</s:f>
        <s:v>-82829.193548387149</s:v>
      </s:c>
      <s:c r="K16" s="353" t="str">
        <s:f>IF(AND(I16&lt;&gt;"",I16&lt;&gt;0,J16&lt;&gt;""),J16/I16,"")</s:f>
        <s:v/>
      </s:c>
      <s:c r="L16" s="86">
        <s:f>J16</s:f>
        <s:v>-82829.193548387149</s:v>
      </s:c>
      <s:c r="M16" s="354" t="str">
        <s:f>IF(AND(I16&lt;&gt;"",I16&lt;&gt;0,L16&lt;&gt;"",L16&lt;&gt;0),L16/I16,"")</s:f>
        <s:v/>
      </s:c>
      <s:c r="N16" s="55" t="str">
        <s:f>IF(AND(J16&lt;&gt;0,J16&lt;&gt;"",I16&lt;&gt;0,I16&lt;&gt;""),L16-I16,"")</s:f>
        <s:v/>
      </s:c>
      <s:c r="O16" s="88"/>
      <s:c r="P16" s="57" t="str">
        <s:f>IF(AND(O16&lt;&gt;"",O16&lt;&gt;0,L16&lt;&gt;"",L16&lt;&gt;0),-O16+L16,"")</s:f>
        <s:v/>
      </s:c>
      <s:c r="Q16" s="58" t="str">
        <s:f>IF(AND(P16&lt;&gt;"",P16&lt;&gt;0,O16&lt;&gt;0,O16&lt;&gt;""),P16/O16,"")</s:f>
        <s:v/>
      </s:c>
      <s:c r="R16" s="22"/>
      <s:c r="S16" s="22"/>
      <s:c r="T16" s="28"/>
      <s:c r="U16" s="355" t="s">
        <s:v>23</s:v>
      </s:c>
      <s:c r="V16" s="5"/>
      <s:c r="W16" s="5"/>
      <s:c r="X16" s="5"/>
      <s:c r="Y16" s="5"/>
      <s:c r="Z16" s="5"/>
      <s:c r="AA16" s="400"/>
      <s:c r="AB16" s="400"/>
    </s:row>
    <s:row r="17" ht="15.75" customHeight="1">
      <s:c r="B17" s="23"/>
      <s:c r="C17" s="5"/>
      <s:c r="D17" s="5"/>
      <s:c r="E17" s="5"/>
      <s:c r="F17" s="49" t="s">
        <s:v>24</s:v>
      </s:c>
      <s:c r="G17" s="49"/>
      <s:c r="H17" s="49"/>
      <s:c r="I17" s="352">
        <s:f>Центрум!I17/График!AJ29*График!AJ25</s:f>
        <s:v>625.44483985765123</s:v>
      </s:c>
      <s:c r="J17" s="85">
        <s:f>I48</s:f>
        <s:v>311.20000000000005</s:v>
      </s:c>
      <s:c r="K17" s="353">
        <s:f>IF(AND(I17&lt;&gt;"",I17&lt;&gt;0,J17&lt;&gt;""),J17/I17,"")</s:f>
        <s:v>0.49756586059743962</s:v>
      </s:c>
      <s:c r="L17" s="86">
        <s:f>J17/J14*I14</s:f>
        <s:v>294.82105263157899</s:v>
      </s:c>
      <s:c r="M17" s="354">
        <s:f>IF(AND(I17&lt;&gt;"",I17&lt;&gt;0,L17&lt;&gt;"",L17&lt;&gt;0),L17/I17,"")</s:f>
        <s:v>0.47137818372389018</s:v>
      </s:c>
      <s:c r="N17" s="55">
        <s:f>IF(AND(J17&lt;&gt;0,J17&lt;&gt;"",I17&lt;&gt;0,I17&lt;&gt;""),L17-I17,"")</s:f>
        <s:v>-330.62378722607224</s:v>
      </s:c>
      <s:c r="O17" s="88"/>
      <s:c r="P17" s="57" t="str">
        <s:f>IF(AND(O17&lt;&gt;"",O17&lt;&gt;0,L17&lt;&gt;"",L17&lt;&gt;0),-O17+L17,"")</s:f>
        <s:v/>
      </s:c>
      <s:c r="Q17" s="58" t="str">
        <s:f>IF(AND(P17&lt;&gt;"",P17&lt;&gt;0,O17&lt;&gt;0,O17&lt;&gt;""),P17/O17,"")</s:f>
        <s:v/>
      </s:c>
      <s:c r="R17" s="22"/>
      <s:c r="S17" s="22"/>
      <s:c r="T17" s="28"/>
      <s:c r="U17" s="355"/>
      <s:c r="V17" s="5"/>
      <s:c r="W17" s="5"/>
      <s:c r="X17" s="5"/>
      <s:c r="Y17" s="5"/>
      <s:c r="Z17" s="5"/>
      <s:c r="AA17" s="400"/>
      <s:c r="AB17" s="400"/>
    </s:row>
    <s:row r="18" ht="15.75" customHeight="1">
      <s:c r="B18" s="23"/>
      <s:c r="C18" s="5"/>
      <s:c r="D18" s="5"/>
      <s:c r="E18" s="5"/>
      <s:c r="F18" s="49"/>
      <s:c r="G18" s="49"/>
      <s:c r="H18" s="49"/>
      <s:c r="I18" s="84"/>
      <s:c r="J18" s="85"/>
      <s:c r="K18" s="353" t="str">
        <s:f>IF(AND(I18&lt;&gt;"",I18&lt;&gt;0,J18&lt;&gt;""),J18/I18,"")</s:f>
        <s:v/>
      </s:c>
      <s:c r="L18" s="86">
        <s:f>J18</s:f>
        <s:v>0</s:v>
      </s:c>
      <s:c r="M18" s="354" t="str">
        <s:f>IF(AND(I18&lt;&gt;"",I18&lt;&gt;0,L18&lt;&gt;"",L18&lt;&gt;0),L18/I18,"")</s:f>
        <s:v/>
      </s:c>
      <s:c r="N18" s="55" t="str">
        <s:f>IF(AND(J18&lt;&gt;0,J18&lt;&gt;"",I18&lt;&gt;0,I18&lt;&gt;""),L18-I18,"")</s:f>
        <s:v/>
      </s:c>
      <s:c r="O18" s="356">
        <s:v>0</s:v>
      </s:c>
      <s:c r="P18" s="57" t="str">
        <s:f>IF(AND(O18&lt;&gt;"",O18&lt;&gt;0,L18&lt;&gt;"",L18&lt;&gt;0),-O18+L18,"")</s:f>
        <s:v/>
      </s:c>
      <s:c r="Q18" s="58" t="str">
        <s:f>IF(AND(P18&lt;&gt;"",P18&lt;&gt;0,O18&lt;&gt;0,O18&lt;&gt;""),P18/O18,"")</s:f>
        <s:v/>
      </s:c>
      <s:c r="R18" s="22"/>
      <s:c r="S18" s="22"/>
      <s:c r="T18" s="28"/>
      <s:c r="U18" s="83"/>
      <s:c r="V18" s="5"/>
      <s:c r="W18" s="5"/>
      <s:c r="X18" s="5"/>
      <s:c r="Y18" s="5"/>
      <s:c r="Z18" s="5"/>
      <s:c r="AA18" s="400"/>
      <s:c r="AB18" s="400"/>
    </s:row>
    <s:row r="19" ht="15.75" customHeight="1">
      <s:c r="B19" s="23"/>
      <s:c r="C19" s="5"/>
      <s:c r="D19" s="5"/>
      <s:c r="E19" s="5"/>
      <s:c r="F19" s="49"/>
      <s:c r="G19" s="49"/>
      <s:c r="H19" s="49"/>
      <s:c r="I19" s="84"/>
      <s:c r="J19" s="85">
        <s:f>P48</s:f>
        <s:v>0</s:v>
      </s:c>
      <s:c r="K19" s="353" t="str">
        <s:f>IF(AND(I19&lt;&gt;"",I19&lt;&gt;0,J19&lt;&gt;""),J19/I19,"")</s:f>
        <s:v/>
      </s:c>
      <s:c r="L19" s="86">
        <s:f>J19</s:f>
        <s:v>0</s:v>
      </s:c>
      <s:c r="M19" s="354" t="str">
        <s:f>IF(AND(I19&lt;&gt;"",I19&lt;&gt;0,L19&lt;&gt;"",L19&lt;&gt;0),L19/I19,"")</s:f>
        <s:v/>
      </s:c>
      <s:c r="N19" s="55" t="str">
        <s:f>IF(AND(J19&lt;&gt;0,J19&lt;&gt;"",I19&lt;&gt;0,I19&lt;&gt;""),L19-I19,"")</s:f>
        <s:v/>
      </s:c>
      <s:c r="O19" s="88">
        <s:v>0</s:v>
      </s:c>
      <s:c r="P19" s="57" t="str">
        <s:f>IF(AND(O19&lt;&gt;"",O19&lt;&gt;0,L19&lt;&gt;"",L19&lt;&gt;0),-O19+L19,"")</s:f>
        <s:v/>
      </s:c>
      <s:c r="Q19" s="58" t="str">
        <s:f>IF(AND(P19&lt;&gt;"",P19&lt;&gt;0,O19&lt;&gt;0,O19&lt;&gt;""),P19/O19,"")</s:f>
        <s:v/>
      </s:c>
      <s:c r="R19" s="22"/>
      <s:c r="S19" s="22"/>
      <s:c r="T19" s="28"/>
      <s:c r="U19" s="52" t="e">
        <s:f>U18/I16</s:f>
        <s:v>#DIV/0!</s:v>
      </s:c>
      <s:c r="V19" s="5"/>
      <s:c r="W19" s="5"/>
      <s:c r="X19" s="5"/>
      <s:c r="Y19" s="5"/>
      <s:c r="Z19" s="5"/>
      <s:c r="AA19" s="400"/>
      <s:c r="AB19" s="400"/>
    </s:row>
    <s:row r="20" ht="15.75" customHeight="1">
      <s:c r="B20" s="23"/>
      <s:c r="C20" s="5"/>
      <s:c r="D20" s="5"/>
      <s:c r="E20" s="5"/>
      <s:c r="F20" s="89" t="s">
        <s:v>102</s:v>
      </s:c>
      <s:c r="G20" s="89"/>
      <s:c r="H20" s="89"/>
      <s:c r="I20" s="357">
        <s:f>Центрум!I20</s:f>
        <s:v>0.089999999999999997</s:v>
      </s:c>
      <s:c r="J20" s="358">
        <s:f>S48</s:f>
        <s:v>0.086760925449871448</s:v>
      </s:c>
      <s:c r="K20" s="91">
        <s:f>J20/I20</s:f>
        <s:v>0.96401028277634948</s:v>
      </s:c>
      <s:c r="L20" s="92">
        <s:f>IF(AND(K8&lt;&gt;0,I14&lt;&gt;0,I48&lt;&gt;0),(I48*S48+(I48/K8-I48)*I20)/(I48/K8),0)</s:f>
        <s:v>0.087409378146347583</s:v>
      </s:c>
      <s:c r="M20" s="359">
        <s:f>IF(AND(I20&lt;&gt;"",I20&lt;&gt;0,L20&lt;&gt;"",L20&lt;&gt;0),L20/I20,"")</s:f>
        <s:v>0.97121531273719541</s:v>
      </s:c>
      <s:c r="N20" s="94">
        <s:f>IF(AND(J20&lt;&gt;0,J20&lt;&gt;"",I20&lt;&gt;0,I20&lt;&gt;""),L20-I20,"")</s:f>
        <s:v>-0.0025906218536524139</s:v>
      </s:c>
      <s:c r="O20" s="95"/>
      <s:c r="P20" s="96" t="str">
        <s:f>IF(AND(O20&lt;&gt;"",O20&lt;&gt;0,L20&lt;&gt;"",L20&lt;&gt;0),-O20+L20,"")</s:f>
        <s:v/>
      </s:c>
      <s:c r="Q20" s="97" t="str">
        <s:f>IF(AND(P20&lt;&gt;"",P20&lt;&gt;0,O20&lt;&gt;0,O20&lt;&gt;""),P20/O20,"")</s:f>
        <s:v/>
      </s:c>
      <s:c r="R20" s="22"/>
      <s:c r="S20" s="22"/>
      <s:c r="T20" s="28"/>
      <s:c r="U20" s="28"/>
      <s:c r="V20" s="5"/>
      <s:c r="W20" s="5"/>
      <s:c r="X20" s="5"/>
      <s:c r="Y20" s="5"/>
      <s:c r="Z20" s="5"/>
      <s:c r="AA20" s="400"/>
      <s:c r="AB20" s="400"/>
    </s:row>
    <s:row r="21" ht="15.75" customHeight="1">
      <s:c r="B21" s="23"/>
      <s:c r="C21" s="5"/>
      <s:c r="D21" s="5"/>
      <s:c r="E21" s="5"/>
      <s:c r="F21" s="5"/>
      <s:c r="G21" s="5"/>
      <s:c r="H21" s="5"/>
      <s:c r="I21" s="5"/>
      <s:c r="J21" s="5"/>
      <s:c r="K21" s="5"/>
      <s:c r="L21" s="5"/>
      <s:c r="M21" s="5"/>
      <s:c r="N21" s="5"/>
      <s:c r="O21" s="5"/>
      <s:c r="P21" s="5"/>
      <s:c r="Q21" s="5"/>
      <s:c r="R21" s="5"/>
      <s:c r="S21" s="5"/>
      <s:c r="T21" s="5"/>
      <s:c r="U21" s="5"/>
      <s:c r="V21" s="5"/>
      <s:c r="W21" s="28"/>
      <s:c r="X21" s="28"/>
      <s:c r="Y21" s="5"/>
      <s:c r="Z21" s="5"/>
      <s:c r="AA21" s="400"/>
      <s:c r="AB21" s="400"/>
    </s:row>
    <s:row r="22" ht="16.5" customHeight="1">
      <s:c r="B22" s="360" t="s">
        <s:v>26</s:v>
      </s:c>
      <s:c r="C22" s="360"/>
      <s:c r="D22" s="360"/>
      <s:c r="E22" s="360"/>
      <s:c r="F22" s="360"/>
      <s:c r="G22" s="360"/>
      <s:c r="H22" s="360"/>
      <s:c r="I22" s="360"/>
      <s:c r="J22" s="360"/>
      <s:c r="K22" s="360"/>
      <s:c r="L22" s="360"/>
      <s:c r="M22" s="360"/>
      <s:c r="N22" s="360"/>
      <s:c r="O22" s="360"/>
      <s:c r="P22" s="360"/>
      <s:c r="Q22" s="360"/>
      <s:c r="R22" s="360"/>
      <s:c r="S22" s="360"/>
      <s:c r="T22" s="361" t="s">
        <s:v>46</s:v>
      </s:c>
      <s:c r="U22" s="360" t="s">
        <s:v>27</s:v>
      </s:c>
      <s:c r="V22" s="360"/>
      <s:c r="W22" s="360"/>
      <s:c r="X22" s="360"/>
      <s:c r="Y22" s="360"/>
      <s:c r="Z22" s="360"/>
      <s:c r="AA22" s="360"/>
      <s:c r="AB22" s="360"/>
    </s:row>
    <s:row r="23" ht="42">
      <s:c r="B23" s="361" t="s">
        <s:v>29</s:v>
      </s:c>
      <s:c r="C23" s="361" t="s">
        <s:v>30</s:v>
      </s:c>
      <s:c r="D23" s="361" t="s">
        <s:v>31</s:v>
      </s:c>
      <s:c r="E23" s="361" t="s">
        <s:v>32</s:v>
      </s:c>
      <s:c r="F23" s="361" t="s">
        <s:v>33</s:v>
      </s:c>
      <s:c r="G23" s="361" t="s">
        <s:v>34</s:v>
      </s:c>
      <s:c r="H23" s="361" t="s">
        <s:v>35</s:v>
      </s:c>
      <s:c r="I23" s="361" t="s">
        <s:v>24</s:v>
      </s:c>
      <s:c r="J23" s="361" t="s">
        <s:v>36</s:v>
      </s:c>
      <s:c r="K23" s="105" t="s">
        <s:v>37</s:v>
      </s:c>
      <s:c r="L23" s="105" t="s">
        <s:v>38</s:v>
      </s:c>
      <s:c r="M23" s="105" t="s">
        <s:v>39</s:v>
      </s:c>
      <s:c r="N23" s="362" t="s">
        <s:v>40</s:v>
      </s:c>
      <s:c r="O23" s="105" t="s">
        <s:v>41</s:v>
      </s:c>
      <s:c r="P23" s="362" t="s">
        <s:v>42</s:v>
      </s:c>
      <s:c r="Q23" s="105" t="s">
        <s:v>43</s:v>
      </s:c>
      <s:c r="R23" s="105" t="s">
        <s:v>44</s:v>
      </s:c>
      <s:c r="S23" s="361" t="s">
        <s:v>45</s:v>
      </s:c>
      <s:c r="T23" s="361"/>
      <s:c r="U23" s="361" t="s">
        <s:v>47</s:v>
      </s:c>
      <s:c r="V23" s="361" t="s">
        <s:v>48</s:v>
      </s:c>
      <s:c r="W23" s="361" t="s">
        <s:v>49</s:v>
      </s:c>
      <s:c r="X23" s="361" t="s">
        <s:v>50</s:v>
      </s:c>
      <s:c r="Y23" s="361" t="s">
        <s:v>51</s:v>
      </s:c>
      <s:c r="Z23" s="361" t="s">
        <s:v>52</s:v>
      </s:c>
      <s:c r="AA23" s="409" t="s">
        <s:v>53</s:v>
      </s:c>
      <s:c r="AB23" s="409" t="s">
        <s:v>54</s:v>
      </s:c>
      <s:c r="AC23" s="214"/>
    </s:row>
    <s:row r="24">
      <s:c r="A24" s="364"/>
      <s:c r="B24" s="365">
        <s:v>1</s:v>
      </s:c>
      <s:c r="C24" s="366">
        <s:v>2</s:v>
      </s:c>
      <s:c r="D24" s="367">
        <s:v>3</s:v>
      </s:c>
      <s:c r="E24" s="367" t="s">
        <s:v>103</s:v>
      </s:c>
      <s:c r="F24" s="366">
        <s:v>5</s:v>
      </s:c>
      <s:c r="G24" s="367">
        <s:v>6</s:v>
      </s:c>
      <s:c r="H24" s="366">
        <s:v>7</s:v>
      </s:c>
      <s:c r="I24" s="367">
        <s:v>8</s:v>
      </s:c>
      <s:c r="J24" s="367">
        <s:v>9</s:v>
      </s:c>
      <s:c r="K24" s="112">
        <s:v>10</s:v>
      </s:c>
      <s:c r="L24" s="112">
        <s:v>11</s:v>
      </s:c>
      <s:c r="M24" s="112">
        <s:v>12</s:v>
      </s:c>
      <s:c r="N24" s="112">
        <s:v>13</s:v>
      </s:c>
      <s:c r="O24" s="112">
        <s:v>14</s:v>
      </s:c>
      <s:c r="P24" s="112">
        <s:v>15</s:v>
      </s:c>
      <s:c r="Q24" s="112">
        <s:v>16</s:v>
      </s:c>
      <s:c r="R24" s="112">
        <s:v>17</s:v>
      </s:c>
      <s:c r="S24" s="112">
        <s:v>18</s:v>
      </s:c>
      <s:c r="T24" s="361"/>
      <s:c r="U24" s="368">
        <s:v>1</s:v>
      </s:c>
      <s:c r="V24" s="368">
        <s:v>2</s:v>
      </s:c>
      <s:c r="W24" s="368">
        <s:v>3</s:v>
      </s:c>
      <s:c r="X24" s="368">
        <s:v>4</s:v>
      </s:c>
      <s:c r="Y24" s="368">
        <s:v>5</s:v>
      </s:c>
      <s:c r="Z24" s="368">
        <s:v>6</s:v>
      </s:c>
      <s:c r="AA24" s="410">
        <s:v>10</s:v>
      </s:c>
      <s:c r="AB24" s="410">
        <s:v>11</s:v>
      </s:c>
    </s:row>
    <s:row r="25">
      <s:c r="A25" s="173">
        <s:v>1</s:v>
      </s:c>
      <s:c r="B25" s="160">
        <s:v>46024</s:v>
      </s:c>
      <s:c r="C25" s="161" t="s">
        <s:v>57</s:v>
      </s:c>
      <s:c r="D25" s="371">
        <s:v>29366</s:v>
      </s:c>
      <s:c r="E25" s="199">
        <s:v>4</s:v>
      </s:c>
      <s:c r="F25" s="164">
        <s:f>IF(AND(E25&lt;&gt;"",E25&lt;&gt;0),D25/E25,"")</s:f>
        <s:v>7341.5</s:v>
      </s:c>
      <s:c r="G25" s="199">
        <s:v>1</s:v>
      </s:c>
      <s:c r="H25" s="164">
        <s:f>IF(AND(G25&lt;&gt;"",G25&lt;&gt;0),D25/G25,"")</s:f>
        <s:v>29366</s:v>
      </s:c>
      <s:c r="I25" s="199">
        <s:v>26</s:v>
      </s:c>
      <s:c r="J25" s="165">
        <s:f>IF(AND(G25&lt;&gt;"",G25&lt;&gt;0),E25/G25,"")</s:f>
        <s:v>4</s:v>
      </s:c>
      <s:c r="K25" s="127"/>
      <s:c r="L25" s="127"/>
      <s:c r="M25" s="127"/>
      <s:c r="N25" s="127"/>
      <s:c r="O25" s="127"/>
      <s:c r="P25" s="127"/>
      <s:c r="Q25" s="127">
        <s:v>15180</s:v>
      </s:c>
      <s:c r="R25" s="127"/>
      <s:c r="S25" s="167">
        <s:f>IF(AND(I25&lt;&gt;"",I25&lt;&gt;0),G25/I25,"")</s:f>
        <s:v>0.038461538461538464</s:v>
      </s:c>
      <s:c r="T25" s="168">
        <s:f>D25/U25</s:f>
        <s:v>0.88343380813969052</s:v>
      </s:c>
      <s:c r="U25" s="169">
        <s:f>$I$8*AA25*AB25/SUMPRODUCT($AB$25:$AB$55,$AA$25:$AA$55)</s:f>
        <s:v>33240.747330960854</s:v>
      </s:c>
      <s:c r="V25" s="170">
        <s:f>$I$9*AA25*AB25/SUMPRODUCT($AB$25:$AB$55,$AA$25:$AA$55)</s:f>
        <s:v>5.0364768683274024</s:v>
      </s:c>
      <s:c r="W25" s="170">
        <s:f>IF($I$12="","",V25/$I$12)</s:f>
        <s:v>2.9626334519572954</s:v>
      </s:c>
      <s:c r="X25" s="169">
        <s:f>IF(AB25&lt;&gt;"",IF(D25&lt;&gt;"",D25,($I$8-SUM($X24:X$25))*AA25*AB25/SUMPRODUCT($AB25:$AB$55,$AA25:$AA$55)),"")</s:f>
        <s:v>29366</s:v>
      </s:c>
      <s:c r="Y25" s="170">
        <s:f>IF(AB25&lt;&gt;"",IF(E25&lt;&gt;"",E25,($I$9-SUM($Y24:Y$25))*AA25*AB25/SUMPRODUCT($AB25:$AB$55,$AA25:$AA$55)),"")</s:f>
        <s:v>4</s:v>
      </s:c>
      <s:c r="Z25" s="170">
        <s:f>IF(AB25&lt;&gt;"",IF($I$12&lt;&gt;"",IF(G25&lt;&gt;"",G25,($I$9/$I$12-SUM($Z24:Z$25))*AA25*AB25/SUMPRODUCT($AB25:$AB$55,$AA25:$AA$55)),""),"")</s:f>
        <s:v>1</s:v>
      </s:c>
      <s:c r="AA25" s="398">
        <s:v>1</s:v>
      </s:c>
      <s:c r="AB25" s="398">
        <s:v>1</s:v>
      </s:c>
      <s:c r="AC25" s="172"/>
      <s:c r="AD25" s="172"/>
      <s:c r="AE25" s="178"/>
      <s:c r="AF25" s="2"/>
      <s:c r="AG25" s="2"/>
      <s:c r="AH25" s="2"/>
      <s:c r="AI25" s="2"/>
      <s:c r="AJ25" s="2"/>
      <s:c r="AK25" s="2"/>
      <s:c r="AL25" s="2"/>
    </s:row>
    <s:row r="26">
      <s:c r="A26" s="159">
        <s:v>2</s:v>
      </s:c>
      <s:c r="B26" s="370">
        <s:v>46025</s:v>
      </s:c>
      <s:c r="C26" s="205" t="s">
        <s:v>58</s:v>
      </s:c>
      <s:c r="D26" s="371">
        <s:v>6284</s:v>
      </s:c>
      <s:c r="E26" s="199">
        <s:v>2</s:v>
      </s:c>
      <s:c r="F26" s="198">
        <s:f>IF(AND(E26&lt;&gt;"",E26&lt;&gt;0),D26/E26,"")</s:f>
        <s:v>3142</s:v>
      </s:c>
      <s:c r="G26" s="199">
        <s:v>1</s:v>
      </s:c>
      <s:c r="H26" s="198">
        <s:f>IF(AND(G26&lt;&gt;"",G26&lt;&gt;0),D26/G26,"")</s:f>
        <s:v>6284</s:v>
      </s:c>
      <s:c r="I26" s="199">
        <s:v>25</s:v>
      </s:c>
      <s:c r="J26" s="165">
        <s:f>IF(AND(G26&lt;&gt;"",G26&lt;&gt;0),E26/G26,"")</s:f>
        <s:v>2</s:v>
      </s:c>
      <s:c r="K26" s="127"/>
      <s:c r="L26" s="127"/>
      <s:c r="M26" s="127"/>
      <s:c r="N26" s="127"/>
      <s:c r="O26" s="127"/>
      <s:c r="P26" s="127"/>
      <s:c r="Q26" s="127"/>
      <s:c r="R26" s="127"/>
      <s:c r="S26" s="167">
        <s:f>IF(AND(I26&lt;&gt;"",I26&lt;&gt;0),G26/I26,"")</s:f>
        <s:v>0.040000000000000001</s:v>
      </s:c>
      <s:c r="T26" s="168">
        <s:f>D26/U26</s:f>
        <s:v>0.18904508786861729</s:v>
      </s:c>
      <s:c r="U26" s="169">
        <s:f>$I$8*AA26*AB26/SUMPRODUCT($AB$25:$AB$55,$AA$25:$AA$55)</s:f>
        <s:v>33240.747330960854</s:v>
      </s:c>
      <s:c r="V26" s="170">
        <s:f>$I$9*AA26*AB26/SUMPRODUCT($AB$25:$AB$55,$AA$25:$AA$55)</s:f>
        <s:v>5.0364768683274024</s:v>
      </s:c>
      <s:c r="W26" s="170">
        <s:f>IF($I$12="","",V26/$I$12)</s:f>
        <s:v>2.9626334519572954</s:v>
      </s:c>
      <s:c r="X26" s="169">
        <s:f>IF(AB26&lt;&gt;"",IF(D26&lt;&gt;"",D26,($I$8-SUM($X$25:X25))*AA26*AB26/SUMPRODUCT($AB26:$AB$55,$AA26:$AA$55)),"")</s:f>
        <s:v>6284</s:v>
      </s:c>
      <s:c r="Y26" s="170">
        <s:f>IF(AB26&lt;&gt;"",IF(E26&lt;&gt;"",E26,($I$9-SUM($Y$25:Y25))*AA26*AB26/SUMPRODUCT($AB26:$AB$55,$AA26:$AA$55)),"")</s:f>
        <s:v>2</s:v>
      </s:c>
      <s:c r="Z26" s="170">
        <s:f>IF(AB26&lt;&gt;"",IF($I$12&lt;&gt;"",IF(G26&lt;&gt;"",G26,($I$9/$I$12-SUM($Z$25:Z25))*AA26*AB26/SUMPRODUCT($AB26:$AB$55,$AA26:$AA$55)),""),"")</s:f>
        <s:v>1</s:v>
      </s:c>
      <s:c r="AA26" s="398">
        <s:v>1</s:v>
      </s:c>
      <s:c r="AB26" s="398">
        <s:v>1</s:v>
      </s:c>
      <s:c r="AC26" s="172"/>
      <s:c r="AD26" s="372"/>
      <s:c r="AE26" s="2"/>
      <s:c r="AF26" s="2"/>
      <s:c r="AG26" s="2"/>
      <s:c r="AH26" s="2"/>
      <s:c r="AI26" s="2"/>
      <s:c r="AJ26" s="2"/>
      <s:c r="AK26" s="2"/>
      <s:c r="AL26" s="2"/>
    </s:row>
    <s:row r="27">
      <s:c r="A27" s="173">
        <s:v>3</s:v>
      </s:c>
      <s:c r="B27" s="160">
        <s:v>46026</s:v>
      </s:c>
      <s:c r="C27" s="161" t="s">
        <s:v>59</s:v>
      </s:c>
      <s:c r="D27" s="371">
        <s:v>63331</s:v>
      </s:c>
      <s:c r="E27" s="199">
        <s:v>8</s:v>
      </s:c>
      <s:c r="F27" s="164">
        <s:f>IF(AND(E27&lt;&gt;"",E27&lt;&gt;0),D27/E27,"")</s:f>
        <s:v>7916.375</s:v>
      </s:c>
      <s:c r="G27" s="199">
        <s:v>1</s:v>
      </s:c>
      <s:c r="H27" s="164">
        <s:f>IF(AND(G27&lt;&gt;"",G27&lt;&gt;0),D27/G27,"")</s:f>
        <s:v>63331</s:v>
      </s:c>
      <s:c r="I27" s="199">
        <s:v>30</s:v>
      </s:c>
      <s:c r="J27" s="165">
        <s:f>IF(AND(G27&lt;&gt;"",G27&lt;&gt;0),E27/G27,"")</s:f>
        <s:v>8</s:v>
      </s:c>
      <s:c r="K27" s="127"/>
      <s:c r="L27" s="127"/>
      <s:c r="M27" s="127"/>
      <s:c r="N27" s="127"/>
      <s:c r="O27" s="127"/>
      <s:c r="P27" s="127"/>
      <s:c r="Q27" s="127"/>
      <s:c r="R27" s="127"/>
      <s:c r="S27" s="167">
        <s:f>IF(AND(I27&lt;&gt;"",I27&lt;&gt;0),G27/I27,"")</s:f>
        <s:v>0.033333333333333333</s:v>
      </s:c>
      <s:c r="T27" s="168">
        <s:f>D27/U27</s:f>
        <s:v>4.4794879049370495</s:v>
      </s:c>
      <s:c r="U27" s="411">
        <s:v>14138</s:v>
      </s:c>
      <s:c r="V27" s="412">
        <s:v>4</s:v>
      </s:c>
      <s:c r="W27" s="412">
        <s:v>2</s:v>
      </s:c>
      <s:c r="X27" s="411">
        <s:v>16611</s:v>
      </s:c>
      <s:c r="Y27" s="412">
        <s:v>3</s:v>
      </s:c>
      <s:c r="Z27" s="412">
        <s:v>3</s:v>
      </s:c>
      <s:c r="AA27" s="398">
        <s:v>1</s:v>
      </s:c>
      <s:c r="AB27" s="398">
        <s:v>1</s:v>
      </s:c>
      <s:c r="AC27" s="172"/>
      <s:c r="AD27" s="172"/>
      <s:c r="AE27" s="2"/>
      <s:c r="AF27" s="2"/>
      <s:c r="AG27" s="2"/>
      <s:c r="AH27" s="2"/>
      <s:c r="AI27" s="2"/>
      <s:c r="AJ27" s="2"/>
      <s:c r="AK27" s="2"/>
      <s:c r="AL27" s="2"/>
    </s:row>
    <s:row r="28">
      <s:c r="A28" s="159">
        <s:v>4</s:v>
      </s:c>
      <s:c r="B28" s="160">
        <s:v>46027</s:v>
      </s:c>
      <s:c r="C28" s="205" t="s">
        <s:v>61</s:v>
      </s:c>
      <s:c r="D28" s="371">
        <s:f>7693+7479</s:f>
        <s:v>15172</s:v>
      </s:c>
      <s:c r="E28" s="199">
        <s:v>2</s:v>
      </s:c>
      <s:c r="F28" s="198">
        <s:f>IF(AND(E28&lt;&gt;"",E28&lt;&gt;0),D28/E28,"")</s:f>
        <s:v>7586</s:v>
      </s:c>
      <s:c r="G28" s="199">
        <s:v>2</s:v>
      </s:c>
      <s:c r="H28" s="198">
        <s:f>IF(AND(G28&lt;&gt;"",G28&lt;&gt;0),D28/G28,"")</s:f>
        <s:v>7586</s:v>
      </s:c>
      <s:c r="I28" s="199">
        <s:v>50</s:v>
      </s:c>
      <s:c r="J28" s="165">
        <s:f>IF(AND(G28&lt;&gt;"",G28&lt;&gt;0),E28/G28,"")</s:f>
        <s:v>1</s:v>
      </s:c>
      <s:c r="K28" s="127"/>
      <s:c r="L28" s="127"/>
      <s:c r="M28" s="127"/>
      <s:c r="N28" s="127"/>
      <s:c r="O28" s="127"/>
      <s:c r="P28" s="127"/>
      <s:c r="Q28" s="127"/>
      <s:c r="R28" s="127"/>
      <s:c r="S28" s="167">
        <s:f>IF(AND(I28&lt;&gt;"",I28&lt;&gt;0),G28/I28,"")</s:f>
        <s:v>0.040000000000000001</s:v>
      </s:c>
      <s:c r="T28" s="168">
        <s:f>D28/U28</s:f>
        <s:v>0.45642776466305879</s:v>
      </s:c>
      <s:c r="U28" s="169">
        <s:f>$I$8*AA28*AB28/SUMPRODUCT($AB$25:$AB$55,$AA$25:$AA$55)</s:f>
        <s:v>33240.747330960854</s:v>
      </s:c>
      <s:c r="V28" s="170">
        <s:f>$I$9*AA28*AB28/SUMPRODUCT($AB$25:$AB$55,$AA$25:$AA$55)</s:f>
        <s:v>5.0364768683274024</s:v>
      </s:c>
      <s:c r="W28" s="170">
        <s:f>IF($I$12="","",V28/$I$12)</s:f>
        <s:v>2.9626334519572954</s:v>
      </s:c>
      <s:c r="X28" s="169">
        <s:f>IF(AB28&lt;&gt;"",IF(D28&lt;&gt;"",D28,($I$8-SUM($X$25:X27))*AA28*AB28/SUMPRODUCT($AB28:$AB$55,$AA28:$AA$55)),"")</s:f>
        <s:v>15172</s:v>
      </s:c>
      <s:c r="Y28" s="170">
        <s:f>IF(AB28&lt;&gt;"",IF(E28&lt;&gt;"",E28,($I$9-SUM($Y$25:Y27))*AA28*AB28/SUMPRODUCT($AB28:$AB$55,$AA28:$AA$55)),"")</s:f>
        <s:v>2</s:v>
      </s:c>
      <s:c r="Z28" s="170">
        <s:f>IF(AB28&lt;&gt;"",IF($I$12&lt;&gt;"",IF(G28&lt;&gt;"",G28,($I$9/$I$12-SUM($Z$25:Z27))*AA28*AB28/SUMPRODUCT($AB28:$AB$55,$AA28:$AA$55)),""),"")</s:f>
        <s:v>2</s:v>
      </s:c>
      <s:c r="AA28" s="398">
        <s:v>1</s:v>
      </s:c>
      <s:c r="AB28" s="398">
        <s:v>1</s:v>
      </s:c>
      <s:c r="AC28" s="172"/>
      <s:c r="AD28" s="172"/>
      <s:c r="AE28" s="2"/>
      <s:c r="AF28" s="2"/>
      <s:c r="AG28" s="2"/>
      <s:c r="AH28" s="2"/>
      <s:c r="AI28" s="2"/>
      <s:c r="AJ28" s="2"/>
      <s:c r="AK28" s="2"/>
      <s:c r="AL28" s="2"/>
    </s:row>
    <s:row r="29">
      <s:c r="A29" s="173">
        <s:v>5</s:v>
      </s:c>
      <s:c r="B29" s="160">
        <s:v>46029</s:v>
      </s:c>
      <s:c r="C29" s="161" t="s">
        <s:v>65</s:v>
      </s:c>
      <s:c r="D29" s="371">
        <s:v>3893</s:v>
      </s:c>
      <s:c r="E29" s="199">
        <s:v>1</s:v>
      </s:c>
      <s:c r="F29" s="164">
        <s:f>IF(AND(E29&lt;&gt;"",E29&lt;&gt;0),D29/E29,"")</s:f>
        <s:v>3893</s:v>
      </s:c>
      <s:c r="G29" s="199">
        <s:v>1</s:v>
      </s:c>
      <s:c r="H29" s="164">
        <s:f>IF(AND(G29&lt;&gt;"",G29&lt;&gt;0),D29/G29,"")</s:f>
        <s:v>3893</s:v>
      </s:c>
      <s:c r="I29" s="199">
        <s:v>17</s:v>
      </s:c>
      <s:c r="J29" s="165">
        <s:f>IF(AND(G29&lt;&gt;"",G29&lt;&gt;0),E29/G29,"")</s:f>
        <s:v>1</s:v>
      </s:c>
      <s:c r="K29" s="127"/>
      <s:c r="L29" s="127"/>
      <s:c r="M29" s="127"/>
      <s:c r="N29" s="127"/>
      <s:c r="O29" s="127"/>
      <s:c r="P29" s="127"/>
      <s:c r="Q29" s="127"/>
      <s:c r="R29" s="127"/>
      <s:c r="S29" s="167">
        <s:f>IF(AND(I29&lt;&gt;"",I29&lt;&gt;0),G29/I29,"")</s:f>
        <s:v>0.058823529411764705</s:v>
      </s:c>
      <s:c r="T29" s="168">
        <s:f>D29/U29</s:f>
        <s:v>0.11711529711529711</s:v>
      </s:c>
      <s:c r="U29" s="169">
        <s:f>$I$8*AA29*AB29/SUMPRODUCT($AB$25:$AB$55,$AA$25:$AA$55)</s:f>
        <s:v>33240.747330960854</s:v>
      </s:c>
      <s:c r="V29" s="170">
        <s:f>$I$9*AA29*AB29/SUMPRODUCT($AB$25:$AB$55,$AA$25:$AA$55)</s:f>
        <s:v>5.0364768683274024</s:v>
      </s:c>
      <s:c r="W29" s="170">
        <s:f>IF($I$12="","",V29/$I$12)</s:f>
        <s:v>2.9626334519572954</s:v>
      </s:c>
      <s:c r="X29" s="169">
        <s:f>IF(AB29&lt;&gt;"",IF(D29&lt;&gt;"",D29,($I$8-SUM($X$25:X28))*AA29*AB29/SUMPRODUCT($AB29:$AB$55,$AA29:$AA$55)),"")</s:f>
        <s:v>3893</s:v>
      </s:c>
      <s:c r="Y29" s="170">
        <s:f>IF(AB29&lt;&gt;"",IF(E29&lt;&gt;"",E29,($I$9-SUM($Y$25:Y28))*AA29*AB29/SUMPRODUCT($AB29:$AB$55,$AA29:$AA$55)),"")</s:f>
        <s:v>1</s:v>
      </s:c>
      <s:c r="Z29" s="170">
        <s:f>IF(AB29&lt;&gt;"",IF($I$12&lt;&gt;"",IF(G29&lt;&gt;"",G29,($I$9/$I$12-SUM($Z$25:Z28))*AA29*AB29/SUMPRODUCT($AB29:$AB$55,$AA29:$AA$55)),""),"")</s:f>
        <s:v>1</s:v>
      </s:c>
      <s:c r="AA29" s="398">
        <s:v>1</s:v>
      </s:c>
      <s:c r="AB29" s="398">
        <s:v>1</s:v>
      </s:c>
      <s:c r="AC29" s="172"/>
      <s:c r="AD29" s="172"/>
      <s:c r="AE29" s="2"/>
      <s:c r="AF29" s="2"/>
      <s:c r="AG29" s="2"/>
      <s:c r="AH29" s="2"/>
      <s:c r="AI29" s="2"/>
      <s:c r="AJ29" s="2"/>
      <s:c r="AK29" s="2"/>
      <s:c r="AL29" s="2"/>
    </s:row>
    <s:row r="30">
      <s:c r="A30" s="173">
        <s:v>6</s:v>
      </s:c>
      <s:c r="B30" s="160">
        <s:v>46030</s:v>
      </s:c>
      <s:c r="C30" s="205" t="s">
        <s:v>55</s:v>
      </s:c>
      <s:c r="D30" s="165">
        <s:v>0</s:v>
      </s:c>
      <s:c r="E30" s="199">
        <s:v>0</s:v>
      </s:c>
      <s:c r="F30" s="198" t="str">
        <s:f>IF(AND(E30&lt;&gt;"",E30&lt;&gt;0),D30/E30,"")</s:f>
        <s:v/>
      </s:c>
      <s:c r="G30" s="199">
        <s:v>0</s:v>
      </s:c>
      <s:c r="H30" s="198" t="str">
        <s:f>IF(AND(G30&lt;&gt;"",G30&lt;&gt;0),D30/G30,"")</s:f>
        <s:v/>
      </s:c>
      <s:c r="I30" s="199">
        <s:v>21</s:v>
      </s:c>
      <s:c r="J30" s="165" t="str">
        <s:f>IF(AND(G30&lt;&gt;"",G30&lt;&gt;0),E30/G30,"")</s:f>
        <s:v/>
      </s:c>
      <s:c r="K30" s="127"/>
      <s:c r="L30" s="127"/>
      <s:c r="M30" s="127"/>
      <s:c r="N30" s="127"/>
      <s:c r="O30" s="127"/>
      <s:c r="P30" s="127"/>
      <s:c r="Q30" s="127"/>
      <s:c r="R30" s="127"/>
      <s:c r="S30" s="167">
        <s:f>IF(AND(I30&lt;&gt;"",I30&lt;&gt;0),G30/I30,"")</s:f>
        <s:v>0</s:v>
      </s:c>
      <s:c r="T30" s="168">
        <s:f>D30/U30</s:f>
        <s:v>0</s:v>
      </s:c>
      <s:c r="U30" s="169">
        <s:f>$I$8*AA30*AB30/SUMPRODUCT($AB$25:$AB$55,$AA$25:$AA$55)</s:f>
        <s:v>33240.747330960854</s:v>
      </s:c>
      <s:c r="V30" s="170">
        <s:f>$I$9*AA30*AB30/SUMPRODUCT($AB$25:$AB$55,$AA$25:$AA$55)</s:f>
        <s:v>5.0364768683274024</s:v>
      </s:c>
      <s:c r="W30" s="170">
        <s:f>IF($I$12="","",V30/$I$12)</s:f>
        <s:v>2.9626334519572954</s:v>
      </s:c>
      <s:c r="X30" s="169">
        <s:f>IF(AB30&lt;&gt;"",IF(D30&lt;&gt;"",D30,($I$8-SUM($X$25:X29))*AA30*AB30/SUMPRODUCT($AB30:$AB$55,$AA30:$AA$55)),"")</s:f>
        <s:v>0</s:v>
      </s:c>
      <s:c r="Y30" s="170">
        <s:f>IF(AB30&lt;&gt;"",IF(E30&lt;&gt;"",E30,($I$9-SUM($Y$25:Y29))*AA30*AB30/SUMPRODUCT($AB30:$AB$55,$AA30:$AA$55)),"")</s:f>
        <s:v>0</s:v>
      </s:c>
      <s:c r="Z30" s="170">
        <s:f>IF(AB30&lt;&gt;"",IF($I$12&lt;&gt;"",IF(G30&lt;&gt;"",G30,($I$9/$I$12-SUM($Z$25:Z29))*AA30*AB30/SUMPRODUCT($AB30:$AB$55,$AA30:$AA$55)),""),"")</s:f>
        <s:v>0</s:v>
      </s:c>
      <s:c r="AA30" s="398">
        <s:v>1</s:v>
      </s:c>
      <s:c r="AB30" s="398">
        <s:v>1</s:v>
      </s:c>
      <s:c r="AC30" s="172"/>
      <s:c r="AD30" s="172"/>
      <s:c r="AE30" s="178"/>
      <s:c r="AF30" s="2"/>
      <s:c r="AG30" s="2"/>
      <s:c r="AH30" s="2"/>
      <s:c r="AI30" s="2"/>
      <s:c r="AJ30" s="2"/>
      <s:c r="AK30" s="2"/>
      <s:c r="AL30" s="2"/>
    </s:row>
    <s:row r="31">
      <s:c r="A31" s="173">
        <s:v>7</s:v>
      </s:c>
      <s:c r="B31" s="160">
        <s:v>46033</s:v>
      </s:c>
      <s:c r="C31" s="161" t="s">
        <s:v>59</s:v>
      </s:c>
      <s:c r="D31" s="371">
        <s:f>11984+220</s:f>
        <s:v>12204</s:v>
      </s:c>
      <s:c r="E31" s="199">
        <s:v>2</s:v>
      </s:c>
      <s:c r="F31" s="164">
        <s:f>IF(AND(E31&lt;&gt;"",E31&lt;&gt;0),D31/E31,"")</s:f>
        <s:v>6102</s:v>
      </s:c>
      <s:c r="G31" s="199">
        <s:v>2</s:v>
      </s:c>
      <s:c r="H31" s="164">
        <s:f>IF(AND(G31&lt;&gt;"",G31&lt;&gt;0),D31/G31,"")</s:f>
        <s:v>6102</s:v>
      </s:c>
      <s:c r="I31" s="199">
        <s:v>14</s:v>
      </s:c>
      <s:c r="J31" s="165">
        <s:f>IF(AND(G31&lt;&gt;"",G31&lt;&gt;0),E31/G31,"")</s:f>
        <s:v>1</s:v>
      </s:c>
      <s:c r="K31" s="127"/>
      <s:c r="L31" s="127">
        <s:v>220</s:v>
      </s:c>
      <s:c r="M31" s="127"/>
      <s:c r="N31" s="127"/>
      <s:c r="O31" s="127"/>
      <s:c r="P31" s="127"/>
      <s:c r="Q31" s="127"/>
      <s:c r="R31" s="127"/>
      <s:c r="S31" s="167">
        <s:f>IF(AND(I31&lt;&gt;"",I31&lt;&gt;0),G31/I31,"")</s:f>
        <s:v>0.14285714285714285</s:v>
      </s:c>
      <s:c r="T31" s="168">
        <s:f>D31/U31</s:f>
        <s:v>0.36713976008093657</s:v>
      </s:c>
      <s:c r="U31" s="169">
        <s:f>$I$8*AA31*AB31/SUMPRODUCT($AB$25:$AB$55,$AA$25:$AA$55)</s:f>
        <s:v>33240.747330960854</s:v>
      </s:c>
      <s:c r="V31" s="170">
        <s:f>$I$9*AA31*AB31/SUMPRODUCT($AB$25:$AB$55,$AA$25:$AA$55)</s:f>
        <s:v>5.0364768683274024</s:v>
      </s:c>
      <s:c r="W31" s="170">
        <s:f>IF($I$12="","",V31/$I$12)</s:f>
        <s:v>2.9626334519572954</s:v>
      </s:c>
      <s:c r="X31" s="169">
        <s:f>IF(AB31&lt;&gt;"",IF(D31&lt;&gt;"",D31,($I$8-SUM($X$25:X30))*AA31*AB31/SUMPRODUCT($AB31:$AB$55,$AA31:$AA$55)),"")</s:f>
        <s:v>12204</s:v>
      </s:c>
      <s:c r="Y31" s="170">
        <s:f>IF(AB31&lt;&gt;"",IF(E31&lt;&gt;"",E31,($I$9-SUM($Y$25:Y30))*AA31*AB31/SUMPRODUCT($AB31:$AB$55,$AA31:$AA$55)),"")</s:f>
        <s:v>2</s:v>
      </s:c>
      <s:c r="Z31" s="413">
        <s:f>IF(AB31&lt;&gt;"",IF($I$12&lt;&gt;"",IF(G31&lt;&gt;"",G31,($I$9/$I$12-SUM($Z$25:Z30))*AA31*AB31/SUMPRODUCT($AB31:$AB$55,$AA31:$AA$55)),""),"")</s:f>
        <s:v>2</s:v>
      </s:c>
      <s:c r="AA31" s="398">
        <s:v>1</s:v>
      </s:c>
      <s:c r="AB31" s="398">
        <s:v>1</s:v>
      </s:c>
      <s:c r="AC31" s="172"/>
      <s:c r="AD31" s="172"/>
      <s:c r="AE31" s="178"/>
      <s:c r="AF31" s="2"/>
      <s:c r="AG31" s="2"/>
      <s:c r="AH31" s="2"/>
      <s:c r="AI31" s="2"/>
      <s:c r="AJ31" s="2"/>
      <s:c r="AK31" s="2"/>
      <s:c r="AL31" s="2"/>
    </s:row>
    <s:row r="32">
      <s:c r="A32" s="173">
        <s:v>8</s:v>
      </s:c>
      <s:c r="B32" s="160">
        <s:v>46034</s:v>
      </s:c>
      <s:c r="C32" s="205" t="s">
        <s:v>61</s:v>
      </s:c>
      <s:c r="D32" s="371">
        <s:v>3593</s:v>
      </s:c>
      <s:c r="E32" s="199">
        <s:v>1</s:v>
      </s:c>
      <s:c r="F32" s="198">
        <s:f>IF(AND(E32&lt;&gt;"",E32&lt;&gt;0),D32/E32,"")</s:f>
        <s:v>3593</s:v>
      </s:c>
      <s:c r="G32" s="199">
        <s:v>1</s:v>
      </s:c>
      <s:c r="H32" s="198">
        <s:f>IF(AND(G32&lt;&gt;"",G32&lt;&gt;0),D32/G32,"")</s:f>
        <s:v>3593</s:v>
      </s:c>
      <s:c r="I32" s="199">
        <s:v>26</s:v>
      </s:c>
      <s:c r="J32" s="165">
        <s:f>IF(AND(G32&lt;&gt;"",G32&lt;&gt;0),E32/G32,"")</s:f>
        <s:v>1</s:v>
      </s:c>
      <s:c r="K32" s="164"/>
      <s:c r="L32" s="164"/>
      <s:c r="M32" s="164"/>
      <s:c r="N32" s="164"/>
      <s:c r="O32" s="164"/>
      <s:c r="P32" s="164"/>
      <s:c r="Q32" s="164"/>
      <s:c r="R32" s="376"/>
      <s:c r="S32" s="167">
        <s:f>IF(AND(I32&lt;&gt;"",I32&lt;&gt;0),G32/I32,"")</s:f>
        <s:v>0.038461538461538464</s:v>
      </s:c>
      <s:c r="T32" s="168">
        <s:f>D32/U32</s:f>
        <s:v>0.10809022926669985</s:v>
      </s:c>
      <s:c r="U32" s="169">
        <s:f>$I$8*AA32*AB32/SUMPRODUCT($AB$25:$AB$55,$AA$25:$AA$55)</s:f>
        <s:v>33240.747330960854</s:v>
      </s:c>
      <s:c r="V32" s="170">
        <s:f>$I$9*AA32*AB32/SUMPRODUCT($AB$25:$AB$55,$AA$25:$AA$55)</s:f>
        <s:v>5.0364768683274024</s:v>
      </s:c>
      <s:c r="W32" s="170">
        <s:f>IF($I$12="","",V32/$I$12)</s:f>
        <s:v>2.9626334519572954</s:v>
      </s:c>
      <s:c r="X32" s="169">
        <s:f>IF(AB32&lt;&gt;"",IF(D32&lt;&gt;"",D32,($I$8-SUM($X$25:X31))*AA32*AB32/SUMPRODUCT($AB32:$AB$55,$AA32:$AA$55)),"")</s:f>
        <s:v>3593</s:v>
      </s:c>
      <s:c r="Y32" s="170">
        <s:f>IF(AB32&lt;&gt;"",IF(E32&lt;&gt;"",E32,($I$9-SUM($Y$25:Y31))*AA32*AB32/SUMPRODUCT($AB32:$AB$55,$AA32:$AA$55)),"")</s:f>
        <s:v>1</s:v>
      </s:c>
      <s:c r="Z32" s="413">
        <s:f>IF(AB32&lt;&gt;"",IF($I$12&lt;&gt;"",IF(G32&lt;&gt;"",G32,($I$9/$I$12-SUM($Z$25:Z31))*AA32*AB32/SUMPRODUCT($AB32:$AB$55,$AA32:$AA$55)),""),"")</s:f>
        <s:v>1</s:v>
      </s:c>
      <s:c r="AA32" s="398">
        <s:v>1</s:v>
      </s:c>
      <s:c r="AB32" s="398">
        <s:v>1</s:v>
      </s:c>
      <s:c r="AC32" s="172"/>
      <s:c r="AD32" s="172"/>
      <s:c r="AE32" s="2"/>
      <s:c r="AF32" s="2"/>
      <s:c r="AG32" s="2"/>
      <s:c r="AH32" s="2"/>
      <s:c r="AI32" s="2"/>
      <s:c r="AJ32" s="2"/>
      <s:c r="AK32" s="2"/>
      <s:c r="AL32" s="2"/>
    </s:row>
    <s:row r="33">
      <s:c r="A33" s="173">
        <s:v>9</s:v>
      </s:c>
      <s:c r="B33" s="160">
        <s:v>46035</s:v>
      </s:c>
      <s:c r="C33" s="161" t="s">
        <s:v>63</s:v>
      </s:c>
      <s:c r="D33" s="377">
        <s:v>5393</s:v>
      </s:c>
      <s:c r="E33" s="199">
        <s:v>1</s:v>
      </s:c>
      <s:c r="F33" s="164">
        <s:f>IF(AND(E33&lt;&gt;"",E33&lt;&gt;0),D33/E33,"")</s:f>
        <s:v>5393</s:v>
      </s:c>
      <s:c r="G33" s="199">
        <s:v>1</s:v>
      </s:c>
      <s:c r="H33" s="164">
        <s:f>IF(AND(G33&lt;&gt;"",G33&lt;&gt;0),D33/G33,"")</s:f>
        <s:v>5393</s:v>
      </s:c>
      <s:c r="I33" s="199">
        <s:v>38</s:v>
      </s:c>
      <s:c r="J33" s="165">
        <s:f>IF(AND(G33&lt;&gt;"",G33&lt;&gt;0),E33/G33,"")</s:f>
        <s:v>1</s:v>
      </s:c>
      <s:c r="K33" s="164"/>
      <s:c r="L33" s="164"/>
      <s:c r="M33" s="164"/>
      <s:c r="N33" s="164"/>
      <s:c r="O33" s="164"/>
      <s:c r="P33" s="164"/>
      <s:c r="Q33" s="164"/>
      <s:c r="R33" s="164"/>
      <s:c r="S33" s="167">
        <s:f>IF(AND(I33&lt;&gt;"",I33&lt;&gt;0),G33/I33,"")</s:f>
        <s:v>0.026315789473684209</s:v>
      </s:c>
      <s:c r="T33" s="378">
        <s:f>D33/U33</s:f>
        <s:v>0.16224063635828342</s:v>
      </s:c>
      <s:c r="U33" s="169">
        <s:f>$I$8*AA33*AB33/SUMPRODUCT($AB$25:$AB$55,$AA$25:$AA$55)</s:f>
        <s:v>33240.747330960854</s:v>
      </s:c>
      <s:c r="V33" s="379">
        <s:f>$I$9*AA33*AB33/SUMPRODUCT($AB$25:$AB$55,$AA$25:$AA$55)</s:f>
        <s:v>5.0364768683274024</s:v>
      </s:c>
      <s:c r="W33" s="170">
        <s:f>IF($I$12="","",V33/$I$12)</s:f>
        <s:v>2.9626334519572954</s:v>
      </s:c>
      <s:c r="X33" s="169">
        <s:f>IF(AB33&lt;&gt;"",IF(D33&lt;&gt;"",D33,($I$8-SUM($X$25:X32))*AA33*AB33/SUMPRODUCT($AB33:$AB$55,$AA33:$AA$55)),"")</s:f>
        <s:v>5393</s:v>
      </s:c>
      <s:c r="Y33" s="170">
        <s:f>IF(AB33&lt;&gt;"",IF(E33&lt;&gt;"",E33,($I$9-SUM($Y$25:Y32))*AA33*AB33/SUMPRODUCT($AB33:$AB$55,$AA33:$AA$55)),"")</s:f>
        <s:v>1</s:v>
      </s:c>
      <s:c r="Z33" s="379">
        <s:f>IF(AB33&lt;&gt;"",IF($I$12&lt;&gt;"",IF(G33&lt;&gt;"",G33,($I$9/$I$12-SUM($Z$25:Z32))*AA33*AB33/SUMPRODUCT($AB33:$AB$55,$AA33:$AA$55)),""),"")</s:f>
        <s:v>1</s:v>
      </s:c>
      <s:c r="AA33" s="398">
        <s:v>1</s:v>
      </s:c>
      <s:c r="AB33" s="398">
        <s:v>1</s:v>
      </s:c>
      <s:c r="AC33" s="172"/>
      <s:c r="AD33" s="172"/>
      <s:c r="AE33" s="2"/>
      <s:c r="AF33" s="2"/>
      <s:c r="AG33" s="2"/>
      <s:c r="AH33" s="2"/>
      <s:c r="AI33" s="2"/>
      <s:c r="AJ33" s="2"/>
      <s:c r="AK33" s="2"/>
      <s:c r="AL33" s="2"/>
    </s:row>
    <s:row r="34">
      <s:c r="A34" s="173">
        <s:v>10</s:v>
      </s:c>
      <s:c r="B34" s="160">
        <s:v>46038</s:v>
      </s:c>
      <s:c r="C34" s="205" t="s">
        <s:v>57</s:v>
      </s:c>
      <s:c r="D34" s="165">
        <s:f>26501+62037+5180</s:f>
        <s:v>93718</s:v>
      </s:c>
      <s:c r="E34" s="199">
        <s:v>7</s:v>
      </s:c>
      <s:c r="F34" s="374">
        <s:f>IF(AND(E34&lt;&gt;"",E34&lt;&gt;0),D34/E34,"")</s:f>
        <s:v>13388.285714285714</s:v>
      </s:c>
      <s:c r="G34" s="199">
        <s:v>2</s:v>
      </s:c>
      <s:c r="H34" s="164">
        <s:f>IF(AND(G34&lt;&gt;"",G34&lt;&gt;0),D34/G34,"")</s:f>
        <s:v>46859</s:v>
      </s:c>
      <s:c r="I34" s="199">
        <s:v>12</s:v>
      </s:c>
      <s:c r="J34" s="165">
        <s:f>IF(AND(G34&lt;&gt;"",G34&lt;&gt;0),E34/G34,"")</s:f>
        <s:v>3.5</s:v>
      </s:c>
      <s:c r="K34" s="164"/>
      <s:c r="L34" s="164">
        <s:v>26501</s:v>
      </s:c>
      <s:c r="M34" s="164"/>
      <s:c r="N34" s="164">
        <s:v>62037</s:v>
      </s:c>
      <s:c r="O34" s="164"/>
      <s:c r="P34" s="164"/>
      <s:c r="Q34" s="164"/>
      <s:c r="R34" s="164"/>
      <s:c r="S34" s="167">
        <s:f>IF(AND(I34&lt;&gt;"",I34&lt;&gt;0),G34/I34,"")</s:f>
        <s:v>0.16666666666666666</s:v>
      </s:c>
      <s:c r="T34" s="414">
        <s:f>D34/U34</s:f>
        <s:v>2.8193710287827933</s:v>
      </s:c>
      <s:c r="U34" s="381">
        <s:f>$I$8*AA34*AB34/SUMPRODUCT($AB$25:$AB$55,$AA$25:$AA$55)</s:f>
        <s:v>33240.747330960854</s:v>
      </s:c>
      <s:c r="V34" s="170">
        <s:f>$I$9*AA34*AB34/SUMPRODUCT($AB$25:$AB$55,$AA$25:$AA$55)</s:f>
        <s:v>5.0364768683274024</s:v>
      </s:c>
      <s:c r="W34" s="379">
        <s:f>IF($I$12="","",V34/$I$12)</s:f>
        <s:v>2.9626334519572954</s:v>
      </s:c>
      <s:c r="X34" s="169">
        <s:f>IF(AB34&lt;&gt;"",IF(D34&lt;&gt;"",D34,($I$8-SUM($X$25:X33))*AA34*AB34/SUMPRODUCT($AB34:$AB$55,$AA34:$AA$55)),"")</s:f>
        <s:v>93718</s:v>
      </s:c>
      <s:c r="Y34" s="379">
        <s:f>IF(AB34&lt;&gt;"",IF(E34&lt;&gt;"",E34,($I$9-SUM($Y$25:Y33))*AA34*AB34/SUMPRODUCT($AB34:$AB$55,$AA34:$AA$55)),"")</s:f>
        <s:v>7</s:v>
      </s:c>
      <s:c r="Z34" s="413">
        <s:f>IF(AB34&lt;&gt;"",IF($I$12&lt;&gt;"",IF(G34&lt;&gt;"",G34,($I$9/$I$12-SUM($Z$25:Z33))*AA34*AB34/SUMPRODUCT($AB34:$AB$55,$AA34:$AA$55)),""),"")</s:f>
        <s:v>2</s:v>
      </s:c>
      <s:c r="AA34" s="398">
        <s:v>1</s:v>
      </s:c>
      <s:c r="AB34" s="398">
        <s:v>1</s:v>
      </s:c>
      <s:c r="AC34" s="172"/>
      <s:c r="AD34" s="172"/>
      <s:c r="AE34" s="178"/>
      <s:c r="AF34" s="2"/>
      <s:c r="AG34" s="2"/>
      <s:c r="AH34" s="2"/>
      <s:c r="AI34" s="2"/>
      <s:c r="AJ34" s="2"/>
      <s:c r="AK34" s="2"/>
      <s:c r="AL34" s="2"/>
    </s:row>
    <s:row r="35">
      <s:c r="A35" s="173">
        <s:v>11</s:v>
      </s:c>
      <s:c r="B35" s="160">
        <s:v>46039</s:v>
      </s:c>
      <s:c r="C35" s="161" t="s">
        <s:v>58</s:v>
      </s:c>
      <s:c r="D35" s="165">
        <s:v>14784</s:v>
      </s:c>
      <s:c r="E35" s="199">
        <s:v>2</s:v>
      </s:c>
      <s:c r="F35" s="164">
        <s:f>IF(AND(E35&lt;&gt;"",E35&lt;&gt;0),D35/E35,"")</s:f>
        <s:v>7392</s:v>
      </s:c>
      <s:c r="G35" s="199">
        <s:v>1</s:v>
      </s:c>
      <s:c r="H35" s="198">
        <s:f>IF(AND(G35&lt;&gt;"",G35&lt;&gt;0),D35/G35,"")</s:f>
        <s:v>14784</s:v>
      </s:c>
      <s:c r="I35" s="199">
        <s:v>19</s:v>
      </s:c>
      <s:c r="J35" s="165">
        <s:f>IF(AND(G35&lt;&gt;"",G35&lt;&gt;0),E35/G35,"")</s:f>
        <s:v>2</s:v>
      </s:c>
      <s:c r="K35" s="164"/>
      <s:c r="L35" s="164"/>
      <s:c r="M35" s="164"/>
      <s:c r="N35" s="164"/>
      <s:c r="O35" s="164"/>
      <s:c r="P35" s="164"/>
      <s:c r="Q35" s="164"/>
      <s:c r="R35" s="164"/>
      <s:c r="S35" s="167">
        <s:f>IF(AND(I35&lt;&gt;"",I35&lt;&gt;0),G35/I35,"")</s:f>
        <s:v>0.052631578947368418</s:v>
      </s:c>
      <s:c r="T35" s="378">
        <s:f>D35/U35</s:f>
        <s:v>0.44475534357887297</s:v>
      </s:c>
      <s:c r="U35" s="169">
        <s:f>$I$8*AA35*AB35/SUMPRODUCT($AB$25:$AB$55,$AA$25:$AA$55)</s:f>
        <s:v>33240.747330960854</s:v>
      </s:c>
      <s:c r="V35" s="379">
        <s:f>$I$9*AA35*AB35/SUMPRODUCT($AB$25:$AB$55,$AA$25:$AA$55)</s:f>
        <s:v>5.0364768683274024</s:v>
      </s:c>
      <s:c r="W35" s="170">
        <s:f>IF($I$12="","",V35/$I$12)</s:f>
        <s:v>2.9626334519572954</s:v>
      </s:c>
      <s:c r="X35" s="169">
        <s:f>IF(AB35&lt;&gt;"",IF(D35&lt;&gt;"",D35,($I$8-SUM($X$25:X34))*AA35*AB35/SUMPRODUCT($AB35:$AB$55,$AA35:$AA$55)),"")</s:f>
        <s:v>14784</s:v>
      </s:c>
      <s:c r="Y35" s="170">
        <s:f>IF(AB35&lt;&gt;"",IF(E35&lt;&gt;"",E35,($I$9-SUM($Y$25:Y34))*AA35*AB35/SUMPRODUCT($AB35:$AB$55,$AA35:$AA$55)),"")</s:f>
        <s:v>2</s:v>
      </s:c>
      <s:c r="Z35" s="413">
        <s:f>IF(AB35&lt;&gt;"",IF($I$12&lt;&gt;"",IF(G35&lt;&gt;"",G35,($I$9/$I$12-SUM($Z$25:Z34))*AA35*AB35/SUMPRODUCT($AB35:$AB$55,$AA35:$AA$55)),""),"")</s:f>
        <s:v>1</s:v>
      </s:c>
      <s:c r="AA35" s="398">
        <s:v>1</s:v>
      </s:c>
      <s:c r="AB35" s="398">
        <s:v>1</s:v>
      </s:c>
      <s:c r="AC35" s="172"/>
      <s:c r="AD35" s="172"/>
      <s:c r="AE35" s="178"/>
      <s:c r="AF35" s="2"/>
      <s:c r="AG35" s="2"/>
      <s:c r="AH35" s="2"/>
      <s:c r="AI35" s="2"/>
      <s:c r="AJ35" s="2"/>
      <s:c r="AK35" s="2"/>
      <s:c r="AL35" s="2"/>
    </s:row>
    <s:row r="36">
      <s:c r="A36" s="159">
        <s:v>12</s:v>
      </s:c>
      <s:c r="B36" s="160">
        <s:v>46040</s:v>
      </s:c>
      <s:c r="C36" s="179" t="s">
        <s:v>59</s:v>
      </s:c>
      <s:c r="D36" s="165">
        <s:v>0</s:v>
      </s:c>
      <s:c r="E36" s="199"/>
      <s:c r="F36" s="198" t="str">
        <s:f>IF(AND(E36&lt;&gt;"",E36&lt;&gt;0),D36/E36,"")</s:f>
        <s:v/>
      </s:c>
      <s:c r="G36" s="199"/>
      <s:c r="H36" s="164" t="str">
        <s:f>IF(AND(G36&lt;&gt;"",G36&lt;&gt;0),D36/G36,"")</s:f>
        <s:v/>
      </s:c>
      <s:c r="I36" s="199">
        <s:v>24</s:v>
      </s:c>
      <s:c r="J36" s="165" t="str">
        <s:f>IF(AND(G36&lt;&gt;"",G36&lt;&gt;0),E36/G36,"")</s:f>
        <s:v/>
      </s:c>
      <s:c r="K36" s="164"/>
      <s:c r="L36" s="164"/>
      <s:c r="M36" s="164"/>
      <s:c r="N36" s="164"/>
      <s:c r="O36" s="164"/>
      <s:c r="P36" s="164"/>
      <s:c r="Q36" s="164"/>
      <s:c r="R36" s="164"/>
      <s:c r="S36" s="167">
        <s:f>IF(AND(I36&lt;&gt;"",I36&lt;&gt;0),G36/I36,"")</s:f>
        <s:v>0</s:v>
      </s:c>
      <s:c r="T36" s="168">
        <s:f>D36/U36</s:f>
        <s:v>0</s:v>
      </s:c>
      <s:c r="U36" s="169">
        <s:f>$I$8*AA36*AB36/SUMPRODUCT($AB$25:$AB$55,$AA$25:$AA$55)</s:f>
        <s:v>33240.747330960854</s:v>
      </s:c>
      <s:c r="V36" s="170">
        <s:f>$I$9*AA36*AB36/SUMPRODUCT($AB$25:$AB$55,$AA$25:$AA$55)</s:f>
        <s:v>5.0364768683274024</s:v>
      </s:c>
      <s:c r="W36" s="170">
        <s:f>IF($I$12="","",V36/$I$12)</s:f>
        <s:v>2.9626334519572954</s:v>
      </s:c>
      <s:c r="X36" s="169">
        <s:f>IF(AB36&lt;&gt;"",IF(D36&lt;&gt;"",D36,($I$8-SUM($X$25:X35))*AA36*AB36/SUMPRODUCT($AB36:$AB$55,$AA36:$AA$55)),"")</s:f>
        <s:v>0</s:v>
      </s:c>
      <s:c r="Y36" s="170">
        <s:f>IF(AB36&lt;&gt;"",IF(E36&lt;&gt;"",E36,($I$9-SUM($Y$25:Y35))*AA36*AB36/SUMPRODUCT($AB36:$AB$55,$AA36:$AA$55)),"")</s:f>
        <s:v>8.8366325622775808</s:v>
      </s:c>
      <s:c r="Z36" s="413">
        <s:f>IF(AB36&lt;&gt;"",IF($I$12&lt;&gt;"",IF(G36&lt;&gt;"",G36,($I$9/$I$12-SUM($Z$25:Z35))*AA36*AB36/SUMPRODUCT($AB36:$AB$55,$AA36:$AA$55)),""),"")</s:f>
        <s:v>5.1612544483985774</s:v>
      </s:c>
      <s:c r="AA36" s="398">
        <s:v>1</s:v>
      </s:c>
      <s:c r="AB36" s="398">
        <s:v>1</s:v>
      </s:c>
      <s:c r="AC36" s="172"/>
      <s:c r="AD36" s="172"/>
      <s:c r="AE36" s="178"/>
      <s:c r="AF36" s="2"/>
      <s:c r="AG36" s="2"/>
      <s:c r="AH36" s="2"/>
      <s:c r="AI36" s="2"/>
      <s:c r="AJ36" s="2"/>
      <s:c r="AK36" s="2"/>
      <s:c r="AL36" s="2"/>
    </s:row>
    <s:row r="37">
      <s:c r="A37" s="173">
        <s:v>13</s:v>
      </s:c>
      <s:c r="B37" s="160">
        <s:v>46043</s:v>
      </s:c>
      <s:c r="C37" s="179" t="s">
        <s:v>65</s:v>
      </s:c>
      <s:c r="D37" s="165">
        <s:v>25667</s:v>
      </s:c>
      <s:c r="E37" s="127">
        <s:v>4</s:v>
      </s:c>
      <s:c r="F37" s="164">
        <s:f>IF(AND(E37&lt;&gt;"",E37&lt;&gt;0),D37/E37,"")</s:f>
        <s:v>6416.75</s:v>
      </s:c>
      <s:c r="G37" s="127">
        <s:v>2</s:v>
      </s:c>
      <s:c r="H37" s="164">
        <s:f>IF(AND(G37&lt;&gt;"",G37&lt;&gt;0),D37/G37,"")</s:f>
        <s:v>12833.5</s:v>
      </s:c>
      <s:c r="I37" s="127">
        <s:v>12</s:v>
      </s:c>
      <s:c r="J37" s="165">
        <s:f>IF(AND(G37&lt;&gt;"",G37&lt;&gt;0),E37/G37,"")</s:f>
        <s:v>2</s:v>
      </s:c>
      <s:c r="K37" s="127"/>
      <s:c r="L37" s="127"/>
      <s:c r="M37" s="127"/>
      <s:c r="N37" s="127"/>
      <s:c r="O37" s="127"/>
      <s:c r="P37" s="166"/>
      <s:c r="Q37" s="166"/>
      <s:c r="R37" s="164"/>
      <s:c r="S37" s="167">
        <s:f>IF(AND(I37&lt;&gt;"",I37&lt;&gt;0),G37/I37,"")</s:f>
        <s:v>0.16666666666666666</s:v>
      </s:c>
      <s:c r="T37" s="168">
        <s:f>D37/U37</s:f>
        <s:v>0.77215472156648624</s:v>
      </s:c>
      <s:c r="U37" s="169">
        <s:f>$I$8*AA37*AB37/SUMPRODUCT($AB$25:$AB$55,$AA$25:$AA$55)</s:f>
        <s:v>33240.747330960854</s:v>
      </s:c>
      <s:c r="V37" s="170">
        <s:f>$I$9*AA37*AB37/SUMPRODUCT($AB$25:$AB$55,$AA$25:$AA$55)</s:f>
        <s:v>5.0364768683274024</s:v>
      </s:c>
      <s:c r="W37" s="170">
        <s:f>IF($I$12="","",V37/$I$12)</s:f>
        <s:v>2.9626334519572954</s:v>
      </s:c>
      <s:c r="X37" s="169">
        <s:f>IF(AB37&lt;&gt;"",IF(D37&lt;&gt;"",D37,($I$8-SUM($X$25:X36))*AA37*AB37/SUMPRODUCT($AB37:$AB$55,$AA37:$AA$55)),"")</s:f>
        <s:v>25667</s:v>
      </s:c>
      <s:c r="Y37" s="170">
        <s:f>IF(AB37&lt;&gt;"",IF(E37&lt;&gt;"",E37,($I$9-SUM($Y$25:Y36))*AA37*AB37/SUMPRODUCT($AB37:$AB$55,$AA37:$AA$55)),"")</s:f>
        <s:v>4</s:v>
      </s:c>
      <s:c r="Z37" s="170">
        <s:f>IF(AB37&lt;&gt;"",IF($I$12&lt;&gt;"",IF(G37&lt;&gt;"",G37,($I$9/$I$12-SUM($Z$25:Z36))*AA37*AB37/SUMPRODUCT($AB37:$AB$55,$AA37:$AA$55)),""),"")</s:f>
        <s:v>2</s:v>
      </s:c>
      <s:c r="AA37" s="398">
        <s:v>1</s:v>
      </s:c>
      <s:c r="AB37" s="398">
        <s:v>1</s:v>
      </s:c>
      <s:c r="AC37" s="172"/>
      <s:c r="AD37" s="172"/>
      <s:c r="AE37" s="178"/>
      <s:c r="AF37" s="2"/>
      <s:c r="AG37" s="2"/>
      <s:c r="AH37" s="2"/>
      <s:c r="AI37" s="2"/>
      <s:c r="AJ37" s="2"/>
      <s:c r="AK37" s="2"/>
      <s:c r="AL37" s="2"/>
    </s:row>
    <s:row r="38">
      <s:c r="A38" s="159">
        <s:v>14</s:v>
      </s:c>
      <s:c r="B38" s="160">
        <s:v>46044</s:v>
      </s:c>
      <s:c r="C38" s="177" t="s">
        <s:v>55</s:v>
      </s:c>
      <s:c r="D38" s="165">
        <s:f>14500+31191</s:f>
        <s:v>45691</s:v>
      </s:c>
      <s:c r="E38" s="127">
        <s:v>6</s:v>
      </s:c>
      <s:c r="F38" s="164">
        <s:f>IF(AND(E38&lt;&gt;"",E38&lt;&gt;0),D38/E38,"")</s:f>
        <s:v>7615.166666666667</s:v>
      </s:c>
      <s:c r="G38" s="127">
        <s:v>2</s:v>
      </s:c>
      <s:c r="H38" s="164">
        <s:f>IF(AND(G38&lt;&gt;"",G38&lt;&gt;0),D38/G38,"")</s:f>
        <s:v>22845.5</s:v>
      </s:c>
      <s:c r="I38" s="127">
        <s:v>18</s:v>
      </s:c>
      <s:c r="J38" s="165">
        <s:f>IF(AND(G38&lt;&gt;"",G38&lt;&gt;0),E38/G38,"")</s:f>
        <s:v>3</s:v>
      </s:c>
      <s:c r="K38" s="127"/>
      <s:c r="L38" s="127">
        <s:v>14500</s:v>
      </s:c>
      <s:c r="M38" s="127"/>
      <s:c r="N38" s="127"/>
      <s:c r="O38" s="127"/>
      <s:c r="P38" s="166"/>
      <s:c r="Q38" s="166"/>
      <s:c r="R38" s="164"/>
      <s:c r="S38" s="167">
        <s:f>IF(AND(I38&lt;&gt;"",I38&lt;&gt;0),G38/I38,"")</s:f>
        <s:v>0.1111111111111111</s:v>
      </s:c>
      <s:c r="T38" s="168">
        <s:f>D38/U38</s:f>
        <s:v>1.3745479169008581</s:v>
      </s:c>
      <s:c r="U38" s="169">
        <s:f>$I$8*AA38*AB38/SUMPRODUCT($AB$25:$AB$55,$AA$25:$AA$55)</s:f>
        <s:v>33240.747330960854</s:v>
      </s:c>
      <s:c r="V38" s="170">
        <s:f>$I$9*AA38*AB38/SUMPRODUCT($AB$25:$AB$55,$AA$25:$AA$55)</s:f>
        <s:v>5.0364768683274024</s:v>
      </s:c>
      <s:c r="W38" s="170">
        <s:f>IF($I$12="","",V38/$I$12)</s:f>
        <s:v>2.9626334519572954</s:v>
      </s:c>
      <s:c r="X38" s="169">
        <s:f>IF(AB38&lt;&gt;"",IF(D38&lt;&gt;"",D38,($I$8-SUM($X$25:X37))*AA38*AB38/SUMPRODUCT($AB38:$AB$55,$AA38:$AA$55)),"")</s:f>
        <s:v>45691</s:v>
      </s:c>
      <s:c r="Y38" s="170">
        <s:f>IF(AB38&lt;&gt;"",IF(E38&lt;&gt;"",E38,($I$9-SUM($Y$25:Y37))*AA38*AB38/SUMPRODUCT($AB38:$AB$55,$AA38:$AA$55)),"")</s:f>
        <s:v>6</s:v>
      </s:c>
      <s:c r="Z38" s="170">
        <s:f>IF(AB38&lt;&gt;"",IF($I$12&lt;&gt;"",IF(G38&lt;&gt;"",G38,($I$9/$I$12-SUM($Z$25:Z37))*AA38*AB38/SUMPRODUCT($AB38:$AB$55,$AA38:$AA$55)),""),"")</s:f>
        <s:v>2</s:v>
      </s:c>
      <s:c r="AA38" s="398">
        <s:v>1</s:v>
      </s:c>
      <s:c r="AB38" s="398">
        <s:v>1</s:v>
      </s:c>
      <s:c r="AC38" s="172"/>
      <s:c r="AD38" s="172"/>
      <s:c r="AE38" s="178"/>
      <s:c r="AF38" s="2"/>
      <s:c r="AG38" s="2"/>
      <s:c r="AH38" s="2"/>
      <s:c r="AI38" s="2"/>
      <s:c r="AJ38" s="2"/>
      <s:c r="AK38" s="2"/>
      <s:c r="AL38" s="2"/>
    </s:row>
    <s:row r="39">
      <s:c r="A39" s="173">
        <s:v>15</s:v>
      </s:c>
      <s:c r="B39" s="160">
        <s:v>46045</s:v>
      </s:c>
      <s:c r="C39" s="179" t="s">
        <s:v>57</s:v>
      </s:c>
      <s:c r="D39" s="165">
        <s:v>27087</s:v>
      </s:c>
      <s:c r="E39" s="127">
        <s:v>6</s:v>
      </s:c>
      <s:c r="F39" s="164">
        <s:f>IF(AND(E39&lt;&gt;"",E39&lt;&gt;0),D39/E39,"")</s:f>
        <s:v>4514.5</s:v>
      </s:c>
      <s:c r="G39" s="127">
        <s:v>4</s:v>
      </s:c>
      <s:c r="H39" s="164">
        <s:f>IF(AND(G39&lt;&gt;"",G39&lt;&gt;0),D39/G39,"")</s:f>
        <s:v>6771.75</s:v>
      </s:c>
      <s:c r="I39" s="127">
        <s:v>19</s:v>
      </s:c>
      <s:c r="J39" s="165">
        <s:f>IF(AND(G39&lt;&gt;"",G39&lt;&gt;0),E39/G39,"")</s:f>
        <s:v>1.5</s:v>
      </s:c>
      <s:c r="K39" s="127"/>
      <s:c r="L39" s="127"/>
      <s:c r="M39" s="127"/>
      <s:c r="N39" s="127"/>
      <s:c r="O39" s="127">
        <s:v>8990</s:v>
      </s:c>
      <s:c r="P39" s="166"/>
      <s:c r="Q39" s="166">
        <s:v>8893</s:v>
      </s:c>
      <s:c r="R39" s="164">
        <s:v>9194</s:v>
      </s:c>
      <s:c r="S39" s="167">
        <s:f>IF(AND(I39&lt;&gt;"",I39&lt;&gt;0),G39/I39,"")</s:f>
        <s:v>0.21052631578947367</s:v>
      </s:c>
      <s:c r="T39" s="168">
        <s:f>D39/U39</s:f>
        <s:v>0.81487337604984666</s:v>
      </s:c>
      <s:c r="U39" s="169">
        <s:f>$I$8*AA39*AB39/SUMPRODUCT($AB$25:$AB$55,$AA$25:$AA$55)</s:f>
        <s:v>33240.747330960854</s:v>
      </s:c>
      <s:c r="V39" s="170">
        <s:f>$I$9*AA39*AB39/SUMPRODUCT($AB$25:$AB$55,$AA$25:$AA$55)</s:f>
        <s:v>5.0364768683274024</s:v>
      </s:c>
      <s:c r="W39" s="170">
        <s:f>IF($I$12="","",V39/$I$12)</s:f>
        <s:v>2.9626334519572954</s:v>
      </s:c>
      <s:c r="X39" s="169">
        <s:f>IF(AB39&lt;&gt;"",IF(D39&lt;&gt;"",D39,($I$8-SUM($X$25:X38))*AA39*AB39/SUMPRODUCT($AB39:$AB$55,$AA39:$AA$55)),"")</s:f>
        <s:v>27087</s:v>
      </s:c>
      <s:c r="Y39" s="170">
        <s:f>IF(AB39&lt;&gt;"",IF(E39&lt;&gt;"",E39,($I$9-SUM($Y$25:Y38))*AA39*AB39/SUMPRODUCT($AB39:$AB$55,$AA39:$AA$55)),"")</s:f>
        <s:v>6</s:v>
      </s:c>
      <s:c r="Z39" s="170">
        <s:f>IF(AB39&lt;&gt;"",IF($I$12&lt;&gt;"",IF(G39&lt;&gt;"",G39,($I$9/$I$12-SUM($Z$25:Z38))*AA39*AB39/SUMPRODUCT($AB39:$AB$55,$AA39:$AA$55)),""),"")</s:f>
        <s:v>4</s:v>
      </s:c>
      <s:c r="AA39" s="398">
        <s:v>1</s:v>
      </s:c>
      <s:c r="AB39" s="398">
        <s:v>1</s:v>
      </s:c>
      <s:c r="AC39" s="172"/>
      <s:c r="AD39" s="172"/>
      <s:c r="AE39" s="178"/>
      <s:c r="AF39" s="2"/>
      <s:c r="AG39" s="2"/>
      <s:c r="AH39" s="2"/>
      <s:c r="AI39" s="2"/>
      <s:c r="AJ39" s="2"/>
      <s:c r="AK39" s="2"/>
      <s:c r="AL39" s="2"/>
    </s:row>
    <s:row r="40">
      <s:c r="A40" s="159">
        <s:v>16</s:v>
      </s:c>
      <s:c r="B40" s="160">
        <s:v>46048</s:v>
      </s:c>
      <s:c r="C40" s="177" t="s">
        <s:v>61</s:v>
      </s:c>
      <s:c r="D40" s="165">
        <s:v>13769</s:v>
      </s:c>
      <s:c r="E40" s="127">
        <s:v>2</s:v>
      </s:c>
      <s:c r="F40" s="198">
        <s:f>IF(AND(E40&lt;&gt;"",E40&lt;&gt;0),D40/E40,"")</s:f>
        <s:v>6884.5</s:v>
      </s:c>
      <s:c r="G40" s="199">
        <s:v>1</s:v>
      </s:c>
      <s:c r="H40" s="164">
        <s:f>IF(AND(G40&lt;&gt;"",G40&lt;&gt;0),D40/G40,"")</s:f>
        <s:v>13769</s:v>
      </s:c>
      <s:c r="I40" s="127">
        <s:v>11</s:v>
      </s:c>
      <s:c r="J40" s="165">
        <s:f>IF(AND(G40&lt;&gt;"",G40&lt;&gt;0),E40/G40,"")</s:f>
        <s:v>2</s:v>
      </s:c>
      <s:c r="K40" s="127"/>
      <s:c r="L40" s="127"/>
      <s:c r="M40" s="127"/>
      <s:c r="N40" s="127"/>
      <s:c r="O40" s="127"/>
      <s:c r="P40" s="166"/>
      <s:c r="Q40" s="166"/>
      <s:c r="R40" s="164"/>
      <s:c r="S40" s="167">
        <s:f>IF(AND(I40&lt;&gt;"",I40&lt;&gt;0),G40/I40,"")</s:f>
        <s:v>0.090909090909090912</s:v>
      </s:c>
      <s:c r="T40" s="168">
        <s:f>D40/U40</s:f>
        <s:v>0.41422053069111892</s:v>
      </s:c>
      <s:c r="U40" s="169">
        <s:f>$I$8*AA40*AB40/SUMPRODUCT($AB$25:$AB$55,$AA$25:$AA$55)</s:f>
        <s:v>33240.747330960854</s:v>
      </s:c>
      <s:c r="V40" s="170">
        <s:f>$I$9*AA40*AB40/SUMPRODUCT($AB$25:$AB$55,$AA$25:$AA$55)</s:f>
        <s:v>5.0364768683274024</s:v>
      </s:c>
      <s:c r="W40" s="170">
        <s:f>IF($I$12="","",V40/$I$12)</s:f>
        <s:v>2.9626334519572954</s:v>
      </s:c>
      <s:c r="X40" s="169">
        <s:f>IF(AB40&lt;&gt;"",IF(D40&lt;&gt;"",D40,($I$8-SUM($X$25:X39))*AA40*AB40/SUMPRODUCT($AB40:$AB$55,$AA40:$AA$55)),"")</s:f>
        <s:v>13769</s:v>
      </s:c>
      <s:c r="Y40" s="170">
        <s:f>IF(AB40&lt;&gt;"",IF(E40&lt;&gt;"",E40,($I$9-SUM($Y$25:Y39))*AA40*AB40/SUMPRODUCT($AB40:$AB$55,$AA40:$AA$55)),"")</s:f>
        <s:v>2</s:v>
      </s:c>
      <s:c r="Z40" s="170">
        <s:f>IF(AB40&lt;&gt;"",IF($I$12&lt;&gt;"",IF(G40&lt;&gt;"",G40,($I$9/$I$12-SUM($Z$25:Z39))*AA40*AB40/SUMPRODUCT($AB40:$AB$55,$AA40:$AA$55)),""),"")</s:f>
        <s:v>1</s:v>
      </s:c>
      <s:c r="AA40" s="398">
        <s:v>1</s:v>
      </s:c>
      <s:c r="AB40" s="398">
        <s:v>1</s:v>
      </s:c>
      <s:c r="AC40" s="172"/>
      <s:c r="AD40" s="172"/>
      <s:c r="AE40" s="178"/>
      <s:c r="AF40" s="2"/>
      <s:c r="AG40" s="2"/>
      <s:c r="AH40" s="2"/>
      <s:c r="AI40" s="2"/>
      <s:c r="AJ40" s="2"/>
      <s:c r="AK40" s="2"/>
      <s:c r="AL40" s="2"/>
    </s:row>
    <s:row r="41">
      <s:c r="A41" s="173">
        <s:v>17</s:v>
      </s:c>
      <s:c r="B41" s="160">
        <s:v>46049</s:v>
      </s:c>
      <s:c r="C41" s="179" t="s">
        <s:v>63</s:v>
      </s:c>
      <s:c r="D41" s="165">
        <s:v>102342</s:v>
      </s:c>
      <s:c r="E41" s="127">
        <s:v>10</s:v>
      </s:c>
      <s:c r="F41" s="164">
        <s:f>IF(AND(E41&lt;&gt;"",E41&lt;&gt;0),D41/E41,"")</s:f>
        <s:v>10234.200000000001</s:v>
      </s:c>
      <s:c r="G41" s="127">
        <s:v>2</s:v>
      </s:c>
      <s:c r="H41" s="164">
        <s:f>IF(AND(G41&lt;&gt;"",G41&lt;&gt;0),D41/G41,"")</s:f>
        <s:v>51171</s:v>
      </s:c>
      <s:c r="I41" s="127">
        <s:v>27</s:v>
      </s:c>
      <s:c r="J41" s="165">
        <s:f>IF(AND(G41&lt;&gt;"",G41&lt;&gt;0),E41/G41,"")</s:f>
        <s:v>5</s:v>
      </s:c>
      <s:c r="K41" s="127"/>
      <s:c r="L41" s="127"/>
      <s:c r="M41" s="127"/>
      <s:c r="N41" s="127"/>
      <s:c r="O41" s="127"/>
      <s:c r="P41" s="166"/>
      <s:c r="Q41" s="166"/>
      <s:c r="R41" s="164"/>
      <s:c r="S41" s="167">
        <s:f>IF(AND(I41&lt;&gt;"",I41&lt;&gt;0),G41/I41,"")</s:f>
        <s:v>0.07407407407407407</s:v>
      </s:c>
      <s:c r="T41" s="168">
        <s:f>D41/U41</s:f>
        <s:v>3.0788116458704695</s:v>
      </s:c>
      <s:c r="U41" s="169">
        <s:f>$I$8*AA41*AB41/SUMPRODUCT($AB$25:$AB$55,$AA$25:$AA$55)</s:f>
        <s:v>33240.747330960854</s:v>
      </s:c>
      <s:c r="V41" s="170">
        <s:f>$I$9*AA41*AB41/SUMPRODUCT($AB$25:$AB$55,$AA$25:$AA$55)</s:f>
        <s:v>5.0364768683274024</s:v>
      </s:c>
      <s:c r="W41" s="170">
        <s:f>IF($I$12="","",V41/$I$12)</s:f>
        <s:v>2.9626334519572954</s:v>
      </s:c>
      <s:c r="X41" s="169">
        <s:f>IF(AB41&lt;&gt;"",IF(D41&lt;&gt;"",D41,($I$8-SUM($X$25:X40))*AA41*AB41/SUMPRODUCT($AB41:$AB$55,$AA41:$AA$55)),"")</s:f>
        <s:v>102342</s:v>
      </s:c>
      <s:c r="Y41" s="170">
        <s:f>IF(AB41&lt;&gt;"",IF(E41&lt;&gt;"",E41,($I$9-SUM($Y$25:Y40))*AA41*AB41/SUMPRODUCT($AB41:$AB$55,$AA41:$AA$55)),"")</s:f>
        <s:v>10</s:v>
      </s:c>
      <s:c r="Z41" s="170">
        <s:f>IF(AB41&lt;&gt;"",IF($I$12&lt;&gt;"",IF(G41&lt;&gt;"",G41,($I$9/$I$12-SUM($Z$25:Z40))*AA41*AB41/SUMPRODUCT($AB41:$AB$55,$AA41:$AA$55)),""),"")</s:f>
        <s:v>2</s:v>
      </s:c>
      <s:c r="AA41" s="398">
        <s:v>1</s:v>
      </s:c>
      <s:c r="AB41" s="398">
        <s:v>1</s:v>
      </s:c>
      <s:c r="AC41" s="172"/>
      <s:c r="AD41" s="172"/>
      <s:c r="AE41" s="178"/>
      <s:c r="AF41" s="2"/>
      <s:c r="AG41" s="2"/>
      <s:c r="AH41" s="2"/>
      <s:c r="AI41" s="2"/>
      <s:c r="AJ41" s="2"/>
      <s:c r="AK41" s="2"/>
      <s:c r="AL41" s="2"/>
    </s:row>
    <s:row r="42">
      <s:c r="A42" s="159">
        <s:v>18</s:v>
      </s:c>
      <s:c r="B42" s="160">
        <s:v>46050</s:v>
      </s:c>
      <s:c r="C42" s="177" t="s">
        <s:v>65</s:v>
      </s:c>
      <s:c r="D42" s="165">
        <s:v>15883</s:v>
      </s:c>
      <s:c r="E42" s="127">
        <s:v>2</s:v>
      </s:c>
      <s:c r="F42" s="164">
        <s:f>IF(AND(E42&lt;&gt;"",E42&lt;&gt;0),D42/E42,"")</s:f>
        <s:v>7941.5</s:v>
      </s:c>
      <s:c r="G42" s="127">
        <s:v>1</s:v>
      </s:c>
      <s:c r="H42" s="164">
        <s:f>IF(AND(G42&lt;&gt;"",G42&lt;&gt;0),D42/G42,"")</s:f>
        <s:v>15883</s:v>
      </s:c>
      <s:c r="I42" s="127"/>
      <s:c r="J42" s="165">
        <s:f>IF(AND(G42&lt;&gt;"",G42&lt;&gt;0),E42/G42,"")</s:f>
        <s:v>2</s:v>
      </s:c>
      <s:c r="K42" s="127"/>
      <s:c r="L42" s="127"/>
      <s:c r="M42" s="127"/>
      <s:c r="N42" s="127"/>
      <s:c r="O42" s="127"/>
      <s:c r="P42" s="166"/>
      <s:c r="Q42" s="166"/>
      <s:c r="R42" s="164"/>
      <s:c r="S42" s="167" t="str">
        <s:f>IF(AND(I42&lt;&gt;"",I42&lt;&gt;0),G42/I42,"")</s:f>
        <s:v/>
      </s:c>
      <s:c r="T42" s="168">
        <s:f>D42/U42</s:f>
        <s:v>0.4778171754642343</s:v>
      </s:c>
      <s:c r="U42" s="169">
        <s:f>$I$8*AA42*AB42/SUMPRODUCT($AB$25:$AB$55,$AA$25:$AA$55)</s:f>
        <s:v>33240.747330960854</s:v>
      </s:c>
      <s:c r="V42" s="170">
        <s:f>$I$9*AA42*AB42/SUMPRODUCT($AB$25:$AB$55,$AA$25:$AA$55)</s:f>
        <s:v>5.0364768683274024</s:v>
      </s:c>
      <s:c r="W42" s="170">
        <s:f>IF($I$12="","",V42/$I$12)</s:f>
        <s:v>2.9626334519572954</s:v>
      </s:c>
      <s:c r="X42" s="169">
        <s:f>IF(AB42&lt;&gt;"",IF(D42&lt;&gt;"",D42,($I$8-SUM($X$25:X41))*AA42*AB42/SUMPRODUCT($AB42:$AB$55,$AA42:$AA$55)),"")</s:f>
        <s:v>15883</s:v>
      </s:c>
      <s:c r="Y42" s="170">
        <s:f>IF(AB42&lt;&gt;"",IF(E42&lt;&gt;"",E42,($I$9-SUM($Y$25:Y41))*AA42*AB42/SUMPRODUCT($AB42:$AB$55,$AA42:$AA$55)),"")</s:f>
        <s:v>2</s:v>
      </s:c>
      <s:c r="Z42" s="170">
        <s:f>IF(AB42&lt;&gt;"",IF($I$12&lt;&gt;"",IF(G42&lt;&gt;"",G42,($I$9/$I$12-SUM($Z$25:Z41))*AA42*AB42/SUMPRODUCT($AB42:$AB$55,$AA42:$AA$55)),""),"")</s:f>
        <s:v>1</s:v>
      </s:c>
      <s:c r="AA42" s="398">
        <s:v>1</s:v>
      </s:c>
      <s:c r="AB42" s="398">
        <s:v>1</s:v>
      </s:c>
      <s:c r="AC42" s="172"/>
      <s:c r="AD42" s="172"/>
      <s:c r="AE42" s="178"/>
      <s:c r="AF42" s="2"/>
      <s:c r="AG42" s="2"/>
      <s:c r="AH42" s="2"/>
      <s:c r="AI42" s="2"/>
      <s:c r="AJ42" s="2"/>
      <s:c r="AK42" s="2"/>
      <s:c r="AL42" s="2"/>
    </s:row>
    <s:row r="43">
      <s:c r="A43" s="173">
        <s:v>19</s:v>
      </s:c>
      <s:c r="B43" s="160">
        <s:v>46053</s:v>
      </s:c>
      <s:c r="C43" s="179" t="s">
        <s:v>58</s:v>
      </s:c>
      <s:c r="D43" s="165">
        <s:v>26958</s:v>
      </s:c>
      <s:c r="E43" s="127">
        <s:v>5</s:v>
      </s:c>
      <s:c r="F43" s="164">
        <s:f>IF(AND(E43&lt;&gt;"",E43&lt;&gt;0),D43/E43,"")</s:f>
        <s:v>5391.6000000000004</s:v>
      </s:c>
      <s:c r="G43" s="127">
        <s:v>2</s:v>
      </s:c>
      <s:c r="H43" s="164">
        <s:f>IF(AND(G43&lt;&gt;"",G43&lt;&gt;0),D43/G43,"")</s:f>
        <s:v>13479</s:v>
      </s:c>
      <s:c r="I43" s="127"/>
      <s:c r="J43" s="165">
        <s:f>IF(AND(G43&lt;&gt;"",G43&lt;&gt;0),E43/G43,"")</s:f>
        <s:v>2.5</s:v>
      </s:c>
      <s:c r="K43" s="127"/>
      <s:c r="L43" s="127"/>
      <s:c r="M43" s="127"/>
      <s:c r="N43" s="127"/>
      <s:c r="O43" s="127"/>
      <s:c r="P43" s="166"/>
      <s:c r="Q43" s="166"/>
      <s:c r="R43" s="164"/>
      <s:c r="S43" s="167" t="str">
        <s:f>IF(AND(I43&lt;&gt;"",I43&lt;&gt;0),G43/I43,"")</s:f>
        <s:v/>
      </s:c>
      <s:c r="T43" s="168">
        <s:f>D43/U43</s:f>
        <s:v>0.81099259687494984</s:v>
      </s:c>
      <s:c r="U43" s="169">
        <s:f>$I$8*AA43*AB43/SUMPRODUCT($AB$25:$AB$55,$AA$25:$AA$55)</s:f>
        <s:v>33240.747330960854</s:v>
      </s:c>
      <s:c r="V43" s="170">
        <s:f>$I$9*AA43*AB43/SUMPRODUCT($AB$25:$AB$55,$AA$25:$AA$55)</s:f>
        <s:v>5.0364768683274024</s:v>
      </s:c>
      <s:c r="W43" s="170">
        <s:f>IF($I$12="","",V43/$I$12)</s:f>
        <s:v>2.9626334519572954</s:v>
      </s:c>
      <s:c r="X43" s="169">
        <s:f>IF(AB43&lt;&gt;"",IF(D43&lt;&gt;"",D43,($I$8-SUM($X$25:X42))*AA43*AB43/SUMPRODUCT($AB43:$AB$55,$AA43:$AA$55)),"")</s:f>
        <s:v>26958</s:v>
      </s:c>
      <s:c r="Y43" s="170">
        <s:f>IF(AB43&lt;&gt;"",IF(E43&lt;&gt;"",E43,($I$9-SUM($Y$25:Y42))*AA43*AB43/SUMPRODUCT($AB43:$AB$55,$AA43:$AA$55)),"")</s:f>
        <s:v>5</s:v>
      </s:c>
      <s:c r="Z43" s="170">
        <s:f>IF(AB43&lt;&gt;"",IF($I$12&lt;&gt;"",IF(G43&lt;&gt;"",G43,($I$9/$I$12-SUM($Z$25:Z42))*AA43*AB43/SUMPRODUCT($AB43:$AB$55,$AA43:$AA$55)),""),"")</s:f>
        <s:v>2</s:v>
      </s:c>
      <s:c r="AA43" s="398">
        <s:v>1</s:v>
      </s:c>
      <s:c r="AB43" s="398">
        <s:v>1</s:v>
      </s:c>
      <s:c r="AC43" s="172"/>
      <s:c r="AD43" s="172"/>
      <s:c r="AE43" s="178"/>
      <s:c r="AF43" s="2"/>
      <s:c r="AG43" s="2"/>
      <s:c r="AH43" s="2"/>
      <s:c r="AI43" s="2"/>
      <s:c r="AJ43" s="2"/>
      <s:c r="AK43" s="2"/>
      <s:c r="AL43" s="2"/>
    </s:row>
    <s:row r="44" ht="15" customHeight="1">
      <s:c r="A44" s="159"/>
      <s:c r="B44" s="160"/>
      <s:c r="C44" s="177"/>
      <s:c r="D44" s="165"/>
      <s:c r="E44" s="127"/>
      <s:c r="F44" s="164" t="str">
        <s:f>IF(AND(E44&lt;&gt;"",E44&lt;&gt;0),D44/E44,"")</s:f>
        <s:v/>
      </s:c>
      <s:c r="G44" s="127"/>
      <s:c r="H44" s="164" t="str">
        <s:f>IF(AND(G44&lt;&gt;"",G44&lt;&gt;0),D44/G44,"")</s:f>
        <s:v/>
      </s:c>
      <s:c r="I44" s="127"/>
      <s:c r="J44" s="165" t="str">
        <s:f>IF(AND(G44&lt;&gt;"",G44&lt;&gt;0),E44/G44,"")</s:f>
        <s:v/>
      </s:c>
      <s:c r="K44" s="127"/>
      <s:c r="L44" s="127"/>
      <s:c r="M44" s="127"/>
      <s:c r="N44" s="127"/>
      <s:c r="O44" s="127"/>
      <s:c r="P44" s="166"/>
      <s:c r="Q44" s="166"/>
      <s:c r="R44" s="164"/>
      <s:c r="S44" s="167" t="str">
        <s:f>IF(AND(I44&lt;&gt;"",I44&lt;&gt;0),G44/I44,"")</s:f>
        <s:v/>
      </s:c>
      <s:c r="T44" s="168" t="e">
        <s:f>D44/U44</s:f>
        <s:v>#DIV/0!</s:v>
      </s:c>
      <s:c r="U44" s="169">
        <s:f>$I$8*AA44*AB44/SUMPRODUCT($AB$25:$AB$55,$AA$25:$AA$55)</s:f>
        <s:v>0</s:v>
      </s:c>
      <s:c r="V44" s="170">
        <s:f>$I$9*AA44*AB44/SUMPRODUCT($AB$25:$AB$55,$AA$25:$AA$55)</s:f>
        <s:v>0</s:v>
      </s:c>
      <s:c r="W44" s="170">
        <s:f>IF($I$12="","",V44/$I$12)</s:f>
        <s:v>0</s:v>
      </s:c>
      <s:c r="X44" s="169" t="str">
        <s:f>IF(AB44&lt;&gt;"",IF(D44&lt;&gt;"",D44,($I$8-SUM($X$25:X43))*AA44*AB44/SUMPRODUCT($AB44:$AB$55,$AA44:$AA$55)),"")</s:f>
        <s:v/>
      </s:c>
      <s:c r="Y44" s="170" t="str">
        <s:f>IF(AB44&lt;&gt;"",IF(E44&lt;&gt;"",E44,($I$9-SUM($Y$25:Y43))*AA44*AB44/SUMPRODUCT($AB44:$AB$55,$AA44:$AA$55)),"")</s:f>
        <s:v/>
      </s:c>
      <s:c r="Z44" s="170" t="str">
        <s:f>IF(AB44&lt;&gt;"",IF($I$12&lt;&gt;"",IF(G44&lt;&gt;"",G44,($I$9/$I$12-SUM($Z$25:Z43))*AA44*AB44/SUMPRODUCT($AB44:$AB$55,$AA44:$AA$55)),""),"")</s:f>
        <s:v/>
      </s:c>
      <s:c r="AA44" s="171"/>
      <s:c r="AB44" s="171"/>
      <s:c r="AC44" s="172"/>
      <s:c r="AD44" s="172"/>
      <s:c r="AE44" s="178"/>
      <s:c r="AF44" s="2"/>
      <s:c r="AG44" s="2"/>
      <s:c r="AH44" s="2"/>
      <s:c r="AI44" s="2"/>
      <s:c r="AJ44" s="2"/>
      <s:c r="AK44" s="2"/>
      <s:c r="AL44" s="2"/>
    </s:row>
    <s:row r="45" ht="15" customHeight="1">
      <s:c r="A45" s="173"/>
      <s:c r="B45" s="160"/>
      <s:c r="C45" s="179"/>
      <s:c r="D45" s="165"/>
      <s:c r="E45" s="127"/>
      <s:c r="F45" s="164" t="str">
        <s:f>IF(AND(E45&lt;&gt;"",E45&lt;&gt;0),D45/E45,"")</s:f>
        <s:v/>
      </s:c>
      <s:c r="G45" s="127"/>
      <s:c r="H45" s="164" t="str">
        <s:f>IF(AND(G45&lt;&gt;"",G45&lt;&gt;0),D45/G45,"")</s:f>
        <s:v/>
      </s:c>
      <s:c r="I45" s="127"/>
      <s:c r="J45" s="165" t="str">
        <s:f>IF(AND(G45&lt;&gt;"",G45&lt;&gt;0),E45/G45,"")</s:f>
        <s:v/>
      </s:c>
      <s:c r="K45" s="127"/>
      <s:c r="L45" s="127"/>
      <s:c r="M45" s="127"/>
      <s:c r="N45" s="127"/>
      <s:c r="O45" s="127"/>
      <s:c r="P45" s="166"/>
      <s:c r="Q45" s="166"/>
      <s:c r="R45" s="164"/>
      <s:c r="S45" s="167" t="str">
        <s:f>IF(AND(I45&lt;&gt;"",I45&lt;&gt;0),G45/I45,"")</s:f>
        <s:v/>
      </s:c>
      <s:c r="T45" s="168" t="e">
        <s:f>D45/U45</s:f>
        <s:v>#DIV/0!</s:v>
      </s:c>
      <s:c r="U45" s="169">
        <s:f>$I$8*AA45*AB45/SUMPRODUCT($AB$25:$AB$55,$AA$25:$AA$55)</s:f>
        <s:v>0</s:v>
      </s:c>
      <s:c r="V45" s="170">
        <s:f>$I$9*AA45*AB45/SUMPRODUCT($AB$25:$AB$55,$AA$25:$AA$55)</s:f>
        <s:v>0</s:v>
      </s:c>
      <s:c r="W45" s="170">
        <s:f>IF($I$12="","",V45/$I$12)</s:f>
        <s:v>0</s:v>
      </s:c>
      <s:c r="X45" s="169" t="str">
        <s:f>IF(AB45&lt;&gt;"",IF(D45&lt;&gt;"",D45,($I$8-SUM($X$25:X44))*AA45*AB45/SUMPRODUCT($AB45:$AB$55,$AA45:$AA$55)),"")</s:f>
        <s:v/>
      </s:c>
      <s:c r="Y45" s="170" t="str">
        <s:f>IF(AB45&lt;&gt;"",IF(E45&lt;&gt;"",E45,($I$9-SUM($Y$25:Y44))*AA45*AB45/SUMPRODUCT($AB45:$AB$55,$AA45:$AA$55)),"")</s:f>
        <s:v/>
      </s:c>
      <s:c r="Z45" s="170" t="str">
        <s:f>IF(AB45&lt;&gt;"",IF($I$12&lt;&gt;"",IF(G45&lt;&gt;"",G45,($I$9/$I$12-SUM($Z$25:Z44))*AA45*AB45/SUMPRODUCT($AB45:$AB$55,$AA45:$AA$55)),""),"")</s:f>
        <s:v/>
      </s:c>
      <s:c r="AA45" s="171"/>
      <s:c r="AB45" s="171"/>
      <s:c r="AC45" s="172"/>
      <s:c r="AD45" s="172"/>
      <s:c r="AE45" s="2"/>
      <s:c r="AF45" s="2"/>
      <s:c r="AG45" s="2"/>
      <s:c r="AH45" s="2"/>
      <s:c r="AI45" s="2"/>
      <s:c r="AJ45" s="2"/>
      <s:c r="AK45" s="2"/>
      <s:c r="AL45" s="2"/>
    </s:row>
    <s:row r="46">
      <s:c r="B46" s="160"/>
      <s:c r="C46" s="161"/>
      <s:c r="D46" s="371"/>
      <s:c r="E46" s="384"/>
      <s:c r="F46" s="385" t="str">
        <s:f>IF(AND(E46&lt;&gt;"",E46&lt;&gt;0),D46/E46,"")</s:f>
        <s:v/>
      </s:c>
      <s:c r="G46" s="127"/>
      <s:c r="H46" s="164" t="str">
        <s:f>IF(AND(G46&lt;&gt;"",G46&lt;&gt;0),D46/G46,"")</s:f>
        <s:v/>
      </s:c>
      <s:c r="I46" s="199"/>
      <s:c r="J46" s="165" t="str">
        <s:f>IF(AND(G46&lt;&gt;"",G46&lt;&gt;0),E46/G46,"")</s:f>
        <s:v/>
      </s:c>
      <s:c r="K46" s="164"/>
      <s:c r="L46" s="164"/>
      <s:c r="M46" s="164"/>
      <s:c r="N46" s="164"/>
      <s:c r="O46" s="164"/>
      <s:c r="P46" s="164"/>
      <s:c r="Q46" s="164"/>
      <s:c r="R46" s="164"/>
      <s:c r="S46" s="167" t="str">
        <s:f>IF(AND(I46&lt;&gt;"",I46&lt;&gt;0),G46/I46,"")</s:f>
        <s:v/>
      </s:c>
      <s:c r="T46" s="415" t="e">
        <s:f>D46/U46</s:f>
        <s:v>#DIV/0!</s:v>
      </s:c>
      <s:c r="U46" s="169">
        <s:f>$I$8*AA46*AB46/SUMPRODUCT($AB$25:$AB$46,$AA$25:$AA$46)</s:f>
        <s:v>0</s:v>
      </s:c>
      <s:c r="V46" s="170">
        <s:f>$I$9*AA46*AB46/SUMPRODUCT($AB$25:$AB$46,$AA$25:$AA$46)</s:f>
        <s:v>0</s:v>
      </s:c>
      <s:c r="W46" s="170">
        <s:f>IF($I$12="","",V46/$I$12)</s:f>
        <s:v>0</s:v>
      </s:c>
      <s:c r="X46" s="169" t="str">
        <s:f>IF(AB46&lt;&gt;"",IF(D46&lt;&gt;"",D46,($I$8-SUM($X$25:X45))*AA46*AB46/SUMPRODUCT($AB46:$AB$46,$AA46:$AA$46)),"")</s:f>
        <s:v/>
      </s:c>
      <s:c r="Y46" s="170" t="str">
        <s:f>IF(AB46&lt;&gt;"",IF(E46&lt;&gt;"",E46,($I$9-SUM($Y$25:Y39))*AA46*AB46/SUMPRODUCT($AB46:$AB$46,$AA46:$AA$46)),"")</s:f>
        <s:v/>
      </s:c>
      <s:c r="Z46" s="170" t="str">
        <s:f>IF(AB46&lt;&gt;"",IF($I$12&lt;&gt;"",IF(G46&lt;&gt;"",G46,($I$9/$I$12-SUM($Z$25:Z39))*AA46*AB46/SUMPRODUCT($AB46:$AB$46,$AA46:$AA$46)),""),"")</s:f>
        <s:v/>
      </s:c>
      <s:c r="AA46" s="416"/>
      <s:c r="AB46" s="416"/>
      <s:c r="AC46" s="383"/>
      <s:c r="AD46" s="390"/>
    </s:row>
    <s:row r="47">
      <s:c r="B47" s="160"/>
      <s:c r="C47" s="161"/>
      <s:c r="D47" s="377"/>
      <s:c r="E47" s="374"/>
      <s:c r="F47" s="198" t="str">
        <s:f>IF(AND(E47&lt;&gt;"",E47&lt;&gt;0),D47/E47,"")</s:f>
        <s:v/>
      </s:c>
      <s:c r="G47" s="374"/>
      <s:c r="H47" s="198" t="str">
        <s:f>IF(AND(G47&lt;&gt;"",G47&lt;&gt;0),D47/G47,"")</s:f>
        <s:v/>
      </s:c>
      <s:c r="I47" s="417"/>
      <s:c r="J47" s="165" t="str">
        <s:f>IF(AND(G47&lt;&gt;"",G47&lt;&gt;0),E47/G47,"")</s:f>
        <s:v/>
      </s:c>
      <s:c r="K47" s="164"/>
      <s:c r="L47" s="164"/>
      <s:c r="M47" s="164"/>
      <s:c r="N47" s="164"/>
      <s:c r="O47" s="164"/>
      <s:c r="P47" s="164"/>
      <s:c r="Q47" s="164"/>
      <s:c r="R47" s="164"/>
      <s:c r="S47" s="167" t="str">
        <s:f>IF(AND(I47&lt;&gt;"",I47&lt;&gt;0),G47/I47,"")</s:f>
        <s:v/>
      </s:c>
      <s:c r="T47" s="415" t="e">
        <s:f>D47/U47</s:f>
        <s:v>#DIV/0!</s:v>
      </s:c>
      <s:c r="U47" s="169">
        <s:f>$I$8*AA47*AB47/SUMPRODUCT($AB$25:$AB$46,$AA$25:$AA$46)</s:f>
        <s:v>0</s:v>
      </s:c>
      <s:c r="V47" s="170">
        <s:f>$I$9*AA47*AB47/SUMPRODUCT($AB$25:$AB$46,$AA$25:$AA$46)</s:f>
        <s:v>0</s:v>
      </s:c>
      <s:c r="W47" s="170">
        <s:f>IF($I$12="","",V47/$I$12)</s:f>
        <s:v>0</s:v>
      </s:c>
      <s:c r="X47" s="169" t="str">
        <s:f>IF(AB47&lt;&gt;"",IF(D47&lt;&gt;"",D47,($I$8-SUM($X$25:X46))*AA47*AB47/SUMPRODUCT($AB$47:$AB47,$AA$47:$AA47)),"")</s:f>
        <s:v/>
      </s:c>
      <s:c r="Y47" s="170" t="str">
        <s:f>IF(AB47&lt;&gt;"",IF(E47&lt;&gt;"",E47,($I$9-SUM(#REF!))*AA47*AB47/SUMPRODUCT($AB$47:$AB47,$AA$47:$AA47)),"")</s:f>
        <s:v/>
      </s:c>
      <s:c r="Z47" s="170" t="str">
        <s:f>IF(AB47&lt;&gt;"",IF($I$12&lt;&gt;"",IF(G47&lt;&gt;"",G47,($I$9/$I$12-SUM(#REF!))*AA47*AB47/SUMPRODUCT($AB$47:$AB47,$AA$47:$AA47)),""),"")</s:f>
        <s:v/>
      </s:c>
      <s:c r="AA47" s="416"/>
      <s:c r="AB47" s="416"/>
      <s:c r="AC47" s="383"/>
      <s:c r="AD47" s="383"/>
    </s:row>
    <s:row r="48" ht="15" customHeight="1">
      <s:c r="B48" s="418" t="s">
        <s:v>85</s:v>
      </s:c>
      <s:c r="C48" s="418"/>
      <s:c r="D48" s="393">
        <s:f>SUM(D25:D47)</s:f>
        <s:v>505135</s:v>
      </s:c>
      <s:c r="E48" s="393">
        <s:f>SUM(E25:E47)</s:f>
        <s:v>65</s:v>
      </s:c>
      <s:c r="F48" s="393">
        <s:f>IF(AND(E48&lt;&gt;"",E48&lt;&gt;0),D48/E48,"")</s:f>
        <s:v>7771.3076923076924</s:v>
      </s:c>
      <s:c r="G48" s="393">
        <s:f>SUM(G25:G47)</s:f>
        <s:v>27</s:v>
      </s:c>
      <s:c r="H48" s="393">
        <s:f>IF(AND(G48&lt;&gt;"",G48&lt;&gt;0),D48/G48,"")</s:f>
        <s:v>18708.703703703704</s:v>
      </s:c>
      <s:c r="I48" s="393">
        <s:f>SUM(I25:I47)*0.8</s:f>
        <s:v>311.20000000000005</s:v>
      </s:c>
      <s:c r="J48" s="394">
        <s:f>IF(AND(G48&lt;&gt;"",G48&lt;&gt;0),E48/G48,"")</s:f>
        <s:v>2.4074074074074074</s:v>
      </s:c>
      <s:c r="K48" s="393">
        <s:f>SUM(K25:K47)</s:f>
        <s:v>0</s:v>
      </s:c>
      <s:c r="L48" s="393">
        <s:f>SUM(L25:L47)</s:f>
        <s:v>41221</s:v>
      </s:c>
      <s:c r="M48" s="393">
        <s:f>SUM(M25:M47)</s:f>
        <s:v>0</s:v>
      </s:c>
      <s:c r="N48" s="393">
        <s:f>SUM(N25:N47)</s:f>
        <s:v>62037</s:v>
      </s:c>
      <s:c r="O48" s="393">
        <s:f>SUM(O25:O47)</s:f>
        <s:v>8990</s:v>
      </s:c>
      <s:c r="P48" s="393">
        <s:f>SUM(P25:P47)</s:f>
        <s:v>0</s:v>
      </s:c>
      <s:c r="Q48" s="393">
        <s:f>SUM(Q25:Q47)</s:f>
        <s:v>24073</s:v>
      </s:c>
      <s:c r="R48" s="393">
        <s:f>SUM(R25:R47)</s:f>
        <s:v>9194</s:v>
      </s:c>
      <s:c r="S48" s="202">
        <s:f>IF(AND(I48&lt;&gt;"",I48&lt;&gt;0),G48/I48,"")</s:f>
        <s:v>0.086760925449871448</s:v>
      </s:c>
      <s:c r="T48" s="395">
        <s:f>D48/U48</s:f>
        <s:v>0.82474864483189092</s:v>
      </s:c>
      <s:c r="U48" s="396">
        <s:f>SUM(U25:U47)</s:f>
        <s:v>612471.45195729542</s:v>
      </s:c>
      <s:c r="V48" s="396">
        <s:f>SUM(V25:V47)</s:f>
        <s:v>94.656583629893234</s:v>
      </s:c>
      <s:c r="W48" s="396">
        <s:f>SUM(W25:W47)</s:f>
        <s:v>55.327402135231317</s:v>
      </s:c>
      <s:c r="X48" s="396">
        <s:f>SUM(X25:X47)</s:f>
        <s:v>458415</s:v>
      </s:c>
      <s:c r="Y48" s="396">
        <s:f>SUM(Y25:Y47)</s:f>
        <s:v>68.836632562277572</s:v>
      </s:c>
      <s:c r="Z48" s="396">
        <s:f>SUM(Z25:Z47)</s:f>
        <s:v>34.16125444839858</s:v>
      </s:c>
      <s:c r="AA48" s="397"/>
      <s:c r="AB48" s="397"/>
    </s:row>
    <s:row r="49">
      <s:c r="B49" s="205"/>
      <s:c r="C49" s="206"/>
      <s:c r="D49" s="207">
        <s:f>SUMIF(D25:D47,"",U25:U47)+D48</s:f>
        <s:v>505135</s:v>
      </s:c>
      <s:c r="E49" s="208"/>
      <s:c r="F49" s="206"/>
      <s:c r="G49" s="206"/>
      <s:c r="H49" s="209"/>
      <s:c r="I49" s="210"/>
      <s:c r="J49" s="209"/>
      <s:c r="O49" s="211"/>
      <s:c r="P49" s="208"/>
      <s:c r="Q49" s="208"/>
      <s:c r="R49" s="208"/>
      <s:c r="S49" s="211"/>
      <s:c r="T49" s="211"/>
      <s:c r="U49" s="211"/>
      <s:c r="V49" s="212"/>
    </s:row>
    <s:row r="50">
      <s:c r="D50" s="214"/>
      <s:c r="R50" s="208"/>
    </s:row>
    <s:row r="52">
      <s:c r="D52" s="214"/>
    </s:row>
    <s:row r="53">
      <s:c r="D53" s="214"/>
    </s:row>
  </s:sheetData>
  <s:mergeCells count="27">
    <s:mergeCell ref="B1:C1"/>
    <s:mergeCell ref="V1:Y4"/>
    <s:mergeCell ref="B2:C2"/>
    <s:mergeCell ref="J2:N2"/>
    <s:mergeCell ref="J3:N4"/>
    <s:mergeCell ref="C4:D4"/>
    <s:mergeCell ref="F6:Q6"/>
    <s:mergeCell ref="F7:H7"/>
    <s:mergeCell ref="P7:Q7"/>
    <s:mergeCell ref="F8:H8"/>
    <s:mergeCell ref="F9:H9"/>
    <s:mergeCell ref="F10:H10"/>
    <s:mergeCell ref="F11:H11"/>
    <s:mergeCell ref="F12:H12"/>
    <s:mergeCell ref="F13:H13"/>
    <s:mergeCell ref="F14:H14"/>
    <s:mergeCell ref="F15:H15"/>
    <s:mergeCell ref="F16:H16"/>
    <s:mergeCell ref="U16:U17"/>
    <s:mergeCell ref="F17:H17"/>
    <s:mergeCell ref="F18:H18"/>
    <s:mergeCell ref="F19:H19"/>
    <s:mergeCell ref="F20:H20"/>
    <s:mergeCell ref="B22:S22"/>
    <s:mergeCell ref="T22:T24"/>
    <s:mergeCell ref="U22:AB22"/>
    <s:mergeCell ref="B48:C48"/>
  </s:mergeCells>
  <s:conditionalFormatting sqref="T33:T35">
    <s:cfRule type="cellIs" dxfId="4" priority="414" operator="between">
      <s:formula>0.9001</s:formula>
      <s:formula>0.9999</s:formula>
    </s:cfRule>
  </s:conditionalFormatting>
  <s:conditionalFormatting sqref="T33:T35">
    <s:cfRule type="cellIs" dxfId="2" priority="412" operator="lessThan">
      <s:formula>0.9</s:formula>
    </s:cfRule>
  </s:conditionalFormatting>
  <s:conditionalFormatting sqref="T33:T35">
    <s:cfRule type="cellIs" dxfId="3" priority="406" operator="between">
      <s:formula>0.85</s:formula>
      <s:formula>1</s:formula>
    </s:cfRule>
  </s:conditionalFormatting>
  <s:conditionalFormatting sqref="P10:Q10">
    <s:cfRule type="cellIs" dxfId="0" priority="371" operator="lessThan">
      <s:formula>0</s:formula>
    </s:cfRule>
  </s:conditionalFormatting>
  <s:conditionalFormatting sqref="J16">
    <s:cfRule type="cellIs" dxfId="1" priority="370" operator="greaterThan">
      <s:formula>0</s:formula>
    </s:cfRule>
  </s:conditionalFormatting>
  <s:conditionalFormatting sqref="J16">
    <s:cfRule type="cellIs" dxfId="2" priority="369" operator="lessThan">
      <s:formula>0</s:formula>
    </s:cfRule>
  </s:conditionalFormatting>
  <s:conditionalFormatting sqref="T47">
    <s:cfRule type="cellIs" dxfId="0" priority="366" operator="between">
      <s:formula>0.01</s:formula>
      <s:formula>0.99</s:formula>
    </s:cfRule>
  </s:conditionalFormatting>
  <s:conditionalFormatting sqref="T47">
    <s:cfRule type="cellIs" dxfId="3" priority="365" operator="between">
      <s:formula>0.85</s:formula>
      <s:formula>1</s:formula>
    </s:cfRule>
  </s:conditionalFormatting>
  <s:conditionalFormatting sqref="T46:T47">
    <s:cfRule type="cellIs" dxfId="2" priority="363" operator="lessThan">
      <s:formula>0.9</s:formula>
    </s:cfRule>
  </s:conditionalFormatting>
  <s:conditionalFormatting sqref="T46:T47">
    <s:cfRule type="cellIs" dxfId="4" priority="362" operator="between">
      <s:formula>0.9001</s:formula>
      <s:formula>0.9999</s:formula>
    </s:cfRule>
  </s:conditionalFormatting>
  <s:conditionalFormatting sqref="M9:M15">
    <s:cfRule type="cellIs" dxfId="1" priority="44" operator="greaterThan">
      <s:formula>1</s:formula>
    </s:cfRule>
  </s:conditionalFormatting>
  <s:conditionalFormatting sqref="M9:M15">
    <s:cfRule type="cellIs" dxfId="2" priority="43" operator="lessThan">
      <s:formula>1</s:formula>
    </s:cfRule>
  </s:conditionalFormatting>
  <s:conditionalFormatting sqref="K15">
    <s:cfRule type="cellIs" dxfId="1" priority="42" operator="greaterThan">
      <s:formula>1</s:formula>
    </s:cfRule>
  </s:conditionalFormatting>
  <s:conditionalFormatting sqref="K15">
    <s:cfRule type="cellIs" dxfId="2" priority="41" operator="lessThan">
      <s:formula>1</s:formula>
    </s:cfRule>
  </s:conditionalFormatting>
  <s:conditionalFormatting sqref="K10:K12">
    <s:cfRule type="cellIs" dxfId="1" priority="40" operator="greaterThan">
      <s:formula>1</s:formula>
    </s:cfRule>
  </s:conditionalFormatting>
  <s:conditionalFormatting sqref="K10:K12">
    <s:cfRule type="cellIs" dxfId="2" priority="39" operator="lessThan">
      <s:formula>1</s:formula>
    </s:cfRule>
  </s:conditionalFormatting>
  <s:conditionalFormatting sqref="T25:T36">
    <s:cfRule type="cellIs" dxfId="0" priority="24" operator="between">
      <s:formula>0.01</s:formula>
      <s:formula>0.99</s:formula>
    </s:cfRule>
  </s:conditionalFormatting>
  <s:conditionalFormatting sqref="T25:T32">
    <s:cfRule type="cellIs" dxfId="3" priority="23" operator="between">
      <s:formula>0.85</s:formula>
      <s:formula>1</s:formula>
    </s:cfRule>
  </s:conditionalFormatting>
  <s:conditionalFormatting sqref="T25:T32">
    <s:cfRule type="cellIs" dxfId="2" priority="20" operator="lessThan">
      <s:formula>0.9</s:formula>
    </s:cfRule>
  </s:conditionalFormatting>
  <s:conditionalFormatting sqref="T25:T32">
    <s:cfRule type="cellIs" dxfId="4" priority="19" operator="between">
      <s:formula>0.9001</s:formula>
      <s:formula>0.9999</s:formula>
    </s:cfRule>
  </s:conditionalFormatting>
  <s:conditionalFormatting sqref="K20">
    <s:cfRule type="cellIs" dxfId="1" priority="16" operator="greaterThan">
      <s:formula>1</s:formula>
    </s:cfRule>
  </s:conditionalFormatting>
  <s:conditionalFormatting sqref="K20">
    <s:cfRule type="cellIs" dxfId="2" priority="15" operator="lessThan">
      <s:formula>1</s:formula>
    </s:cfRule>
  </s:conditionalFormatting>
  <s:conditionalFormatting sqref="T37:T46">
    <s:cfRule type="cellIs" dxfId="0" priority="13" operator="between">
      <s:formula>0.01</s:formula>
      <s:formula>0.99</s:formula>
    </s:cfRule>
  </s:conditionalFormatting>
  <s:conditionalFormatting sqref="T36:T46">
    <s:cfRule type="cellIs" dxfId="3" priority="12" operator="between">
      <s:formula>0.85</s:formula>
      <s:formula>1</s:formula>
    </s:cfRule>
  </s:conditionalFormatting>
  <s:conditionalFormatting sqref="T25:T47">
    <s:cfRule type="cellIs" dxfId="1" priority="11" operator="greaterThan">
      <s:formula>100</s:formula>
    </s:cfRule>
  </s:conditionalFormatting>
  <s:conditionalFormatting sqref="T25:T47">
    <s:cfRule type="cellIs" dxfId="1" priority="10" operator="greaterThan">
      <s:formula>1</s:formula>
    </s:cfRule>
  </s:conditionalFormatting>
  <s:conditionalFormatting sqref="T35:T45">
    <s:cfRule type="cellIs" dxfId="2" priority="9" operator="lessThan">
      <s:formula>0.9</s:formula>
    </s:cfRule>
  </s:conditionalFormatting>
  <s:conditionalFormatting sqref="T35:T45">
    <s:cfRule type="cellIs" dxfId="4" priority="8" operator="between">
      <s:formula>0.9001</s:formula>
      <s:formula>0.9999</s:formula>
    </s:cfRule>
  </s:conditionalFormatting>
  <s:conditionalFormatting sqref="S25:S47">
    <s:cfRule type="cellIs" dxfId="2" priority="3" operator="lessThan">
      <s:formula>0.2</s:formula>
    </s:cfRule>
  </s:conditionalFormatting>
  <s:conditionalFormatting sqref="S25:S47">
    <s:cfRule type="cellIs" dxfId="1" priority="2" operator="greaterThanOrEqual">
      <s:formula>0.25</s:formula>
    </s:cfRule>
  </s:conditionalFormatting>
  <s:conditionalFormatting sqref="S25:S47">
    <s:cfRule type="cellIs" dxfId="4" priority="1" operator="between">
      <s:formula>0.2</s:formula>
      <s:formula>0.25</s:formula>
    </s:cfRule>
  </s:conditionalFormatting>
  <s:conditionalFormatting sqref="J33:J36">
    <s:cfRule type="cellIs" dxfId="2" priority="396" operator="lessThan">
      <s:formula>$I$12</s:formula>
    </s:cfRule>
  </s:conditionalFormatting>
  <s:conditionalFormatting sqref="J25:J47">
    <s:cfRule type="cellIs" dxfId="1" priority="7" operator="greaterThan">
      <s:formula>$I$12</s:formula>
    </s:cfRule>
  </s:conditionalFormatting>
  <s:conditionalFormatting sqref="J25:J47">
    <s:cfRule type="cellIs" dxfId="2" priority="6" operator="lessThan">
      <s:formula>$I$12</s:formula>
    </s:cfRule>
  </s:conditionalFormatting>
  <s:dataValidations count="1">
    <s:dataValidation type="decimal" sqref="I8:J13 L10:L11 I14" vyd:viewType="arrow" mc:Ignorable="vyd">
      <s:formula1>0</s:formula1>
      <s:formula2>1000000000000000</s:formula2>
    </s:dataValidation>
  </s:dataValidations>
  <s:printOptions headings="0" gridLines="1"/>
  <s:pageMargins left="0.7" right="0.7" top="0.75" bottom="0.75" header="0.512" footer="0.512"/>
  <s:pageSetup paperSize="9" scale="100" firstPageNumber="0" fitToWidth="1" fitToHeight="0" pageOrder="downThenOver" orientation="landscape" usePrinterDefaults="1" blackAndWhite="0" draft="0" cellComments="none" useFirstPageNumber="0" errors="displayed" horizontalDpi="300" verticalDpi="300" copies="1"/>
  <s:headerFooter/>
  <s:drawing r:id="rId1"/>
  <s:extLst>
    <s:ext uri="{CCE6A557-97BC-4b89-ADB6-D9C93CAAB3DF}">
      <x14:dataValidations disablePrompts="0" count="0"/>
    </s:ext>
  </s:extLst>
</s:worksheet>
</file>

<file path=xl/worksheets/sheet9.xml><?xml version="1.0" encoding="utf-8"?>
<s:worksheet xmlns:r="http://schemas.openxmlformats.org/officeDocument/2006/relationships" xmlns:s="http://schemas.openxmlformats.org/spreadsheetml/2006/main" xmlns:vyd="http://volga.yandex.com/schemas/document/model" xmlns:mc="http://schemas.openxmlformats.org/markup-compatibility/2006" xmlns:x14="http://schemas.microsoft.com/office/spreadsheetml/2009/9/main" xmlns:x14ac="http://schemas.microsoft.com/office/spreadsheetml/2009/9/ac" mc:Ignorable="x14ac">
  <s:sheetPr>
    <s:tabColor rgb="FFDBDBDB"/>
    <s:outlinePr applyStyles="0" summaryBelow="1" summaryRight="1" showOutlineSymbols="1"/>
    <s:pageSetUpPr autoPageBreaks="1" fitToPage="1"/>
  </s:sheetPr>
  <s:sheetViews>
    <s:sheetView showGridLines="0" showZeros="0" tabSelected="0" topLeftCell="A4" zoomScale="125" workbookViewId="0">
      <s:selection activeCell="K12" activeCellId="0" sqref="K12"/>
    </s:sheetView>
  </s:sheetViews>
  <s:sheetFormatPr baseColWidth="10" defaultColWidth="9.164" defaultRowHeight="14.25"/>
  <s:cols>
    <s:col min="1" max="1" width="4" style="1" customWidth="1"/>
    <s:col min="2" max="2" width="10.332" style="1" customWidth="1"/>
    <s:col min="3" max="3" width="10.832" style="1" customWidth="1"/>
    <s:col min="4" max="4" width="10.332" style="1" customWidth="1"/>
    <s:col min="5" max="5" width="10.164" style="1" customWidth="1"/>
    <s:col min="6" max="6" width="11.332" style="1" customWidth="1"/>
    <s:col min="7" max="7" width="9.832" style="1" customWidth="1"/>
    <s:col min="8" max="8" width="9.5" style="1" customWidth="1"/>
    <s:col min="9" max="9" width="11" style="1" customWidth="1"/>
    <s:col min="10" max="10" width="10.332" style="1" customWidth="1"/>
    <s:col min="11" max="11" width="12.664" style="1" customWidth="1"/>
    <s:col min="12" max="12" width="11.664" style="1" customWidth="1"/>
    <s:col min="13" max="14" width="12.664" style="1" customWidth="1"/>
    <s:col min="15" max="15" width="10.664" style="1" customWidth="1"/>
    <s:col min="16" max="18" width="10.832" style="1" customWidth="1"/>
    <s:col min="19" max="19" width="11.664" style="1" customWidth="1"/>
    <s:col min="20" max="20" width="12.832" style="1" customWidth="1"/>
    <s:col min="21" max="21" width="10.332" style="1" customWidth="1"/>
    <s:col min="22" max="23" width="11.332" style="1" customWidth="1"/>
    <s:col min="24" max="24" width="11" style="1" customWidth="1"/>
    <s:col min="25" max="25" width="9.5" style="1" customWidth="1"/>
    <s:col min="26" max="26" width="9.164" style="1"/>
    <s:col min="27" max="28" width="10.5" style="1" customWidth="1"/>
    <s:col min="29" max="38" width="9.164" style="1"/>
    <s:col min="39" max="260" width="9.164" style="2"/>
  </s:cols>
  <s:sheetData>
    <s:row r="1" ht="15.75" customHeight="1">
      <s:c r="B1" s="3">
        <s:f ca="1">TODAY()-1</s:f>
        <s:v>46170</s:v>
      </s:c>
      <s:c r="C1" s="3"/>
      <s:c r="D1" s="4"/>
      <s:c r="E1" s="4"/>
      <s:c r="F1" s="5"/>
      <s:c r="G1" s="5"/>
      <s:c r="H1" s="5"/>
      <s:c r="I1" s="5"/>
      <s:c r="J1" s="6"/>
      <s:c r="K1" s="6"/>
      <s:c r="L1" s="6"/>
      <s:c r="M1" s="6"/>
      <s:c r="N1" s="6"/>
      <s:c r="O1" s="6"/>
      <s:c r="P1" s="6"/>
      <s:c r="Q1" s="6"/>
      <s:c r="R1" s="6"/>
      <s:c r="S1" s="6"/>
      <s:c r="T1" s="6"/>
      <s:c r="U1" s="6"/>
      <s:c r="V1" s="7"/>
      <s:c r="W1" s="7"/>
      <s:c r="X1" s="7"/>
      <s:c r="Y1" s="7"/>
      <s:c r="Z1" s="5"/>
      <s:c r="AA1" s="5"/>
      <s:c r="AB1" s="5"/>
    </s:row>
    <s:row r="2" ht="21.75" customHeight="1">
      <s:c r="B2" s="8" t="s">
        <s:v>0</s:v>
      </s:c>
      <s:c r="C2" s="8"/>
      <s:c r="D2" s="4"/>
      <s:c r="E2" s="4"/>
      <s:c r="F2" s="5"/>
      <s:c r="G2" s="5"/>
      <s:c r="H2" s="5"/>
      <s:c r="I2" s="5"/>
      <s:c r="J2" s="335" t="s">
        <s:v>1</s:v>
      </s:c>
      <s:c r="K2" s="335"/>
      <s:c r="L2" s="335"/>
      <s:c r="M2" s="335"/>
      <s:c r="N2" s="335"/>
      <s:c r="O2" s="9"/>
      <s:c r="P2" s="9"/>
      <s:c r="Q2" s="9"/>
      <s:c r="R2" s="9"/>
      <s:c r="S2" s="9"/>
      <s:c r="T2" s="9"/>
      <s:c r="U2" s="9"/>
      <s:c r="V2" s="7"/>
      <s:c r="W2" s="7"/>
      <s:c r="X2" s="7"/>
      <s:c r="Y2" s="7"/>
      <s:c r="Z2" s="5"/>
      <s:c r="AA2" s="5"/>
      <s:c r="AB2" s="5"/>
    </s:row>
    <s:row r="3" ht="14" customHeight="1">
      <s:c r="B3" s="10" t="s">
        <s:v>2</s:v>
      </s:c>
      <s:c r="C3" s="4"/>
      <s:c r="D3" s="4"/>
      <s:c r="E3" s="4"/>
      <s:c r="F3" s="5"/>
      <s:c r="G3" s="5"/>
      <s:c r="H3" s="5"/>
      <s:c r="I3" s="5"/>
      <s:c r="J3" s="336" t="str">
        <s:f>График!B27</s:f>
        <s:v>Свидовская София</s:v>
      </s:c>
      <s:c r="K3" s="337"/>
      <s:c r="L3" s="337"/>
      <s:c r="M3" s="337"/>
      <s:c r="N3" s="338"/>
      <s:c r="O3" s="9"/>
      <s:c r="P3" s="9"/>
      <s:c r="Q3" s="9"/>
      <s:c r="R3" s="9"/>
      <s:c r="S3" s="9"/>
      <s:c r="T3" s="6"/>
      <s:c r="U3" s="14"/>
      <s:c r="V3" s="7"/>
      <s:c r="W3" s="7"/>
      <s:c r="X3" s="7"/>
      <s:c r="Y3" s="7"/>
      <s:c r="Z3" s="5"/>
      <s:c r="AA3" s="5"/>
      <s:c r="AB3" s="5"/>
    </s:row>
    <s:row r="4" ht="15" customHeight="1">
      <s:c r="B4" s="4"/>
      <s:c r="C4" s="339">
        <s:f>I8-D48</s:f>
        <s:v>87024.117437722394</s:v>
      </s:c>
      <s:c r="D4" s="339"/>
      <s:c r="E4" s="340">
        <s:f>IF(I8&lt;&gt;0,C4/I8,0)</s:f>
        <s:v>0.24510582726526994</s:v>
      </s:c>
      <s:c r="F4" s="5"/>
      <s:c r="G4" s="5"/>
      <s:c r="H4" s="5"/>
      <s:c r="I4" s="5"/>
      <s:c r="J4" s="341"/>
      <s:c r="K4" s="342"/>
      <s:c r="L4" s="342"/>
      <s:c r="M4" s="342"/>
      <s:c r="N4" s="343"/>
      <s:c r="O4" s="9"/>
      <s:c r="P4" s="9"/>
      <s:c r="Q4" s="9"/>
      <s:c r="R4" s="9"/>
      <s:c r="S4" s="9"/>
      <s:c r="T4" s="5"/>
      <s:c r="U4" s="5"/>
      <s:c r="V4" s="7"/>
      <s:c r="W4" s="7"/>
      <s:c r="X4" s="7"/>
      <s:c r="Y4" s="7"/>
      <s:c r="Z4" s="5"/>
      <s:c r="AA4" s="5"/>
      <s:c r="AB4" s="5"/>
    </s:row>
    <s:row r="5">
      <s:c r="B5" s="5"/>
      <s:c r="C5" s="5"/>
      <s:c r="D5" s="5"/>
      <s:c r="E5" s="5"/>
      <s:c r="F5" s="5"/>
      <s:c r="G5" s="5"/>
      <s:c r="H5" s="5"/>
      <s:c r="I5" s="5"/>
      <s:c r="J5" s="22"/>
      <s:c r="K5" s="22"/>
      <s:c r="L5" s="22"/>
      <s:c r="M5" s="22"/>
      <s:c r="N5" s="22"/>
      <s:c r="O5" s="22"/>
      <s:c r="P5" s="22"/>
      <s:c r="Q5" s="22"/>
      <s:c r="R5" s="22"/>
      <s:c r="S5" s="22"/>
      <s:c r="T5" s="5"/>
      <s:c r="U5" s="5"/>
      <s:c r="V5" s="5"/>
      <s:c r="W5" s="5"/>
      <s:c r="X5" s="5"/>
      <s:c r="Y5" s="5"/>
      <s:c r="Z5" s="5"/>
      <s:c r="AA5" s="5"/>
      <s:c r="AB5" s="5"/>
    </s:row>
    <s:row r="6" ht="15.75" customHeight="1">
      <s:c r="B6" s="23"/>
      <s:c r="C6" s="5"/>
      <s:c r="D6" s="5"/>
      <s:c r="E6" s="5"/>
      <s:c r="F6" s="25" t="s">
        <s:v>4</s:v>
      </s:c>
      <s:c r="G6" s="26"/>
      <s:c r="H6" s="26"/>
      <s:c r="I6" s="26"/>
      <s:c r="J6" s="26"/>
      <s:c r="K6" s="26"/>
      <s:c r="L6" s="26"/>
      <s:c r="M6" s="26"/>
      <s:c r="N6" s="26"/>
      <s:c r="O6" s="26"/>
      <s:c r="P6" s="26"/>
      <s:c r="Q6" s="27"/>
      <s:c r="R6" s="22"/>
      <s:c r="S6" s="22"/>
      <s:c r="T6" s="28"/>
      <s:c r="U6" s="28"/>
      <s:c r="V6" s="5"/>
      <s:c r="W6" s="28"/>
      <s:c r="X6" s="28"/>
      <s:c r="Y6" s="5"/>
      <s:c r="Z6" s="5"/>
      <s:c r="AA6" s="5"/>
      <s:c r="AB6" s="5"/>
    </s:row>
    <s:row r="7" ht="50.75" customHeight="1">
      <s:c r="B7" s="23"/>
      <s:c r="C7" s="5"/>
      <s:c r="D7" s="5"/>
      <s:c r="E7" s="29"/>
      <s:c r="F7" s="344" t="s">
        <s:v>5</s:v>
      </s:c>
      <s:c r="G7" s="344"/>
      <s:c r="H7" s="344"/>
      <s:c r="I7" s="31" t="s">
        <s:v>6</s:v>
      </s:c>
      <s:c r="J7" s="32" t="s">
        <s:v>7</s:v>
      </s:c>
      <s:c r="K7" s="33" t="s">
        <s:v>8</s:v>
      </s:c>
      <s:c r="L7" s="34" t="s">
        <s:v>9</s:v>
      </s:c>
      <s:c r="M7" s="34" t="s">
        <s:v>10</s:v>
      </s:c>
      <s:c r="N7" s="35" t="s">
        <s:v>11</s:v>
      </s:c>
      <s:c r="O7" s="36" t="s">
        <s:v>12</s:v>
      </s:c>
      <s:c r="P7" s="406" t="s">
        <s:v>13</s:v>
      </s:c>
      <s:c r="Q7" s="407"/>
      <s:c r="R7" s="22"/>
      <s:c r="S7" s="22"/>
      <s:c r="T7" s="28"/>
      <s:c r="U7" s="28"/>
      <s:c r="V7" s="5"/>
      <s:c r="W7" s="5"/>
      <s:c r="X7" s="5"/>
      <s:c r="Y7" s="5"/>
    </s:row>
    <s:row r="8" ht="15.75" customHeight="1">
      <s:c r="B8" s="23"/>
      <s:c r="C8" s="5"/>
      <s:c r="D8" s="5"/>
      <s:c r="E8" s="5"/>
      <s:c r="F8" s="59" t="s">
        <s:v>14</s:v>
      </s:c>
      <s:c r="G8" s="59"/>
      <s:c r="H8" s="59"/>
      <s:c r="I8" s="345">
        <s:f>Центрум!I8/График!AJ29*График!AJ27</s:f>
        <s:v>355047.11743772239</s:v>
      </s:c>
      <s:c r="J8" s="41">
        <s:f>D48</s:f>
        <s:v>268023</s:v>
      </s:c>
      <s:c r="K8" s="346">
        <s:f>IF(AND(I8&lt;&gt;"",I8&lt;&gt;0,J8&lt;&gt;""),J8/I8,"")</s:f>
        <s:v>0.75489417273473003</s:v>
      </s:c>
      <s:c r="L8" s="43">
        <s:f>IF(SUMIF($D$25:$D$47,"&gt;=0",$U$25:$U$47)&lt;&gt;0,I8*D48/SUMIF($D$25:$D$47,"&gt;=0",$U$25:$U$47),0)</s:f>
        <s:v>286791.52376098704</s:v>
      </s:c>
      <s:c r="M8" s="347">
        <s:f>L8/I8</s:f>
        <s:v>0.80775623762469262</s:v>
      </s:c>
      <s:c r="N8" s="45">
        <s:f>IF(AND(J8&lt;&gt;0,J8&lt;&gt;"",I8&lt;&gt;0,I8&lt;&gt;""),L8-I8,"")</s:f>
        <s:v>-68255.593676735356</s:v>
      </s:c>
      <s:c r="O8" s="46"/>
      <s:c r="P8" s="47" t="str">
        <s:f>IF(AND(O8&lt;&gt;"",O8&lt;&gt;0,L8&lt;&gt;"",L8&lt;&gt;0),-O8+L8,"")</s:f>
        <s:v/>
      </s:c>
      <s:c r="Q8" s="48" t="str">
        <s:f>IF(AND(P8&lt;&gt;"",P8&lt;&gt;0,O8&lt;&gt;0,O8&lt;&gt;""),P8/O8,"")</s:f>
        <s:v/>
      </s:c>
      <s:c r="R8" s="22"/>
      <s:c r="S8" s="22"/>
      <s:c r="T8" s="28"/>
      <s:c r="U8" s="28"/>
      <s:c r="V8" s="5"/>
      <s:c r="W8" s="5"/>
      <s:c r="X8" s="5"/>
      <s:c r="Y8" s="5"/>
    </s:row>
    <s:row r="9" ht="15.75" customHeight="1">
      <s:c r="B9" s="23"/>
      <s:c r="C9" s="5"/>
      <s:c r="D9" s="5"/>
      <s:c r="E9" s="5"/>
      <s:c r="F9" s="49" t="s">
        <s:v>15</s:v>
      </s:c>
      <s:c r="G9" s="49"/>
      <s:c r="H9" s="49"/>
      <s:c r="I9" s="50">
        <s:f>I8/I11</s:f>
        <s:v>53.795017793594305</s:v>
      </s:c>
      <s:c r="J9" s="51">
        <s:f>E48</s:f>
        <s:v>41</s:v>
      </s:c>
      <s:c r="K9" s="348">
        <s:f>IF(AND(I9&lt;&gt;"",I9&lt;&gt;0,J9&lt;&gt;""),J9/I9,"")</s:f>
        <s:v>0.76215236431954703</s:v>
      </s:c>
      <s:c r="L9" s="79">
        <s:f>IF(SUMIF($E$25:$E$47,"&gt;=0",$V$25:$V$47)&lt;&gt;0,I9*E48/SUMIF($E$25:$E$47,"&gt;=0",$V$25:$V$47),0)</s:f>
        <s:v>42.307593588728402</s:v>
      </s:c>
      <s:c r="M9" s="349">
        <s:f>IF(AND(I9&lt;&gt;"",I9&lt;&gt;0,L9&lt;&gt;"",L9&lt;&gt;0),L9/I9,"")</s:f>
        <s:v>0.7864593288370697</s:v>
      </s:c>
      <s:c r="N9" s="55">
        <s:f>IF(AND(J9&lt;&gt;0,J9&lt;&gt;"",I9&lt;&gt;0,I9&lt;&gt;""),L9-I9,"")</s:f>
        <s:v>-11.487424204865903</s:v>
      </s:c>
      <s:c r="O9" s="56" t="e">
        <s:f>O8/O11</s:f>
        <s:v>#DIV/0!</s:v>
      </s:c>
      <s:c r="P9" s="57" t="e">
        <s:f>IF(AND(O9&lt;&gt;"",O9&lt;&gt;0,L9&lt;&gt;"",L9&lt;&gt;0),-O9+L9,"")</s:f>
        <s:v>#DIV/0!</s:v>
      </s:c>
      <s:c r="Q9" s="58" t="e">
        <s:f>IF(AND(P9&lt;&gt;"",P9&lt;&gt;0,O9&lt;&gt;0,O9&lt;&gt;""),P9/O9,"")</s:f>
        <s:v>#DIV/0!</s:v>
      </s:c>
      <s:c r="R9" s="22"/>
      <s:c r="S9" s="22"/>
      <s:c r="T9" s="28"/>
      <s:c r="U9" s="28"/>
      <s:c r="V9" s="5"/>
      <s:c r="W9" s="5"/>
      <s:c r="X9" s="5"/>
      <s:c r="Y9" s="5"/>
    </s:row>
    <s:row r="10" ht="15.75" customHeight="1">
      <s:c r="B10" s="23"/>
      <s:c r="C10" s="5"/>
      <s:c r="D10" s="5"/>
      <s:c r="E10" s="5"/>
      <s:c r="F10" s="59" t="s">
        <s:v>16</s:v>
      </s:c>
      <s:c r="G10" s="59"/>
      <s:c r="H10" s="59"/>
      <s:c r="I10" s="60">
        <s:f>I11*I12</s:f>
        <s:v>11220</s:v>
      </s:c>
      <s:c r="J10" s="61">
        <s:f>H48</s:f>
        <s:v>8645.9032258064508</s:v>
      </s:c>
      <s:c r="K10" s="350">
        <s:f>IF(AND(I10&lt;&gt;"",I10&lt;&gt;0,J10&lt;&gt;""),J10/I10,"")</s:f>
        <s:v>0.77057961014317744</s:v>
      </s:c>
      <s:c r="L10" s="79">
        <s:f>J10</s:f>
        <s:v>8645.9032258064508</s:v>
      </s:c>
      <s:c r="M10" s="351">
        <s:f>IF(AND(I10&lt;&gt;"",I10&lt;&gt;0,L10&lt;&gt;"",L10&lt;&gt;0),L10/I10,"")</s:f>
        <s:v>0.77057961014317744</s:v>
      </s:c>
      <s:c r="N10" s="64">
        <s:f>IF(AND(J10&lt;&gt;0,J10&lt;&gt;"",I10&lt;&gt;0,I10&lt;&gt;""),L10-I10,"")</s:f>
        <s:v>-2574.0967741935492</s:v>
      </s:c>
      <s:c r="O10" s="65">
        <s:f>O11*O12</s:f>
        <s:v>0</s:v>
      </s:c>
      <s:c r="P10" s="66" t="str">
        <s:f>IF(AND(O10&lt;&gt;"",O10&lt;&gt;0,L10&lt;&gt;"",L10&lt;&gt;0),-O10+L10,"")</s:f>
        <s:v/>
      </s:c>
      <s:c r="Q10" s="67" t="str">
        <s:f>IF(AND(P10&lt;&gt;"",P10&lt;&gt;0,O10&lt;&gt;0,O10&lt;&gt;""),P10/O10,"")</s:f>
        <s:v/>
      </s:c>
      <s:c r="R10" s="22"/>
      <s:c r="S10" s="22"/>
      <s:c r="T10" s="28"/>
      <s:c r="U10" s="28"/>
      <s:c r="V10" s="5"/>
      <s:c r="W10" s="5"/>
      <s:c r="X10" s="5"/>
      <s:c r="Y10" s="5"/>
    </s:row>
    <s:row r="11" ht="15.75" customHeight="1">
      <s:c r="B11" s="23"/>
      <s:c r="C11" s="5"/>
      <s:c r="D11" s="5"/>
      <s:c r="E11" s="5"/>
      <s:c r="F11" s="49" t="s">
        <s:v>17</s:v>
      </s:c>
      <s:c r="G11" s="49"/>
      <s:c r="H11" s="49"/>
      <s:c r="I11" s="68">
        <s:f>Центрум!I11</s:f>
        <s:v>6600</s:v>
      </s:c>
      <s:c r="J11" s="51">
        <s:f>F48</s:f>
        <s:v>6537.1463414634145</s:v>
      </s:c>
      <s:c r="K11" s="348">
        <s:f>IF(AND(I11&lt;&gt;"",I11&lt;&gt;0,J11&lt;&gt;""),J11/I11,"")</s:f>
        <s:v>0.99047671840354767</s:v>
      </s:c>
      <s:c r="L11" s="79">
        <s:f>J11</s:f>
        <s:v>6537.1463414634145</s:v>
      </s:c>
      <s:c r="M11" s="349">
        <s:f>IF(AND(I11&lt;&gt;"",I11&lt;&gt;0,L11&lt;&gt;"",L11&lt;&gt;0),L11/I11,"")</s:f>
        <s:v>0.99047671840354767</s:v>
      </s:c>
      <s:c r="N11" s="55">
        <s:f>IF(AND(J11&lt;&gt;0,J11&lt;&gt;"",I11&lt;&gt;0,I11&lt;&gt;""),L11-I11,"")</s:f>
        <s:v>-62.853658536585499</s:v>
      </s:c>
      <s:c r="O11" s="69"/>
      <s:c r="P11" s="57" t="str">
        <s:f>IF(AND(O11&lt;&gt;"",O11&lt;&gt;0,L11&lt;&gt;"",L11&lt;&gt;0),-O11+L11,"")</s:f>
        <s:v/>
      </s:c>
      <s:c r="Q11" s="58" t="str">
        <s:f>IF(AND(P11&lt;&gt;"",P11&lt;&gt;0,O11&lt;&gt;0,O11&lt;&gt;""),P11/O11,"")</s:f>
        <s:v/>
      </s:c>
      <s:c r="R11" s="22"/>
      <s:c r="S11" s="22"/>
      <s:c r="T11" s="28"/>
      <s:c r="U11" s="5"/>
      <s:c r="V11" s="5"/>
      <s:c r="W11" s="5"/>
      <s:c r="X11" s="5"/>
      <s:c r="Y11" s="5"/>
    </s:row>
    <s:row r="12" ht="15.75" customHeight="1">
      <s:c r="B12" s="23"/>
      <s:c r="C12" s="5"/>
      <s:c r="D12" s="5"/>
      <s:c r="E12" s="5"/>
      <s:c r="F12" s="49" t="s">
        <s:v>18</s:v>
      </s:c>
      <s:c r="G12" s="49"/>
      <s:c r="H12" s="49"/>
      <s:c r="I12" s="70">
        <s:f>'Центрум'!I12</s:f>
        <s:v>1.7</s:v>
      </s:c>
      <s:c r="J12" s="71">
        <s:f>J48</s:f>
        <s:v>1.3225806451612903</s:v>
      </s:c>
      <s:c r="K12" s="348">
        <s:f>IF(AND(I12&lt;&gt;"",I12&lt;&gt;0,J12&lt;&gt;""),J12/I12,"")</s:f>
        <s:v>0.77798861480075898</s:v>
      </s:c>
      <s:c r="L12" s="79">
        <s:f>J12</s:f>
        <s:v>1.3225806451612903</s:v>
      </s:c>
      <s:c r="M12" s="349">
        <s:f>IF(AND(I12&lt;&gt;"",I12&lt;&gt;0,L12&lt;&gt;"",L12&lt;&gt;0),L12/I12,"")</s:f>
        <s:v>0.77798861480075898</s:v>
      </s:c>
      <s:c r="N12" s="73">
        <s:f>IF(AND(J12&lt;&gt;0,J12&lt;&gt;"",I12&lt;&gt;0,I12&lt;&gt;""),L12-I12,"")</s:f>
        <s:v>-0.3774193548387097</s:v>
      </s:c>
      <s:c r="O12" s="74"/>
      <s:c r="P12" s="57" t="str">
        <s:f>IF(AND(O12&lt;&gt;"",O12&lt;&gt;0,L12&lt;&gt;"",L12&lt;&gt;0),-O12+L12,"")</s:f>
        <s:v/>
      </s:c>
      <s:c r="Q12" s="58" t="str">
        <s:f>IF(AND(P12&lt;&gt;"",P12&lt;&gt;0,O12&lt;&gt;0,O12&lt;&gt;""),P12/O12,"")</s:f>
        <s:v/>
      </s:c>
      <s:c r="R12" s="22"/>
      <s:c r="S12" s="22"/>
      <s:c r="T12" s="28"/>
      <s:c r="U12" s="5"/>
      <s:c r="V12" s="5"/>
      <s:c r="W12" s="5"/>
      <s:c r="X12" s="5"/>
      <s:c r="Y12" s="5"/>
    </s:row>
    <s:row r="13" ht="15.75" customHeight="1">
      <s:c r="B13" s="23"/>
      <s:c r="C13" s="5"/>
      <s:c r="D13" s="5"/>
      <s:c r="E13" s="5"/>
      <s:c r="F13" s="49" t="s">
        <s:v>19</s:v>
      </s:c>
      <s:c r="G13" s="49"/>
      <s:c r="H13" s="49"/>
      <s:c r="I13" s="50">
        <s:f>IF(I12&lt;&gt;0,I9/I12,"")</s:f>
        <s:v>31.644128113879002</s:v>
      </s:c>
      <s:c r="J13" s="51">
        <s:f>G48</s:f>
        <s:v>31</s:v>
      </s:c>
      <s:c r="K13" s="348">
        <s:f>IF(AND(I13&lt;&gt;"",I13&lt;&gt;0,J13&lt;&gt;""),J13/I13,"")</s:f>
        <s:v>0.97964462438146649</s:v>
      </s:c>
      <s:c r="L13" s="79">
        <s:f>IF(SUMIF($G$25:$G$47,"&gt;=0",$W$25:$W$47)&lt;&gt;0,I13*G48/SUMIF($G$25:$G$47,"&gt;=0",$W$25:$W$47),"")</s:f>
        <s:v>32.361117633247247</s:v>
      </s:c>
      <s:c r="M13" s="349">
        <s:f>IF(AND(I13&lt;&gt;"",I13&lt;&gt;0,L13&lt;&gt;"",L13&lt;&gt;0),L13/I13,"")</s:f>
        <s:v>1.0226579009157082</s:v>
      </s:c>
      <s:c r="N13" s="73">
        <s:f>IF(AND(J13&lt;&gt;0,J13&lt;&gt;"",I13&lt;&gt;0,I13&lt;&gt;""),L13-I13,"")</s:f>
        <s:v>0.71698951936824429</s:v>
      </s:c>
      <s:c r="O13" s="75"/>
      <s:c r="P13" s="57" t="str">
        <s:f>IF(AND(O13&lt;&gt;"",O13&lt;&gt;0,L13&lt;&gt;"",L13&lt;&gt;0),-O13+L13,"")</s:f>
        <s:v/>
      </s:c>
      <s:c r="Q13" s="58" t="str">
        <s:f>IF(AND(P13&lt;&gt;"",P13&lt;&gt;0,O13&lt;&gt;0,O13&lt;&gt;""),P13/O13,"")</s:f>
        <s:v/>
      </s:c>
      <s:c r="R13" s="22"/>
      <s:c r="S13" s="22"/>
      <s:c r="T13" s="28"/>
      <s:c r="U13" s="5"/>
      <s:c r="V13" s="5"/>
      <s:c r="W13" s="5"/>
      <s:c r="X13" s="5"/>
      <s:c r="Y13" s="5"/>
    </s:row>
    <s:row r="14" ht="15.75" customHeight="1">
      <s:c r="B14" s="23"/>
      <s:c r="C14" s="5"/>
      <s:c r="D14" s="5"/>
      <s:c r="E14" s="5"/>
      <s:c r="F14" s="49" t="s">
        <s:v>98</s:v>
      </s:c>
      <s:c r="G14" s="49"/>
      <s:c r="H14" s="49"/>
      <s:c r="I14" s="68">
        <s:f>График!AI27</s:f>
        <s:v>10</s:v>
      </s:c>
      <s:c r="J14" s="76">
        <s:v>18</s:v>
      </s:c>
      <s:c r="K14" s="348">
        <s:f>IF(AND(I14&lt;&gt;"",I14&lt;&gt;0,J14&lt;&gt;""),J14/I14,"")</s:f>
        <s:v>1.8</s:v>
      </s:c>
      <s:c r="L14" s="79">
        <s:f>IF(SUMIF($D$25:$D$47,"&gt;=0",$U$25:$U$47),I48*I8/SUMIF($D$25:$D$47,"&gt;=0",$U$25:$U$47),"")</s:f>
        <s:v>276.49466553183515</s:v>
      </s:c>
      <s:c r="M14" s="349"/>
      <s:c r="N14" s="55">
        <s:f>IF(AND(J14&lt;&gt;0,J14&lt;&gt;"",I14&lt;&gt;0,I14&lt;&gt;""),L14-I14,"")</s:f>
        <s:v>266.49466553183515</s:v>
      </s:c>
      <s:c r="O14" s="75"/>
      <s:c r="P14" s="57" t="str">
        <s:f>IF(AND(O14&lt;&gt;"",O14&lt;&gt;0,L14&lt;&gt;"",L14&lt;&gt;0),-O14+L14,"")</s:f>
        <s:v/>
      </s:c>
      <s:c r="Q14" s="58" t="str">
        <s:f>IF(AND(P14&lt;&gt;"",P14&lt;&gt;0,O14&lt;&gt;0,O14&lt;&gt;""),P14/O14,"")</s:f>
        <s:v/>
      </s:c>
      <s:c r="R14" s="22"/>
      <s:c r="S14" s="22"/>
      <s:c r="T14" s="28"/>
      <s:c r="U14" s="77"/>
      <s:c r="V14" s="5"/>
      <s:c r="W14" s="5"/>
      <s:c r="X14" s="5"/>
      <s:c r="Y14" s="5"/>
    </s:row>
    <s:row r="15" ht="15.75" customHeight="1">
      <s:c r="B15" s="23"/>
      <s:c r="C15" s="5"/>
      <s:c r="D15" s="5"/>
      <s:c r="E15" s="5"/>
      <s:c r="F15" s="49" t="s">
        <s:v>21</s:v>
      </s:c>
      <s:c r="G15" s="49"/>
      <s:c r="H15" s="49"/>
      <s:c r="I15" s="352">
        <s:f>Центрум!I15/2</s:f>
        <s:v>30945.483870967742</s:v>
      </s:c>
      <s:c r="J15" s="85">
        <s:f>J8/J14</s:f>
        <s:v>14890.166666666666</s:v>
      </s:c>
      <s:c r="K15" s="353">
        <s:f>IF(AND(I15&lt;&gt;"",I15&lt;&gt;0,J15&lt;&gt;""),J15/I15,"")</s:f>
        <s:v>0.48117414252605167</s:v>
      </s:c>
      <s:c r="L15" s="86">
        <s:f>J15</s:f>
        <s:v>14890.166666666666</s:v>
      </s:c>
      <s:c r="M15" s="349">
        <s:f>IF(AND(I15&lt;&gt;"",I15&lt;&gt;0,L15&lt;&gt;"",L15&lt;&gt;0),L15/I15,"")</s:f>
        <s:v>0.48117414252605167</s:v>
      </s:c>
      <s:c r="N15" s="55">
        <s:f>IF(AND(J15&lt;&gt;0,J15&lt;&gt;"",I15&lt;&gt;0,I15&lt;&gt;""),L15-I15,"")</s:f>
        <s:v>-16055.317204301076</s:v>
      </s:c>
      <s:c r="O15" s="88"/>
      <s:c r="P15" s="57" t="str">
        <s:f>IF(AND(O15&lt;&gt;"",O15&lt;&gt;0,L15&lt;&gt;"",L15&lt;&gt;0),-O15+L15,"")</s:f>
        <s:v/>
      </s:c>
      <s:c r="Q15" s="58" t="str">
        <s:f>IF(AND(P15&lt;&gt;"",P15&lt;&gt;0,O15&lt;&gt;0,O15&lt;&gt;""),P15/O15,"")</s:f>
        <s:v/>
      </s:c>
      <s:c r="R15" s="22"/>
      <s:c r="S15" s="22"/>
      <s:c r="T15" s="28"/>
      <s:c r="U15" s="28"/>
      <s:c r="V15" s="5"/>
      <s:c r="W15" s="5"/>
      <s:c r="X15" s="5"/>
      <s:c r="Y15" s="5"/>
    </s:row>
    <s:row r="16" ht="15.75" customHeight="1">
      <s:c r="B16" s="23"/>
      <s:c r="C16" s="5"/>
      <s:c r="D16" s="5"/>
      <s:c r="E16" s="5"/>
      <s:c r="F16" s="49" t="s">
        <s:v>22</s:v>
      </s:c>
      <s:c r="G16" s="49"/>
      <s:c r="H16" s="49"/>
      <s:c r="I16" s="352"/>
      <s:c r="J16" s="85">
        <s:f>J8-I15*J14</s:f>
        <s:v>-288995.70967741939</s:v>
      </s:c>
      <s:c r="K16" s="353" t="str">
        <s:f>IF(AND(I16&lt;&gt;"",I16&lt;&gt;0,J16&lt;&gt;""),J16/I16,"")</s:f>
        <s:v/>
      </s:c>
      <s:c r="L16" s="86">
        <s:f>J16</s:f>
        <s:v>-288995.70967741939</s:v>
      </s:c>
      <s:c r="M16" s="354" t="str">
        <s:f>IF(AND(I16&lt;&gt;"",I16&lt;&gt;0,L16&lt;&gt;"",L16&lt;&gt;0),L16/I16,"")</s:f>
        <s:v/>
      </s:c>
      <s:c r="N16" s="55" t="str">
        <s:f>IF(AND(J16&lt;&gt;0,J16&lt;&gt;"",I16&lt;&gt;0,I16&lt;&gt;""),L16-I16,"")</s:f>
        <s:v/>
      </s:c>
      <s:c r="O16" s="88"/>
      <s:c r="P16" s="57" t="str">
        <s:f>IF(AND(O16&lt;&gt;"",O16&lt;&gt;0,L16&lt;&gt;"",L16&lt;&gt;0),-O16+L16,"")</s:f>
        <s:v/>
      </s:c>
      <s:c r="Q16" s="58" t="str">
        <s:f>IF(AND(P16&lt;&gt;"",P16&lt;&gt;0,O16&lt;&gt;0,O16&lt;&gt;""),P16/O16,"")</s:f>
        <s:v/>
      </s:c>
      <s:c r="R16" s="22"/>
      <s:c r="S16" s="22"/>
      <s:c r="T16" s="28"/>
      <s:c r="U16" s="355" t="s">
        <s:v>23</s:v>
      </s:c>
      <s:c r="V16" s="5"/>
      <s:c r="W16" s="5"/>
      <s:c r="X16" s="5"/>
      <s:c r="Y16" s="5"/>
    </s:row>
    <s:row r="17" ht="15.75" customHeight="1">
      <s:c r="B17" s="23"/>
      <s:c r="C17" s="5"/>
      <s:c r="D17" s="5"/>
      <s:c r="E17" s="5"/>
      <s:c r="F17" s="49" t="s">
        <s:v>24</s:v>
      </s:c>
      <s:c r="G17" s="49"/>
      <s:c r="H17" s="49"/>
      <s:c r="I17" s="352">
        <s:f>Центрум!I17/График!AJ29*График!AJ27</s:f>
        <s:v>351.60142348754448</s:v>
      </s:c>
      <s:c r="J17" s="85">
        <s:f>I48</s:f>
        <s:v>258.40000000000003</s:v>
      </s:c>
      <s:c r="K17" s="353">
        <s:f>IF(AND(I17&lt;&gt;"",I17&lt;&gt;0,J17&lt;&gt;""),J17/I17,"")</s:f>
        <s:v>0.73492307692307701</s:v>
      </s:c>
      <s:c r="L17" s="86">
        <s:f>J17/J14*I14</s:f>
        <s:v>143.55555555555557</s:v>
      </s:c>
      <s:c r="M17" s="354">
        <s:f>IF(AND(I17&lt;&gt;"",I17&lt;&gt;0,L17&lt;&gt;"",L17&lt;&gt;0),L17/I17,"")</s:f>
        <s:v>0.40829059829059833</s:v>
      </s:c>
      <s:c r="N17" s="55">
        <s:f>IF(AND(J17&lt;&gt;0,J17&lt;&gt;"",I17&lt;&gt;0,I17&lt;&gt;""),L17-I17,"")</s:f>
        <s:v>-208.04586793198891</s:v>
      </s:c>
      <s:c r="O17" s="88"/>
      <s:c r="P17" s="57" t="str">
        <s:f>IF(AND(O17&lt;&gt;"",O17&lt;&gt;0,L17&lt;&gt;"",L17&lt;&gt;0),-O17+L17,"")</s:f>
        <s:v/>
      </s:c>
      <s:c r="Q17" s="58" t="str">
        <s:f>IF(AND(P17&lt;&gt;"",P17&lt;&gt;0,O17&lt;&gt;0,O17&lt;&gt;""),P17/O17,"")</s:f>
        <s:v/>
      </s:c>
      <s:c r="R17" s="22"/>
      <s:c r="S17" s="22"/>
      <s:c r="T17" s="28"/>
      <s:c r="U17" s="355"/>
      <s:c r="V17" s="5"/>
      <s:c r="W17" s="5"/>
      <s:c r="X17" s="5"/>
      <s:c r="Y17" s="5"/>
    </s:row>
    <s:row r="18" ht="15.75" customHeight="1">
      <s:c r="B18" s="23"/>
      <s:c r="C18" s="5"/>
      <s:c r="D18" s="5"/>
      <s:c r="E18" s="5"/>
      <s:c r="F18" s="49"/>
      <s:c r="G18" s="49"/>
      <s:c r="H18" s="49"/>
      <s:c r="I18" s="84"/>
      <s:c r="J18" s="85"/>
      <s:c r="K18" s="353" t="str">
        <s:f>IF(AND(I18&lt;&gt;"",I18&lt;&gt;0,J18&lt;&gt;""),J18/I18,"")</s:f>
        <s:v/>
      </s:c>
      <s:c r="L18" s="86">
        <s:f>J18</s:f>
        <s:v>0</s:v>
      </s:c>
      <s:c r="M18" s="354" t="str">
        <s:f>IF(AND(I18&lt;&gt;"",I18&lt;&gt;0,L18&lt;&gt;"",L18&lt;&gt;0),L18/I18,"")</s:f>
        <s:v/>
      </s:c>
      <s:c r="N18" s="55" t="str">
        <s:f>IF(AND(J18&lt;&gt;0,J18&lt;&gt;"",I18&lt;&gt;0,I18&lt;&gt;""),L18-I18,"")</s:f>
        <s:v/>
      </s:c>
      <s:c r="O18" s="356">
        <s:v>0</s:v>
      </s:c>
      <s:c r="P18" s="57" t="str">
        <s:f>IF(AND(O18&lt;&gt;"",O18&lt;&gt;0,L18&lt;&gt;"",L18&lt;&gt;0),-O18+L18,"")</s:f>
        <s:v/>
      </s:c>
      <s:c r="Q18" s="58" t="str">
        <s:f>IF(AND(P18&lt;&gt;"",P18&lt;&gt;0,O18&lt;&gt;0,O18&lt;&gt;""),P18/O18,"")</s:f>
        <s:v/>
      </s:c>
      <s:c r="R18" s="22"/>
      <s:c r="S18" s="22"/>
      <s:c r="T18" s="28"/>
      <s:c r="U18" s="83"/>
      <s:c r="V18" s="5"/>
      <s:c r="W18" s="5"/>
      <s:c r="X18" s="5"/>
      <s:c r="Y18" s="5"/>
    </s:row>
    <s:row r="19" ht="15.75" customHeight="1">
      <s:c r="B19" s="23"/>
      <s:c r="C19" s="5"/>
      <s:c r="D19" s="5"/>
      <s:c r="E19" s="5"/>
      <s:c r="F19" s="49"/>
      <s:c r="G19" s="49"/>
      <s:c r="H19" s="49"/>
      <s:c r="I19" s="84"/>
      <s:c r="J19" s="85"/>
      <s:c r="K19" s="353" t="str">
        <s:f>IF(AND(I19&lt;&gt;"",I19&lt;&gt;0,J19&lt;&gt;""),J19/I19,"")</s:f>
        <s:v/>
      </s:c>
      <s:c r="L19" s="86">
        <s:f>J19</s:f>
        <s:v>0</s:v>
      </s:c>
      <s:c r="M19" s="354" t="str">
        <s:f>IF(AND(I19&lt;&gt;"",I19&lt;&gt;0,L19&lt;&gt;"",L19&lt;&gt;0),L19/I19,"")</s:f>
        <s:v/>
      </s:c>
      <s:c r="N19" s="55" t="str">
        <s:f>IF(AND(J19&lt;&gt;0,J19&lt;&gt;"",I19&lt;&gt;0,I19&lt;&gt;""),L19-I19,"")</s:f>
        <s:v/>
      </s:c>
      <s:c r="O19" s="88">
        <s:v>0</s:v>
      </s:c>
      <s:c r="P19" s="57" t="str">
        <s:f>IF(AND(O19&lt;&gt;"",O19&lt;&gt;0,L19&lt;&gt;"",L19&lt;&gt;0),-O19+L19,"")</s:f>
        <s:v/>
      </s:c>
      <s:c r="Q19" s="58" t="str">
        <s:f>IF(AND(P19&lt;&gt;"",P19&lt;&gt;0,O19&lt;&gt;0,O19&lt;&gt;""),P19/O19,"")</s:f>
        <s:v/>
      </s:c>
      <s:c r="R19" s="22"/>
      <s:c r="S19" s="22"/>
      <s:c r="T19" s="28"/>
      <s:c r="U19" s="52" t="e">
        <s:f>U18/I16</s:f>
        <s:v>#DIV/0!</s:v>
      </s:c>
      <s:c r="V19" s="5"/>
      <s:c r="W19" s="5"/>
      <s:c r="X19" s="5"/>
      <s:c r="Y19" s="5"/>
    </s:row>
    <s:row r="20" ht="15.75" customHeight="1">
      <s:c r="B20" s="23"/>
      <s:c r="C20" s="5"/>
      <s:c r="D20" s="5"/>
      <s:c r="E20" s="5"/>
      <s:c r="F20" s="89" t="s">
        <s:v>102</s:v>
      </s:c>
      <s:c r="G20" s="89"/>
      <s:c r="H20" s="89"/>
      <s:c r="I20" s="357">
        <s:f>Центрум!I20</s:f>
        <s:v>0.089999999999999997</s:v>
      </s:c>
      <s:c r="J20" s="358">
        <s:f>S48</s:f>
        <s:v>0.119969040247678</s:v>
      </s:c>
      <s:c r="K20" s="91">
        <s:f>J20/I20</s:f>
        <s:v>1.3329893360853111</s:v>
      </s:c>
      <s:c r="L20" s="92">
        <s:f>IF(AND(K8&lt;&gt;0,I14&lt;&gt;0,I48&lt;&gt;0),(I48*S48+(I48/K8-I48)*I20)/(I48/K8),0)</s:f>
        <s:v>0.1126234538454247</s:v>
      </s:c>
      <s:c r="M20" s="359">
        <s:f>IF(AND(I20&lt;&gt;"",I20&lt;&gt;0,L20&lt;&gt;"",L20&lt;&gt;0),L20/I20,"")</s:f>
        <s:v>1.2513717093936079</s:v>
      </s:c>
      <s:c r="N20" s="94">
        <s:f>IF(AND(J20&lt;&gt;0,J20&lt;&gt;"",I20&lt;&gt;0,I20&lt;&gt;""),L20-I20,"")</s:f>
        <s:v>0.022623453845424704</s:v>
      </s:c>
      <s:c r="O20" s="95"/>
      <s:c r="P20" s="96" t="str">
        <s:f>IF(AND(O20&lt;&gt;"",O20&lt;&gt;0,L20&lt;&gt;"",L20&lt;&gt;0),-O20+L20,"")</s:f>
        <s:v/>
      </s:c>
      <s:c r="Q20" s="97" t="str">
        <s:f>IF(AND(P20&lt;&gt;"",P20&lt;&gt;0,O20&lt;&gt;0,O20&lt;&gt;""),P20/O20,"")</s:f>
        <s:v/>
      </s:c>
      <s:c r="R20" s="22"/>
      <s:c r="S20" s="22"/>
      <s:c r="T20" s="28"/>
      <s:c r="U20" s="28"/>
      <s:c r="V20" s="5"/>
      <s:c r="W20" s="5"/>
      <s:c r="X20" s="5"/>
      <s:c r="Y20" s="5"/>
    </s:row>
    <s:row r="21" ht="15.75" customHeight="1">
      <s:c r="B21" s="23"/>
      <s:c r="C21" s="5"/>
      <s:c r="D21" s="5"/>
      <s:c r="E21" s="5"/>
      <s:c r="F21" s="5"/>
      <s:c r="G21" s="5"/>
      <s:c r="H21" s="5"/>
      <s:c r="I21" s="5"/>
      <s:c r="J21" s="5"/>
      <s:c r="K21" s="5"/>
      <s:c r="L21" s="5"/>
      <s:c r="M21" s="5"/>
      <s:c r="N21" s="5"/>
      <s:c r="O21" s="5"/>
      <s:c r="P21" s="5"/>
      <s:c r="Q21" s="5"/>
      <s:c r="R21" s="5"/>
      <s:c r="S21" s="5"/>
      <s:c r="T21" s="5"/>
      <s:c r="U21" s="5"/>
      <s:c r="V21" s="5"/>
      <s:c r="W21" s="28"/>
      <s:c r="X21" s="28"/>
      <s:c r="Y21" s="5"/>
      <s:c r="Z21" s="5"/>
      <s:c r="AA21" s="5"/>
      <s:c r="AB21" s="5"/>
    </s:row>
    <s:row r="22" ht="16.5" customHeight="1">
      <s:c r="B22" s="360" t="s">
        <s:v>26</s:v>
      </s:c>
      <s:c r="C22" s="360"/>
      <s:c r="D22" s="360"/>
      <s:c r="E22" s="360"/>
      <s:c r="F22" s="360"/>
      <s:c r="G22" s="360"/>
      <s:c r="H22" s="360"/>
      <s:c r="I22" s="360"/>
      <s:c r="J22" s="360"/>
      <s:c r="K22" s="360"/>
      <s:c r="L22" s="419"/>
      <s:c r="M22" s="419"/>
      <s:c r="N22" s="419"/>
      <s:c r="O22" s="360"/>
      <s:c r="P22" s="360"/>
      <s:c r="Q22" s="360"/>
      <s:c r="R22" s="360"/>
      <s:c r="S22" s="360"/>
      <s:c r="T22" s="361" t="s">
        <s:v>46</s:v>
      </s:c>
      <s:c r="U22" s="360" t="s">
        <s:v>27</s:v>
      </s:c>
      <s:c r="V22" s="360"/>
      <s:c r="W22" s="360"/>
      <s:c r="X22" s="360"/>
      <s:c r="Y22" s="360"/>
      <s:c r="Z22" s="360"/>
      <s:c r="AA22" s="360"/>
      <s:c r="AB22" s="360"/>
    </s:row>
    <s:row r="23" ht="42">
      <s:c r="B23" s="361" t="s">
        <s:v>29</s:v>
      </s:c>
      <s:c r="C23" s="361" t="s">
        <s:v>30</s:v>
      </s:c>
      <s:c r="D23" s="361" t="s">
        <s:v>31</s:v>
      </s:c>
      <s:c r="E23" s="361" t="s">
        <s:v>32</s:v>
      </s:c>
      <s:c r="F23" s="361" t="s">
        <s:v>33</s:v>
      </s:c>
      <s:c r="G23" s="361" t="s">
        <s:v>34</s:v>
      </s:c>
      <s:c r="H23" s="361" t="s">
        <s:v>35</s:v>
      </s:c>
      <s:c r="I23" s="361" t="s">
        <s:v>24</s:v>
      </s:c>
      <s:c r="J23" s="361" t="s">
        <s:v>36</s:v>
      </s:c>
      <s:c r="K23" s="105" t="s">
        <s:v>37</s:v>
      </s:c>
      <s:c r="L23" s="105" t="s">
        <s:v>38</s:v>
      </s:c>
      <s:c r="M23" s="105" t="s">
        <s:v>39</s:v>
      </s:c>
      <s:c r="N23" s="105" t="s">
        <s:v>40</s:v>
      </s:c>
      <s:c r="O23" s="105" t="s">
        <s:v>41</s:v>
      </s:c>
      <s:c r="P23" s="362" t="s">
        <s:v>42</s:v>
      </s:c>
      <s:c r="Q23" s="105" t="s">
        <s:v>43</s:v>
      </s:c>
      <s:c r="R23" s="105" t="s">
        <s:v>44</s:v>
      </s:c>
      <s:c r="S23" s="361" t="s">
        <s:v>45</s:v>
      </s:c>
      <s:c r="T23" s="361"/>
      <s:c r="U23" s="361" t="s">
        <s:v>47</s:v>
      </s:c>
      <s:c r="V23" s="361" t="s">
        <s:v>48</s:v>
      </s:c>
      <s:c r="W23" s="361" t="s">
        <s:v>49</s:v>
      </s:c>
      <s:c r="X23" s="361" t="s">
        <s:v>50</s:v>
      </s:c>
      <s:c r="Y23" s="361" t="s">
        <s:v>51</s:v>
      </s:c>
      <s:c r="Z23" s="361" t="s">
        <s:v>52</s:v>
      </s:c>
      <s:c r="AA23" s="363" t="s">
        <s:v>53</s:v>
      </s:c>
      <s:c r="AB23" s="363" t="s">
        <s:v>54</s:v>
      </s:c>
      <s:c r="AC23" s="214"/>
    </s:row>
    <s:row r="24">
      <s:c r="A24" s="364"/>
      <s:c r="B24" s="365">
        <s:v>1</s:v>
      </s:c>
      <s:c r="C24" s="366">
        <s:v>2</s:v>
      </s:c>
      <s:c r="D24" s="367">
        <s:v>3</s:v>
      </s:c>
      <s:c r="E24" s="367" t="s">
        <s:v>103</s:v>
      </s:c>
      <s:c r="F24" s="366">
        <s:v>5</s:v>
      </s:c>
      <s:c r="G24" s="367">
        <s:v>6</s:v>
      </s:c>
      <s:c r="H24" s="366">
        <s:v>7</s:v>
      </s:c>
      <s:c r="I24" s="367">
        <s:v>8</s:v>
      </s:c>
      <s:c r="J24" s="367">
        <s:v>9</s:v>
      </s:c>
      <s:c r="K24" s="367">
        <s:v>10</s:v>
      </s:c>
      <s:c r="L24" s="420">
        <s:v>11</s:v>
      </s:c>
      <s:c r="M24" s="420">
        <s:v>12</s:v>
      </s:c>
      <s:c r="N24" s="420">
        <s:v>13</s:v>
      </s:c>
      <s:c r="O24" s="367">
        <s:v>14</s:v>
      </s:c>
      <s:c r="P24" s="112">
        <s:v>15</s:v>
      </s:c>
      <s:c r="Q24" s="367">
        <s:v>16</s:v>
      </s:c>
      <s:c r="R24" s="112">
        <s:v>17</s:v>
      </s:c>
      <s:c r="S24" s="367">
        <s:v>18</s:v>
      </s:c>
      <s:c r="T24" s="361"/>
      <s:c r="U24" s="368">
        <s:v>1</s:v>
      </s:c>
      <s:c r="V24" s="368">
        <s:v>2</s:v>
      </s:c>
      <s:c r="W24" s="368">
        <s:v>3</s:v>
      </s:c>
      <s:c r="X24" s="368">
        <s:v>4</s:v>
      </s:c>
      <s:c r="Y24" s="368">
        <s:v>5</s:v>
      </s:c>
      <s:c r="Z24" s="368">
        <s:v>6</s:v>
      </s:c>
      <s:c r="AA24" s="368">
        <s:v>10</s:v>
      </s:c>
      <s:c r="AB24" s="368">
        <s:v>11</s:v>
      </s:c>
    </s:row>
    <s:row r="25">
      <s:c r="A25" s="173">
        <s:v>1</s:v>
      </s:c>
      <s:c r="B25" s="160">
        <s:v>46024</s:v>
      </s:c>
      <s:c r="C25" s="161" t="s">
        <s:v>57</s:v>
      </s:c>
      <s:c r="D25" s="371">
        <s:f>8593+12006+2311</s:f>
        <s:v>22910</s:v>
      </s:c>
      <s:c r="E25" s="199">
        <s:v>3</s:v>
      </s:c>
      <s:c r="F25" s="164">
        <s:f>IF(AND(E25&lt;&gt;"",E25&lt;&gt;0),D25/E25,"")</s:f>
        <s:v>7636.666666666667</s:v>
      </s:c>
      <s:c r="G25" s="199">
        <s:v>2</s:v>
      </s:c>
      <s:c r="H25" s="164">
        <s:f>IF(AND(G25&lt;&gt;"",G25&lt;&gt;0),D25/G25,"")</s:f>
        <s:v>11455</s:v>
      </s:c>
      <s:c r="I25" s="199">
        <s:v>26</s:v>
      </s:c>
      <s:c r="J25" s="165">
        <s:f>IF(AND(G25&lt;&gt;"",G25&lt;&gt;0),E25/G25,"")</s:f>
        <s:v>1.5</s:v>
      </s:c>
      <s:c r="K25" s="127"/>
      <s:c r="L25" s="127"/>
      <s:c r="M25" s="127"/>
      <s:c r="N25" s="127"/>
      <s:c r="O25" s="127"/>
      <s:c r="P25" s="127"/>
      <s:c r="Q25" s="127"/>
      <s:c r="R25" s="127"/>
      <s:c r="S25" s="167">
        <s:f>IF(AND(I25&lt;&gt;"",I25&lt;&gt;0),G25/I25,"")</s:f>
        <s:v>0.076923076923076927</s:v>
      </s:c>
      <s:c r="T25" s="414">
        <s:f>D25/U25</s:f>
        <s:v>1.2260062921827628</s:v>
      </s:c>
      <s:c r="U25" s="169">
        <s:f>$I$8*AA25*AB25/SUMPRODUCT($AB$25:$AB$55,$AA$25:$AA$55)</s:f>
        <s:v>18686.690391459073</s:v>
      </s:c>
      <s:c r="V25" s="170">
        <s:f>$I$9*AA25*AB25/SUMPRODUCT($AB$25:$AB$55,$AA$25:$AA$55)</s:f>
        <s:v>2.8313167259786476</s:v>
      </s:c>
      <s:c r="W25" s="170">
        <s:f>IF($I$12="","",V25/$I$12)</s:f>
        <s:v>1.6654804270462633</s:v>
      </s:c>
      <s:c r="X25" s="169">
        <s:f>IF(AB25&lt;&gt;"",IF(D25&lt;&gt;"",D25,($I$8-SUM($X24:X$25))*AA25*AB25/SUMPRODUCT($AB25:$AB$55,$AA25:$AA$55)),"")</s:f>
        <s:v>22910</s:v>
      </s:c>
      <s:c r="Y25" s="170">
        <s:f>IF(AB25&lt;&gt;"",IF(E25&lt;&gt;"",E25,($I$9-SUM($Y24:Y$25))*AA25*AB25/SUMPRODUCT($AB25:$AB$55,$AA25:$AA$55)),"")</s:f>
        <s:v>3</s:v>
      </s:c>
      <s:c r="Z25" s="170">
        <s:f>IF(AB25&lt;&gt;"",IF($I$12&lt;&gt;"",IF(G25&lt;&gt;"",G25,($I$9/$I$12-SUM($Z24:Z$25))*AA25*AB25/SUMPRODUCT($AB25:$AB$55,$AA25:$AA$55)),""),"")</s:f>
        <s:v>2</s:v>
      </s:c>
      <s:c r="AA25" s="398">
        <s:v>1</s:v>
      </s:c>
      <s:c r="AB25" s="398">
        <s:v>1</s:v>
      </s:c>
      <s:c r="AC25" s="172"/>
      <s:c r="AD25" s="172"/>
      <s:c r="AE25" s="178"/>
      <s:c r="AF25" s="2"/>
      <s:c r="AG25" s="2"/>
      <s:c r="AH25" s="2"/>
      <s:c r="AI25" s="2"/>
      <s:c r="AJ25" s="2"/>
      <s:c r="AK25" s="2"/>
      <s:c r="AL25" s="2"/>
    </s:row>
    <s:row r="26">
      <s:c r="A26" s="159">
        <s:v>2</s:v>
      </s:c>
      <s:c r="B26" s="370">
        <s:v>46025</s:v>
      </s:c>
      <s:c r="C26" s="205" t="s">
        <s:v>58</s:v>
      </s:c>
      <s:c r="D26" s="371">
        <s:f>6082+8693</s:f>
        <s:v>14775</s:v>
      </s:c>
      <s:c r="E26" s="199">
        <s:v>2</s:v>
      </s:c>
      <s:c r="F26" s="198">
        <s:f>IF(AND(E26&lt;&gt;"",E26&lt;&gt;0),D26/E26,"")</s:f>
        <s:v>7387.5</s:v>
      </s:c>
      <s:c r="G26" s="199">
        <s:v>2</s:v>
      </s:c>
      <s:c r="H26" s="198">
        <s:f>IF(AND(G26&lt;&gt;"",G26&lt;&gt;0),D26/G26,"")</s:f>
        <s:v>7387.5</s:v>
      </s:c>
      <s:c r="I26" s="199">
        <s:v>25</s:v>
      </s:c>
      <s:c r="J26" s="165">
        <s:f>IF(AND(G26&lt;&gt;"",G26&lt;&gt;0),E26/G26,"")</s:f>
        <s:v>1</s:v>
      </s:c>
      <s:c r="K26" s="127"/>
      <s:c r="L26" s="127"/>
      <s:c r="M26" s="127"/>
      <s:c r="N26" s="127"/>
      <s:c r="O26" s="127"/>
      <s:c r="P26" s="127"/>
      <s:c r="Q26" s="127">
        <s:v>8693</s:v>
      </s:c>
      <s:c r="R26" s="127"/>
      <s:c r="S26" s="167">
        <s:f>IF(AND(I26&lt;&gt;"",I26&lt;&gt;0),G26/I26,"")</s:f>
        <s:v>0.080000000000000002</s:v>
      </s:c>
      <s:c r="T26" s="414">
        <s:f>D26/U26</s:f>
        <s:v>0.79066970611088261</s:v>
      </s:c>
      <s:c r="U26" s="169">
        <s:f>$I$8*AA26*AB26/SUMPRODUCT($AB$25:$AB$55,$AA$25:$AA$55)</s:f>
        <s:v>18686.690391459073</s:v>
      </s:c>
      <s:c r="V26" s="170">
        <s:f>$I$9*AA26*AB26/SUMPRODUCT($AB$25:$AB$55,$AA$25:$AA$55)</s:f>
        <s:v>2.8313167259786476</s:v>
      </s:c>
      <s:c r="W26" s="170">
        <s:f>IF($I$12="","",V26/$I$12)</s:f>
        <s:v>1.6654804270462633</s:v>
      </s:c>
      <s:c r="X26" s="169">
        <s:f>IF(AB26&lt;&gt;"",IF(D26&lt;&gt;"",D26,($I$8-SUM($X$25:X25))*AA26*AB26/SUMPRODUCT($AB26:$AB$55,$AA26:$AA$55)),"")</s:f>
        <s:v>14775</s:v>
      </s:c>
      <s:c r="Y26" s="170">
        <s:f>IF(AB26&lt;&gt;"",IF(E26&lt;&gt;"",E26,($I$9-SUM($Y$25:Y25))*AA26*AB26/SUMPRODUCT($AB26:$AB$55,$AA26:$AA$55)),"")</s:f>
        <s:v>2</s:v>
      </s:c>
      <s:c r="Z26" s="170">
        <s:f>IF(AB26&lt;&gt;"",IF($I$12&lt;&gt;"",IF(G26&lt;&gt;"",G26,($I$9/$I$12-SUM($Z$25:Z25))*AA26*AB26/SUMPRODUCT($AB26:$AB$55,$AA26:$AA$55)),""),"")</s:f>
        <s:v>2</s:v>
      </s:c>
      <s:c r="AA26" s="398">
        <s:v>1</s:v>
      </s:c>
      <s:c r="AB26" s="398">
        <s:v>1</s:v>
      </s:c>
      <s:c r="AC26" s="172"/>
      <s:c r="AD26" s="372"/>
      <s:c r="AE26" s="2"/>
      <s:c r="AF26" s="2"/>
      <s:c r="AG26" s="2"/>
      <s:c r="AH26" s="2"/>
      <s:c r="AI26" s="2"/>
      <s:c r="AJ26" s="2"/>
      <s:c r="AK26" s="2"/>
      <s:c r="AL26" s="2"/>
    </s:row>
    <s:row r="27">
      <s:c r="A27" s="173">
        <s:v>3</s:v>
      </s:c>
      <s:c r="B27" s="160">
        <s:v>46026</s:v>
      </s:c>
      <s:c r="C27" s="161" t="s">
        <s:v>59</s:v>
      </s:c>
      <s:c r="D27" s="371">
        <s:v>10384</s:v>
      </s:c>
      <s:c r="E27" s="199">
        <s:v>2</s:v>
      </s:c>
      <s:c r="F27" s="164">
        <s:f>IF(AND(E27&lt;&gt;"",E27&lt;&gt;0),D27/E27,"")</s:f>
        <s:v>5192</s:v>
      </s:c>
      <s:c r="G27" s="199">
        <s:v>1</s:v>
      </s:c>
      <s:c r="H27" s="164">
        <s:f>IF(AND(G27&lt;&gt;"",G27&lt;&gt;0),D27/G27,"")</s:f>
        <s:v>10384</s:v>
      </s:c>
      <s:c r="I27" s="199">
        <s:v>30</s:v>
      </s:c>
      <s:c r="J27" s="165">
        <s:f>IF(AND(G27&lt;&gt;"",G27&lt;&gt;0),E27/G27,"")</s:f>
        <s:v>2</s:v>
      </s:c>
      <s:c r="K27" s="127"/>
      <s:c r="L27" s="127"/>
      <s:c r="M27" s="127"/>
      <s:c r="N27" s="127"/>
      <s:c r="O27" s="127"/>
      <s:c r="P27" s="127"/>
      <s:c r="Q27" s="127"/>
      <s:c r="R27" s="127"/>
      <s:c r="S27" s="167">
        <s:f>IF(AND(I27&lt;&gt;"",I27&lt;&gt;0),G27/I27,"")</s:f>
        <s:v>0.033333333333333333</s:v>
      </s:c>
      <s:c r="T27" s="414">
        <s:f>D27/U27</s:f>
        <s:v>0.73447446597821475</s:v>
      </s:c>
      <s:c r="U27" s="411">
        <s:v>14138</s:v>
      </s:c>
      <s:c r="V27" s="412">
        <s:v>4</s:v>
      </s:c>
      <s:c r="W27" s="412">
        <s:v>2</s:v>
      </s:c>
      <s:c r="X27" s="411">
        <s:v>16611</s:v>
      </s:c>
      <s:c r="Y27" s="412">
        <s:v>3</s:v>
      </s:c>
      <s:c r="Z27" s="412">
        <s:v>3</s:v>
      </s:c>
      <s:c r="AA27" s="398">
        <s:v>1</s:v>
      </s:c>
      <s:c r="AB27" s="398">
        <s:v>1</s:v>
      </s:c>
      <s:c r="AC27" s="172"/>
      <s:c r="AD27" s="172"/>
      <s:c r="AE27" s="2"/>
      <s:c r="AF27" s="2"/>
      <s:c r="AG27" s="2"/>
      <s:c r="AH27" s="2"/>
      <s:c r="AI27" s="2"/>
      <s:c r="AJ27" s="2"/>
      <s:c r="AK27" s="2"/>
      <s:c r="AL27" s="2"/>
    </s:row>
    <s:row r="28">
      <s:c r="A28" s="159">
        <s:v>4</s:v>
      </s:c>
      <s:c r="B28" s="160">
        <s:v>46029</s:v>
      </s:c>
      <s:c r="C28" s="205" t="s">
        <s:v>65</s:v>
      </s:c>
      <s:c r="D28" s="371">
        <s:f>5693+2692</s:f>
        <s:v>8385</s:v>
      </s:c>
      <s:c r="E28" s="199">
        <s:v>2</s:v>
      </s:c>
      <s:c r="F28" s="198">
        <s:f>IF(AND(E28&lt;&gt;"",E28&lt;&gt;0),D28/E28,"")</s:f>
        <s:v>4192.5</s:v>
      </s:c>
      <s:c r="G28" s="199">
        <s:v>2</s:v>
      </s:c>
      <s:c r="H28" s="198">
        <s:f>IF(AND(G28&lt;&gt;"",G28&lt;&gt;0),D28/G28,"")</s:f>
        <s:v>4192.5</s:v>
      </s:c>
      <s:c r="I28" s="199">
        <s:v>17</s:v>
      </s:c>
      <s:c r="J28" s="165">
        <s:f>IF(AND(G28&lt;&gt;"",G28&lt;&gt;0),E28/G28,"")</s:f>
        <s:v>1</s:v>
      </s:c>
      <s:c r="K28" s="127"/>
      <s:c r="L28" s="127"/>
      <s:c r="M28" s="127"/>
      <s:c r="N28" s="127"/>
      <s:c r="O28" s="127"/>
      <s:c r="P28" s="127"/>
      <s:c r="Q28" s="127"/>
      <s:c r="R28" s="127"/>
      <s:c r="S28" s="167">
        <s:f>IF(AND(I28&lt;&gt;"",I28&lt;&gt;0),G28/I28,"")</s:f>
        <s:v>0.11764705882352941</s:v>
      </s:c>
      <s:c r="T28" s="414">
        <s:f>D28/U28</s:f>
        <s:v>0.44871509209744509</s:v>
      </s:c>
      <s:c r="U28" s="169">
        <s:f>$I$8*AA28*AB28/SUMPRODUCT($AB$25:$AB$55,$AA$25:$AA$55)</s:f>
        <s:v>18686.690391459073</s:v>
      </s:c>
      <s:c r="V28" s="170">
        <s:f>$I$9*AA28*AB28/SUMPRODUCT($AB$25:$AB$55,$AA$25:$AA$55)</s:f>
        <s:v>2.8313167259786476</s:v>
      </s:c>
      <s:c r="W28" s="170">
        <s:f>IF($I$12="","",V28/$I$12)</s:f>
        <s:v>1.6654804270462633</s:v>
      </s:c>
      <s:c r="X28" s="169">
        <s:f>IF(AB28&lt;&gt;"",IF(D28&lt;&gt;"",D28,($I$8-SUM($X$25:X27))*AA28*AB28/SUMPRODUCT($AB28:$AB$55,$AA28:$AA$55)),"")</s:f>
        <s:v>8385</s:v>
      </s:c>
      <s:c r="Y28" s="170">
        <s:f>IF(AB28&lt;&gt;"",IF(E28&lt;&gt;"",E28,($I$9-SUM($Y$25:Y27))*AA28*AB28/SUMPRODUCT($AB28:$AB$55,$AA28:$AA$55)),"")</s:f>
        <s:v>2</s:v>
      </s:c>
      <s:c r="Z28" s="170">
        <s:f>IF(AB28&lt;&gt;"",IF($I$12&lt;&gt;"",IF(G28&lt;&gt;"",G28,($I$9/$I$12-SUM($Z$25:Z27))*AA28*AB28/SUMPRODUCT($AB28:$AB$55,$AA28:$AA$55)),""),"")</s:f>
        <s:v>2</s:v>
      </s:c>
      <s:c r="AA28" s="398">
        <s:v>1</s:v>
      </s:c>
      <s:c r="AB28" s="398">
        <s:v>1</s:v>
      </s:c>
      <s:c r="AC28" s="172"/>
      <s:c r="AD28" s="172"/>
      <s:c r="AE28" s="2"/>
      <s:c r="AF28" s="2"/>
      <s:c r="AG28" s="2"/>
      <s:c r="AH28" s="2"/>
      <s:c r="AI28" s="2"/>
      <s:c r="AJ28" s="2"/>
      <s:c r="AK28" s="2"/>
      <s:c r="AL28" s="2"/>
    </s:row>
    <s:row r="29">
      <s:c r="A29" s="173">
        <s:v>5</s:v>
      </s:c>
      <s:c r="B29" s="160">
        <s:v>46030</s:v>
      </s:c>
      <s:c r="C29" s="161" t="s">
        <s:v>55</s:v>
      </s:c>
      <s:c r="D29" s="371">
        <s:f>8085+5293</s:f>
        <s:v>13378</s:v>
      </s:c>
      <s:c r="E29" s="199">
        <s:v>3</s:v>
      </s:c>
      <s:c r="F29" s="164">
        <s:f>IF(AND(E29&lt;&gt;"",E29&lt;&gt;0),D29/E29,"")</s:f>
        <s:v>4459.333333333333</s:v>
      </s:c>
      <s:c r="G29" s="199">
        <s:v>2</s:v>
      </s:c>
      <s:c r="H29" s="164">
        <s:f>IF(AND(G29&lt;&gt;"",G29&lt;&gt;0),D29/G29,"")</s:f>
        <s:v>6689</s:v>
      </s:c>
      <s:c r="I29" s="199">
        <s:v>21</s:v>
      </s:c>
      <s:c r="J29" s="165">
        <s:f>IF(AND(G29&lt;&gt;"",G29&lt;&gt;0),E29/G29,"")</s:f>
        <s:v>1.5</s:v>
      </s:c>
      <s:c r="K29" s="127"/>
      <s:c r="L29" s="127"/>
      <s:c r="M29" s="127"/>
      <s:c r="N29" s="127"/>
      <s:c r="O29" s="127"/>
      <s:c r="P29" s="127"/>
      <s:c r="Q29" s="127"/>
      <s:c r="R29" s="127"/>
      <s:c r="S29" s="167">
        <s:f>IF(AND(I29&lt;&gt;"",I29&lt;&gt;0),G29/I29,"")</s:f>
        <s:v>0.095238095238095233</s:v>
      </s:c>
      <s:c r="T29" s="414">
        <s:f>D29/U29</s:f>
        <s:v>0.71591061444002624</s:v>
      </s:c>
      <s:c r="U29" s="169">
        <s:f>$I$8*AA29*AB29/SUMPRODUCT($AB$25:$AB$55,$AA$25:$AA$55)</s:f>
        <s:v>18686.690391459073</s:v>
      </s:c>
      <s:c r="V29" s="170">
        <s:f>$I$9*AA29*AB29/SUMPRODUCT($AB$25:$AB$55,$AA$25:$AA$55)</s:f>
        <s:v>2.8313167259786476</s:v>
      </s:c>
      <s:c r="W29" s="170">
        <s:f>IF($I$12="","",V29/$I$12)</s:f>
        <s:v>1.6654804270462633</s:v>
      </s:c>
      <s:c r="X29" s="169">
        <s:f>IF(AB29&lt;&gt;"",IF(D29&lt;&gt;"",D29,($I$8-SUM($X$25:X28))*AA29*AB29/SUMPRODUCT($AB29:$AB$55,$AA29:$AA$55)),"")</s:f>
        <s:v>13378</s:v>
      </s:c>
      <s:c r="Y29" s="170">
        <s:f>IF(AB29&lt;&gt;"",IF(E29&lt;&gt;"",E29,($I$9-SUM($Y$25:Y28))*AA29*AB29/SUMPRODUCT($AB29:$AB$55,$AA29:$AA$55)),"")</s:f>
        <s:v>3</s:v>
      </s:c>
      <s:c r="Z29" s="170">
        <s:f>IF(AB29&lt;&gt;"",IF($I$12&lt;&gt;"",IF(G29&lt;&gt;"",G29,($I$9/$I$12-SUM($Z$25:Z28))*AA29*AB29/SUMPRODUCT($AB29:$AB$55,$AA29:$AA$55)),""),"")</s:f>
        <s:v>2</s:v>
      </s:c>
      <s:c r="AA29" s="398">
        <s:v>1</s:v>
      </s:c>
      <s:c r="AB29" s="398">
        <s:v>1</s:v>
      </s:c>
      <s:c r="AC29" s="172"/>
      <s:c r="AD29" s="172"/>
      <s:c r="AE29" s="2"/>
      <s:c r="AF29" s="2"/>
      <s:c r="AG29" s="2"/>
      <s:c r="AH29" s="2"/>
      <s:c r="AI29" s="2"/>
      <s:c r="AJ29" s="2"/>
      <s:c r="AK29" s="2"/>
      <s:c r="AL29" s="2"/>
    </s:row>
    <s:row r="30">
      <s:c r="A30" s="173">
        <s:v>6</s:v>
      </s:c>
      <s:c r="B30" s="160">
        <s:v>46031</s:v>
      </s:c>
      <s:c r="C30" s="205" t="s">
        <s:v>57</s:v>
      </s:c>
      <s:c r="D30" s="371">
        <s:f>4806+10684+4693</s:f>
        <s:v>20183</s:v>
      </s:c>
      <s:c r="E30" s="199">
        <s:v>4</s:v>
      </s:c>
      <s:c r="F30" s="198">
        <s:f>IF(AND(E30&lt;&gt;"",E30&lt;&gt;0),D30/E30,"")</s:f>
        <s:v>5045.75</s:v>
      </s:c>
      <s:c r="G30" s="199">
        <s:v>3</s:v>
      </s:c>
      <s:c r="H30" s="198">
        <s:f>IF(AND(G30&lt;&gt;"",G30&lt;&gt;0),D30/G30,"")</s:f>
        <s:v>6727.666666666667</s:v>
      </s:c>
      <s:c r="I30" s="199">
        <s:v>25</s:v>
      </s:c>
      <s:c r="J30" s="165">
        <s:f>IF(AND(G30&lt;&gt;"",G30&lt;&gt;0),E30/G30,"")</s:f>
        <s:v>1.3333333333333333</s:v>
      </s:c>
      <s:c r="K30" s="127"/>
      <s:c r="L30" s="127"/>
      <s:c r="M30" s="127"/>
      <s:c r="N30" s="127"/>
      <s:c r="O30" s="127"/>
      <s:c r="P30" s="127"/>
      <s:c r="Q30" s="127"/>
      <s:c r="R30" s="127"/>
      <s:c r="S30" s="167">
        <s:f>IF(AND(I30&lt;&gt;"",I30&lt;&gt;0),G30/I30,"")</s:f>
        <s:v>0.12</s:v>
      </s:c>
      <s:c r="T30" s="414">
        <s:f>D30/U30</s:f>
        <s:v>1.0800735484559014</s:v>
      </s:c>
      <s:c r="U30" s="169">
        <s:f>$I$8*AA30*AB30/SUMPRODUCT($AB$25:$AB$55,$AA$25:$AA$55)</s:f>
        <s:v>18686.690391459073</s:v>
      </s:c>
      <s:c r="V30" s="170">
        <s:f>$I$9*AA30*AB30/SUMPRODUCT($AB$25:$AB$55,$AA$25:$AA$55)</s:f>
        <s:v>2.8313167259786476</s:v>
      </s:c>
      <s:c r="W30" s="170">
        <s:f>IF($I$12="","",V30/$I$12)</s:f>
        <s:v>1.6654804270462633</s:v>
      </s:c>
      <s:c r="X30" s="169">
        <s:f>IF(AB30&lt;&gt;"",IF(D30&lt;&gt;"",D30,($I$8-SUM($X$25:X29))*AA30*AB30/SUMPRODUCT($AB30:$AB$55,$AA30:$AA$55)),"")</s:f>
        <s:v>20183</s:v>
      </s:c>
      <s:c r="Y30" s="170">
        <s:f>IF(AB30&lt;&gt;"",IF(E30&lt;&gt;"",E30,($I$9-SUM($Y$25:Y29))*AA30*AB30/SUMPRODUCT($AB30:$AB$55,$AA30:$AA$55)),"")</s:f>
        <s:v>4</s:v>
      </s:c>
      <s:c r="Z30" s="170">
        <s:f>IF(AB30&lt;&gt;"",IF($I$12&lt;&gt;"",IF(G30&lt;&gt;"",G30,($I$9/$I$12-SUM($Z$25:Z29))*AA30*AB30/SUMPRODUCT($AB30:$AB$55,$AA30:$AA$55)),""),"")</s:f>
        <s:v>3</s:v>
      </s:c>
      <s:c r="AA30" s="398">
        <s:v>1</s:v>
      </s:c>
      <s:c r="AB30" s="398">
        <s:v>1</s:v>
      </s:c>
      <s:c r="AC30" s="172"/>
      <s:c r="AD30" s="172"/>
      <s:c r="AE30" s="178"/>
      <s:c r="AF30" s="2"/>
      <s:c r="AG30" s="2"/>
      <s:c r="AH30" s="2"/>
      <s:c r="AI30" s="2"/>
      <s:c r="AJ30" s="2"/>
      <s:c r="AK30" s="2"/>
      <s:c r="AL30" s="2"/>
    </s:row>
    <s:row r="31">
      <s:c r="A31" s="173">
        <s:v>7</s:v>
      </s:c>
      <s:c r="B31" s="160">
        <s:v>46033</s:v>
      </s:c>
      <s:c r="C31" s="161" t="s">
        <s:v>59</s:v>
      </s:c>
      <s:c r="D31" s="371">
        <s:v>0</s:v>
      </s:c>
      <s:c r="E31" s="199">
        <s:v>0</s:v>
      </s:c>
      <s:c r="F31" s="164" t="str">
        <s:f>IF(AND(E31&lt;&gt;"",E31&lt;&gt;0),D31/E31,"")</s:f>
        <s:v/>
      </s:c>
      <s:c r="G31" s="199">
        <s:v>0</s:v>
      </s:c>
      <s:c r="H31" s="164" t="str">
        <s:f>IF(AND(G31&lt;&gt;"",G31&lt;&gt;0),D31/G31,"")</s:f>
        <s:v/>
      </s:c>
      <s:c r="I31" s="199">
        <s:v>15</s:v>
      </s:c>
      <s:c r="J31" s="165" t="str">
        <s:f>IF(AND(G31&lt;&gt;"",G31&lt;&gt;0),E31/G31,"")</s:f>
        <s:v/>
      </s:c>
      <s:c r="K31" s="421"/>
      <s:c r="L31" s="421"/>
      <s:c r="M31" s="421"/>
      <s:c r="N31" s="421"/>
      <s:c r="O31" s="421"/>
      <s:c r="P31" s="127"/>
      <s:c r="Q31" s="127"/>
      <s:c r="R31" s="127"/>
      <s:c r="S31" s="167">
        <s:f>IF(AND(I31&lt;&gt;"",I31&lt;&gt;0),G31/I31,"")</s:f>
        <s:v>0</s:v>
      </s:c>
      <s:c r="T31" s="414">
        <s:f>D31/U31</s:f>
        <s:v>0</s:v>
      </s:c>
      <s:c r="U31" s="169">
        <s:f>$I$8*AA31*AB31/SUMPRODUCT($AB$25:$AB$55,$AA$25:$AA$55)</s:f>
        <s:v>18686.690391459073</s:v>
      </s:c>
      <s:c r="V31" s="170">
        <s:f>$I$9*AA31*AB31/SUMPRODUCT($AB$25:$AB$55,$AA$25:$AA$55)</s:f>
        <s:v>2.8313167259786476</s:v>
      </s:c>
      <s:c r="W31" s="170">
        <s:f>IF($I$12="","",V31/$I$12)</s:f>
        <s:v>1.6654804270462633</s:v>
      </s:c>
      <s:c r="X31" s="169">
        <s:f>IF(AB31&lt;&gt;"",IF(D31&lt;&gt;"",D31,($I$8-SUM($X$25:X30))*AA31*AB31/SUMPRODUCT($AB31:$AB$55,$AA31:$AA$55)),"")</s:f>
        <s:v>0</s:v>
      </s:c>
      <s:c r="Y31" s="170">
        <s:f>IF(AB31&lt;&gt;"",IF(E31&lt;&gt;"",E31,($I$9-SUM($Y$25:Y30))*AA31*AB31/SUMPRODUCT($AB31:$AB$55,$AA31:$AA$55)),"")</s:f>
        <s:v>0</s:v>
      </s:c>
      <s:c r="Z31" s="170">
        <s:f>IF(AB31&lt;&gt;"",IF($I$12&lt;&gt;"",IF(G31&lt;&gt;"",G31,($I$9/$I$12-SUM($Z$25:Z30))*AA31*AB31/SUMPRODUCT($AB31:$AB$55,$AA31:$AA$55)),""),"")</s:f>
        <s:v>0</s:v>
      </s:c>
      <s:c r="AA31" s="398">
        <s:v>1</s:v>
      </s:c>
      <s:c r="AB31" s="398">
        <s:v>1</s:v>
      </s:c>
      <s:c r="AC31" s="172"/>
      <s:c r="AD31" s="172"/>
      <s:c r="AE31" s="178"/>
      <s:c r="AF31" s="2"/>
      <s:c r="AG31" s="2"/>
      <s:c r="AH31" s="2"/>
      <s:c r="AI31" s="2"/>
      <s:c r="AJ31" s="2"/>
      <s:c r="AK31" s="2"/>
      <s:c r="AL31" s="2"/>
    </s:row>
    <s:row r="32">
      <s:c r="A32" s="173">
        <s:v>8</s:v>
      </s:c>
      <s:c r="B32" s="160">
        <s:v>46034</s:v>
      </s:c>
      <s:c r="C32" s="205" t="s">
        <s:v>61</s:v>
      </s:c>
      <s:c r="D32" s="371">
        <s:v>6565</s:v>
      </s:c>
      <s:c r="E32" s="199">
        <s:v>1</s:v>
      </s:c>
      <s:c r="F32" s="198">
        <s:f>IF(AND(E32&lt;&gt;"",E32&lt;&gt;0),D32/E32,"")</s:f>
        <s:v>6565</s:v>
      </s:c>
      <s:c r="G32" s="199">
        <s:v>1</s:v>
      </s:c>
      <s:c r="H32" s="198">
        <s:f>IF(AND(G32&lt;&gt;"",G32&lt;&gt;0),D32/G32,"")</s:f>
        <s:v>6565</s:v>
      </s:c>
      <s:c r="I32" s="199">
        <s:v>26</s:v>
      </s:c>
      <s:c r="J32" s="422">
        <s:f>IF(AND(G32&lt;&gt;"",G32&lt;&gt;0),E32/G32,"")</s:f>
        <s:v>1</s:v>
      </s:c>
      <s:c r="K32" s="385"/>
      <s:c r="L32" s="385"/>
      <s:c r="M32" s="385"/>
      <s:c r="N32" s="385"/>
      <s:c r="O32" s="385"/>
      <s:c r="P32" s="164"/>
      <s:c r="Q32" s="164"/>
      <s:c r="R32" s="376"/>
      <s:c r="S32" s="167">
        <s:f>IF(AND(I32&lt;&gt;"",I32&lt;&gt;0),G32/I32,"")</s:f>
        <s:v>0.038461538461538464</s:v>
      </s:c>
      <s:c r="T32" s="414">
        <s:f>D32/U32</s:f>
        <s:v>0.35131956823133298</s:v>
      </s:c>
      <s:c r="U32" s="169">
        <s:f>$I$8*AA32*AB32/SUMPRODUCT($AB$25:$AB$55,$AA$25:$AA$55)</s:f>
        <s:v>18686.690391459073</s:v>
      </s:c>
      <s:c r="V32" s="170">
        <s:f>$I$9*AA32*AB32/SUMPRODUCT($AB$25:$AB$55,$AA$25:$AA$55)</s:f>
        <s:v>2.8313167259786476</s:v>
      </s:c>
      <s:c r="W32" s="170">
        <s:f>IF($I$12="","",V32/$I$12)</s:f>
        <s:v>1.6654804270462633</s:v>
      </s:c>
      <s:c r="X32" s="169">
        <s:f>IF(AB32&lt;&gt;"",IF(D32&lt;&gt;"",D32,($I$8-SUM($X$25:X31))*AA32*AB32/SUMPRODUCT($AB32:$AB$55,$AA32:$AA$55)),"")</s:f>
        <s:v>6565</s:v>
      </s:c>
      <s:c r="Y32" s="170">
        <s:f>IF(AB32&lt;&gt;"",IF(E32&lt;&gt;"",E32,($I$9-SUM($Y$25:Y31))*AA32*AB32/SUMPRODUCT($AB32:$AB$55,$AA32:$AA$55)),"")</s:f>
        <s:v>1</s:v>
      </s:c>
      <s:c r="Z32" s="170">
        <s:f>IF(AB32&lt;&gt;"",IF($I$12&lt;&gt;"",IF(G32&lt;&gt;"",G32,($I$9/$I$12-SUM($Z$25:Z31))*AA32*AB32/SUMPRODUCT($AB32:$AB$55,$AA32:$AA$55)),""),"")</s:f>
        <s:v>1</s:v>
      </s:c>
      <s:c r="AA32" s="398">
        <s:v>1</s:v>
      </s:c>
      <s:c r="AB32" s="398">
        <s:v>1</s:v>
      </s:c>
      <s:c r="AC32" s="172"/>
      <s:c r="AD32" s="172"/>
      <s:c r="AE32" s="2"/>
      <s:c r="AF32" s="2"/>
      <s:c r="AG32" s="2"/>
      <s:c r="AH32" s="2"/>
      <s:c r="AI32" s="2"/>
      <s:c r="AJ32" s="2"/>
      <s:c r="AK32" s="2"/>
      <s:c r="AL32" s="2"/>
    </s:row>
    <s:row r="33">
      <s:c r="A33" s="173">
        <s:v>9</s:v>
      </s:c>
      <s:c r="B33" s="160">
        <s:v>46037</s:v>
      </s:c>
      <s:c r="C33" s="423" t="s">
        <s:v>55</s:v>
      </s:c>
      <s:c r="D33" s="371">
        <s:v>17806</s:v>
      </s:c>
      <s:c r="E33" s="373">
        <s:v>2</s:v>
      </s:c>
      <s:c r="F33" s="164">
        <s:f>IF(AND(E33&lt;&gt;"",E33&lt;&gt;0),D33/E33,"")</s:f>
        <s:v>8903</s:v>
      </s:c>
      <s:c r="G33" s="199">
        <s:v>2</s:v>
      </s:c>
      <s:c r="H33" s="164">
        <s:f>IF(AND(G33&lt;&gt;"",G33&lt;&gt;0),D33/G33,"")</s:f>
        <s:v>8903</s:v>
      </s:c>
      <s:c r="I33" s="199">
        <s:v>17</s:v>
      </s:c>
      <s:c r="J33" s="422">
        <s:f>IF(AND(G33&lt;&gt;"",G33&lt;&gt;0),E33/G33,"")</s:f>
        <s:v>1</s:v>
      </s:c>
      <s:c r="K33" s="385"/>
      <s:c r="L33" s="385">
        <s:v>17806</s:v>
      </s:c>
      <s:c r="M33" s="385"/>
      <s:c r="N33" s="385"/>
      <s:c r="O33" s="385"/>
      <s:c r="P33" s="164"/>
      <s:c r="Q33" s="164"/>
      <s:c r="R33" s="164"/>
      <s:c r="S33" s="167">
        <s:f>IF(AND(I33&lt;&gt;"",I33&lt;&gt;0),G33/I33,"")</s:f>
        <s:v>0.11764705882352941</s:v>
      </s:c>
      <s:c r="T33" s="414">
        <s:f>D33/U33</s:f>
        <s:v>0.95287071316483085</s:v>
      </s:c>
      <s:c r="U33" s="169">
        <s:f>$I$8*AA33*AB33/SUMPRODUCT($AB$25:$AB$55,$AA$25:$AA$55)</s:f>
        <s:v>18686.690391459073</s:v>
      </s:c>
      <s:c r="V33" s="379">
        <s:f>$I$9*AA33*AB33/SUMPRODUCT($AB$25:$AB$55,$AA$25:$AA$55)</s:f>
        <s:v>2.8313167259786476</s:v>
      </s:c>
      <s:c r="W33" s="170">
        <s:f>IF($I$12="","",V33/$I$12)</s:f>
        <s:v>1.6654804270462633</s:v>
      </s:c>
      <s:c r="X33" s="169">
        <s:f>IF(AB33&lt;&gt;"",IF(D33&lt;&gt;"",D33,($I$8-SUM($X$25:X32))*AA33*AB33/SUMPRODUCT($AB33:$AB$55,$AA33:$AA$55)),"")</s:f>
        <s:v>17806</s:v>
      </s:c>
      <s:c r="Y33" s="170">
        <s:f>IF(AB33&lt;&gt;"",IF(E33&lt;&gt;"",E33,($I$9-SUM($Y$25:Y32))*AA33*AB33/SUMPRODUCT($AB33:$AB$55,$AA33:$AA$55)),"")</s:f>
        <s:v>2</s:v>
      </s:c>
      <s:c r="Z33" s="379">
        <s:f>IF(AB33&lt;&gt;"",IF($I$12&lt;&gt;"",IF(G33&lt;&gt;"",G33,($I$9/$I$12-SUM($Z$25:Z32))*AA33*AB33/SUMPRODUCT($AB33:$AB$55,$AA33:$AA$55)),""),"")</s:f>
        <s:v>2</s:v>
      </s:c>
      <s:c r="AA33" s="398">
        <s:v>1</s:v>
      </s:c>
      <s:c r="AB33" s="398">
        <s:v>1</s:v>
      </s:c>
      <s:c r="AC33" s="172"/>
      <s:c r="AD33" s="172"/>
      <s:c r="AE33" s="2"/>
      <s:c r="AF33" s="2"/>
      <s:c r="AG33" s="2"/>
      <s:c r="AH33" s="2"/>
      <s:c r="AI33" s="2"/>
      <s:c r="AJ33" s="2"/>
      <s:c r="AK33" s="2"/>
      <s:c r="AL33" s="2"/>
    </s:row>
    <s:row r="34">
      <s:c r="A34" s="173">
        <s:v>10</s:v>
      </s:c>
      <s:c r="B34" s="424">
        <s:v>46038</s:v>
      </s:c>
      <s:c r="C34" s="425" t="s">
        <s:v>57</s:v>
      </s:c>
      <s:c r="D34" s="162">
        <s:v>6322</s:v>
      </s:c>
      <s:c r="E34" s="199">
        <s:v>1</s:v>
      </s:c>
      <s:c r="F34" s="164">
        <s:f>IF(AND(E34&lt;&gt;"",E34&lt;&gt;0),D34/E34,"")</s:f>
        <s:v>6322</s:v>
      </s:c>
      <s:c r="G34" s="199">
        <s:v>1</s:v>
      </s:c>
      <s:c r="H34" s="164">
        <s:f>IF(AND(G34&lt;&gt;"",G34&lt;&gt;0),D34/G34,"")</s:f>
        <s:v>6322</s:v>
      </s:c>
      <s:c r="I34" s="164">
        <s:v>12</s:v>
      </s:c>
      <s:c r="J34" s="422">
        <s:f>IF(AND(G34&lt;&gt;"",G34&lt;&gt;0),E34/G34,"")</s:f>
        <s:v>1</s:v>
      </s:c>
      <s:c r="K34" s="385"/>
      <s:c r="L34" s="385"/>
      <s:c r="M34" s="385"/>
      <s:c r="N34" s="385"/>
      <s:c r="O34" s="385"/>
      <s:c r="P34" s="164"/>
      <s:c r="Q34" s="164"/>
      <s:c r="R34" s="164"/>
      <s:c r="S34" s="167">
        <s:f>IF(AND(I34&lt;&gt;"",I34&lt;&gt;0),G34/I34,"")</s:f>
        <s:v>0.083333333333333329</s:v>
      </s:c>
      <s:c r="T34" s="414">
        <s:f>D34/U34</s:f>
        <s:v>0.33831566037448396</s:v>
      </s:c>
      <s:c r="U34" s="381">
        <s:f>$I$8*AA34*AB34/SUMPRODUCT($AB$25:$AB$55,$AA$25:$AA$55)</s:f>
        <s:v>18686.690391459073</s:v>
      </s:c>
      <s:c r="V34" s="170">
        <s:f>$I$9*AA34*AB34/SUMPRODUCT($AB$25:$AB$55,$AA$25:$AA$55)</s:f>
        <s:v>2.8313167259786476</s:v>
      </s:c>
      <s:c r="W34" s="379">
        <s:f>IF($I$12="","",V34/$I$12)</s:f>
        <s:v>1.6654804270462633</s:v>
      </s:c>
      <s:c r="X34" s="169">
        <s:f>IF(AB34&lt;&gt;"",IF(D34&lt;&gt;"",D34,($I$8-SUM($X$25:X33))*AA34*AB34/SUMPRODUCT($AB34:$AB$55,$AA34:$AA$55)),"")</s:f>
        <s:v>6322</s:v>
      </s:c>
      <s:c r="Y34" s="379">
        <s:f>IF(AB34&lt;&gt;"",IF(E34&lt;&gt;"",E34,($I$9-SUM($Y$25:Y33))*AA34*AB34/SUMPRODUCT($AB34:$AB$55,$AA34:$AA$55)),"")</s:f>
        <s:v>1</s:v>
      </s:c>
      <s:c r="Z34" s="170">
        <s:f>IF(AB34&lt;&gt;"",IF($I$12&lt;&gt;"",IF(G34&lt;&gt;"",G34,($I$9/$I$12-SUM($Z$25:Z33))*AA34*AB34/SUMPRODUCT($AB34:$AB$55,$AA34:$AA$55)),""),"")</s:f>
        <s:v>1</s:v>
      </s:c>
      <s:c r="AA34" s="398">
        <s:v>1</s:v>
      </s:c>
      <s:c r="AB34" s="398">
        <s:v>1</s:v>
      </s:c>
      <s:c r="AC34" s="172"/>
      <s:c r="AD34" s="172"/>
      <s:c r="AE34" s="178"/>
      <s:c r="AF34" s="2"/>
      <s:c r="AG34" s="2"/>
      <s:c r="AH34" s="2"/>
      <s:c r="AI34" s="2"/>
      <s:c r="AJ34" s="2"/>
      <s:c r="AK34" s="2"/>
      <s:c r="AL34" s="2"/>
    </s:row>
    <s:row r="35">
      <s:c r="A35" s="159">
        <s:v>11</s:v>
      </s:c>
      <s:c r="B35" s="424">
        <s:v>46041</s:v>
      </s:c>
      <s:c r="C35" s="425" t="s">
        <s:v>61</s:v>
      </s:c>
      <s:c r="D35" s="162">
        <s:v>6267</s:v>
      </s:c>
      <s:c r="E35" s="199">
        <s:v>1</s:v>
      </s:c>
      <s:c r="F35" s="198">
        <s:f>IF(AND(E35&lt;&gt;"",E35&lt;&gt;0),D35/E35,"")</s:f>
        <s:v>6267</s:v>
      </s:c>
      <s:c r="G35" s="199">
        <s:v>1</s:v>
      </s:c>
      <s:c r="H35" s="198">
        <s:f>IF(AND(G35&lt;&gt;"",G35&lt;&gt;0),D35/G35,"")</s:f>
        <s:v>6267</s:v>
      </s:c>
      <s:c r="I35" s="199">
        <s:v>17</s:v>
      </s:c>
      <s:c r="J35" s="422">
        <s:f>IF(AND(G35&lt;&gt;"",G35&lt;&gt;0),E35/G35,"")</s:f>
        <s:v>1</s:v>
      </s:c>
      <s:c r="K35" s="385"/>
      <s:c r="L35" s="385"/>
      <s:c r="M35" s="385"/>
      <s:c r="N35" s="385"/>
      <s:c r="O35" s="385"/>
      <s:c r="P35" s="164"/>
      <s:c r="Q35" s="164"/>
      <s:c r="R35" s="164">
        <s:v>6267</s:v>
      </s:c>
      <s:c r="S35" s="167">
        <s:f>IF(AND(I35&lt;&gt;"",I35&lt;&gt;0),G35/I35,"")</s:f>
        <s:v>0.058823529411764705</s:v>
      </s:c>
      <s:c r="T35" s="414">
        <s:f>D35/U35</s:f>
        <s:v>0.33537238904885969</s:v>
      </s:c>
      <s:c r="U35" s="169">
        <s:f>$I$8*AA35*AB35/SUMPRODUCT($AB$25:$AB$55,$AA$25:$AA$55)</s:f>
        <s:v>18686.690391459073</s:v>
      </s:c>
      <s:c r="V35" s="379">
        <s:f>$I$9*AA35*AB35/SUMPRODUCT($AB$25:$AB$55,$AA$25:$AA$55)</s:f>
        <s:v>2.8313167259786476</s:v>
      </s:c>
      <s:c r="W35" s="170">
        <s:f>IF($I$12="","",V35/$I$12)</s:f>
        <s:v>1.6654804270462633</s:v>
      </s:c>
      <s:c r="X35" s="169">
        <s:f>IF(AB35&lt;&gt;"",IF(D35&lt;&gt;"",D35,($I$8-SUM($X$25:X34))*AA35*AB35/SUMPRODUCT($AB35:$AB$55,$AA35:$AA$55)),"")</s:f>
        <s:v>6267</s:v>
      </s:c>
      <s:c r="Y35" s="170">
        <s:f>IF(AB35&lt;&gt;"",IF(E35&lt;&gt;"",E35,($I$9-SUM($Y$25:Y34))*AA35*AB35/SUMPRODUCT($AB35:$AB$55,$AA35:$AA$55)),"")</s:f>
        <s:v>1</s:v>
      </s:c>
      <s:c r="Z35" s="170">
        <s:f>IF(AB35&lt;&gt;"",IF($I$12&lt;&gt;"",IF(G35&lt;&gt;"",G35,($I$9/$I$12-SUM($Z$25:Z34))*AA35*AB35/SUMPRODUCT($AB35:$AB$55,$AA35:$AA$55)),""),"")</s:f>
        <s:v>1</s:v>
      </s:c>
      <s:c r="AA35" s="398">
        <s:v>1</s:v>
      </s:c>
      <s:c r="AB35" s="398">
        <s:v>1</s:v>
      </s:c>
      <s:c r="AC35" s="172"/>
      <s:c r="AD35" s="172"/>
      <s:c r="AE35" s="178"/>
      <s:c r="AF35" s="2"/>
      <s:c r="AG35" s="2"/>
      <s:c r="AH35" s="2"/>
      <s:c r="AI35" s="2"/>
      <s:c r="AJ35" s="2"/>
      <s:c r="AK35" s="2"/>
      <s:c r="AL35" s="2"/>
    </s:row>
    <s:row r="36">
      <s:c r="A36" s="159">
        <s:v>12</s:v>
      </s:c>
      <s:c r="B36" s="424">
        <s:v>46042</s:v>
      </s:c>
      <s:c r="C36" s="425" t="s">
        <s:v>63</s:v>
      </s:c>
      <s:c r="D36" s="162">
        <s:v>0</s:v>
      </s:c>
      <s:c r="E36" s="199">
        <s:v>0</s:v>
      </s:c>
      <s:c r="F36" s="164" t="str">
        <s:f>IF(AND(E36&lt;&gt;"",E36&lt;&gt;0),D36/E36,"")</s:f>
        <s:v/>
      </s:c>
      <s:c r="G36" s="199">
        <s:v>0</s:v>
      </s:c>
      <s:c r="H36" s="164" t="str">
        <s:f>IF(AND(G36&lt;&gt;"",G36&lt;&gt;0),D36/G36,"")</s:f>
        <s:v/>
      </s:c>
      <s:c r="I36" s="199">
        <s:v>16</s:v>
      </s:c>
      <s:c r="J36" s="422" t="str">
        <s:f>IF(AND(G36&lt;&gt;"",G36&lt;&gt;0),E36/G36,"")</s:f>
        <s:v/>
      </s:c>
      <s:c r="K36" s="385"/>
      <s:c r="L36" s="385"/>
      <s:c r="M36" s="385"/>
      <s:c r="N36" s="385"/>
      <s:c r="O36" s="385"/>
      <s:c r="P36" s="164"/>
      <s:c r="Q36" s="164"/>
      <s:c r="R36" s="164"/>
      <s:c r="S36" s="167">
        <s:f>IF(AND(I36&lt;&gt;"",I36&lt;&gt;0),G36/I36,"")</s:f>
        <s:v>0</s:v>
      </s:c>
      <s:c r="T36" s="414">
        <s:f>D36/U36</s:f>
        <s:v>0</s:v>
      </s:c>
      <s:c r="U36" s="169">
        <s:f>$I$8*AA36*AB36/SUMPRODUCT($AB$25:$AB$55,$AA$25:$AA$55)</s:f>
        <s:v>18686.690391459073</s:v>
      </s:c>
      <s:c r="V36" s="170">
        <s:f>$I$9*AA36*AB36/SUMPRODUCT($AB$25:$AB$55,$AA$25:$AA$55)</s:f>
        <s:v>2.8313167259786476</s:v>
      </s:c>
      <s:c r="W36" s="170">
        <s:f>IF($I$12="","",V36/$I$12)</s:f>
        <s:v>1.6654804270462633</s:v>
      </s:c>
      <s:c r="X36" s="169">
        <s:f>IF(AB36&lt;&gt;"",IF(D36&lt;&gt;"",D36,($I$8-SUM($X$25:X35))*AA36*AB36/SUMPRODUCT($AB36:$AB$55,$AA36:$AA$55)),"")</s:f>
        <s:v>0</s:v>
      </s:c>
      <s:c r="Y36" s="170">
        <s:f>IF(AB36&lt;&gt;"",IF(E36&lt;&gt;"",E36,($I$9-SUM($Y$25:Y35))*AA36*AB36/SUMPRODUCT($AB36:$AB$55,$AA36:$AA$55)),"")</s:f>
        <s:v>0</s:v>
      </s:c>
      <s:c r="Z36" s="170">
        <s:f>IF(AB36&lt;&gt;"",IF($I$12&lt;&gt;"",IF(G36&lt;&gt;"",G36,($I$9/$I$12-SUM($Z$25:Z35))*AA36*AB36/SUMPRODUCT($AB36:$AB$55,$AA36:$AA$55)),""),"")</s:f>
        <s:v>0</s:v>
      </s:c>
      <s:c r="AA36" s="398">
        <s:v>1</s:v>
      </s:c>
      <s:c r="AB36" s="398">
        <s:v>1</s:v>
      </s:c>
      <s:c r="AC36" s="172"/>
      <s:c r="AD36" s="172"/>
      <s:c r="AE36" s="178"/>
      <s:c r="AF36" s="2"/>
      <s:c r="AG36" s="2"/>
      <s:c r="AH36" s="2"/>
      <s:c r="AI36" s="2"/>
      <s:c r="AJ36" s="2"/>
      <s:c r="AK36" s="2"/>
      <s:c r="AL36" s="2"/>
    </s:row>
    <s:row r="37">
      <s:c r="A37" s="159">
        <s:v>13</s:v>
      </s:c>
      <s:c r="B37" s="424">
        <s:v>46043</s:v>
      </s:c>
      <s:c r="C37" s="425" t="s">
        <s:v>65</s:v>
      </s:c>
      <s:c r="D37" s="426">
        <s:v>8493</s:v>
      </s:c>
      <s:c r="E37" s="199">
        <s:v>1</s:v>
      </s:c>
      <s:c r="F37" s="164">
        <s:f>IF(AND(E37&lt;&gt;"",E37&lt;&gt;0),D37/E37,"")</s:f>
        <s:v>8493</s:v>
      </s:c>
      <s:c r="G37" s="199">
        <s:v>1</s:v>
      </s:c>
      <s:c r="H37" s="164">
        <s:f>IF(AND(G37&lt;&gt;"",G37&lt;&gt;0),D37/G37,"")</s:f>
        <s:v>8493</s:v>
      </s:c>
      <s:c r="I37" s="199">
        <s:v>12</s:v>
      </s:c>
      <s:c r="J37" s="422">
        <s:f>IF(AND(G37&lt;&gt;"",G37&lt;&gt;0),E37/G37,"")</s:f>
        <s:v>1</s:v>
      </s:c>
      <s:c r="K37" s="385"/>
      <s:c r="L37" s="385"/>
      <s:c r="M37" s="385"/>
      <s:c r="N37" s="385"/>
      <s:c r="O37" s="385"/>
      <s:c r="P37" s="166"/>
      <s:c r="Q37" s="166"/>
      <s:c r="R37" s="164"/>
      <s:c r="S37" s="167">
        <s:f>IF(AND(I37&lt;&gt;"",I37&lt;&gt;0),G37/I37,"")</s:f>
        <s:v>0.083333333333333329</s:v>
      </s:c>
      <s:c r="T37" s="414">
        <s:f>D37/U37</s:f>
        <s:v>0.45449460670048908</s:v>
      </s:c>
      <s:c r="U37" s="169">
        <s:f>$I$8*AA37*AB37/SUMPRODUCT($AB$25:$AB$55,$AA$25:$AA$55)</s:f>
        <s:v>18686.690391459073</s:v>
      </s:c>
      <s:c r="V37" s="379">
        <s:f>$I$9*AA37*AB37/SUMPRODUCT($AB$25:$AB$55,$AA$25:$AA$55)</s:f>
        <s:v>2.8313167259786476</s:v>
      </s:c>
      <s:c r="W37" s="170">
        <s:f>IF($I$12="","",V37/$I$12)</s:f>
        <s:v>1.6654804270462633</s:v>
      </s:c>
      <s:c r="X37" s="169">
        <s:f>IF(AB37&lt;&gt;"",IF(D37&lt;&gt;"",D37,($I$8-SUM($X$25:X36))*AA37*AB37/SUMPRODUCT($AB37:$AB$55,$AA37:$AA$55)),"")</s:f>
        <s:v>8493</s:v>
      </s:c>
      <s:c r="Y37" s="170">
        <s:f>IF(AB37&lt;&gt;"",IF(E37&lt;&gt;"",E37,($I$9-SUM($Y$25:Y36))*AA37*AB37/SUMPRODUCT($AB37:$AB$55,$AA37:$AA$55)),"")</s:f>
        <s:v>1</s:v>
      </s:c>
      <s:c r="Z37" s="170">
        <s:f>IF(AB37&lt;&gt;"",IF($I$12&lt;&gt;"",IF(G37&lt;&gt;"",G37,($I$9/$I$12-SUM($Z$25:Z36))*AA37*AB37/SUMPRODUCT($AB37:$AB$55,$AA37:$AA$55)),""),"")</s:f>
        <s:v>1</s:v>
      </s:c>
      <s:c r="AA37" s="398">
        <s:v>1</s:v>
      </s:c>
      <s:c r="AB37" s="398">
        <s:v>1</s:v>
      </s:c>
      <s:c r="AC37" s="172"/>
      <s:c r="AD37" s="172"/>
      <s:c r="AE37" s="178"/>
      <s:c r="AF37" s="2"/>
      <s:c r="AG37" s="2"/>
      <s:c r="AH37" s="2"/>
      <s:c r="AI37" s="2"/>
      <s:c r="AJ37" s="2"/>
      <s:c r="AK37" s="2"/>
      <s:c r="AL37" s="2"/>
    </s:row>
    <s:row r="38">
      <s:c r="A38" s="159">
        <s:v>14</s:v>
      </s:c>
      <s:c r="B38" s="424">
        <s:v>46046</s:v>
      </s:c>
      <s:c r="C38" s="425" t="s">
        <s:v>58</s:v>
      </s:c>
      <s:c r="D38" s="377">
        <s:f>27583+16383+8702</s:f>
        <s:v>52668</s:v>
      </s:c>
      <s:c r="E38" s="199">
        <s:v>5</s:v>
      </s:c>
      <s:c r="F38" s="164">
        <s:f>IF(AND(E38&lt;&gt;"",E38&lt;&gt;0),D38/E38,"")</s:f>
        <s:v>10533.6</s:v>
      </s:c>
      <s:c r="G38" s="199">
        <s:v>4</s:v>
      </s:c>
      <s:c r="H38" s="198">
        <s:f>IF(AND(G38&lt;&gt;"",G38&lt;&gt;0),D38/G38,"")</s:f>
        <s:v>13167</s:v>
      </s:c>
      <s:c r="I38" s="199">
        <s:v>27</s:v>
      </s:c>
      <s:c r="J38" s="422">
        <s:f>IF(AND(G38&lt;&gt;"",G38&lt;&gt;0),E38/G38,"")</s:f>
        <s:v>1.25</s:v>
      </s:c>
      <s:c r="K38" s="385"/>
      <s:c r="L38" s="385">
        <s:v>8702</s:v>
      </s:c>
      <s:c r="M38" s="385"/>
      <s:c r="N38" s="385"/>
      <s:c r="O38" s="385"/>
      <s:c r="P38" s="166"/>
      <s:c r="Q38" s="166"/>
      <s:c r="R38" s="164"/>
      <s:c r="S38" s="167">
        <s:f>IF(AND(I38&lt;&gt;"",I38&lt;&gt;0),G38/I38,"")</s:f>
        <s:v>0.14814814814814814</s:v>
      </s:c>
      <s:c r="T38" s="414">
        <s:f>D38/U38</s:f>
        <s:v>2.8184766214177981</s:v>
      </s:c>
      <s:c r="U38" s="169">
        <s:f>$I$8*AA38*AB38/SUMPRODUCT($AB$25:$AB$46,$AA$25:$AA$46)</s:f>
        <s:v>18686.690391459073</s:v>
      </s:c>
      <s:c r="V38" s="170">
        <s:f>$I$9*AA38*AB38/SUMPRODUCT($AB$25:$AB$46,$AA$25:$AA$46)</s:f>
        <s:v>2.8313167259786476</s:v>
      </s:c>
      <s:c r="W38" s="170">
        <s:f>IF($I$12="","",V38/$I$12)</s:f>
        <s:v>1.6654804270462633</s:v>
      </s:c>
      <s:c r="X38" s="169">
        <s:f>IF(AB38&lt;&gt;"",IF(D38&lt;&gt;"",D38,($I$8-SUM($X$25:X37))*AA38*AB38/SUMPRODUCT($AB38:$AB$55,$AA38:$AA$55)),"")</s:f>
        <s:v>52668</s:v>
      </s:c>
      <s:c r="Y38" s="170">
        <s:f>IF(AB38&lt;&gt;"",IF(E38&lt;&gt;"",E38,($I$9-SUM($Y$25:Y37))*AA38*AB38/SUMPRODUCT($AB38:$AB$55,$AA38:$AA$55)),"")</s:f>
        <s:v>5</s:v>
      </s:c>
      <s:c r="Z38" s="170">
        <s:f>IF(AB38&lt;&gt;"",IF($I$12&lt;&gt;"",IF(G38&lt;&gt;"",G38,($I$9/$I$12-SUM($Z$25:Z37))*AA38*AB38/SUMPRODUCT($AB38:$AB$55,$AA38:$AA$55)),""),"")</s:f>
        <s:v>4</s:v>
      </s:c>
      <s:c r="AA38" s="398">
        <s:v>1</s:v>
      </s:c>
      <s:c r="AB38" s="398">
        <s:v>1</s:v>
      </s:c>
      <s:c r="AC38" s="383"/>
      <s:c r="AD38" s="383"/>
    </s:row>
    <s:row r="39">
      <s:c r="A39" s="159">
        <s:v>15</s:v>
      </s:c>
      <s:c r="B39" s="424">
        <s:v>46047</s:v>
      </s:c>
      <s:c r="C39" s="427" t="s">
        <s:v>59</s:v>
      </s:c>
      <s:c r="D39" s="428">
        <s:v>23266</s:v>
      </s:c>
      <s:c r="E39" s="374">
        <s:v>4</s:v>
      </s:c>
      <s:c r="F39" s="376">
        <s:f>IF(AND(E39&lt;&gt;"",E39&lt;&gt;0),D39/E39,"")</s:f>
        <s:v>5816.5</s:v>
      </s:c>
      <s:c r="G39" s="374">
        <s:v>1</s:v>
      </s:c>
      <s:c r="H39" s="376">
        <s:f>IF(AND(G39&lt;&gt;"",G39&lt;&gt;0),D39/G39,"")</s:f>
        <s:v>23266</s:v>
      </s:c>
      <s:c r="I39" s="374">
        <s:v>24</s:v>
      </s:c>
      <s:c r="J39" s="422">
        <s:f>IF(AND(G39&lt;&gt;"",G39&lt;&gt;0),E39/G39,"")</s:f>
        <s:v>4</s:v>
      </s:c>
      <s:c r="K39" s="385"/>
      <s:c r="L39" s="385"/>
      <s:c r="M39" s="385"/>
      <s:c r="N39" s="385"/>
      <s:c r="O39" s="385"/>
      <s:c r="P39" s="166"/>
      <s:c r="Q39" s="166"/>
      <s:c r="R39" s="164"/>
      <s:c r="S39" s="167">
        <s:f>IF(AND(I39&lt;&gt;"",I39&lt;&gt;0),G39/I39,"")</s:f>
        <s:v>0.041666666666666664</s:v>
      </s:c>
      <s:c r="T39" s="414">
        <s:f>D39/U39</s:f>
        <s:v>1.2450572847631671</s:v>
      </s:c>
      <s:c r="U39" s="169">
        <s:f>$I$8*AA39*AB39/SUMPRODUCT($AB$25:$AB$46,$AA$25:$AA$46)</s:f>
        <s:v>18686.690391459073</s:v>
      </s:c>
      <s:c r="V39" s="170">
        <s:f>$I$9*AA39*AB39/SUMPRODUCT($AB$25:$AB$46,$AA$25:$AA$46)</s:f>
        <s:v>2.8313167259786476</s:v>
      </s:c>
      <s:c r="W39" s="170">
        <s:f>IF($I$12="","",V39/$I$12)</s:f>
        <s:v>1.6654804270462633</s:v>
      </s:c>
      <s:c r="X39" s="169">
        <s:f>IF(AB39&lt;&gt;"",IF(D39&lt;&gt;"",D39,($I$8-SUM($X$25:X38))*AA39*AB39/SUMPRODUCT($AB39:$AB$55,$AA39:$AA$55)),"")</s:f>
        <s:v>23266</s:v>
      </s:c>
      <s:c r="Y39" s="170">
        <s:f>IF(AB39&lt;&gt;"",IF(E39&lt;&gt;"",E39,($I$9-SUM($Y$25:Y38))*AA39*AB39/SUMPRODUCT($AB39:$AB$55,$AA39:$AA$55)),"")</s:f>
        <s:v>4</s:v>
      </s:c>
      <s:c r="Z39" s="170">
        <s:f>IF(AB39&lt;&gt;"",IF($I$12&lt;&gt;"",IF(G39&lt;&gt;"",G39,($I$9/$I$12-SUM($Z$25:Z38))*AA39*AB39/SUMPRODUCT($AB39:$AB$55,$AA39:$AA$55)),""),"")</s:f>
        <s:v>1</s:v>
      </s:c>
      <s:c r="AA39" s="398">
        <s:v>1</s:v>
      </s:c>
      <s:c r="AB39" s="398">
        <s:v>1</s:v>
      </s:c>
      <s:c r="AC39" s="383"/>
      <s:c r="AD39" s="383"/>
      <s:c r="AE39" s="386"/>
    </s:row>
    <s:row r="40">
      <s:c r="A40" s="159">
        <s:v>16</s:v>
      </s:c>
      <s:c r="B40" s="424">
        <s:v>46048</s:v>
      </s:c>
      <s:c r="C40" s="161" t="s">
        <s:v>61</s:v>
      </s:c>
      <s:c r="D40" s="429">
        <s:v>0</s:v>
      </s:c>
      <s:c r="E40" s="385">
        <s:v>0</s:v>
      </s:c>
      <s:c r="F40" s="385" t="str">
        <s:f>IF(AND(E40&lt;&gt;"",E40&lt;&gt;0),D40/E40,"")</s:f>
        <s:v/>
      </s:c>
      <s:c r="G40" s="385">
        <s:v>0</s:v>
      </s:c>
      <s:c r="H40" s="385" t="str">
        <s:f>IF(AND(G40&lt;&gt;"",G40&lt;&gt;0),D40/G40,"")</s:f>
        <s:v/>
      </s:c>
      <s:c r="I40" s="385">
        <s:v>11</s:v>
      </s:c>
      <s:c r="J40" s="430" t="str">
        <s:f>IF(AND(G40&lt;&gt;"",G40&lt;&gt;0),E40/G40,"")</s:f>
        <s:v/>
      </s:c>
      <s:c r="K40" s="385"/>
      <s:c r="L40" s="385"/>
      <s:c r="M40" s="385"/>
      <s:c r="N40" s="385"/>
      <s:c r="O40" s="385"/>
      <s:c r="P40" s="166"/>
      <s:c r="Q40" s="166"/>
      <s:c r="R40" s="164"/>
      <s:c r="S40" s="167">
        <s:f>IF(AND(I40&lt;&gt;"",I40&lt;&gt;0),G40/I40,"")</s:f>
        <s:v>0</s:v>
      </s:c>
      <s:c r="T40" s="414">
        <s:f>D40/U40</s:f>
        <s:v>0</s:v>
      </s:c>
      <s:c r="U40" s="169">
        <s:f>$I$8*AA40*AB40/SUMPRODUCT($AB$25:$AB$46,$AA$25:$AA$46)</s:f>
        <s:v>18686.690391459073</s:v>
      </s:c>
      <s:c r="V40" s="170">
        <s:f>$I$9*AA40*AB40/SUMPRODUCT($AB$25:$AB$46,$AA$25:$AA$46)</s:f>
        <s:v>2.8313167259786476</s:v>
      </s:c>
      <s:c r="W40" s="170">
        <s:f>IF($I$12="","",V40/$I$12)</s:f>
        <s:v>1.6654804270462633</s:v>
      </s:c>
      <s:c r="X40" s="169">
        <s:f>IF(AB40&lt;&gt;"",IF(D40&lt;&gt;"",D40,($I$8-SUM($X$25:X39))*AA40*AB40/SUMPRODUCT($AB40:$AB$55,$AA40:$AA$55)),"")</s:f>
        <s:v>0</s:v>
      </s:c>
      <s:c r="Y40" s="170">
        <s:f>IF(AB40&lt;&gt;"",IF(E40&lt;&gt;"",E40,($I$9-SUM($Y$25:Y39))*AA40*AB40/SUMPRODUCT($AB40:$AB$55,$AA40:$AA$55)),"")</s:f>
        <s:v>0</s:v>
      </s:c>
      <s:c r="Z40" s="170">
        <s:f>IF(AB40&lt;&gt;"",IF($I$12&lt;&gt;"",IF(G40&lt;&gt;"",G40,($I$9/$I$12-SUM($Z$25:Z39))*AA40*AB40/SUMPRODUCT($AB40:$AB$55,$AA40:$AA$55)),""),"")</s:f>
        <s:v>0</s:v>
      </s:c>
      <s:c r="AA40" s="398">
        <s:v>1</s:v>
      </s:c>
      <s:c r="AB40" s="398">
        <s:v>1</s:v>
      </s:c>
      <s:c r="AC40" s="383"/>
      <s:c r="AD40" s="383"/>
      <s:c r="AE40" s="386"/>
    </s:row>
    <s:row r="41">
      <s:c r="A41" s="159">
        <s:v>17</s:v>
      </s:c>
      <s:c r="B41" s="431">
        <s:v>46051</s:v>
      </s:c>
      <s:c r="C41" s="432" t="s">
        <s:v>55</s:v>
      </s:c>
      <s:c r="D41" s="433">
        <s:v>28447</s:v>
      </s:c>
      <s:c r="E41" s="385">
        <s:v>5</s:v>
      </s:c>
      <s:c r="F41" s="385">
        <s:f>IF(AND(E41&lt;&gt;"",E41&lt;&gt;0),D41/E41,"")</s:f>
        <s:v>5689.3999999999996</s:v>
      </s:c>
      <s:c r="G41" s="385">
        <s:v>4</s:v>
      </s:c>
      <s:c r="H41" s="385">
        <s:f>IF(AND(G41&lt;&gt;"",G41&lt;&gt;0),D41/G41,"")</s:f>
        <s:v>7111.75</s:v>
      </s:c>
      <s:c r="I41" s="385"/>
      <s:c r="J41" s="430">
        <s:f>IF(AND(G41&lt;&gt;"",G41&lt;&gt;0),E41/G41,"")</s:f>
        <s:v>1.25</s:v>
      </s:c>
      <s:c r="K41" s="385"/>
      <s:c r="L41" s="385"/>
      <s:c r="M41" s="385"/>
      <s:c r="N41" s="385"/>
      <s:c r="O41" s="385"/>
      <s:c r="P41" s="166"/>
      <s:c r="Q41" s="166"/>
      <s:c r="R41" s="164"/>
      <s:c r="S41" s="167" t="str">
        <s:f>IF(AND(I41&lt;&gt;"",I41&lt;&gt;0),G41/I41,"")</s:f>
        <s:v/>
      </s:c>
      <s:c r="T41" s="414">
        <s:f>D41/U41</s:f>
        <s:v>1.5223134436369732</s:v>
      </s:c>
      <s:c r="U41" s="169">
        <s:f>$I$8*AA41*AB41/SUMPRODUCT($AB$25:$AB$46,$AA$25:$AA$46)</s:f>
        <s:v>18686.690391459073</s:v>
      </s:c>
      <s:c r="V41" s="170">
        <s:f>$I$9*AA41*AB41/SUMPRODUCT($AB$25:$AB$46,$AA$25:$AA$46)</s:f>
        <s:v>2.8313167259786476</s:v>
      </s:c>
      <s:c r="W41" s="170">
        <s:f>IF($I$12="","",V41/$I$12)</s:f>
        <s:v>1.6654804270462633</s:v>
      </s:c>
      <s:c r="X41" s="169">
        <s:f>IF(AB41&lt;&gt;"",IF(D41&lt;&gt;"",D41,($I$8-SUM($X$25:X40))*AA41*AB41/SUMPRODUCT($AB41:$AB$55,$AA41:$AA$55)),"")</s:f>
        <s:v>28447</s:v>
      </s:c>
      <s:c r="Y41" s="170">
        <s:f>IF(AB41&lt;&gt;"",IF(E41&lt;&gt;"",E41,($I$9-SUM($Y$25:Y40))*AA41*AB41/SUMPRODUCT($AB41:$AB$55,$AA41:$AA$55)),"")</s:f>
        <s:v>5</s:v>
      </s:c>
      <s:c r="Z41" s="170">
        <s:f>IF(AB41&lt;&gt;"",IF($I$12&lt;&gt;"",IF(G41&lt;&gt;"",G41,($I$9/$I$12-SUM($Z$25:Z40))*AA41*AB41/SUMPRODUCT($AB41:$AB$55,$AA41:$AA$55)),""),"")</s:f>
        <s:v>4</s:v>
      </s:c>
      <s:c r="AA41" s="398">
        <s:v>1</s:v>
      </s:c>
      <s:c r="AB41" s="398">
        <s:v>1</s:v>
      </s:c>
      <s:c r="AC41" s="383"/>
      <s:c r="AD41" s="383"/>
      <s:c r="AE41" s="386"/>
    </s:row>
    <s:row r="42">
      <s:c r="A42" s="159">
        <s:v>18</s:v>
      </s:c>
      <s:c r="B42" s="431">
        <s:v>46052</s:v>
      </s:c>
      <s:c r="C42" s="434" t="s">
        <s:v>57</s:v>
      </s:c>
      <s:c r="D42" s="433">
        <s:v>15477</s:v>
      </s:c>
      <s:c r="E42" s="385">
        <s:v>3</s:v>
      </s:c>
      <s:c r="F42" s="385">
        <s:f>IF(AND(E42&lt;&gt;"",E42&lt;&gt;0),D42/E42,"")</s:f>
        <s:v>5159</s:v>
      </s:c>
      <s:c r="G42" s="385">
        <s:v>2</s:v>
      </s:c>
      <s:c r="H42" s="385">
        <s:f>IF(AND(G42&lt;&gt;"",G42&lt;&gt;0),D42/G42,"")</s:f>
        <s:v>7738.5</s:v>
      </s:c>
      <s:c r="I42" s="385"/>
      <s:c r="J42" s="430">
        <s:f>IF(AND(G42&lt;&gt;"",G42&lt;&gt;0),E42/G42,"")</s:f>
        <s:v>1.5</s:v>
      </s:c>
      <s:c r="K42" s="385"/>
      <s:c r="L42" s="385"/>
      <s:c r="M42" s="385"/>
      <s:c r="N42" s="385"/>
      <s:c r="O42" s="385"/>
      <s:c r="P42" s="166"/>
      <s:c r="Q42" s="166"/>
      <s:c r="R42" s="164"/>
      <s:c r="S42" s="167" t="str">
        <s:f>IF(AND(I42&lt;&gt;"",I42&lt;&gt;0),G42/I42,"")</s:f>
        <s:v/>
      </s:c>
      <s:c r="T42" s="414">
        <s:f>D42/U42</s:f>
        <s:v>0.82823655103066873</s:v>
      </s:c>
      <s:c r="U42" s="169">
        <s:f>$I$8*AA42*AB42/SUMPRODUCT($AB$25:$AB$46,$AA$25:$AA$46)</s:f>
        <s:v>18686.690391459073</s:v>
      </s:c>
      <s:c r="V42" s="170">
        <s:f>$I$9*AA42*AB42/SUMPRODUCT($AB$25:$AB$46,$AA$25:$AA$46)</s:f>
        <s:v>2.8313167259786476</s:v>
      </s:c>
      <s:c r="W42" s="170">
        <s:f>IF($I$12="","",V42/$I$12)</s:f>
        <s:v>1.6654804270462633</s:v>
      </s:c>
      <s:c r="X42" s="169">
        <s:f>IF(AB42&lt;&gt;"",IF(D42&lt;&gt;"",D42,($I$8-SUM($X$25:X41))*AA42*AB42/SUMPRODUCT($AB42:$AB$55,$AA42:$AA$55)),"")</s:f>
        <s:v>15477</s:v>
      </s:c>
      <s:c r="Y42" s="170">
        <s:f>IF(AB42&lt;&gt;"",IF(E42&lt;&gt;"",E42,($I$9-SUM($Y$25:Y41))*AA42*AB42/SUMPRODUCT($AB42:$AB$55,$AA42:$AA$55)),"")</s:f>
        <s:v>3</s:v>
      </s:c>
      <s:c r="Z42" s="170">
        <s:f>IF(AB42&lt;&gt;"",IF($I$12&lt;&gt;"",IF(G42&lt;&gt;"",G42,($I$9/$I$12-SUM($Z$25:Z41))*AA42*AB42/SUMPRODUCT($AB42:$AB$55,$AA42:$AA$55)),""),"")</s:f>
        <s:v>2</s:v>
      </s:c>
      <s:c r="AA42" s="398">
        <s:v>1</s:v>
      </s:c>
      <s:c r="AB42" s="398">
        <s:v>1</s:v>
      </s:c>
      <s:c r="AC42" s="383"/>
      <s:c r="AD42" s="383"/>
      <s:c r="AE42" s="386"/>
    </s:row>
    <s:row r="43" ht="15" customHeight="1">
      <s:c r="A43" s="159">
        <s:v>19</s:v>
      </s:c>
      <s:c r="B43" s="431"/>
      <s:c r="C43" s="205"/>
      <s:c r="D43" s="435"/>
      <s:c r="E43" s="385"/>
      <s:c r="F43" s="385" t="str">
        <s:f>IF(AND(E43&lt;&gt;"",E43&lt;&gt;0),D43/E43,"")</s:f>
        <s:v/>
      </s:c>
      <s:c r="G43" s="385"/>
      <s:c r="H43" s="385" t="str">
        <s:f>IF(AND(G43&lt;&gt;"",G43&lt;&gt;0),D43/G43,"")</s:f>
        <s:v/>
      </s:c>
      <s:c r="I43" s="385"/>
      <s:c r="J43" s="430" t="str">
        <s:f>IF(AND(G43&lt;&gt;"",G43&lt;&gt;0),E43/G43,"")</s:f>
        <s:v/>
      </s:c>
      <s:c r="K43" s="385"/>
      <s:c r="L43" s="385"/>
      <s:c r="M43" s="385"/>
      <s:c r="N43" s="385"/>
      <s:c r="O43" s="385"/>
      <s:c r="P43" s="166"/>
      <s:c r="Q43" s="166"/>
      <s:c r="R43" s="164"/>
      <s:c r="S43" s="167" t="str">
        <s:f>IF(AND(I43&lt;&gt;"",I43&lt;&gt;0),G43/I43,"")</s:f>
        <s:v/>
      </s:c>
      <s:c r="T43" s="414">
        <s:f>D43/U43</s:f>
        <s:v>0</s:v>
      </s:c>
      <s:c r="U43" s="169">
        <s:f>$I$8*AA43*AB43/SUMPRODUCT($AB$25:$AB$46,$AA$25:$AA$46)</s:f>
        <s:v>18686.690391459073</s:v>
      </s:c>
      <s:c r="V43" s="170">
        <s:f>$I$9*AA43*AB43/SUMPRODUCT($AB$25:$AB$46,$AA$25:$AA$46)</s:f>
        <s:v>2.8313167259786476</s:v>
      </s:c>
      <s:c r="W43" s="170">
        <s:f>IF($I$12="","",V43/$I$12)</s:f>
        <s:v>1.6654804270462633</s:v>
      </s:c>
      <s:c r="X43" s="169">
        <s:f>IF(AB43&lt;&gt;"",IF(D43&lt;&gt;"",D43,($I$8-SUM($X$25:X42))*AA43*AB43/SUMPRODUCT($AB43:$AB$55,$AA43:$AA$55)),"")</s:f>
        <s:v>93494.117437722394</s:v>
      </s:c>
      <s:c r="Y43" s="170">
        <s:f>IF(AB43&lt;&gt;"",IF(E43&lt;&gt;"",E43,($I$9-SUM($Y$25:Y42))*AA43*AB43/SUMPRODUCT($AB43:$AB$46,$AA43:$AA$46)),"")</s:f>
        <s:v>13.795017793594305</s:v>
      </s:c>
      <s:c r="Z43" s="170">
        <s:f>IF(AB43&lt;&gt;"",IF($I$12&lt;&gt;"",IF(G43&lt;&gt;"",G43,($I$9/$I$12-SUM($Z$25:Z42))*AA43*AB43/SUMPRODUCT($AB43:$AB$46,$AA43:$AA$46)),""),"")</s:f>
        <s:v>0.64412811387900248</s:v>
      </s:c>
      <s:c r="AA43" s="398">
        <s:v>1</s:v>
      </s:c>
      <s:c r="AB43" s="398">
        <s:v>1</s:v>
      </s:c>
      <s:c r="AC43" s="383"/>
      <s:c r="AD43" s="383"/>
      <s:c r="AE43" s="386"/>
    </s:row>
    <s:row r="44">
      <s:c r="A44" s="436"/>
      <s:c r="B44" s="431"/>
      <s:c r="C44" s="161"/>
      <s:c r="D44" s="387"/>
      <s:c r="E44" s="437"/>
      <s:c r="F44" s="199" t="str">
        <s:f>IF(AND(E44&lt;&gt;"",E44&lt;&gt;0),D44/E44,"")</s:f>
        <s:v/>
      </s:c>
      <s:c r="G44" s="437"/>
      <s:c r="H44" s="199" t="str">
        <s:f>IF(AND(G44&lt;&gt;"",G44&lt;&gt;0),D44/G44,"")</s:f>
        <s:v/>
      </s:c>
      <s:c r="I44" s="437"/>
      <s:c r="J44" s="165" t="str">
        <s:f>IF(AND(G44&lt;&gt;"",G44&lt;&gt;0),E44/G44,"")</s:f>
        <s:v/>
      </s:c>
      <s:c r="K44" s="199"/>
      <s:c r="L44" s="199"/>
      <s:c r="M44" s="199"/>
      <s:c r="N44" s="199"/>
      <s:c r="O44" s="199"/>
      <s:c r="P44" s="166"/>
      <s:c r="Q44" s="166"/>
      <s:c r="R44" s="164"/>
      <s:c r="S44" s="167" t="str">
        <s:f>IF(AND(I44&lt;&gt;"",I44&lt;&gt;0),G44/I44,"")</s:f>
        <s:v/>
      </s:c>
      <s:c r="T44" s="414" t="e">
        <s:f>D44/U44</s:f>
        <s:v>#DIV/0!</s:v>
      </s:c>
      <s:c r="U44" s="169">
        <s:f>$I$8*AA44*AB44/SUMPRODUCT($AB$25:$AB$46,$AA$25:$AA$46)</s:f>
        <s:v>0</s:v>
      </s:c>
      <s:c r="V44" s="170">
        <s:f>$I$9*AA44*AB44/SUMPRODUCT($AB$25:$AB$46,$AA$25:$AA$46)</s:f>
        <s:v>0</s:v>
      </s:c>
      <s:c r="W44" s="170">
        <s:f>IF($I$12="","",V44/$I$12)</s:f>
        <s:v>0</s:v>
      </s:c>
      <s:c r="X44" s="169" t="str">
        <s:f>IF(AB44&lt;&gt;"",IF(D44&lt;&gt;"",D44,($I$8-SUM($X$25:X43))*AA44*AB44/SUMPRODUCT($AB44:$AB$46,$AA44:$AA$46)),"")</s:f>
        <s:v/>
      </s:c>
      <s:c r="Y44" s="170" t="str">
        <s:f>IF(AB44&lt;&gt;"",IF(E44&lt;&gt;"",E44,($I$9-SUM($Y$25:Y43))*AA44*AB44/SUMPRODUCT($AB44:$AB$46,$AA44:$AA$46)),"")</s:f>
        <s:v/>
      </s:c>
      <s:c r="Z44" s="170" t="str">
        <s:f>IF(AB44&lt;&gt;"",IF($I$12&lt;&gt;"",IF(G44&lt;&gt;"",G44,($I$9/$I$12-SUM($Z$25:Z43))*AA44*AB44/SUMPRODUCT($AB44:$AB$46,$AA44:$AA$46)),""),"")</s:f>
        <s:v/>
      </s:c>
      <s:c r="AA44" s="398"/>
      <s:c r="AB44" s="398"/>
      <s:c r="AC44" s="383"/>
      <s:c r="AD44" s="383"/>
      <s:c r="AE44" s="386"/>
    </s:row>
    <s:row r="45">
      <s:c r="A45" s="159"/>
      <s:c r="B45" s="160"/>
      <s:c r="C45" s="161"/>
      <s:c r="D45" s="387"/>
      <s:c r="E45" s="388"/>
      <s:c r="F45" s="164"/>
      <s:c r="G45" s="388"/>
      <s:c r="H45" s="164"/>
      <s:c r="I45" s="388"/>
      <s:c r="J45" s="165" t="str">
        <s:f>IF(AND(G45&lt;&gt;"",G45&lt;&gt;0),E45/G45,"")</s:f>
        <s:v/>
      </s:c>
      <s:c r="K45" s="164"/>
      <s:c r="L45" s="164"/>
      <s:c r="M45" s="164"/>
      <s:c r="N45" s="164"/>
      <s:c r="O45" s="164"/>
      <s:c r="P45" s="166"/>
      <s:c r="Q45" s="166"/>
      <s:c r="R45" s="164"/>
      <s:c r="S45" s="167" t="str">
        <s:f>IF(AND(I45&lt;&gt;"",I45&lt;&gt;0),G45/I45,"")</s:f>
        <s:v/>
      </s:c>
      <s:c r="T45" s="414" t="e">
        <s:f>D45/U45</s:f>
        <s:v>#DIV/0!</s:v>
      </s:c>
      <s:c r="U45" s="169">
        <s:f>$I$8*AA45*AB45/SUMPRODUCT($AB$25:$AB$46,$AA$25:$AA$46)</s:f>
        <s:v>0</s:v>
      </s:c>
      <s:c r="V45" s="170">
        <s:f>$I$9*AA45*AB45/SUMPRODUCT($AB$25:$AB$46,$AA$25:$AA$46)</s:f>
        <s:v>0</s:v>
      </s:c>
      <s:c r="W45" s="170">
        <s:f>IF($I$12="","",V45/$I$12)</s:f>
        <s:v>0</s:v>
      </s:c>
      <s:c r="X45" s="169" t="str">
        <s:f>IF(AB45&lt;&gt;"",IF(D45&lt;&gt;"",D45,($I$8-SUM($X$25:X44))*AA45*AB45/SUMPRODUCT($AB45:$AB$46,$AA45:$AA$46)),"")</s:f>
        <s:v/>
      </s:c>
      <s:c r="Y45" s="170" t="str">
        <s:f>IF(AB45&lt;&gt;"",IF(E45&lt;&gt;"",E45,($I$9-SUM($Y$25:Y44))*AA45*AB45/SUMPRODUCT($AB45:$AB$46,$AA45:$AA$46)),"")</s:f>
        <s:v/>
      </s:c>
      <s:c r="Z45" s="170" t="str">
        <s:f>IF(AB45&lt;&gt;"",IF($I$12&lt;&gt;"",IF(G45&lt;&gt;"",G45,($I$9/$I$12-SUM($Z$25:Z44))*AA45*AB45/SUMPRODUCT($AB45:$AB$46,$AA45:$AA$46)),""),"")</s:f>
        <s:v/>
      </s:c>
      <s:c r="AA45" s="398"/>
      <s:c r="AB45" s="398"/>
      <s:c r="AC45" s="383"/>
      <s:c r="AD45" s="383"/>
      <s:c r="AE45" s="386"/>
    </s:row>
    <s:row r="46" s="438" customFormat="1">
      <s:c r="A46" s="439"/>
      <s:c r="B46" s="160"/>
      <s:c r="C46" s="440" t="s">
        <s:v>65</s:v>
      </s:c>
      <s:c r="D46" s="441">
        <s:v>5666</s:v>
      </s:c>
      <s:c r="E46" s="442">
        <s:v>1</s:v>
      </s:c>
      <s:c r="F46" s="124">
        <s:f>IF(AND(E46&lt;&gt;"",E46&lt;&gt;0),D46/E46,"")</s:f>
        <s:v>5666</s:v>
      </s:c>
      <s:c r="G46" s="442">
        <s:v>1</s:v>
      </s:c>
      <s:c r="H46" s="124">
        <s:f>IF(AND(G46&lt;&gt;"",G46&lt;&gt;0),D46/G46,"")</s:f>
        <s:v>5666</s:v>
      </s:c>
      <s:c r="I46" s="443">
        <s:v>1</s:v>
      </s:c>
      <s:c r="J46" s="444">
        <s:f>IF(AND(G46&lt;&gt;"",G46&lt;&gt;0),E46/G46,"")</s:f>
        <s:v>1</s:v>
      </s:c>
      <s:c r="K46" s="124"/>
      <s:c r="L46" s="124"/>
      <s:c r="M46" s="124"/>
      <s:c r="N46" s="124"/>
      <s:c r="O46" s="124"/>
      <s:c r="P46" s="164"/>
      <s:c r="Q46" s="164"/>
      <s:c r="R46" s="164"/>
      <s:c r="S46" s="167">
        <s:f>IF(AND(I46&lt;&gt;"",I46&lt;&gt;0),G46/I46,"")</s:f>
        <s:v>1</s:v>
      </s:c>
      <s:c r="T46" s="414" t="e">
        <s:f>D46/U46</s:f>
        <s:v>#DIV/0!</s:v>
      </s:c>
      <s:c r="U46" s="445">
        <s:f>$I$8*AA46*AB46/SUMPRODUCT($AB$25:$AB$46,$AA$25:$AA$46)</s:f>
        <s:v>0</s:v>
      </s:c>
      <s:c r="V46" s="446">
        <s:f>$I$9*AA46*AB46/SUMPRODUCT($AB$25:$AB$46,$AA$25:$AA$46)</s:f>
        <s:v>0</s:v>
      </s:c>
      <s:c r="W46" s="446">
        <s:f>IF($I$12="","",V46/$I$12)</s:f>
        <s:v>0</s:v>
      </s:c>
      <s:c r="X46" s="445" t="str">
        <s:f>IF(AB46&lt;&gt;"",IF(D46&lt;&gt;"",D46,($I$8-SUM($X$25:X45))*AA46*AB46/SUMPRODUCT($AB46:$AB$46,$AA46:$AA$46)),"")</s:f>
        <s:v/>
      </s:c>
      <s:c r="Y46" s="446" t="str">
        <s:f>IF(AB46&lt;&gt;"",IF(E46&lt;&gt;"",E46,($I$9-SUM($Y$25:Y39))*AA46*AB46/SUMPRODUCT($AB46:$AB$46,$AA46:$AA$46)),"")</s:f>
        <s:v/>
      </s:c>
      <s:c r="Z46" s="446" t="str">
        <s:f>IF(AB46&lt;&gt;"",IF($I$12&lt;&gt;"",IF(G46&lt;&gt;"",G46,($I$9/$I$12-SUM($Z$25:Z39))*AA46*AB46/SUMPRODUCT($AB46:$AB$46,$AA46:$AA$46)),""),"")</s:f>
        <s:v/>
      </s:c>
      <s:c r="AA46" s="447"/>
      <s:c r="AB46" s="447"/>
      <s:c r="AC46" s="448"/>
      <s:c r="AD46" s="449"/>
    </s:row>
    <s:row r="47">
      <s:c r="B47" s="120">
        <s:v>46036</s:v>
      </s:c>
      <s:c r="C47" s="205" t="s">
        <s:v>58</s:v>
      </s:c>
      <s:c r="D47" s="371">
        <s:v>7031</s:v>
      </s:c>
      <s:c r="E47" s="199">
        <s:v>1</s:v>
      </s:c>
      <s:c r="F47" s="198">
        <s:f>IF(AND(E47&lt;&gt;"",E47&lt;&gt;0),D47/E47,"")</s:f>
        <s:v>7031</s:v>
      </s:c>
      <s:c r="G47" s="199">
        <s:v>1</s:v>
      </s:c>
      <s:c r="H47" s="198">
        <s:f>IF(AND(G47&lt;&gt;"",G47&lt;&gt;0),D47/G47,"")</s:f>
        <s:v>7031</s:v>
      </s:c>
      <s:c r="I47" s="450">
        <s:v>1</s:v>
      </s:c>
      <s:c r="J47" s="165">
        <s:f>IF(AND(G47&lt;&gt;"",G47&lt;&gt;0),E47/G47,"")</s:f>
        <s:v>1</s:v>
      </s:c>
      <s:c r="K47" s="164"/>
      <s:c r="L47" s="164"/>
      <s:c r="M47" s="164"/>
      <s:c r="N47" s="164"/>
      <s:c r="O47" s="164"/>
      <s:c r="P47" s="164"/>
      <s:c r="Q47" s="164"/>
      <s:c r="R47" s="164"/>
      <s:c r="S47" s="167">
        <s:f>IF(AND(I47&lt;&gt;"",I47&lt;&gt;0),G47/I47,"")</s:f>
        <s:v>1</s:v>
      </s:c>
      <s:c r="T47" s="414" t="e">
        <s:f>D47/U47</s:f>
        <s:v>#DIV/0!</s:v>
      </s:c>
      <s:c r="U47" s="169">
        <s:f>$I$8*AA47*AB47/SUMPRODUCT($AB$25:$AB$46,$AA$25:$AA$46)</s:f>
        <s:v>0</s:v>
      </s:c>
      <s:c r="V47" s="170">
        <s:f>$I$9*AA47*AB47/SUMPRODUCT($AB$25:$AB$46,$AA$25:$AA$46)</s:f>
        <s:v>0</s:v>
      </s:c>
      <s:c r="W47" s="170">
        <s:f>IF($I$12="","",V47/$I$12)</s:f>
        <s:v>0</s:v>
      </s:c>
      <s:c r="X47" s="169" t="str">
        <s:f>IF(AB47&lt;&gt;"",IF(D47&lt;&gt;"",D47,($I$8-SUM($X$25:X46))*AA47*AB47/SUMPRODUCT($AB$46:$AB47,$AA$46:$AA47)),"")</s:f>
        <s:v/>
      </s:c>
      <s:c r="Y47" s="170" t="str">
        <s:f>IF(AB47&lt;&gt;"",IF(E47&lt;&gt;"",E47,($I$9-SUM($Y$25:Y40))*AA47*AB47/SUMPRODUCT($AB$46:$AB47,$AA$46:$AA47)),"")</s:f>
        <s:v/>
      </s:c>
      <s:c r="Z47" s="170" t="str">
        <s:f>IF(AB47&lt;&gt;"",IF($I$12&lt;&gt;"",IF(G47&lt;&gt;"",G47,($I$9/$I$12-SUM($Z$25:Z40))*AA47*AB47/SUMPRODUCT($AB$46:$AB47,$AA$46:$AA47)),""),"")</s:f>
        <s:v/>
      </s:c>
      <s:c r="AA47" s="398"/>
      <s:c r="AB47" s="398"/>
      <s:c r="AC47" s="383"/>
      <s:c r="AD47" s="383"/>
    </s:row>
    <s:row r="48" ht="15" customHeight="1">
      <s:c r="B48" s="160">
        <s:v>46032</s:v>
      </s:c>
      <s:c r="C48" s="418"/>
      <s:c r="D48" s="393">
        <s:f>SUM(D25:D47)</s:f>
        <s:v>268023</s:v>
      </s:c>
      <s:c r="E48" s="393">
        <s:f>SUM(E25:E47)</s:f>
        <s:v>41</s:v>
      </s:c>
      <s:c r="F48" s="393">
        <s:f>IF(AND(E48&lt;&gt;"",E48&lt;&gt;0),D48/E48,"")</s:f>
        <s:v>6537.1463414634145</s:v>
      </s:c>
      <s:c r="G48" s="393">
        <s:f>SUM(G25:G47)</s:f>
        <s:v>31</s:v>
      </s:c>
      <s:c r="H48" s="393">
        <s:f>IF(AND(G48&lt;&gt;"",G48&lt;&gt;0),D48/G48,"")</s:f>
        <s:v>8645.9032258064508</s:v>
      </s:c>
      <s:c r="I48" s="393">
        <s:f>SUM(I25:I47)*0.8</s:f>
        <s:v>258.40000000000003</s:v>
      </s:c>
      <s:c r="J48" s="394">
        <s:f>IF(AND(G48&lt;&gt;"",G48&lt;&gt;0),E48/G48,"")</s:f>
        <s:v>1.3225806451612903</s:v>
      </s:c>
      <s:c r="K48" s="393">
        <s:f>SUM(K25:K47)</s:f>
        <s:v>0</s:v>
      </s:c>
      <s:c r="L48" s="393">
        <s:f>SUM(L25:L47)</s:f>
        <s:v>26508</s:v>
      </s:c>
      <s:c r="M48" s="393">
        <s:f>SUM(M25:M47)</s:f>
        <s:v>0</s:v>
      </s:c>
      <s:c r="N48" s="393">
        <s:f>SUM(N25:N47)</s:f>
        <s:v>0</s:v>
      </s:c>
      <s:c r="O48" s="393">
        <s:f>SUM(O25:O47)</s:f>
        <s:v>0</s:v>
      </s:c>
      <s:c r="P48" s="393">
        <s:f>SUM(P25:P47)</s:f>
        <s:v>0</s:v>
      </s:c>
      <s:c r="Q48" s="393">
        <s:f>SUM(Q25:Q47)</s:f>
        <s:v>8693</s:v>
      </s:c>
      <s:c r="R48" s="393">
        <s:f>SUM(R25:R47)</s:f>
        <s:v>6267</s:v>
      </s:c>
      <s:c r="S48" s="202">
        <s:f>IF(AND(I48&lt;&gt;"",I48&lt;&gt;0),G48/I48,"")</s:f>
        <s:v>0.119969040247678</s:v>
      </s:c>
      <s:c r="T48" s="395">
        <s:f>D48/U48</s:f>
        <s:v>0.76469102089471808</s:v>
      </s:c>
      <s:c r="U48" s="396">
        <s:f>SUM(U25:U47)</s:f>
        <s:v>350498.42704626336</s:v>
      </s:c>
      <s:c r="V48" s="396">
        <s:f>SUM(V25:V47)</s:f>
        <s:v>54.963701067615645</s:v>
      </s:c>
      <s:c r="W48" s="396">
        <s:f>SUM(W25:W47)</s:f>
        <s:v>31.97864768683273</s:v>
      </s:c>
      <s:c r="X48" s="396">
        <s:f>SUM(X25:X47)</s:f>
        <s:v>355047.11743772239</s:v>
      </s:c>
      <s:c r="Y48" s="396">
        <s:f>SUM(Y25:Y47)</s:f>
        <s:v>53.795017793594305</s:v>
      </s:c>
      <s:c r="Z48" s="396">
        <s:f>SUM(Z25:Z47)</s:f>
        <s:v>31.644128113879002</s:v>
      </s:c>
      <s:c r="AA48" s="397"/>
      <s:c r="AB48" s="397"/>
    </s:row>
    <s:row r="49">
      <s:c r="B49" s="418" t="s">
        <s:v>85</s:v>
      </s:c>
      <s:c r="C49" s="206"/>
      <s:c r="D49" s="207">
        <s:f>SUMIF(D25:D47,"",U25:U47)+D48</s:f>
        <s:v>286709.69039145909</s:v>
      </s:c>
      <s:c r="E49" s="208"/>
      <s:c r="F49" s="206"/>
      <s:c r="G49" s="206"/>
      <s:c r="H49" s="209"/>
      <s:c r="I49" s="210"/>
      <s:c r="J49" s="209"/>
      <s:c r="O49" s="211"/>
      <s:c r="P49" s="208"/>
      <s:c r="Q49" s="208"/>
      <s:c r="R49" s="208"/>
      <s:c r="S49" s="211"/>
      <s:c r="T49" s="211"/>
      <s:c r="U49" s="211"/>
      <s:c r="V49" s="212"/>
    </s:row>
    <s:row r="50">
      <s:c r="B50" s="205"/>
      <s:c r="D50" s="214"/>
      <s:c r="R50" s="208"/>
    </s:row>
    <s:row r="52">
      <s:c r="D52" s="214"/>
    </s:row>
    <s:row r="53">
      <s:c r="D53" s="214"/>
    </s:row>
  </s:sheetData>
  <s:mergeCells count="26">
    <s:mergeCell ref="B1:C1"/>
    <s:mergeCell ref="V1:Y4"/>
    <s:mergeCell ref="B2:C2"/>
    <s:mergeCell ref="J2:N2"/>
    <s:mergeCell ref="J3:N4"/>
    <s:mergeCell ref="C4:D4"/>
    <s:mergeCell ref="F6:Q6"/>
    <s:mergeCell ref="F7:H7"/>
    <s:mergeCell ref="P7:Q7"/>
    <s:mergeCell ref="F8:H8"/>
    <s:mergeCell ref="F9:H9"/>
    <s:mergeCell ref="F10:H10"/>
    <s:mergeCell ref="F11:H11"/>
    <s:mergeCell ref="F12:H12"/>
    <s:mergeCell ref="F13:H13"/>
    <s:mergeCell ref="F14:H14"/>
    <s:mergeCell ref="F15:H15"/>
    <s:mergeCell ref="F16:H16"/>
    <s:mergeCell ref="U16:U17"/>
    <s:mergeCell ref="F17:H17"/>
    <s:mergeCell ref="F18:H18"/>
    <s:mergeCell ref="F19:H19"/>
    <s:mergeCell ref="F20:H20"/>
    <s:mergeCell ref="B22:S22"/>
    <s:mergeCell ref="T22:T24"/>
    <s:mergeCell ref="U22:AB22"/>
  </s:mergeCells>
  <s:conditionalFormatting sqref="T37">
    <s:cfRule type="cellIs" dxfId="4" priority="419" operator="between">
      <s:formula>0.9001</s:formula>
      <s:formula>0.9999</s:formula>
    </s:cfRule>
  </s:conditionalFormatting>
  <s:conditionalFormatting sqref="T37">
    <s:cfRule type="cellIs" dxfId="2" priority="418" operator="lessThan">
      <s:formula>0.9</s:formula>
    </s:cfRule>
  </s:conditionalFormatting>
  <s:conditionalFormatting sqref="T37">
    <s:cfRule type="cellIs" dxfId="3" priority="415" operator="between">
      <s:formula>0.85</s:formula>
      <s:formula>1</s:formula>
    </s:cfRule>
  </s:conditionalFormatting>
  <s:conditionalFormatting sqref="T33:T35">
    <s:cfRule type="cellIs" dxfId="4" priority="408" operator="between">
      <s:formula>0.9001</s:formula>
      <s:formula>0.9999</s:formula>
    </s:cfRule>
  </s:conditionalFormatting>
  <s:conditionalFormatting sqref="T33:T35">
    <s:cfRule type="cellIs" dxfId="2" priority="406" operator="lessThan">
      <s:formula>0.9</s:formula>
    </s:cfRule>
  </s:conditionalFormatting>
  <s:conditionalFormatting sqref="T33:T35">
    <s:cfRule type="cellIs" dxfId="3" priority="400" operator="between">
      <s:formula>0.85</s:formula>
      <s:formula>1</s:formula>
    </s:cfRule>
  </s:conditionalFormatting>
  <s:conditionalFormatting sqref="J16">
    <s:cfRule type="cellIs" dxfId="1" priority="364" operator="greaterThan">
      <s:formula>0</s:formula>
    </s:cfRule>
  </s:conditionalFormatting>
  <s:conditionalFormatting sqref="J16">
    <s:cfRule type="cellIs" dxfId="2" priority="363" operator="lessThan">
      <s:formula>0</s:formula>
    </s:cfRule>
  </s:conditionalFormatting>
  <s:conditionalFormatting sqref="T37:T45 T47">
    <s:cfRule type="cellIs" dxfId="0" priority="360" operator="between">
      <s:formula>0.01</s:formula>
      <s:formula>0.99</s:formula>
    </s:cfRule>
  </s:conditionalFormatting>
  <s:conditionalFormatting sqref="T38:T45 T47">
    <s:cfRule type="cellIs" dxfId="3" priority="359" operator="between">
      <s:formula>0.85</s:formula>
      <s:formula>1</s:formula>
    </s:cfRule>
  </s:conditionalFormatting>
  <s:conditionalFormatting sqref="T38:T47">
    <s:cfRule type="cellIs" dxfId="2" priority="357" operator="lessThan">
      <s:formula>0.9</s:formula>
    </s:cfRule>
  </s:conditionalFormatting>
  <s:conditionalFormatting sqref="T38:T47">
    <s:cfRule type="cellIs" dxfId="4" priority="356" operator="between">
      <s:formula>0.9001</s:formula>
      <s:formula>0.9999</s:formula>
    </s:cfRule>
  </s:conditionalFormatting>
  <s:conditionalFormatting sqref="T46">
    <s:cfRule type="cellIs" dxfId="0" priority="355" operator="between">
      <s:formula>0.01</s:formula>
      <s:formula>0.99</s:formula>
    </s:cfRule>
  </s:conditionalFormatting>
  <s:conditionalFormatting sqref="T46">
    <s:cfRule type="cellIs" dxfId="3" priority="354" operator="between">
      <s:formula>0.85</s:formula>
      <s:formula>1</s:formula>
    </s:cfRule>
  </s:conditionalFormatting>
  <s:conditionalFormatting sqref="T32:T36">
    <s:cfRule type="cellIs" dxfId="0" priority="132" operator="between">
      <s:formula>0.01</s:formula>
      <s:formula>0.99</s:formula>
    </s:cfRule>
  </s:conditionalFormatting>
  <s:conditionalFormatting sqref="T36">
    <s:cfRule type="cellIs" dxfId="3" priority="131" operator="between">
      <s:formula>0.85</s:formula>
      <s:formula>1</s:formula>
    </s:cfRule>
  </s:conditionalFormatting>
  <s:conditionalFormatting sqref="T35:T36">
    <s:cfRule type="cellIs" dxfId="2" priority="128" operator="lessThan">
      <s:formula>0.9</s:formula>
    </s:cfRule>
  </s:conditionalFormatting>
  <s:conditionalFormatting sqref="T35:T36">
    <s:cfRule type="cellIs" dxfId="4" priority="127" operator="between">
      <s:formula>0.9001</s:formula>
      <s:formula>0.9999</s:formula>
    </s:cfRule>
  </s:conditionalFormatting>
  <s:conditionalFormatting sqref="M9:M15">
    <s:cfRule type="cellIs" dxfId="1" priority="38" operator="greaterThan">
      <s:formula>1</s:formula>
    </s:cfRule>
  </s:conditionalFormatting>
  <s:conditionalFormatting sqref="M9:M15">
    <s:cfRule type="cellIs" dxfId="2" priority="37" operator="lessThan">
      <s:formula>1</s:formula>
    </s:cfRule>
  </s:conditionalFormatting>
  <s:conditionalFormatting sqref="K15">
    <s:cfRule type="cellIs" dxfId="1" priority="36" operator="greaterThan">
      <s:formula>1</s:formula>
    </s:cfRule>
  </s:conditionalFormatting>
  <s:conditionalFormatting sqref="K15">
    <s:cfRule type="cellIs" dxfId="2" priority="35" operator="lessThan">
      <s:formula>1</s:formula>
    </s:cfRule>
  </s:conditionalFormatting>
  <s:conditionalFormatting sqref="K10:K12">
    <s:cfRule type="cellIs" dxfId="1" priority="34" operator="greaterThan">
      <s:formula>1</s:formula>
    </s:cfRule>
  </s:conditionalFormatting>
  <s:conditionalFormatting sqref="K10:K12">
    <s:cfRule type="cellIs" dxfId="2" priority="33" operator="lessThan">
      <s:formula>1</s:formula>
    </s:cfRule>
  </s:conditionalFormatting>
  <s:conditionalFormatting sqref="T25:T47">
    <s:cfRule type="cellIs" dxfId="0" priority="18" operator="between">
      <s:formula>0.01</s:formula>
      <s:formula>0.99</s:formula>
    </s:cfRule>
  </s:conditionalFormatting>
  <s:conditionalFormatting sqref="T25:T47">
    <s:cfRule type="cellIs" dxfId="3" priority="17" operator="between">
      <s:formula>0.85</s:formula>
      <s:formula>1</s:formula>
    </s:cfRule>
  </s:conditionalFormatting>
  <s:conditionalFormatting sqref="T25:T47">
    <s:cfRule type="cellIs" dxfId="1" priority="16" operator="greaterThan">
      <s:formula>100</s:formula>
    </s:cfRule>
  </s:conditionalFormatting>
  <s:conditionalFormatting sqref="T25:T47">
    <s:cfRule type="cellIs" dxfId="1" priority="15" operator="greaterThan">
      <s:formula>1</s:formula>
    </s:cfRule>
  </s:conditionalFormatting>
  <s:conditionalFormatting sqref="T25:T47">
    <s:cfRule type="cellIs" dxfId="2" priority="14" operator="lessThan">
      <s:formula>0.9</s:formula>
    </s:cfRule>
  </s:conditionalFormatting>
  <s:conditionalFormatting sqref="T25:T47">
    <s:cfRule type="cellIs" dxfId="4" priority="13" operator="between">
      <s:formula>0.9001</s:formula>
      <s:formula>0.9999</s:formula>
    </s:cfRule>
  </s:conditionalFormatting>
  <s:conditionalFormatting sqref="P10:Q10">
    <s:cfRule type="cellIs" dxfId="0" priority="8" operator="lessThan">
      <s:formula>0</s:formula>
    </s:cfRule>
  </s:conditionalFormatting>
  <s:conditionalFormatting sqref="S25:S47">
    <s:cfRule type="cellIs" dxfId="2" priority="7" operator="lessThan">
      <s:formula>0.2</s:formula>
    </s:cfRule>
  </s:conditionalFormatting>
  <s:conditionalFormatting sqref="S25:S47">
    <s:cfRule type="cellIs" dxfId="1" priority="6" operator="greaterThanOrEqual">
      <s:formula>0.25</s:formula>
    </s:cfRule>
  </s:conditionalFormatting>
  <s:conditionalFormatting sqref="S25:S47">
    <s:cfRule type="cellIs" dxfId="4" priority="5" operator="between">
      <s:formula>0.2</s:formula>
      <s:formula>0.25</s:formula>
    </s:cfRule>
  </s:conditionalFormatting>
  <s:conditionalFormatting sqref="K20">
    <s:cfRule type="cellIs" dxfId="1" priority="2" operator="greaterThan">
      <s:formula>1</s:formula>
    </s:cfRule>
  </s:conditionalFormatting>
  <s:conditionalFormatting sqref="K20">
    <s:cfRule type="cellIs" dxfId="2" priority="1" operator="lessThan">
      <s:formula>1</s:formula>
    </s:cfRule>
  </s:conditionalFormatting>
  <s:conditionalFormatting sqref="J33:J37">
    <s:cfRule type="cellIs" dxfId="2" priority="390" operator="lessThan">
      <s:formula>$I$12</s:formula>
    </s:cfRule>
  </s:conditionalFormatting>
  <s:conditionalFormatting sqref="J37:J47">
    <s:cfRule type="cellIs" dxfId="1" priority="148" operator="greaterThan">
      <s:formula>$I$12</s:formula>
    </s:cfRule>
  </s:conditionalFormatting>
  <s:conditionalFormatting sqref="J38:J47">
    <s:cfRule type="cellIs" dxfId="2" priority="147" operator="lessThan">
      <s:formula>$I$12</s:formula>
    </s:cfRule>
  </s:conditionalFormatting>
  <s:conditionalFormatting sqref="J25:J36">
    <s:cfRule type="cellIs" dxfId="1" priority="12" operator="greaterThan">
      <s:formula>$I$12</s:formula>
    </s:cfRule>
  </s:conditionalFormatting>
  <s:conditionalFormatting sqref="J25:J36">
    <s:cfRule type="cellIs" dxfId="2" priority="11" operator="lessThan">
      <s:formula>$I$12</s:formula>
    </s:cfRule>
  </s:conditionalFormatting>
  <s:dataValidations count="1">
    <s:dataValidation type="decimal" sqref="I8:J13 L10:L11 I14" vyd:viewType="arrow" mc:Ignorable="vyd">
      <s:formula1>0</s:formula1>
      <s:formula2>1000000000000000</s:formula2>
    </s:dataValidation>
  </s:dataValidations>
  <s:printOptions headings="0" gridLines="1"/>
  <s:pageMargins left="0.7" right="0.7" top="0.75" bottom="0.75" header="0.512" footer="0.512"/>
  <s:pageSetup paperSize="9" scale="100" firstPageNumber="0" fitToWidth="1" fitToHeight="0" pageOrder="downThenOver" orientation="landscape" usePrinterDefaults="1" blackAndWhite="0" draft="0" cellComments="none" useFirstPageNumber="0" errors="displayed" horizontalDpi="300" verticalDpi="300" copies="1"/>
  <s:headerFooter/>
  <s:drawing r:id="rId1"/>
  <s:extLst>
    <s:ext uri="{CCE6A557-97BC-4b89-ADB6-D9C93CAAB3DF}">
      <x14:dataValidations disablePrompts="0" count="0"/>
    </s:ext>
  </s:extLst>
</s:worksheet>
</file>

<file path=xl/worksheets/sheet10.xml><?xml version="1.0" encoding="utf-8"?>
<s:worksheet xmlns:r="http://schemas.openxmlformats.org/officeDocument/2006/relationships" xmlns:s="http://schemas.openxmlformats.org/spreadsheetml/2006/main" xmlns:vyd="http://volga.yandex.com/schemas/document/model" xmlns:mc="http://schemas.openxmlformats.org/markup-compatibility/2006" xmlns:x14="http://schemas.microsoft.com/office/spreadsheetml/2009/9/main" xmlns:x14ac="http://schemas.microsoft.com/office/spreadsheetml/2009/9/ac" mc:Ignorable="x14ac">
  <s:sheetPr>
    <s:tabColor rgb="FFDBDBDB"/>
    <s:outlinePr applyStyles="0" summaryBelow="1" summaryRight="1" showOutlineSymbols="1"/>
    <s:pageSetUpPr autoPageBreaks="1" fitToPage="1"/>
  </s:sheetPr>
  <s:sheetViews>
    <s:sheetView showGridLines="0" showZeros="0" tabSelected="0" topLeftCell="A12" zoomScale="92" workbookViewId="0">
      <s:selection activeCell="I46" activeCellId="0" sqref="I46"/>
    </s:sheetView>
  </s:sheetViews>
  <s:sheetFormatPr baseColWidth="10" defaultColWidth="9.164" defaultRowHeight="14.25"/>
  <s:cols>
    <s:col min="1" max="1" width="3.832" style="1" customWidth="1"/>
    <s:col min="2" max="2" width="10.332" style="1" customWidth="1"/>
    <s:col min="3" max="3" width="10.832" style="1" customWidth="1"/>
    <s:col min="4" max="4" width="10.332" style="1" customWidth="1"/>
    <s:col min="5" max="5" width="10.164" style="1" customWidth="1"/>
    <s:col min="6" max="6" width="11.332" style="1" customWidth="1"/>
    <s:col min="7" max="7" width="9.832" style="1" customWidth="1"/>
    <s:col min="8" max="8" width="9.5" style="1" customWidth="1"/>
    <s:col min="9" max="9" width="12" style="1" customWidth="1"/>
    <s:col min="10" max="10" width="8.832" style="1" customWidth="1"/>
    <s:col min="11" max="14" width="12.664" style="1" customWidth="1"/>
    <s:col min="15" max="16" width="10.164" style="1" customWidth="1"/>
    <s:col min="17" max="18" width="10.832" style="1" customWidth="1"/>
    <s:col min="19" max="19" width="11.664" style="1" customWidth="1"/>
    <s:col min="20" max="20" width="12.832" style="1" customWidth="1"/>
    <s:col min="21" max="21" width="10.332" style="1" customWidth="1"/>
    <s:col min="22" max="23" width="11.332" style="1" customWidth="1"/>
    <s:col min="24" max="24" width="11" style="1" customWidth="1"/>
    <s:col min="25" max="25" width="9.5" style="1" customWidth="1"/>
    <s:col min="26" max="26" width="9.164" style="1"/>
    <s:col min="27" max="28" width="10.5" style="1" customWidth="1"/>
    <s:col min="29" max="38" width="9.164" style="1"/>
    <s:col min="39" max="260" width="9.164" style="2"/>
  </s:cols>
  <s:sheetData>
    <s:row r="1" ht="15.75" customHeight="1">
      <s:c r="B1" s="3">
        <s:f ca="1">TODAY()-1</s:f>
        <s:v>46170</s:v>
      </s:c>
      <s:c r="C1" s="3"/>
      <s:c r="D1" s="4"/>
      <s:c r="E1" s="4"/>
      <s:c r="F1" s="5"/>
      <s:c r="G1" s="5"/>
      <s:c r="H1" s="5"/>
      <s:c r="I1" s="5"/>
      <s:c r="J1" s="6"/>
      <s:c r="K1" s="6"/>
      <s:c r="L1" s="6"/>
      <s:c r="M1" s="6"/>
      <s:c r="N1" s="6"/>
      <s:c r="O1" s="6"/>
      <s:c r="P1" s="6"/>
      <s:c r="Q1" s="6"/>
      <s:c r="R1" s="6"/>
      <s:c r="S1" s="6"/>
      <s:c r="T1" s="6"/>
      <s:c r="U1" s="6"/>
      <s:c r="V1" s="7"/>
      <s:c r="W1" s="7"/>
      <s:c r="X1" s="7"/>
      <s:c r="Y1" s="7"/>
      <s:c r="Z1" s="5"/>
      <s:c r="AA1" s="5"/>
      <s:c r="AB1" s="5"/>
    </s:row>
    <s:row r="2" ht="21.75" customHeight="1">
      <s:c r="B2" s="8" t="s">
        <s:v>0</s:v>
      </s:c>
      <s:c r="C2" s="8"/>
      <s:c r="D2" s="4"/>
      <s:c r="E2" s="4"/>
      <s:c r="F2" s="5"/>
      <s:c r="G2" s="5"/>
      <s:c r="H2" s="5"/>
      <s:c r="I2" s="5"/>
      <s:c r="J2" s="451" t="s">
        <s:v>1</s:v>
      </s:c>
      <s:c r="K2" s="451"/>
      <s:c r="L2" s="451"/>
      <s:c r="M2" s="451"/>
      <s:c r="N2" s="9"/>
      <s:c r="O2" s="9"/>
      <s:c r="P2" s="9"/>
      <s:c r="Q2" s="9"/>
      <s:c r="R2" s="9"/>
      <s:c r="S2" s="9"/>
      <s:c r="T2" s="9"/>
      <s:c r="U2" s="9"/>
      <s:c r="V2" s="7"/>
      <s:c r="W2" s="7"/>
      <s:c r="X2" s="7"/>
      <s:c r="Y2" s="7"/>
      <s:c r="Z2" s="5"/>
      <s:c r="AA2" s="5"/>
      <s:c r="AB2" s="5"/>
    </s:row>
    <s:row r="3" ht="14" customHeight="1">
      <s:c r="B3" s="10" t="s">
        <s:v>2</s:v>
      </s:c>
      <s:c r="C3" s="4"/>
      <s:c r="D3" s="4"/>
      <s:c r="E3" s="4"/>
      <s:c r="F3" s="5"/>
      <s:c r="G3" s="5"/>
      <s:c r="H3" s="5"/>
      <s:c r="I3" s="5"/>
      <s:c r="J3" s="336">
        <s:f>График!B24</s:f>
        <s:v>0</s:v>
      </s:c>
      <s:c r="K3" s="337"/>
      <s:c r="L3" s="337"/>
      <s:c r="M3" s="338"/>
      <s:c r="N3" s="9"/>
      <s:c r="O3" s="9"/>
      <s:c r="P3" s="9"/>
      <s:c r="Q3" s="9"/>
      <s:c r="R3" s="9"/>
      <s:c r="S3" s="9"/>
      <s:c r="T3" s="6"/>
      <s:c r="U3" s="14"/>
      <s:c r="V3" s="7"/>
      <s:c r="W3" s="7"/>
      <s:c r="X3" s="7"/>
      <s:c r="Y3" s="7"/>
      <s:c r="Z3" s="5"/>
      <s:c r="AA3" s="5"/>
      <s:c r="AB3" s="5"/>
    </s:row>
    <s:row r="4" ht="15" customHeight="1">
      <s:c r="B4" s="4"/>
      <s:c r="C4" s="339">
        <s:f>I8-D48</s:f>
        <s:v>-132872</s:v>
      </s:c>
      <s:c r="D4" s="339"/>
      <s:c r="E4" s="340">
        <s:f>IF(I8&lt;&gt;0,C4/I8,0)</s:f>
        <s:v>0</s:v>
      </s:c>
      <s:c r="F4" s="5"/>
      <s:c r="G4" s="5"/>
      <s:c r="H4" s="5"/>
      <s:c r="I4" s="5"/>
      <s:c r="J4" s="341"/>
      <s:c r="K4" s="342"/>
      <s:c r="L4" s="342"/>
      <s:c r="M4" s="343"/>
      <s:c r="N4" s="9"/>
      <s:c r="O4" s="9"/>
      <s:c r="P4" s="9"/>
      <s:c r="Q4" s="9"/>
      <s:c r="R4" s="9"/>
      <s:c r="S4" s="9"/>
      <s:c r="T4" s="5"/>
      <s:c r="U4" s="5"/>
      <s:c r="V4" s="7"/>
      <s:c r="W4" s="7"/>
      <s:c r="X4" s="7"/>
      <s:c r="Y4" s="7"/>
      <s:c r="Z4" s="5"/>
      <s:c r="AA4" s="5"/>
      <s:c r="AB4" s="5"/>
    </s:row>
    <s:row r="5">
      <s:c r="B5" s="5"/>
      <s:c r="C5" s="5"/>
      <s:c r="D5" s="5"/>
      <s:c r="E5" s="5"/>
      <s:c r="F5" s="5"/>
      <s:c r="G5" s="5"/>
      <s:c r="H5" s="5"/>
      <s:c r="I5" s="5"/>
      <s:c r="J5" s="22"/>
      <s:c r="K5" s="22"/>
      <s:c r="L5" s="22"/>
      <s:c r="M5" s="22"/>
      <s:c r="N5" s="22"/>
      <s:c r="O5" s="22"/>
      <s:c r="P5" s="22"/>
      <s:c r="Q5" s="22"/>
      <s:c r="R5" s="22"/>
      <s:c r="S5" s="22"/>
      <s:c r="T5" s="5"/>
      <s:c r="U5" s="5"/>
      <s:c r="V5" s="5"/>
      <s:c r="W5" s="5"/>
      <s:c r="X5" s="5"/>
      <s:c r="Y5" s="5"/>
      <s:c r="Z5" s="5"/>
      <s:c r="AA5" s="5"/>
      <s:c r="AB5" s="5"/>
    </s:row>
    <s:row r="6" ht="15.75" customHeight="1">
      <s:c r="B6" s="23"/>
      <s:c r="C6" s="5"/>
      <s:c r="D6" s="5"/>
      <s:c r="E6" s="5"/>
      <s:c r="F6" s="25" t="s">
        <s:v>4</s:v>
      </s:c>
      <s:c r="G6" s="26"/>
      <s:c r="H6" s="26"/>
      <s:c r="I6" s="26"/>
      <s:c r="J6" s="26"/>
      <s:c r="K6" s="26"/>
      <s:c r="L6" s="26"/>
      <s:c r="M6" s="26"/>
      <s:c r="N6" s="26"/>
      <s:c r="O6" s="26"/>
      <s:c r="P6" s="26"/>
      <s:c r="Q6" s="27"/>
      <s:c r="R6" s="9"/>
      <s:c r="S6" s="22"/>
      <s:c r="T6" s="5"/>
      <s:c r="U6" s="5"/>
      <s:c r="V6" s="5"/>
      <s:c r="W6" s="28"/>
      <s:c r="X6" s="28"/>
      <s:c r="Y6" s="5"/>
      <s:c r="Z6" s="5"/>
      <s:c r="AA6" s="5"/>
      <s:c r="AB6" s="5"/>
    </s:row>
    <s:row r="7" ht="50.75" customHeight="1">
      <s:c r="B7" s="23"/>
      <s:c r="C7" s="5"/>
      <s:c r="D7" s="5"/>
      <s:c r="E7" s="5"/>
      <s:c r="F7" s="452" t="s">
        <s:v>5</s:v>
      </s:c>
      <s:c r="G7" s="452"/>
      <s:c r="H7" s="452"/>
      <s:c r="I7" s="401" t="s">
        <s:v>6</s:v>
      </s:c>
      <s:c r="J7" s="402" t="s">
        <s:v>7</s:v>
      </s:c>
      <s:c r="K7" s="403" t="s">
        <s:v>8</s:v>
      </s:c>
      <s:c r="L7" s="404" t="s">
        <s:v>9</s:v>
      </s:c>
      <s:c r="M7" s="404" t="s">
        <s:v>10</s:v>
      </s:c>
      <s:c r="N7" s="405" t="s">
        <s:v>11</s:v>
      </s:c>
      <s:c r="O7" s="36" t="s">
        <s:v>12</s:v>
      </s:c>
      <s:c r="P7" s="407" t="s">
        <s:v>13</s:v>
      </s:c>
      <s:c r="Q7" s="453"/>
      <s:c r="R7" s="22"/>
      <s:c r="S7" s="22"/>
      <s:c r="T7" s="28"/>
      <s:c r="U7" s="5"/>
      <s:c r="V7" s="5"/>
      <s:c r="W7" s="5"/>
      <s:c r="X7" s="5"/>
    </s:row>
    <s:row r="8" ht="15.75" customHeight="1">
      <s:c r="B8" s="23"/>
      <s:c r="C8" s="5"/>
      <s:c r="D8" s="5"/>
      <s:c r="E8" s="5"/>
      <s:c r="F8" s="59" t="s">
        <s:v>14</s:v>
      </s:c>
      <s:c r="G8" s="59"/>
      <s:c r="H8" s="59"/>
      <s:c r="I8" s="454">
        <s:f>Центрум!I8/График!AJ29*График!AJ24</s:f>
        <s:v>0</s:v>
      </s:c>
      <s:c r="J8" s="41">
        <s:f>D48</s:f>
        <s:v>132872</s:v>
      </s:c>
      <s:c r="K8" s="346" t="str">
        <s:f>IF(AND(I8&lt;&gt;"",I8&lt;&gt;0,J8&lt;&gt;""),J8/I8,"")</s:f>
        <s:v/>
      </s:c>
      <s:c r="L8" s="43">
        <s:f>IF(SUMIF($D$25:$D$47,"&gt;=0",$U$25:$U$47)&lt;&gt;0,I8*D48/SUMIF($D$25:$D$47,"&gt;=0",$U$25:$U$47),0)</s:f>
        <s:v>0</s:v>
      </s:c>
      <s:c r="M8" s="347" t="e">
        <s:f>L8/I8</s:f>
        <s:v>#DIV/0!</s:v>
      </s:c>
      <s:c r="N8" s="45" t="str">
        <s:f>IF(AND(J8&lt;&gt;0,J8&lt;&gt;"",I8&lt;&gt;0,I8&lt;&gt;""),L8-I8,"")</s:f>
        <s:v/>
      </s:c>
      <s:c r="O8" s="46"/>
      <s:c r="P8" s="47" t="str">
        <s:f>IF(AND(O8&lt;&gt;"",O8&lt;&gt;0,L8&lt;&gt;"",L8&lt;&gt;0),-O8+L8,"")</s:f>
        <s:v/>
      </s:c>
      <s:c r="Q8" s="48" t="str">
        <s:f>IF(AND(P8&lt;&gt;"",P8&lt;&gt;0,O8&lt;&gt;0,O8&lt;&gt;""),P8/O8,"")</s:f>
        <s:v/>
      </s:c>
      <s:c r="R8" s="22"/>
      <s:c r="S8" s="28"/>
      <s:c r="T8" s="28"/>
      <s:c r="U8" s="5"/>
      <s:c r="V8" s="5"/>
      <s:c r="W8" s="5"/>
      <s:c r="X8" s="5"/>
    </s:row>
    <s:row r="9" ht="15.75" customHeight="1">
      <s:c r="B9" s="23"/>
      <s:c r="C9" s="5"/>
      <s:c r="D9" s="5"/>
      <s:c r="E9" s="5"/>
      <s:c r="F9" s="49" t="s">
        <s:v>15</s:v>
      </s:c>
      <s:c r="G9" s="49"/>
      <s:c r="H9" s="49"/>
      <s:c r="I9" s="50">
        <s:f>I8/I11</s:f>
        <s:v>0</s:v>
      </s:c>
      <s:c r="J9" s="51">
        <s:f>E48</s:f>
        <s:v>13</s:v>
      </s:c>
      <s:c r="K9" s="348" t="str">
        <s:f>IF(AND(I9&lt;&gt;"",I9&lt;&gt;0,J9&lt;&gt;""),J9/I9,"")</s:f>
        <s:v/>
      </s:c>
      <s:c r="L9" s="79">
        <s:f>IF(SUMIF($E$25:$E$47,"&gt;=0",$V$25:$V$47)&lt;&gt;0,I9*E48/SUMIF($E$25:$E$47,"&gt;=0",$V$25:$V$47),0)</s:f>
        <s:v>0</s:v>
      </s:c>
      <s:c r="M9" s="349" t="str">
        <s:f>IF(AND(I9&lt;&gt;"",I9&lt;&gt;0,L9&lt;&gt;"",L9&lt;&gt;0),L9/I9,"")</s:f>
        <s:v/>
      </s:c>
      <s:c r="N9" s="55" t="str">
        <s:f>IF(AND(J9&lt;&gt;0,J9&lt;&gt;"",I9&lt;&gt;0,I9&lt;&gt;""),L9-I9,"")</s:f>
        <s:v/>
      </s:c>
      <s:c r="O9" s="56"/>
      <s:c r="P9" s="57" t="str">
        <s:f>IF(AND(O9&lt;&gt;"",O9&lt;&gt;0,L9&lt;&gt;"",L9&lt;&gt;0),-O9+L9,"")</s:f>
        <s:v/>
      </s:c>
      <s:c r="Q9" s="58" t="str">
        <s:f>IF(AND(P9&lt;&gt;"",P9&lt;&gt;0,O9&lt;&gt;0,O9&lt;&gt;""),P9/O9,"")</s:f>
        <s:v/>
      </s:c>
      <s:c r="R9" s="22"/>
      <s:c r="S9" s="28"/>
      <s:c r="T9" s="28"/>
      <s:c r="U9" s="5"/>
      <s:c r="V9" s="5"/>
      <s:c r="W9" s="5"/>
      <s:c r="X9" s="5"/>
    </s:row>
    <s:row r="10" ht="15.75" customHeight="1">
      <s:c r="B10" s="23"/>
      <s:c r="C10" s="5"/>
      <s:c r="D10" s="5"/>
      <s:c r="E10" s="5"/>
      <s:c r="F10" s="59" t="s">
        <s:v>16</s:v>
      </s:c>
      <s:c r="G10" s="59"/>
      <s:c r="H10" s="59"/>
      <s:c r="I10" s="60">
        <s:f>I11*I12</s:f>
        <s:v>11220</s:v>
      </s:c>
      <s:c r="J10" s="61">
        <s:f>H48</s:f>
        <s:v>16609</s:v>
      </s:c>
      <s:c r="K10" s="350">
        <s:f>IF(AND(I10&lt;&gt;"",I10&lt;&gt;0,J10&lt;&gt;""),J10/I10,"")</s:f>
        <s:v>1.4803030303030302</s:v>
      </s:c>
      <s:c r="L10" s="79">
        <s:f>J10</s:f>
        <s:v>16609</s:v>
      </s:c>
      <s:c r="M10" s="351">
        <s:f>IF(AND(I10&lt;&gt;"",I10&lt;&gt;0,L10&lt;&gt;"",L10&lt;&gt;0),L10/I10,"")</s:f>
        <s:v>1.4803030303030302</s:v>
      </s:c>
      <s:c r="N10" s="64">
        <s:f>IF(AND(J10&lt;&gt;0,J10&lt;&gt;"",I10&lt;&gt;0,I10&lt;&gt;""),L10-I10,"")</s:f>
        <s:v>5389</s:v>
      </s:c>
      <s:c r="O10" s="65">
        <s:f>O11*O12</s:f>
        <s:v>0</s:v>
      </s:c>
      <s:c r="P10" s="66" t="str">
        <s:f>IF(AND(O10&lt;&gt;"",O10&lt;&gt;0,L10&lt;&gt;"",L10&lt;&gt;0),-O10+L10,"")</s:f>
        <s:v/>
      </s:c>
      <s:c r="Q10" s="67" t="str">
        <s:f>IF(AND(P10&lt;&gt;"",P10&lt;&gt;0,O10&lt;&gt;0,O10&lt;&gt;""),P10/O10,"")</s:f>
        <s:v/>
      </s:c>
      <s:c r="R10" s="22"/>
      <s:c r="S10" s="28"/>
      <s:c r="T10" s="28"/>
      <s:c r="U10" s="5"/>
      <s:c r="V10" s="5"/>
      <s:c r="W10" s="5"/>
      <s:c r="X10" s="5"/>
    </s:row>
    <s:row r="11" ht="15.75" customHeight="1">
      <s:c r="B11" s="23"/>
      <s:c r="C11" s="5"/>
      <s:c r="D11" s="5"/>
      <s:c r="E11" s="5"/>
      <s:c r="F11" s="49" t="s">
        <s:v>17</s:v>
      </s:c>
      <s:c r="G11" s="49"/>
      <s:c r="H11" s="49"/>
      <s:c r="I11" s="68">
        <s:f>Центрум!I11</s:f>
        <s:v>6600</s:v>
      </s:c>
      <s:c r="J11" s="51">
        <s:f>F48</s:f>
        <s:v>10220.923076923076</s:v>
      </s:c>
      <s:c r="K11" s="348">
        <s:f>IF(AND(I11&lt;&gt;"",I11&lt;&gt;0,J11&lt;&gt;""),J11/I11,"")</s:f>
        <s:v>1.5486247086247085</s:v>
      </s:c>
      <s:c r="L11" s="79" t="str">
        <s:f>IF(L9&gt;0,L8/L9,"")</s:f>
        <s:v/>
      </s:c>
      <s:c r="M11" s="349" t="str">
        <s:f>IF(AND(I11&lt;&gt;"",I11&lt;&gt;0,L11&lt;&gt;"",L11&lt;&gt;0),L11/I11,"")</s:f>
        <s:v/>
      </s:c>
      <s:c r="N11" s="55" t="e">
        <s:f>IF(AND(J11&lt;&gt;0,J11&lt;&gt;"",I11&lt;&gt;0,I11&lt;&gt;""),L11-I11,"")</s:f>
        <s:v>#VALUE!</s:v>
      </s:c>
      <s:c r="O11" s="69"/>
      <s:c r="P11" s="57" t="str">
        <s:f>IF(AND(O11&lt;&gt;"",O11&lt;&gt;0,L11&lt;&gt;"",L11&lt;&gt;0),-O11+L11,"")</s:f>
        <s:v/>
      </s:c>
      <s:c r="Q11" s="58" t="str">
        <s:f>IF(AND(P11&lt;&gt;"",P11&lt;&gt;0,O11&lt;&gt;0,O11&lt;&gt;""),P11/O11,"")</s:f>
        <s:v/>
      </s:c>
      <s:c r="R11" s="22"/>
      <s:c r="S11" s="28"/>
      <s:c r="T11" s="5"/>
      <s:c r="U11" s="5"/>
      <s:c r="V11" s="5"/>
      <s:c r="W11" s="5"/>
      <s:c r="X11" s="5"/>
    </s:row>
    <s:row r="12" ht="15.75" customHeight="1">
      <s:c r="B12" s="23"/>
      <s:c r="C12" s="5"/>
      <s:c r="D12" s="5"/>
      <s:c r="E12" s="5"/>
      <s:c r="F12" s="49" t="s">
        <s:v>18</s:v>
      </s:c>
      <s:c r="G12" s="49"/>
      <s:c r="H12" s="49"/>
      <s:c r="I12" s="70">
        <s:f>'Центрум'!I12</s:f>
        <s:v>1.7</s:v>
      </s:c>
      <s:c r="J12" s="71">
        <s:f>J48</s:f>
        <s:v>1.625</s:v>
      </s:c>
      <s:c r="K12" s="348">
        <s:f>IF(AND(I12&lt;&gt;"",I12&lt;&gt;0,J12&lt;&gt;""),J12/I12,"")</s:f>
        <s:v>0.95588235294117652</s:v>
      </s:c>
      <s:c r="L12" s="455">
        <s:f>J12</s:f>
        <s:v>1.625</s:v>
      </s:c>
      <s:c r="M12" s="349">
        <s:f>IF(AND(I12&lt;&gt;"",I12&lt;&gt;0,L12&lt;&gt;"",L12&lt;&gt;0),L12/I12,"")</s:f>
        <s:v>0.95588235294117652</s:v>
      </s:c>
      <s:c r="N12" s="73">
        <s:f>IF(AND(J12&lt;&gt;0,J12&lt;&gt;"",I12&lt;&gt;0,I12&lt;&gt;""),L12-I12,"")</s:f>
        <s:v>-0.074999999999999956</s:v>
      </s:c>
      <s:c r="O12" s="74"/>
      <s:c r="P12" s="57" t="str">
        <s:f>IF(AND(O12&lt;&gt;"",O12&lt;&gt;0,L12&lt;&gt;"",L12&lt;&gt;0),-O12+L12,"")</s:f>
        <s:v/>
      </s:c>
      <s:c r="Q12" s="58" t="str">
        <s:f>IF(AND(P12&lt;&gt;"",P12&lt;&gt;0,O12&lt;&gt;0,O12&lt;&gt;""),P12/O12,"")</s:f>
        <s:v/>
      </s:c>
      <s:c r="R12" s="22"/>
      <s:c r="S12" s="28"/>
      <s:c r="T12" s="5"/>
      <s:c r="U12" s="5"/>
      <s:c r="V12" s="5"/>
      <s:c r="W12" s="5"/>
      <s:c r="X12" s="5"/>
    </s:row>
    <s:row r="13" ht="15.75" customHeight="1">
      <s:c r="B13" s="23"/>
      <s:c r="C13" s="5"/>
      <s:c r="D13" s="5"/>
      <s:c r="E13" s="5"/>
      <s:c r="F13" s="49" t="s">
        <s:v>19</s:v>
      </s:c>
      <s:c r="G13" s="49"/>
      <s:c r="H13" s="49"/>
      <s:c r="I13" s="50">
        <s:f>IF(I12&lt;&gt;0,I9/I12,"")</s:f>
        <s:v>0</s:v>
      </s:c>
      <s:c r="J13" s="51">
        <s:f>G48</s:f>
        <s:v>8</s:v>
      </s:c>
      <s:c r="K13" s="348" t="str">
        <s:f>IF(AND(I13&lt;&gt;"",I13&lt;&gt;0,J13&lt;&gt;""),J13/I13,"")</s:f>
        <s:v/>
      </s:c>
      <s:c r="L13" s="79" t="str">
        <s:f>IF(SUMIF($G$25:$G$47,"&gt;=0",$W$25:$W$47)&lt;&gt;0,I13*G48/SUMIF($G$25:$G$47,"&gt;=0",$W$25:$W$47),"")</s:f>
        <s:v/>
      </s:c>
      <s:c r="M13" s="349" t="str">
        <s:f>IF(AND(I13&lt;&gt;"",I13&lt;&gt;0,L13&lt;&gt;"",L13&lt;&gt;0),L13/I13,"")</s:f>
        <s:v/>
      </s:c>
      <s:c r="N13" s="73" t="str">
        <s:f>IF(AND(J13&lt;&gt;0,J13&lt;&gt;"",I13&lt;&gt;0,I13&lt;&gt;""),L13-I13,"")</s:f>
        <s:v/>
      </s:c>
      <s:c r="O13" s="75"/>
      <s:c r="P13" s="57" t="str">
        <s:f>IF(AND(O13&lt;&gt;"",O13&lt;&gt;0,L13&lt;&gt;"",L13&lt;&gt;0),-O13+L13,"")</s:f>
        <s:v/>
      </s:c>
      <s:c r="Q13" s="58" t="str">
        <s:f>IF(AND(P13&lt;&gt;"",P13&lt;&gt;0,O13&lt;&gt;0,O13&lt;&gt;""),P13/O13,"")</s:f>
        <s:v/>
      </s:c>
      <s:c r="R13" s="22"/>
      <s:c r="S13" s="28"/>
      <s:c r="T13" s="5"/>
      <s:c r="U13" s="5"/>
      <s:c r="V13" s="5"/>
      <s:c r="W13" s="5"/>
      <s:c r="X13" s="5"/>
    </s:row>
    <s:row r="14" ht="15.75" customHeight="1">
      <s:c r="B14" s="23"/>
      <s:c r="C14" s="5"/>
      <s:c r="D14" s="5"/>
      <s:c r="E14" s="5"/>
      <s:c r="F14" s="49" t="s">
        <s:v>98</s:v>
      </s:c>
      <s:c r="G14" s="49"/>
      <s:c r="H14" s="49"/>
      <s:c r="I14" s="68">
        <s:f>График!AI24</s:f>
        <s:v>0</s:v>
      </s:c>
      <s:c r="J14" s="76">
        <s:v>5</s:v>
      </s:c>
      <s:c r="K14" s="348" t="str">
        <s:f>IF(AND(I14&lt;&gt;"",I14&lt;&gt;0,J14&lt;&gt;""),J14/I14,"")</s:f>
        <s:v/>
      </s:c>
      <s:c r="L14" s="79" t="str">
        <s:f>IF(SUMIF($D$25:$D$47,"&gt;=0",$U$25:$U$47),I48*I8/SUMIF($D$25:$D$47,"&gt;=0",$U$25:$U$47),"")</s:f>
        <s:v/>
      </s:c>
      <s:c r="M14" s="349" t="str">
        <s:f>IF(AND(I14&lt;&gt;"",I14&lt;&gt;0,L14&lt;&gt;"",L14&lt;&gt;0),L14/I14,"")</s:f>
        <s:v/>
      </s:c>
      <s:c r="N14" s="55" t="str">
        <s:f>IF(AND(J14&lt;&gt;0,J14&lt;&gt;"",I14&lt;&gt;0,I14&lt;&gt;""),L14-I14,"")</s:f>
        <s:v/>
      </s:c>
      <s:c r="O14" s="75"/>
      <s:c r="P14" s="57" t="str">
        <s:f>IF(AND(O14&lt;&gt;"",O14&lt;&gt;0,L14&lt;&gt;"",L14&lt;&gt;0),-O14+L14,"")</s:f>
        <s:v/>
      </s:c>
      <s:c r="Q14" s="58" t="str">
        <s:f>IF(AND(P14&lt;&gt;"",P14&lt;&gt;0,O14&lt;&gt;0,O14&lt;&gt;""),P14/O14,"")</s:f>
        <s:v/>
      </s:c>
      <s:c r="R14" s="22"/>
      <s:c r="S14" s="28"/>
      <s:c r="T14" s="77"/>
      <s:c r="U14" s="5"/>
      <s:c r="V14" s="5"/>
      <s:c r="W14" s="5"/>
      <s:c r="X14" s="5"/>
    </s:row>
    <s:row r="15" ht="15.75" customHeight="1">
      <s:c r="B15" s="23"/>
      <s:c r="C15" s="5"/>
      <s:c r="D15" s="5"/>
      <s:c r="E15" s="5"/>
      <s:c r="F15" s="49" t="s">
        <s:v>21</s:v>
      </s:c>
      <s:c r="G15" s="49"/>
      <s:c r="H15" s="49"/>
      <s:c r="I15" s="352">
        <s:f>Центрум!I15</s:f>
        <s:v>61890.967741935485</s:v>
      </s:c>
      <s:c r="J15" s="85">
        <s:f>J8/J14</s:f>
        <s:v>26574.400000000001</s:v>
      </s:c>
      <s:c r="K15" s="353">
        <s:f>IF(AND(I15&lt;&gt;"",I15&lt;&gt;0,J15&lt;&gt;""),J15/I15,"")</s:f>
        <s:v>0.42937444621655152</s:v>
      </s:c>
      <s:c r="L15" s="86">
        <s:f>J15</s:f>
        <s:v>26574.400000000001</s:v>
      </s:c>
      <s:c r="M15" s="456">
        <s:f>IF(AND(I15&lt;&gt;"",I15&lt;&gt;0,L15&lt;&gt;"",L15&lt;&gt;0),L15/I15,"")</s:f>
        <s:v>0.42937444621655152</s:v>
      </s:c>
      <s:c r="N15" s="55">
        <s:f>IF(AND(J15&lt;&gt;0,J15&lt;&gt;"",I15&lt;&gt;0,I15&lt;&gt;""),L15-I15,"")</s:f>
        <s:v>-35316.567741935483</s:v>
      </s:c>
      <s:c r="O15" s="88"/>
      <s:c r="P15" s="57" t="str">
        <s:f>IF(AND(O15&lt;&gt;"",O15&lt;&gt;0,L15&lt;&gt;"",L15&lt;&gt;0),-O15+L15,"")</s:f>
        <s:v/>
      </s:c>
      <s:c r="Q15" s="58" t="str">
        <s:f>IF(AND(P15&lt;&gt;"",P15&lt;&gt;0,O15&lt;&gt;0,O15&lt;&gt;""),P15/O15,"")</s:f>
        <s:v/>
      </s:c>
      <s:c r="R15" s="22"/>
      <s:c r="S15" s="22"/>
      <s:c r="T15" s="28"/>
      <s:c r="U15" s="5"/>
      <s:c r="V15" s="5"/>
      <s:c r="W15" s="5"/>
      <s:c r="X15" s="5"/>
    </s:row>
    <s:row r="16" ht="15.75" customHeight="1">
      <s:c r="B16" s="23"/>
      <s:c r="C16" s="5"/>
      <s:c r="D16" s="5"/>
      <s:c r="E16" s="5"/>
      <s:c r="F16" s="49" t="s">
        <s:v>22</s:v>
      </s:c>
      <s:c r="G16" s="49"/>
      <s:c r="H16" s="49"/>
      <s:c r="I16" s="352"/>
      <s:c r="J16" s="85">
        <s:f>J8-I15*J14</s:f>
        <s:v>-176582.83870967745</s:v>
      </s:c>
      <s:c r="K16" s="353" t="str">
        <s:f>IF(AND(I16&lt;&gt;"",I16&lt;&gt;0,J16&lt;&gt;""),J16/I16,"")</s:f>
        <s:v/>
      </s:c>
      <s:c r="L16" s="86">
        <s:f>J16</s:f>
        <s:v>-176582.83870967745</s:v>
      </s:c>
      <s:c r="M16" s="354" t="str">
        <s:f>IF(AND(I16&lt;&gt;"",I16&lt;&gt;0,L16&lt;&gt;"",L16&lt;&gt;0),L16/I16,"")</s:f>
        <s:v/>
      </s:c>
      <s:c r="N16" s="55" t="str">
        <s:f>IF(AND(J16&lt;&gt;0,J16&lt;&gt;"",I16&lt;&gt;0,I16&lt;&gt;""),L16-I16,"")</s:f>
        <s:v/>
      </s:c>
      <s:c r="O16" s="88"/>
      <s:c r="P16" s="57" t="str">
        <s:f>IF(AND(O16&lt;&gt;"",O16&lt;&gt;0,L16&lt;&gt;"",L16&lt;&gt;0),-O16+L16,"")</s:f>
        <s:v/>
      </s:c>
      <s:c r="Q16" s="58" t="str">
        <s:f>IF(AND(P16&lt;&gt;"",P16&lt;&gt;0,O16&lt;&gt;0,O16&lt;&gt;""),P16/O16,"")</s:f>
        <s:v/>
      </s:c>
      <s:c r="R16" s="22"/>
      <s:c r="S16" s="28"/>
      <s:c r="T16" s="355" t="s">
        <s:v>23</s:v>
      </s:c>
      <s:c r="U16" s="5"/>
      <s:c r="V16" s="5"/>
      <s:c r="W16" s="5"/>
      <s:c r="X16" s="5"/>
    </s:row>
    <s:row r="17" ht="15.75" customHeight="1">
      <s:c r="B17" s="23"/>
      <s:c r="C17" s="5"/>
      <s:c r="D17" s="5"/>
      <s:c r="E17" s="5"/>
      <s:c r="F17" s="49" t="s">
        <s:v>24</s:v>
      </s:c>
      <s:c r="G17" s="49"/>
      <s:c r="H17" s="49"/>
      <s:c r="I17" s="352">
        <s:f>Центрум!I17/График!AJ29*График!AJ24</s:f>
        <s:v>0</s:v>
      </s:c>
      <s:c r="J17" s="85">
        <s:f>I48</s:f>
        <s:v>82.400000000000006</s:v>
      </s:c>
      <s:c r="K17" s="353" t="str">
        <s:f>IF(AND(I17&lt;&gt;"",I17&lt;&gt;0,J17&lt;&gt;""),J17/I17,"")</s:f>
        <s:v/>
      </s:c>
      <s:c r="L17" s="86">
        <s:f>J17/J14*I14</s:f>
        <s:v>0</s:v>
      </s:c>
      <s:c r="M17" s="354" t="str">
        <s:f>IF(AND(I17&lt;&gt;"",I17&lt;&gt;0,L17&lt;&gt;"",L17&lt;&gt;0),L17/I17,"")</s:f>
        <s:v/>
      </s:c>
      <s:c r="N17" s="55" t="str">
        <s:f>IF(AND(J17&lt;&gt;0,J17&lt;&gt;"",I17&lt;&gt;0,I17&lt;&gt;""),L17-I17,"")</s:f>
        <s:v/>
      </s:c>
      <s:c r="O17" s="88"/>
      <s:c r="P17" s="57" t="str">
        <s:f>IF(AND(O17&lt;&gt;"",O17&lt;&gt;0,L17&lt;&gt;"",L17&lt;&gt;0),-O17+L17,"")</s:f>
        <s:v/>
      </s:c>
      <s:c r="Q17" s="58" t="str">
        <s:f>IF(AND(P17&lt;&gt;"",P17&lt;&gt;0,O17&lt;&gt;0,O17&lt;&gt;""),P17/O17,"")</s:f>
        <s:v/>
      </s:c>
      <s:c r="R17" s="22"/>
      <s:c r="S17" s="28"/>
      <s:c r="T17" s="355"/>
      <s:c r="U17" s="5"/>
      <s:c r="V17" s="5"/>
      <s:c r="W17" s="5"/>
      <s:c r="X17" s="5"/>
    </s:row>
    <s:row r="18" ht="15.75" customHeight="1">
      <s:c r="B18" s="23"/>
      <s:c r="C18" s="5"/>
      <s:c r="D18" s="5"/>
      <s:c r="E18" s="5"/>
      <s:c r="F18" s="49"/>
      <s:c r="G18" s="49"/>
      <s:c r="H18" s="49"/>
      <s:c r="I18" s="84"/>
      <s:c r="J18" s="85"/>
      <s:c r="K18" s="353" t="str">
        <s:f>IF(AND(I18&lt;&gt;"",I18&lt;&gt;0,J18&lt;&gt;""),J18/I18,"")</s:f>
        <s:v/>
      </s:c>
      <s:c r="L18" s="86">
        <s:f>J18</s:f>
        <s:v>0</s:v>
      </s:c>
      <s:c r="M18" s="354" t="str">
        <s:f>IF(AND(I18&lt;&gt;"",I18&lt;&gt;0,L18&lt;&gt;"",L18&lt;&gt;0),L18/I18,"")</s:f>
        <s:v/>
      </s:c>
      <s:c r="N18" s="55" t="str">
        <s:f>IF(AND(J18&lt;&gt;0,J18&lt;&gt;"",I18&lt;&gt;0,I18&lt;&gt;""),L18-I18,"")</s:f>
        <s:v/>
      </s:c>
      <s:c r="O18" s="356">
        <s:v>0</s:v>
      </s:c>
      <s:c r="P18" s="57" t="str">
        <s:f>IF(AND(O18&lt;&gt;"",O18&lt;&gt;0,L18&lt;&gt;"",L18&lt;&gt;0),-O18+L18,"")</s:f>
        <s:v/>
      </s:c>
      <s:c r="Q18" s="58" t="str">
        <s:f>IF(AND(P18&lt;&gt;"",P18&lt;&gt;0,O18&lt;&gt;0,O18&lt;&gt;""),P18/O18,"")</s:f>
        <s:v/>
      </s:c>
      <s:c r="R18" s="22"/>
      <s:c r="S18" s="28"/>
      <s:c r="T18" s="83"/>
      <s:c r="U18" s="5"/>
      <s:c r="V18" s="5"/>
      <s:c r="W18" s="5"/>
      <s:c r="X18" s="5"/>
    </s:row>
    <s:row r="19" ht="15.75" customHeight="1">
      <s:c r="B19" s="23"/>
      <s:c r="C19" s="5"/>
      <s:c r="D19" s="5"/>
      <s:c r="E19" s="5"/>
      <s:c r="F19" s="49"/>
      <s:c r="G19" s="49"/>
      <s:c r="H19" s="49"/>
      <s:c r="I19" s="84"/>
      <s:c r="J19" s="85">
        <s:f>Q48</s:f>
        <s:v>0</s:v>
      </s:c>
      <s:c r="K19" s="353" t="str">
        <s:f>IF(AND(I19&lt;&gt;"",I19&lt;&gt;0,J19&lt;&gt;""),J19/I19,"")</s:f>
        <s:v/>
      </s:c>
      <s:c r="L19" s="86">
        <s:f>J19</s:f>
        <s:v>0</s:v>
      </s:c>
      <s:c r="M19" s="354" t="str">
        <s:f>IF(AND(I19&lt;&gt;"",I19&lt;&gt;0,L19&lt;&gt;"",L19&lt;&gt;0),L19/I19,"")</s:f>
        <s:v/>
      </s:c>
      <s:c r="N19" s="55" t="str">
        <s:f>IF(AND(J19&lt;&gt;0,J19&lt;&gt;"",I19&lt;&gt;0,I19&lt;&gt;""),L19-I19,"")</s:f>
        <s:v/>
      </s:c>
      <s:c r="O19" s="88">
        <s:v>0</s:v>
      </s:c>
      <s:c r="P19" s="57" t="str">
        <s:f>IF(AND(O19&lt;&gt;"",O19&lt;&gt;0,L19&lt;&gt;"",L19&lt;&gt;0),-O19+L19,"")</s:f>
        <s:v/>
      </s:c>
      <s:c r="Q19" s="58" t="str">
        <s:f>IF(AND(P19&lt;&gt;"",P19&lt;&gt;0,O19&lt;&gt;0,O19&lt;&gt;""),P19/O19,"")</s:f>
        <s:v/>
      </s:c>
      <s:c r="R19" s="22"/>
      <s:c r="S19" s="28"/>
      <s:c r="T19" s="52" t="e">
        <s:f>T18/I16</s:f>
        <s:v>#DIV/0!</s:v>
      </s:c>
      <s:c r="U19" s="5"/>
      <s:c r="V19" s="5"/>
      <s:c r="W19" s="5"/>
      <s:c r="X19" s="5"/>
    </s:row>
    <s:row r="20" ht="15.75" customHeight="1">
      <s:c r="B20" s="23"/>
      <s:c r="C20" s="5"/>
      <s:c r="D20" s="5"/>
      <s:c r="E20" s="5"/>
      <s:c r="F20" s="89" t="s">
        <s:v>102</s:v>
      </s:c>
      <s:c r="G20" s="89"/>
      <s:c r="H20" s="89"/>
      <s:c r="I20" s="357">
        <s:f>Центрум!I20</s:f>
        <s:v>0.089999999999999997</s:v>
      </s:c>
      <s:c r="J20" s="358">
        <s:f>S48</s:f>
        <s:v>0.097087378640776698</s:v>
      </s:c>
      <s:c r="K20" s="91">
        <s:f>J20/I20</s:f>
        <s:v>1.0787486515641855</s:v>
      </s:c>
      <s:c r="L20" s="92">
        <s:f>IF(AND(K8&lt;&gt;0,I14&lt;&gt;0,I48&lt;&gt;0),(I48*S48+(I48/K8-I48)*I20)/(I48/K8),0)</s:f>
        <s:v>0</s:v>
      </s:c>
      <s:c r="M20" s="359" t="str">
        <s:f>IF(AND(I20&lt;&gt;"",I20&lt;&gt;0,L20&lt;&gt;"",L20&lt;&gt;0),L20/I20,"")</s:f>
        <s:v/>
      </s:c>
      <s:c r="N20" s="94">
        <s:f>IF(AND(J20&lt;&gt;0,J20&lt;&gt;"",I20&lt;&gt;0,I20&lt;&gt;""),L20-I20,"")</s:f>
        <s:v>-0.089999999999999997</s:v>
      </s:c>
      <s:c r="O20" s="95"/>
      <s:c r="P20" s="96" t="str">
        <s:f>IF(AND(O20&lt;&gt;"",O20&lt;&gt;0,L20&lt;&gt;"",L20&lt;&gt;0),-O20+L20,"")</s:f>
        <s:v/>
      </s:c>
      <s:c r="Q20" s="97" t="str">
        <s:f>IF(AND(P20&lt;&gt;"",P20&lt;&gt;0,O20&lt;&gt;0,O20&lt;&gt;""),P20/O20,"")</s:f>
        <s:v/>
      </s:c>
      <s:c r="R20" s="22"/>
      <s:c r="S20" s="28"/>
      <s:c r="T20" s="28"/>
      <s:c r="U20" s="5"/>
      <s:c r="V20" s="5"/>
      <s:c r="W20" s="5"/>
      <s:c r="X20" s="5"/>
    </s:row>
    <s:row r="21" ht="15.75" customHeight="1">
      <s:c r="B21" s="23"/>
      <s:c r="C21" s="5"/>
      <s:c r="D21" s="5"/>
      <s:c r="E21" s="5"/>
      <s:c r="F21" s="5"/>
      <s:c r="G21" s="5"/>
      <s:c r="H21" s="5"/>
      <s:c r="I21" s="5"/>
      <s:c r="J21" s="5"/>
      <s:c r="K21" s="5"/>
      <s:c r="L21" s="5"/>
      <s:c r="M21" s="5"/>
      <s:c r="N21" s="5"/>
      <s:c r="O21" s="5"/>
      <s:c r="P21" s="5"/>
      <s:c r="Q21" s="5"/>
      <s:c r="R21" s="5"/>
      <s:c r="S21" s="5"/>
      <s:c r="T21" s="5"/>
      <s:c r="U21" s="5"/>
      <s:c r="V21" s="5"/>
      <s:c r="W21" s="28"/>
      <s:c r="X21" s="28"/>
      <s:c r="Y21" s="5"/>
      <s:c r="Z21" s="5"/>
      <s:c r="AA21" s="5"/>
      <s:c r="AB21" s="5"/>
    </s:row>
    <s:row r="22" ht="16.5" customHeight="1">
      <s:c r="B22" s="360" t="s">
        <s:v>26</s:v>
      </s:c>
      <s:c r="C22" s="360"/>
      <s:c r="D22" s="360"/>
      <s:c r="E22" s="360"/>
      <s:c r="F22" s="360"/>
      <s:c r="G22" s="360"/>
      <s:c r="H22" s="360"/>
      <s:c r="I22" s="360"/>
      <s:c r="J22" s="360"/>
      <s:c r="K22" s="360"/>
      <s:c r="L22" s="360"/>
      <s:c r="M22" s="360"/>
      <s:c r="N22" s="360"/>
      <s:c r="O22" s="360"/>
      <s:c r="P22" s="419"/>
      <s:c r="Q22" s="360"/>
      <s:c r="R22" s="360"/>
      <s:c r="S22" s="360"/>
      <s:c r="T22" s="361" t="s">
        <s:v>46</s:v>
      </s:c>
      <s:c r="U22" s="360" t="s">
        <s:v>27</s:v>
      </s:c>
      <s:c r="V22" s="360"/>
      <s:c r="W22" s="360"/>
      <s:c r="X22" s="360"/>
      <s:c r="Y22" s="360"/>
      <s:c r="Z22" s="360"/>
      <s:c r="AA22" s="360"/>
      <s:c r="AB22" s="360"/>
    </s:row>
    <s:row r="23" ht="42">
      <s:c r="B23" s="361" t="s">
        <s:v>29</s:v>
      </s:c>
      <s:c r="C23" s="361" t="s">
        <s:v>30</s:v>
      </s:c>
      <s:c r="D23" s="361" t="s">
        <s:v>31</s:v>
      </s:c>
      <s:c r="E23" s="361" t="s">
        <s:v>32</s:v>
      </s:c>
      <s:c r="F23" s="361" t="s">
        <s:v>33</s:v>
      </s:c>
      <s:c r="G23" s="361" t="s">
        <s:v>34</s:v>
      </s:c>
      <s:c r="H23" s="361" t="s">
        <s:v>35</s:v>
      </s:c>
      <s:c r="I23" s="361" t="s">
        <s:v>24</s:v>
      </s:c>
      <s:c r="J23" s="361" t="s">
        <s:v>36</s:v>
      </s:c>
      <s:c r="K23" s="362" t="s">
        <s:v>37</s:v>
      </s:c>
      <s:c r="L23" s="105" t="s">
        <s:v>38</s:v>
      </s:c>
      <s:c r="M23" s="362" t="s">
        <s:v>39</s:v>
      </s:c>
      <s:c r="N23" s="105" t="s">
        <s:v>40</s:v>
      </s:c>
      <s:c r="O23" s="362" t="s">
        <s:v>41</s:v>
      </s:c>
      <s:c r="P23" s="457" t="s">
        <s:v>42</s:v>
      </s:c>
      <s:c r="Q23" s="105" t="s">
        <s:v>43</s:v>
      </s:c>
      <s:c r="R23" s="105" t="s">
        <s:v>44</s:v>
      </s:c>
      <s:c r="S23" s="361" t="s">
        <s:v>45</s:v>
      </s:c>
      <s:c r="T23" s="361"/>
      <s:c r="U23" s="361" t="s">
        <s:v>47</s:v>
      </s:c>
      <s:c r="V23" s="361" t="s">
        <s:v>48</s:v>
      </s:c>
      <s:c r="W23" s="361" t="s">
        <s:v>49</s:v>
      </s:c>
      <s:c r="X23" s="361" t="s">
        <s:v>50</s:v>
      </s:c>
      <s:c r="Y23" s="361" t="s">
        <s:v>51</s:v>
      </s:c>
      <s:c r="Z23" s="361" t="s">
        <s:v>52</s:v>
      </s:c>
      <s:c r="AA23" s="363" t="s">
        <s:v>53</s:v>
      </s:c>
      <s:c r="AB23" s="363" t="s">
        <s:v>54</s:v>
      </s:c>
      <s:c r="AC23" s="214"/>
    </s:row>
    <s:row r="24">
      <s:c r="A24" s="364"/>
      <s:c r="B24" s="365">
        <s:v>1</s:v>
      </s:c>
      <s:c r="C24" s="367">
        <s:v>2</s:v>
      </s:c>
      <s:c r="D24" s="367">
        <s:v>3</s:v>
      </s:c>
      <s:c r="E24" s="367" t="s">
        <s:v>103</s:v>
      </s:c>
      <s:c r="F24" s="366">
        <s:v>5</s:v>
      </s:c>
      <s:c r="G24" s="367">
        <s:v>6</s:v>
      </s:c>
      <s:c r="H24" s="366">
        <s:v>7</s:v>
      </s:c>
      <s:c r="I24" s="367">
        <s:v>8</s:v>
      </s:c>
      <s:c r="J24" s="367">
        <s:v>9</s:v>
      </s:c>
      <s:c r="K24" s="112">
        <s:v>10</s:v>
      </s:c>
      <s:c r="L24" s="112">
        <s:v>11</s:v>
      </s:c>
      <s:c r="M24" s="112">
        <s:v>12</s:v>
      </s:c>
      <s:c r="N24" s="112">
        <s:v>13</s:v>
      </s:c>
      <s:c r="O24" s="113">
        <s:v>14</s:v>
      </s:c>
      <s:c r="P24" s="458">
        <s:v>15</s:v>
      </s:c>
      <s:c r="Q24" s="459">
        <s:v>16</s:v>
      </s:c>
      <s:c r="R24" s="113">
        <s:v>17</s:v>
      </s:c>
      <s:c r="S24" s="458">
        <s:v>18</s:v>
      </s:c>
      <s:c r="T24" s="361"/>
      <s:c r="U24" s="368">
        <s:v>1</s:v>
      </s:c>
      <s:c r="V24" s="368">
        <s:v>2</s:v>
      </s:c>
      <s:c r="W24" s="368">
        <s:v>3</s:v>
      </s:c>
      <s:c r="X24" s="368">
        <s:v>4</s:v>
      </s:c>
      <s:c r="Y24" s="368">
        <s:v>5</s:v>
      </s:c>
      <s:c r="Z24" s="368">
        <s:v>6</s:v>
      </s:c>
      <s:c r="AA24" s="368">
        <s:v>10</s:v>
      </s:c>
      <s:c r="AB24" s="368">
        <s:v>11</s:v>
      </s:c>
    </s:row>
    <s:row r="25">
      <s:c r="A25" s="173">
        <s:v>1</s:v>
      </s:c>
      <s:c r="B25" s="160">
        <s:v>46036</s:v>
      </s:c>
      <s:c r="C25" s="205" t="s">
        <s:v>65</s:v>
      </s:c>
      <s:c r="D25" s="371">
        <s:f>7220+11393</s:f>
        <s:v>18613</s:v>
      </s:c>
      <s:c r="E25" s="199">
        <s:v>2</s:v>
      </s:c>
      <s:c r="F25" s="164">
        <s:v>9306</s:v>
      </s:c>
      <s:c r="G25" s="199">
        <s:v>2</s:v>
      </s:c>
      <s:c r="H25" s="164">
        <s:v>9306</s:v>
      </s:c>
      <s:c r="I25" s="199">
        <s:v>30</s:v>
      </s:c>
      <s:c r="J25" s="165">
        <s:f>IF(AND(G25&lt;&gt;"",G25&lt;&gt;0),E25/G25,"")</s:f>
        <s:v>1</s:v>
      </s:c>
      <s:c r="K25" s="127">
        <s:v>7220</s:v>
      </s:c>
      <s:c r="L25" s="127"/>
      <s:c r="M25" s="127">
        <s:v>11393</s:v>
      </s:c>
      <s:c r="N25" s="127"/>
      <s:c r="O25" s="460"/>
      <s:c r="P25" s="461"/>
      <s:c r="Q25" s="127"/>
      <s:c r="R25" s="127"/>
      <s:c r="S25" s="167">
        <s:f>IF(AND(I25&lt;&gt;"",I25&lt;&gt;0),G25/I25,"")</s:f>
        <s:v>0.066666666666666666</s:v>
      </s:c>
      <s:c r="T25" s="168" t="e">
        <s:f>D25/U25</s:f>
        <s:v>#DIV/0!</s:v>
      </s:c>
      <s:c r="U25" s="169">
        <s:f>$I$8*AA25*AB25/SUMPRODUCT($AB$25:$AB$55,$AA$25:$AA$55)</s:f>
        <s:v>0</s:v>
      </s:c>
      <s:c r="V25" s="170">
        <s:f>$I$9*AA25*AB25/SUMPRODUCT($AB$25:$AB$55,$AA$25:$AA$55)</s:f>
        <s:v>0</s:v>
      </s:c>
      <s:c r="W25" s="170">
        <s:f>IF($I$12="","",V25/$I$12)</s:f>
        <s:v>0</s:v>
      </s:c>
      <s:c r="X25" s="169">
        <s:f>IF(AB25&lt;&gt;"",IF(D25&lt;&gt;"",D25,($I$8-SUM($X24:X$25))*AA25*AB25/SUMPRODUCT($AB25:$AB$55,$AA25:$AA$55)),"")</s:f>
        <s:v>18613</s:v>
      </s:c>
      <s:c r="Y25" s="170">
        <s:f>IF(AB25&lt;&gt;"",IF(E25&lt;&gt;"",E25,($I$9-SUM($Y24:Y$25))*AA25*AB25/SUMPRODUCT($AB25:$AB$55,$AA25:$AA$55)),"")</s:f>
        <s:v>2</s:v>
      </s:c>
      <s:c r="Z25" s="170">
        <s:f>IF(AB25&lt;&gt;"",IF($I$12&lt;&gt;"",IF(G25&lt;&gt;"",G25,($I$9/$I$12-SUM($Z24:Z$25))*AA25*AB25/SUMPRODUCT($AB25:$AB$55,$AA25:$AA$55)),""),"")</s:f>
        <s:v>2</s:v>
      </s:c>
      <s:c r="AA25" s="398">
        <s:v>1</s:v>
      </s:c>
      <s:c r="AB25" s="398">
        <s:v>1</s:v>
      </s:c>
      <s:c r="AC25" s="172"/>
      <s:c r="AD25" s="172"/>
      <s:c r="AE25" s="178"/>
      <s:c r="AF25" s="2"/>
      <s:c r="AG25" s="2"/>
      <s:c r="AH25" s="2"/>
      <s:c r="AI25" s="2"/>
      <s:c r="AJ25" s="2"/>
      <s:c r="AK25" s="2"/>
      <s:c r="AL25" s="2"/>
    </s:row>
    <s:row r="26" s="462" customFormat="1">
      <s:c r="A26" s="173">
        <s:v>2</s:v>
      </s:c>
      <s:c r="B26" s="160">
        <s:v>46037</s:v>
      </s:c>
      <s:c r="C26" s="161" t="s">
        <s:v>55</s:v>
      </s:c>
      <s:c r="D26" s="371">
        <s:v>63046</s:v>
      </s:c>
      <s:c r="E26" s="199">
        <s:v>6</s:v>
      </s:c>
      <s:c r="F26" s="198">
        <s:v>10508</s:v>
      </s:c>
      <s:c r="G26" s="199">
        <s:v>2</s:v>
      </s:c>
      <s:c r="H26" s="198">
        <s:v>31523</s:v>
      </s:c>
      <s:c r="I26" s="199">
        <s:v>17</s:v>
      </s:c>
      <s:c r="J26" s="165">
        <s:f>IF(AND(G26&lt;&gt;"",G26&lt;&gt;0),E26/G26,"")</s:f>
        <s:v>3</s:v>
      </s:c>
      <s:c r="K26" s="127"/>
      <s:c r="L26" s="127"/>
      <s:c r="M26" s="127"/>
      <s:c r="N26" s="127"/>
      <s:c r="O26" s="460"/>
      <s:c r="P26" s="461"/>
      <s:c r="Q26" s="127"/>
      <s:c r="R26" s="127">
        <s:v>38380</s:v>
      </s:c>
      <s:c r="S26" s="167">
        <s:f>IF(AND(I26&lt;&gt;"",I26&lt;&gt;0),G26/I26,"")</s:f>
        <s:v>0.11764705882352941</s:v>
      </s:c>
      <s:c r="T26" s="168" t="e">
        <s:f>D26/U26</s:f>
        <s:v>#DIV/0!</s:v>
      </s:c>
      <s:c r="U26" s="169">
        <s:f>$I$8*AA26*AB26/SUMPRODUCT($AB$25:$AB$55,$AA$25:$AA$55)</s:f>
        <s:v>0</s:v>
      </s:c>
      <s:c r="V26" s="170">
        <s:f>$I$9*AA26*AB26/SUMPRODUCT($AB$25:$AB$55,$AA$25:$AA$55)</s:f>
        <s:v>0</s:v>
      </s:c>
      <s:c r="W26" s="170">
        <s:f>IF($I$12="","",V26/$I$12)</s:f>
        <s:v>0</s:v>
      </s:c>
      <s:c r="X26" s="169">
        <s:f>IF(AB26&lt;&gt;"",IF(D26&lt;&gt;"",D26,($I$8-SUM($X$25:X25))*AA26*AB26/SUMPRODUCT($AB26:$AB$55,$AA26:$AA$55)),"")</s:f>
        <s:v>63046</s:v>
      </s:c>
      <s:c r="Y26" s="170">
        <s:f>IF(AB26&lt;&gt;"",IF(E26&lt;&gt;"",E26,($I$9-SUM($Y$25:Y25))*AA26*AB26/SUMPRODUCT($AB26:$AB$55,$AA26:$AA$55)),"")</s:f>
        <s:v>6</s:v>
      </s:c>
      <s:c r="Z26" s="170">
        <s:f>IF(AB26&lt;&gt;"",IF($I$12&lt;&gt;"",IF(G26&lt;&gt;"",G26,($I$9/$I$12-SUM($Z$25:Z25))*AA26*AB26/SUMPRODUCT($AB26:$AB$55,$AA26:$AA$55)),""),"")</s:f>
        <s:v>2</s:v>
      </s:c>
      <s:c r="AA26" s="398">
        <s:v>1</s:v>
      </s:c>
      <s:c r="AB26" s="398">
        <s:v>1</s:v>
      </s:c>
      <s:c r="AC26" s="172"/>
      <s:c r="AD26" s="172"/>
      <s:c r="AE26" s="2"/>
      <s:c r="AF26" s="2"/>
      <s:c r="AG26" s="2"/>
      <s:c r="AH26" s="2"/>
      <s:c r="AI26" s="2"/>
      <s:c r="AJ26" s="2"/>
      <s:c r="AK26" s="2"/>
      <s:c r="AL26" s="2"/>
      <s:c r="AM26" s="2"/>
      <s:c r="AN26" s="2"/>
      <s:c r="AO26" s="2"/>
      <s:c r="AP26" s="2"/>
      <s:c r="AQ26" s="2"/>
      <s:c r="AR26" s="2"/>
      <s:c r="AS26" s="2"/>
      <s:c r="AT26" s="2"/>
      <s:c r="AU26" s="2"/>
      <s:c r="AV26" s="2"/>
      <s:c r="AW26" s="2"/>
      <s:c r="AX26" s="2"/>
      <s:c r="AY26" s="2"/>
      <s:c r="AZ26" s="2"/>
      <s:c r="BA26" s="2"/>
      <s:c r="BB26" s="2"/>
      <s:c r="BC26" s="2"/>
      <s:c r="BD26" s="2"/>
      <s:c r="BE26" s="2"/>
      <s:c r="BF26" s="2"/>
      <s:c r="BG26" s="2"/>
      <s:c r="BH26" s="2"/>
      <s:c r="BI26" s="2"/>
      <s:c r="BJ26" s="2"/>
      <s:c r="BK26" s="2"/>
      <s:c r="BL26" s="2"/>
      <s:c r="BM26" s="2"/>
      <s:c r="BN26" s="2"/>
      <s:c r="BO26" s="2"/>
      <s:c r="BP26" s="2"/>
      <s:c r="BQ26" s="2"/>
      <s:c r="BR26" s="2"/>
      <s:c r="BS26" s="2"/>
      <s:c r="BT26" s="2"/>
      <s:c r="BU26" s="2"/>
      <s:c r="BV26" s="2"/>
      <s:c r="BW26" s="2"/>
      <s:c r="BX26" s="2"/>
      <s:c r="BY26" s="2"/>
      <s:c r="BZ26" s="2"/>
      <s:c r="CA26" s="2"/>
      <s:c r="CB26" s="2"/>
      <s:c r="CC26" s="2"/>
      <s:c r="CD26" s="2"/>
      <s:c r="CE26" s="2"/>
      <s:c r="CF26" s="2"/>
      <s:c r="CG26" s="2"/>
      <s:c r="CH26" s="2"/>
      <s:c r="CI26" s="2"/>
      <s:c r="CJ26" s="2"/>
      <s:c r="CK26" s="2"/>
      <s:c r="CL26" s="2"/>
      <s:c r="CM26" s="2"/>
      <s:c r="CN26" s="2"/>
      <s:c r="CO26" s="2"/>
      <s:c r="CP26" s="2"/>
      <s:c r="CQ26" s="2"/>
      <s:c r="CR26" s="2"/>
      <s:c r="CS26" s="2"/>
      <s:c r="CT26" s="2"/>
      <s:c r="CU26" s="2"/>
      <s:c r="CV26" s="2"/>
      <s:c r="CW26" s="2"/>
      <s:c r="CX26" s="2"/>
      <s:c r="CY26" s="2"/>
      <s:c r="CZ26" s="2"/>
      <s:c r="DA26" s="2"/>
      <s:c r="DB26" s="2"/>
      <s:c r="DC26" s="2"/>
      <s:c r="DD26" s="2"/>
      <s:c r="DE26" s="2"/>
      <s:c r="DF26" s="2"/>
      <s:c r="DG26" s="2"/>
      <s:c r="DH26" s="2"/>
      <s:c r="DI26" s="2"/>
      <s:c r="DJ26" s="2"/>
      <s:c r="DK26" s="2"/>
      <s:c r="DL26" s="2"/>
      <s:c r="DM26" s="2"/>
      <s:c r="DN26" s="2"/>
      <s:c r="DO26" s="2"/>
      <s:c r="DP26" s="2"/>
      <s:c r="DQ26" s="2"/>
      <s:c r="DR26" s="2"/>
      <s:c r="DS26" s="2"/>
      <s:c r="DT26" s="2"/>
      <s:c r="DU26" s="2"/>
      <s:c r="DV26" s="2"/>
      <s:c r="DW26" s="2"/>
      <s:c r="DX26" s="2"/>
      <s:c r="DY26" s="2"/>
      <s:c r="DZ26" s="2"/>
      <s:c r="EA26" s="2"/>
      <s:c r="EB26" s="2"/>
      <s:c r="EC26" s="2"/>
      <s:c r="ED26" s="2"/>
      <s:c r="EE26" s="2"/>
      <s:c r="EF26" s="2"/>
      <s:c r="EG26" s="2"/>
      <s:c r="EH26" s="2"/>
      <s:c r="EI26" s="2"/>
      <s:c r="EJ26" s="2"/>
      <s:c r="EK26" s="2"/>
      <s:c r="EL26" s="2"/>
      <s:c r="EM26" s="2"/>
      <s:c r="EN26" s="2"/>
      <s:c r="EO26" s="2"/>
      <s:c r="EP26" s="2"/>
      <s:c r="EQ26" s="2"/>
      <s:c r="ER26" s="2"/>
      <s:c r="ES26" s="2"/>
      <s:c r="ET26" s="2"/>
      <s:c r="EU26" s="2"/>
      <s:c r="EV26" s="2"/>
      <s:c r="EW26" s="2"/>
      <s:c r="EX26" s="2"/>
      <s:c r="EY26" s="2"/>
      <s:c r="EZ26" s="2"/>
      <s:c r="FA26" s="2"/>
      <s:c r="FB26" s="2"/>
      <s:c r="FC26" s="2"/>
      <s:c r="FD26" s="2"/>
      <s:c r="FE26" s="2"/>
      <s:c r="FF26" s="2"/>
      <s:c r="FG26" s="2"/>
      <s:c r="FH26" s="2"/>
      <s:c r="FI26" s="2"/>
      <s:c r="FJ26" s="2"/>
      <s:c r="FK26" s="2"/>
      <s:c r="FL26" s="2"/>
      <s:c r="FM26" s="2"/>
      <s:c r="FN26" s="2"/>
      <s:c r="FO26" s="2"/>
      <s:c r="FP26" s="2"/>
      <s:c r="FQ26" s="2"/>
      <s:c r="FR26" s="2"/>
      <s:c r="FS26" s="2"/>
      <s:c r="FT26" s="2"/>
      <s:c r="FU26" s="2"/>
      <s:c r="FV26" s="2"/>
      <s:c r="FW26" s="2"/>
      <s:c r="FX26" s="2"/>
      <s:c r="FY26" s="2"/>
      <s:c r="FZ26" s="2"/>
      <s:c r="GA26" s="2"/>
      <s:c r="GB26" s="2"/>
      <s:c r="GC26" s="2"/>
      <s:c r="GD26" s="2"/>
      <s:c r="GE26" s="2"/>
      <s:c r="GF26" s="2"/>
      <s:c r="GG26" s="2"/>
      <s:c r="GH26" s="2"/>
      <s:c r="GI26" s="2"/>
      <s:c r="GJ26" s="2"/>
      <s:c r="GK26" s="2"/>
      <s:c r="GL26" s="2"/>
      <s:c r="GM26" s="2"/>
      <s:c r="GN26" s="2"/>
      <s:c r="GO26" s="2"/>
      <s:c r="GP26" s="2"/>
      <s:c r="GQ26" s="2"/>
      <s:c r="GR26" s="2"/>
      <s:c r="GS26" s="2"/>
      <s:c r="GT26" s="2"/>
      <s:c r="GU26" s="2"/>
      <s:c r="GV26" s="2"/>
      <s:c r="GW26" s="2"/>
      <s:c r="GX26" s="2"/>
      <s:c r="GY26" s="2"/>
      <s:c r="GZ26" s="2"/>
      <s:c r="HA26" s="2"/>
      <s:c r="HB26" s="2"/>
      <s:c r="HC26" s="2"/>
      <s:c r="HD26" s="2"/>
      <s:c r="HE26" s="2"/>
      <s:c r="HF26" s="2"/>
      <s:c r="HG26" s="2"/>
      <s:c r="HH26" s="2"/>
      <s:c r="HI26" s="2"/>
      <s:c r="HJ26" s="2"/>
      <s:c r="HK26" s="2"/>
      <s:c r="HL26" s="2"/>
      <s:c r="HM26" s="2"/>
      <s:c r="HN26" s="2"/>
      <s:c r="HO26" s="2"/>
      <s:c r="HP26" s="2"/>
      <s:c r="HQ26" s="2"/>
      <s:c r="HR26" s="2"/>
      <s:c r="HS26" s="2"/>
      <s:c r="HT26" s="2"/>
      <s:c r="HU26" s="2"/>
      <s:c r="HV26" s="2"/>
      <s:c r="HW26" s="2"/>
      <s:c r="HX26" s="2"/>
      <s:c r="HY26" s="2"/>
      <s:c r="HZ26" s="2"/>
      <s:c r="IA26" s="2"/>
      <s:c r="IB26" s="2"/>
      <s:c r="IC26" s="2"/>
      <s:c r="ID26" s="2"/>
      <s:c r="IE26" s="2"/>
      <s:c r="IF26" s="2"/>
      <s:c r="IG26" s="2"/>
      <s:c r="IH26" s="2"/>
      <s:c r="II26" s="2"/>
      <s:c r="IJ26" s="2"/>
      <s:c r="IK26" s="2"/>
      <s:c r="IL26" s="2"/>
      <s:c r="IM26" s="2"/>
      <s:c r="IN26" s="2"/>
      <s:c r="IO26" s="2"/>
      <s:c r="IP26" s="2"/>
      <s:c r="IQ26" s="2"/>
      <s:c r="IR26" s="2"/>
      <s:c r="IS26" s="2"/>
      <s:c r="IT26" s="2"/>
      <s:c r="IU26" s="2"/>
      <s:c r="IV26" s="2"/>
      <s:c r="IW26" s="2"/>
      <s:c r="IX26" s="2"/>
      <s:c r="IY26" s="2"/>
      <s:c r="IZ26" s="2"/>
    </s:row>
    <s:row r="27">
      <s:c r="A27" s="173">
        <s:v>3</s:v>
      </s:c>
      <s:c r="B27" s="160">
        <s:v>46038</s:v>
      </s:c>
      <s:c r="C27" s="161" t="s">
        <s:v>57</s:v>
      </s:c>
      <s:c r="D27" s="371">
        <s:v>0</s:v>
      </s:c>
      <s:c r="E27" s="199">
        <s:v>0</s:v>
      </s:c>
      <s:c r="F27" s="164"/>
      <s:c r="G27" s="199">
        <s:v>0</s:v>
      </s:c>
      <s:c r="H27" s="164"/>
      <s:c r="I27" s="199">
        <s:v>12</s:v>
      </s:c>
      <s:c r="J27" s="165" t="str">
        <s:f>IF(AND(G27&lt;&gt;"",G27&lt;&gt;0),E27/G27,"")</s:f>
        <s:v/>
      </s:c>
      <s:c r="K27" s="127"/>
      <s:c r="L27" s="127"/>
      <s:c r="M27" s="127"/>
      <s:c r="N27" s="127"/>
      <s:c r="O27" s="460"/>
      <s:c r="P27" s="461"/>
      <s:c r="Q27" s="127"/>
      <s:c r="R27" s="127"/>
      <s:c r="S27" s="167">
        <s:f>IF(AND(I27&lt;&gt;"",I27&lt;&gt;0),G27/I27,"")</s:f>
        <s:v>0</s:v>
      </s:c>
      <s:c r="T27" s="168" t="e">
        <s:f>D27/U27</s:f>
        <s:v>#DIV/0!</s:v>
      </s:c>
      <s:c r="U27" s="169">
        <s:f>$I$8*AA27*AB27/SUMPRODUCT($AB$25:$AB$55,$AA$25:$AA$55)</s:f>
        <s:v>0</s:v>
      </s:c>
      <s:c r="V27" s="170">
        <s:f>$I$9*AA27*AB27/SUMPRODUCT($AB$25:$AB$55,$AA$25:$AA$55)</s:f>
        <s:v>0</s:v>
      </s:c>
      <s:c r="W27" s="170">
        <s:f>IF($I$12="","",V27/$I$12)</s:f>
        <s:v>0</s:v>
      </s:c>
      <s:c r="X27" s="169">
        <s:f>IF(AB27&lt;&gt;"",IF(D27&lt;&gt;"",D27,($I$8-SUM($X$25:X26))*AA27*AB27/SUMPRODUCT($AB27:$AB$55,$AA27:$AA$55)),"")</s:f>
        <s:v>0</s:v>
      </s:c>
      <s:c r="Y27" s="170">
        <s:f>IF(AB27&lt;&gt;"",IF(E27&lt;&gt;"",E27,($I$9-SUM($Y$25:Y26))*AA27*AB27/SUMPRODUCT($AB27:$AB$55,$AA27:$AA$55)),"")</s:f>
        <s:v>0</s:v>
      </s:c>
      <s:c r="Z27" s="170">
        <s:f>IF(AB27&lt;&gt;"",IF($I$12&lt;&gt;"",IF(G27&lt;&gt;"",G27,($I$9/$I$12-SUM($Z$25:Z26))*AA27*AB27/SUMPRODUCT($AB27:$AB$55,$AA27:$AA$55)),""),"")</s:f>
        <s:v>0</s:v>
      </s:c>
      <s:c r="AA27" s="398">
        <s:v>1</s:v>
      </s:c>
      <s:c r="AB27" s="398">
        <s:v>1</s:v>
      </s:c>
      <s:c r="AC27" s="172"/>
      <s:c r="AD27" s="172"/>
      <s:c r="AE27" s="2"/>
      <s:c r="AF27" s="2"/>
      <s:c r="AG27" s="2"/>
      <s:c r="AH27" s="2"/>
      <s:c r="AI27" s="2"/>
      <s:c r="AJ27" s="2"/>
      <s:c r="AK27" s="2"/>
      <s:c r="AL27" s="2"/>
    </s:row>
    <s:row r="28">
      <s:c r="A28" s="159">
        <s:v>4</s:v>
      </s:c>
      <s:c r="B28" s="160">
        <s:v>46039</s:v>
      </s:c>
      <s:c r="C28" s="205" t="s">
        <s:v>58</s:v>
      </s:c>
      <s:c r="D28" s="371">
        <s:f>23406+4805</s:f>
        <s:v>28211</s:v>
      </s:c>
      <s:c r="E28" s="199">
        <s:v>3</s:v>
      </s:c>
      <s:c r="F28" s="198">
        <s:v>9342</s:v>
      </s:c>
      <s:c r="G28" s="199">
        <s:v>2</s:v>
      </s:c>
      <s:c r="H28" s="198">
        <s:v>14013</s:v>
      </s:c>
      <s:c r="I28" s="199">
        <s:v>19</s:v>
      </s:c>
      <s:c r="J28" s="165">
        <s:f>IF(AND(G28&lt;&gt;"",G28&lt;&gt;0),E28/G28,"")</s:f>
        <s:v>1.5</s:v>
      </s:c>
      <s:c r="K28" s="164"/>
      <s:c r="L28" s="164"/>
      <s:c r="M28" s="164"/>
      <s:c r="N28" s="164"/>
      <s:c r="O28" s="463"/>
      <s:c r="P28" s="464"/>
      <s:c r="Q28" s="166"/>
      <s:c r="R28" s="127">
        <s:v>23406</s:v>
      </s:c>
      <s:c r="S28" s="167">
        <s:f>IF(AND(I28&lt;&gt;"",I28&lt;&gt;0),G28/I28,"")</s:f>
        <s:v>0.10526315789473684</s:v>
      </s:c>
      <s:c r="T28" s="168" t="e">
        <s:f>D28/U28</s:f>
        <s:v>#DIV/0!</s:v>
      </s:c>
      <s:c r="U28" s="169">
        <s:f>$I$8*AA28*AB28/SUMPRODUCT($AB$25:$AB$55,$AA$25:$AA$55)</s:f>
        <s:v>0</s:v>
      </s:c>
      <s:c r="V28" s="170">
        <s:f>$I$9*AA28*AB28/SUMPRODUCT($AB$25:$AB$55,$AA$25:$AA$55)</s:f>
        <s:v>0</s:v>
      </s:c>
      <s:c r="W28" s="170">
        <s:f>IF($I$12="","",V28/$I$12)</s:f>
        <s:v>0</s:v>
      </s:c>
      <s:c r="X28" s="169">
        <s:f>IF(AB28&lt;&gt;"",IF(D28&lt;&gt;"",D28,($I$8-SUM($X$25:X27))*AA28*AB28/SUMPRODUCT($AB28:$AB$55,$AA28:$AA$55)),"")</s:f>
        <s:v>28211</s:v>
      </s:c>
      <s:c r="Y28" s="170">
        <s:f>IF(AB28&lt;&gt;"",IF(E27&lt;&gt;"",E27,($I$9-SUM($Y$25:Y27))*AA28*AB28/SUMPRODUCT($AB28:$AB$55,$AA28:$AA$55)),"")</s:f>
        <s:v>0</s:v>
      </s:c>
      <s:c r="Z28" s="170">
        <s:f>IF(AB28&lt;&gt;"",IF($I$12&lt;&gt;"",IF(G28&lt;&gt;"",G28,($I$9/$I$12-SUM($Z$25:Z27))*AA28*AB28/SUMPRODUCT($AB28:$AB$55,$AA28:$AA$55)),""),"")</s:f>
        <s:v>2</s:v>
      </s:c>
      <s:c r="AA28" s="398">
        <s:v>1</s:v>
      </s:c>
      <s:c r="AB28" s="398">
        <s:v>1</s:v>
      </s:c>
      <s:c r="AC28" s="172"/>
      <s:c r="AD28" s="172"/>
      <s:c r="AE28" s="2"/>
      <s:c r="AF28" s="2"/>
      <s:c r="AG28" s="2"/>
      <s:c r="AH28" s="2"/>
      <s:c r="AI28" s="2"/>
      <s:c r="AJ28" s="2"/>
      <s:c r="AK28" s="2"/>
      <s:c r="AL28" s="2"/>
    </s:row>
    <s:row r="29">
      <s:c r="A29" s="173">
        <s:v>5</s:v>
      </s:c>
      <s:c r="B29" s="160">
        <s:v>46040</s:v>
      </s:c>
      <s:c r="C29" s="161" t="s">
        <s:v>59</s:v>
      </s:c>
      <s:c r="D29" s="371"/>
      <s:c r="E29" s="199"/>
      <s:c r="F29" s="164"/>
      <s:c r="G29" s="199"/>
      <s:c r="H29" s="164"/>
      <s:c r="I29" s="199">
        <s:v>24</s:v>
      </s:c>
      <s:c r="J29" s="165" t="str">
        <s:f>IF(AND(G29&lt;&gt;"",G29&lt;&gt;0),E29/G29,"")</s:f>
        <s:v/>
      </s:c>
      <s:c r="K29" s="127"/>
      <s:c r="L29" s="127"/>
      <s:c r="M29" s="127"/>
      <s:c r="N29" s="127"/>
      <s:c r="O29" s="460"/>
      <s:c r="P29" s="461"/>
      <s:c r="Q29" s="127"/>
      <s:c r="R29" s="127"/>
      <s:c r="S29" s="167">
        <s:f>IF(AND(I29&lt;&gt;"",I29&lt;&gt;0),G29/I29,"")</s:f>
        <s:v>0</s:v>
      </s:c>
      <s:c r="T29" s="168" t="e">
        <s:f>D29/U29</s:f>
        <s:v>#DIV/0!</s:v>
      </s:c>
      <s:c r="U29" s="169">
        <s:f>$I$8*AA29*AB29/SUMPRODUCT($AB$25:$AB$55,$AA$25:$AA$55)</s:f>
        <s:v>0</s:v>
      </s:c>
      <s:c r="V29" s="170">
        <s:f>$I$9*AA29*AB29/SUMPRODUCT($AB$25:$AB$55,$AA$25:$AA$55)</s:f>
        <s:v>0</s:v>
      </s:c>
      <s:c r="W29" s="170">
        <s:f>IF($I$12="","",V29/$I$12)</s:f>
        <s:v>0</s:v>
      </s:c>
      <s:c r="X29" s="169">
        <s:f>IF(AB29&lt;&gt;"",IF(D29&lt;&gt;"",D29,($I$8-SUM($X$25:X28))*AA29*AB29/SUMPRODUCT($AB29:$AB$55,$AA29:$AA$55)),"")</s:f>
        <s:v>-109870</s:v>
      </s:c>
      <s:c r="Y29" s="170">
        <s:f>IF(AB29&lt;&gt;"",IF(E29&lt;&gt;"",E29,($I$9-SUM($Y$25:Y28))*AA29*AB29/SUMPRODUCT($AB29:$AB$55,$AA29:$AA$55)),"")</s:f>
        <s:v>-8</s:v>
      </s:c>
      <s:c r="Z29" s="170">
        <s:f>IF(AB29&lt;&gt;"",IF($I$12&lt;&gt;"",IF(G29&lt;&gt;"",G29,($I$9/$I$12-SUM($Z$25:Z28))*AA29*AB29/SUMPRODUCT($AB29:$AB$55,$AA29:$AA$55)),""),"")</s:f>
        <s:v>-6</s:v>
      </s:c>
      <s:c r="AA29" s="398">
        <s:v>1</s:v>
      </s:c>
      <s:c r="AB29" s="398">
        <s:v>1</s:v>
      </s:c>
      <s:c r="AC29" s="172"/>
      <s:c r="AD29" s="172"/>
      <s:c r="AE29" s="2"/>
      <s:c r="AF29" s="2"/>
      <s:c r="AG29" s="2"/>
      <s:c r="AH29" s="2"/>
      <s:c r="AI29" s="2"/>
      <s:c r="AJ29" s="2"/>
      <s:c r="AK29" s="2"/>
      <s:c r="AL29" s="2"/>
    </s:row>
    <s:row r="30">
      <s:c r="A30" s="173"/>
      <s:c r="B30" s="160"/>
      <s:c r="C30" s="205"/>
      <s:c r="D30" s="371"/>
      <s:c r="E30" s="199"/>
      <s:c r="F30" s="198"/>
      <s:c r="G30" s="199"/>
      <s:c r="H30" s="198"/>
      <s:c r="I30" s="199"/>
      <s:c r="J30" s="165" t="str">
        <s:f>IF(AND(G30&lt;&gt;"",G30&lt;&gt;0),E30/G30,"")</s:f>
        <s:v/>
      </s:c>
      <s:c r="K30" s="127"/>
      <s:c r="L30" s="127"/>
      <s:c r="M30" s="127"/>
      <s:c r="N30" s="127"/>
      <s:c r="O30" s="198"/>
      <s:c r="P30" s="465"/>
      <s:c r="Q30" s="127"/>
      <s:c r="R30" s="127"/>
      <s:c r="S30" s="167" t="str">
        <s:f>IF(AND(I30&lt;&gt;"",I30&lt;&gt;0),G30/I30,"")</s:f>
        <s:v/>
      </s:c>
      <s:c r="T30" s="168" t="e">
        <s:f>D30/U30</s:f>
        <s:v>#DIV/0!</s:v>
      </s:c>
      <s:c r="U30" s="169">
        <s:f>$I$8*AA30*AB30/SUMPRODUCT($AB$25:$AB$55,$AA$25:$AA$55)</s:f>
        <s:v>0</s:v>
      </s:c>
      <s:c r="V30" s="170">
        <s:f>$I$9*AA30*AB30/SUMPRODUCT($AB$25:$AB$55,$AA$25:$AA$55)</s:f>
        <s:v>0</s:v>
      </s:c>
      <s:c r="W30" s="170">
        <s:f>IF($I$12="","",V30/$I$12)</s:f>
        <s:v>0</s:v>
      </s:c>
      <s:c r="X30" s="169" t="str">
        <s:f>IF(AB30&lt;&gt;"",IF(D30&lt;&gt;"",D30,($I$8-SUM($X$25:X29))*AA30*AB30/SUMPRODUCT($AB30:$AB$55,$AA30:$AA$55)),"")</s:f>
        <s:v/>
      </s:c>
      <s:c r="Y30" s="170" t="str">
        <s:f>IF(AB30&lt;&gt;"",IF(E30&lt;&gt;"",E30,($I$9-SUM($Y$25:Y29))*AA30*AB30/SUMPRODUCT($AB30:$AB$55,$AA30:$AA$55)),"")</s:f>
        <s:v/>
      </s:c>
      <s:c r="Z30" s="170" t="str">
        <s:f>IF(AB30&lt;&gt;"",IF($I$12&lt;&gt;"",IF(G30&lt;&gt;"",G30,($I$9/$I$12-SUM($Z$25:Z29))*AA30*AB30/SUMPRODUCT($AB30:$AB$55,$AA30:$AA$55)),""),"")</s:f>
        <s:v/>
      </s:c>
      <s:c r="AA30" s="398"/>
      <s:c r="AB30" s="398"/>
      <s:c r="AC30" s="172"/>
      <s:c r="AD30" s="172"/>
      <s:c r="AE30" s="178"/>
      <s:c r="AF30" s="2"/>
      <s:c r="AG30" s="2"/>
      <s:c r="AH30" s="2"/>
      <s:c r="AI30" s="2"/>
      <s:c r="AJ30" s="2"/>
      <s:c r="AK30" s="2"/>
      <s:c r="AL30" s="2"/>
    </s:row>
    <s:row r="31">
      <s:c r="A31" s="466"/>
      <s:c r="B31" s="467"/>
      <s:c r="C31" s="423"/>
      <s:c r="D31" s="375"/>
      <s:c r="E31" s="374"/>
      <s:c r="F31" s="376"/>
      <s:c r="G31" s="374"/>
      <s:c r="H31" s="376"/>
      <s:c r="I31" s="374"/>
      <s:c r="J31" s="375" t="str">
        <s:f>IF(AND(G31&lt;&gt;"",G31&lt;&gt;0),E31/G31,"")</s:f>
        <s:v/>
      </s:c>
      <s:c r="K31" s="421"/>
      <s:c r="L31" s="421"/>
      <s:c r="M31" s="421"/>
      <s:c r="N31" s="198"/>
      <s:c r="O31" s="468"/>
      <s:c r="P31" s="468"/>
      <s:c r="Q31" s="421"/>
      <s:c r="R31" s="127"/>
      <s:c r="S31" s="469" t="str">
        <s:f>IF(AND(I31&lt;&gt;"",I31&lt;&gt;0),G31/I31,"")</s:f>
        <s:v/>
      </s:c>
      <s:c r="T31" s="470" t="e">
        <s:f>D31/U31</s:f>
        <s:v>#DIV/0!</s:v>
      </s:c>
      <s:c r="U31" s="471">
        <s:f>$I$8*AA31*AB31/SUMPRODUCT($AB$25:$AB$55,$AA$25:$AA$55)</s:f>
        <s:v>0</s:v>
      </s:c>
      <s:c r="V31" s="472">
        <s:f>$I$9*AA31*AB31/SUMPRODUCT($AB$25:$AB$55,$AA$25:$AA$55)</s:f>
        <s:v>0</s:v>
      </s:c>
      <s:c r="W31" s="472">
        <s:f>IF($I$12="","",V31/$I$12)</s:f>
        <s:v>0</s:v>
      </s:c>
      <s:c r="X31" s="471" t="str">
        <s:f>IF(AB31&lt;&gt;"",IF(D31&lt;&gt;"",D31,($I$8-SUM($X$25:X30))*AA31*AB31/SUMPRODUCT($AB31:$AB$55,$AA31:$AA$55)),"")</s:f>
        <s:v/>
      </s:c>
      <s:c r="Y31" s="472" t="str">
        <s:f>IF(AB31&lt;&gt;"",IF(E31&lt;&gt;"",E31,($I$9-SUM($Y$25:Y30))*AA31*AB31/SUMPRODUCT($AB31:$AB$55,$AA31:$AA$55)),"")</s:f>
        <s:v/>
      </s:c>
      <s:c r="Z31" s="472" t="str">
        <s:f>IF(AB31&lt;&gt;"",IF($I$12&lt;&gt;"",IF(G31&lt;&gt;"",G31,($I$9/$I$12-SUM($Z$25:Z30))*AA31*AB31/SUMPRODUCT($AB31:$AB$55,$AA31:$AA$55)),""),"")</s:f>
        <s:v/>
      </s:c>
      <s:c r="AA31" s="473"/>
      <s:c r="AB31" s="473"/>
      <s:c r="AC31" s="172"/>
      <s:c r="AD31" s="172"/>
      <s:c r="AE31" s="178"/>
      <s:c r="AF31" s="2"/>
      <s:c r="AG31" s="2"/>
      <s:c r="AH31" s="2"/>
      <s:c r="AI31" s="2"/>
      <s:c r="AJ31" s="2"/>
      <s:c r="AK31" s="2"/>
      <s:c r="AL31" s="2"/>
    </s:row>
    <s:row r="32">
      <s:c r="A32" s="159"/>
      <s:c r="B32" s="160"/>
      <s:c r="C32" s="161"/>
      <s:c r="D32" s="165"/>
      <s:c r="E32" s="164"/>
      <s:c r="F32" s="164"/>
      <s:c r="G32" s="164"/>
      <s:c r="H32" s="164"/>
      <s:c r="I32" s="164"/>
      <s:c r="J32" s="165" t="str">
        <s:f>IF(AND(G32&lt;&gt;"",G32&lt;&gt;0),E32/G32,"")</s:f>
        <s:v/>
      </s:c>
      <s:c r="K32" s="164"/>
      <s:c r="L32" s="164"/>
      <s:c r="M32" s="164"/>
      <s:c r="N32" s="164"/>
      <s:c r="O32" s="164"/>
      <s:c r="P32" s="164"/>
      <s:c r="Q32" s="164"/>
      <s:c r="R32" s="376"/>
      <s:c r="S32" s="167" t="str">
        <s:f>IF(AND(I32&lt;&gt;"",I32&lt;&gt;0),G32/I32,"")</s:f>
        <s:v/>
      </s:c>
      <s:c r="T32" s="168" t="e">
        <s:f>D32/U32</s:f>
        <s:v>#DIV/0!</s:v>
      </s:c>
      <s:c r="U32" s="169">
        <s:f>$I$8*AA32*AB32/SUMPRODUCT($AB$25:$AB$55,$AA$25:$AA$55)</s:f>
        <s:v>0</s:v>
      </s:c>
      <s:c r="V32" s="170">
        <s:f>$I$9*AA32*AB32/SUMPRODUCT($AB$25:$AB$55,$AA$25:$AA$55)</s:f>
        <s:v>0</s:v>
      </s:c>
      <s:c r="W32" s="170">
        <s:f>IF($I$12="","",V32/$I$12)</s:f>
        <s:v>0</s:v>
      </s:c>
      <s:c r="X32" s="169" t="str">
        <s:f>IF(AB32&lt;&gt;"",IF(D32&lt;&gt;"",D32,($I$8-SUM($X$25:X31))*AA32*AB32/SUMPRODUCT($AB32:$AB$55,$AA32:$AA$55)),"")</s:f>
        <s:v/>
      </s:c>
      <s:c r="Y32" s="170" t="str">
        <s:f>IF(AB32&lt;&gt;"",IF(E32&lt;&gt;"",E32,($I$9-SUM($Y$25:Y31))*AA32*AB32/SUMPRODUCT($AB32:$AB$55,$AA32:$AA$55)),"")</s:f>
        <s:v/>
      </s:c>
      <s:c r="Z32" s="170" t="str">
        <s:f>IF(AB32&lt;&gt;"",IF($I$12&lt;&gt;"",IF(G32&lt;&gt;"",G32,($I$9/$I$12-SUM($Z$25:Z31))*AA32*AB32/SUMPRODUCT($AB32:$AB$55,$AA32:$AA$55)),""),"")</s:f>
        <s:v/>
      </s:c>
      <s:c r="AA32" s="398"/>
      <s:c r="AB32" s="398"/>
      <s:c r="AC32" s="172"/>
      <s:c r="AD32" s="172"/>
      <s:c r="AE32" s="2"/>
      <s:c r="AF32" s="2"/>
      <s:c r="AG32" s="2"/>
      <s:c r="AH32" s="2"/>
      <s:c r="AI32" s="2"/>
      <s:c r="AJ32" s="2"/>
      <s:c r="AK32" s="2"/>
      <s:c r="AL32" s="2"/>
    </s:row>
    <s:row r="33">
      <s:c r="A33" s="173"/>
      <s:c r="B33" s="474"/>
      <s:c r="C33" s="475"/>
      <s:c r="D33" s="371"/>
      <s:c r="E33" s="199"/>
      <s:c r="F33" s="199"/>
      <s:c r="G33" s="199"/>
      <s:c r="H33" s="199"/>
      <s:c r="I33" s="199"/>
      <s:c r="J33" s="371" t="str">
        <s:f>IF(AND(G33&lt;&gt;"",G33&lt;&gt;0),E33/G33,"")</s:f>
        <s:v/>
      </s:c>
      <s:c r="K33" s="198"/>
      <s:c r="L33" s="476"/>
      <s:c r="M33" s="476"/>
      <s:c r="N33" s="476"/>
      <s:c r="O33" s="476"/>
      <s:c r="P33" s="476"/>
      <s:c r="Q33" s="198"/>
      <s:c r="R33" s="164"/>
      <s:c r="S33" s="477" t="str">
        <s:f>IF(AND(I33&lt;&gt;"",I33&lt;&gt;0),G33/I33,"")</s:f>
        <s:v/>
      </s:c>
      <s:c r="T33" s="378" t="e">
        <s:f>D33/U33</s:f>
        <s:v>#DIV/0!</s:v>
      </s:c>
      <s:c r="U33" s="478">
        <s:f>$I$8*AA33*AB33/SUMPRODUCT($AB$25:$AB$55,$AA$25:$AA$55)</s:f>
        <s:v>0</s:v>
      </s:c>
      <s:c r="V33" s="379">
        <s:f>$I$9*AA33*AB33/SUMPRODUCT($AB$25:$AB$55,$AA$25:$AA$55)</s:f>
        <s:v>0</s:v>
      </s:c>
      <s:c r="W33" s="479">
        <s:f>IF($I$12="","",V33/$I$12)</s:f>
        <s:v>0</s:v>
      </s:c>
      <s:c r="X33" s="381" t="str">
        <s:f>IF(AB33&lt;&gt;"",IF(D33&lt;&gt;"",D33,($I$8-SUM($X$25:X32))*AA33*AB33/SUMPRODUCT($AB33:$AB$55,$AA33:$AA$55)),"")</s:f>
        <s:v/>
      </s:c>
      <s:c r="Y33" s="479" t="str">
        <s:f>IF(AB33&lt;&gt;"",IF(E33&lt;&gt;"",E33,($I$9-SUM($Y$25:Y32))*AA33*AB33/SUMPRODUCT($AB33:$AB$55,$AA33:$AA$55)),"")</s:f>
        <s:v/>
      </s:c>
      <s:c r="Z33" s="379" t="str">
        <s:f>IF(AB33&lt;&gt;"",IF($I$12&lt;&gt;"",IF(G33&lt;&gt;"",G33,($I$9/$I$12-SUM($Z$25:Z32))*AA33*AB33/SUMPRODUCT($AB33:$AB$55,$AA33:$AA$55)),""),"")</s:f>
        <s:v/>
      </s:c>
      <s:c r="AA33" s="480"/>
      <s:c r="AB33" s="480"/>
      <s:c r="AC33" s="172"/>
      <s:c r="AD33" s="172"/>
      <s:c r="AE33" s="2"/>
      <s:c r="AF33" s="2"/>
      <s:c r="AG33" s="2"/>
      <s:c r="AH33" s="2"/>
      <s:c r="AI33" s="2"/>
      <s:c r="AJ33" s="2"/>
      <s:c r="AK33" s="2"/>
      <s:c r="AL33" s="2"/>
    </s:row>
    <s:row r="34">
      <s:c r="A34" s="159"/>
      <s:c r="B34" s="160"/>
      <s:c r="C34" s="161"/>
      <s:c r="D34" s="377"/>
      <s:c r="E34" s="199"/>
      <s:c r="F34" s="198"/>
      <s:c r="G34" s="199"/>
      <s:c r="H34" s="198"/>
      <s:c r="I34" s="199"/>
      <s:c r="J34" s="377" t="str">
        <s:f>IF(AND(G34&lt;&gt;"",G34&lt;&gt;0),E34/G34,"")</s:f>
        <s:v/>
      </s:c>
      <s:c r="K34" s="463"/>
      <s:c r="L34" s="385"/>
      <s:c r="M34" s="385"/>
      <s:c r="N34" s="385"/>
      <s:c r="O34" s="385"/>
      <s:c r="P34" s="385"/>
      <s:c r="Q34" s="166"/>
      <s:c r="R34" s="164"/>
      <s:c r="S34" s="469" t="str">
        <s:f>IF(AND(I34&lt;&gt;"",I34&lt;&gt;0),G34/I34,"")</s:f>
        <s:v/>
      </s:c>
      <s:c r="T34" s="168" t="e">
        <s:f>D34/U34</s:f>
        <s:v>#DIV/0!</s:v>
      </s:c>
      <s:c r="U34" s="381">
        <s:f>$I$8*AA34*AB34/SUMPRODUCT($AB$25:$AB$55,$AA$25:$AA$55)</s:f>
        <s:v>0</s:v>
      </s:c>
      <s:c r="V34" s="170">
        <s:f>$I$9*AA34*AB34/SUMPRODUCT($AB$25:$AB$55,$AA$25:$AA$55)</s:f>
        <s:v>0</s:v>
      </s:c>
      <s:c r="W34" s="379">
        <s:f>IF($I$12="","",V34/$I$12)</s:f>
        <s:v>0</s:v>
      </s:c>
      <s:c r="X34" s="169" t="str">
        <s:f>IF(AB34&lt;&gt;"",IF(D34&lt;&gt;"",D34,($I$8-SUM($X$25:X33))*AA34*AB34/SUMPRODUCT($AB34:$AB$55,$AA34:$AA$55)),"")</s:f>
        <s:v/>
      </s:c>
      <s:c r="Y34" s="379" t="str">
        <s:f>IF(AB34&lt;&gt;"",IF(E34&lt;&gt;"",E34,($I$9-SUM($Y$25:Y33))*AA34*AB34/SUMPRODUCT($AB34:$AB$55,$AA34:$AA$55)),"")</s:f>
        <s:v/>
      </s:c>
      <s:c r="Z34" s="170" t="str">
        <s:f>IF(AB34&lt;&gt;"",IF($I$12&lt;&gt;"",IF(G34&lt;&gt;"",G34,($I$9/$I$12-SUM($Z$25:Z33))*AA34*AB34/SUMPRODUCT($AB34:$AB$55,$AA34:$AA$55)),""),"")</s:f>
        <s:v/>
      </s:c>
      <s:c r="AA34" s="398"/>
      <s:c r="AB34" s="398"/>
      <s:c r="AC34" s="172"/>
      <s:c r="AD34" s="172"/>
      <s:c r="AE34" s="178"/>
      <s:c r="AF34" s="2"/>
      <s:c r="AG34" s="2"/>
      <s:c r="AH34" s="2"/>
      <s:c r="AI34" s="2"/>
      <s:c r="AJ34" s="2"/>
      <s:c r="AK34" s="2"/>
      <s:c r="AL34" s="2"/>
    </s:row>
    <s:row r="35">
      <s:c r="A35" s="173"/>
      <s:c r="B35" s="160"/>
      <s:c r="C35" s="179"/>
      <s:c r="D35" s="165"/>
      <s:c r="E35" s="127"/>
      <s:c r="F35" s="164"/>
      <s:c r="G35" s="127"/>
      <s:c r="H35" s="164"/>
      <s:c r="I35" s="127"/>
      <s:c r="J35" s="165" t="str">
        <s:f>IF(AND(G35&lt;&gt;"",G35&lt;&gt;0),E35/G35,"")</s:f>
        <s:v/>
      </s:c>
      <s:c r="K35" s="127"/>
      <s:c r="L35" s="127"/>
      <s:c r="M35" s="127"/>
      <s:c r="N35" s="460"/>
      <s:c r="O35" s="385"/>
      <s:c r="P35" s="385"/>
      <s:c r="Q35" s="166"/>
      <s:c r="R35" s="164"/>
      <s:c r="S35" s="469" t="str">
        <s:f>IF(AND(I35&lt;&gt;"",I35&lt;&gt;0),G35/I35,"")</s:f>
        <s:v/>
      </s:c>
      <s:c r="T35" s="168" t="e">
        <s:f>D35/U35</s:f>
        <s:v>#DIV/0!</s:v>
      </s:c>
      <s:c r="U35" s="169">
        <s:f>$I$8*AA35*AB35/SUMPRODUCT($AB$25:$AB$55,$AA$25:$AA$55)</s:f>
        <s:v>0</s:v>
      </s:c>
      <s:c r="V35" s="170">
        <s:f>$I$9*AA35*AB35/SUMPRODUCT($AB$25:$AB$55,$AA$25:$AA$55)</s:f>
        <s:v>0</s:v>
      </s:c>
      <s:c r="W35" s="170">
        <s:f>IF($I$12="","",V35/$I$12)</s:f>
        <s:v>0</s:v>
      </s:c>
      <s:c r="X35" s="169" t="str">
        <s:f>IF(AB35&lt;&gt;"",IF(D35&lt;&gt;"",D35,($I$8-SUM($X$25:X34))*AA35*AB35/SUMPRODUCT($AB35:$AB$55,$AA35:$AA$55)),"")</s:f>
        <s:v/>
      </s:c>
      <s:c r="Y35" s="170" t="str">
        <s:f>IF(AB34&lt;&gt;"",IF(E34&lt;&gt;"",E34,($I$9-SUM($Y$25:Y33))*AA34*AB34/SUMPRODUCT($AB34:$AB$55,$AA34:$AA$55)),"")</s:f>
        <s:v/>
      </s:c>
      <s:c r="Z35" s="170" t="str">
        <s:f>IF(AB34&lt;&gt;"",IF($I$12&lt;&gt;"",IF(G34&lt;&gt;"",G34,($I$9/$I$12-SUM($Z$25:Z33))*AA34*AB34/SUMPRODUCT($AB34:$AB$55,$AA34:$AA$55)),""),"")</s:f>
        <s:v/>
      </s:c>
      <s:c r="AA35" s="171"/>
      <s:c r="AB35" s="171"/>
      <s:c r="AC35" s="172"/>
      <s:c r="AD35" s="172"/>
      <s:c r="AE35" s="178"/>
      <s:c r="AF35" s="2"/>
      <s:c r="AG35" s="2"/>
      <s:c r="AH35" s="2"/>
      <s:c r="AI35" s="2"/>
      <s:c r="AJ35" s="2"/>
      <s:c r="AK35" s="2"/>
      <s:c r="AL35" s="2"/>
    </s:row>
    <s:row r="36">
      <s:c r="A36" s="159"/>
      <s:c r="B36" s="160"/>
      <s:c r="C36" s="179"/>
      <s:c r="D36" s="165"/>
      <s:c r="E36" s="164"/>
      <s:c r="F36" s="164"/>
      <s:c r="G36" s="164"/>
      <s:c r="H36" s="164"/>
      <s:c r="I36" s="164"/>
      <s:c r="J36" s="165" t="str">
        <s:f>IF(AND(G36&lt;&gt;"",G36&lt;&gt;0),E36/G36,"")</s:f>
        <s:v/>
      </s:c>
      <s:c r="K36" s="463"/>
      <s:c r="L36" s="385"/>
      <s:c r="M36" s="385"/>
      <s:c r="N36" s="385"/>
      <s:c r="O36" s="385"/>
      <s:c r="P36" s="385"/>
      <s:c r="Q36" s="166"/>
      <s:c r="R36" s="164"/>
      <s:c r="S36" s="469" t="str">
        <s:f>IF(AND(I36&lt;&gt;"",I36&lt;&gt;0),G36/I36,"")</s:f>
        <s:v/>
      </s:c>
      <s:c r="T36" s="168" t="e">
        <s:f>D36/U36</s:f>
        <s:v>#DIV/0!</s:v>
      </s:c>
      <s:c r="U36" s="169">
        <s:f>$I$8*AA36*AB36/SUMPRODUCT($AB$25:$AB$55,$AA$25:$AA$55)</s:f>
        <s:v>0</s:v>
      </s:c>
      <s:c r="V36" s="170">
        <s:f>$I$9*AA36*AB36/SUMPRODUCT($AB$25:$AB$55,$AA$25:$AA$55)</s:f>
        <s:v>0</s:v>
      </s:c>
      <s:c r="W36" s="170">
        <s:f>IF($I$12="","",V36/$I$12)</s:f>
        <s:v>0</s:v>
      </s:c>
      <s:c r="X36" s="169" t="str">
        <s:f>IF(AB36&lt;&gt;"",IF(D36&lt;&gt;"",D36,($I$8-SUM($X$25:X35))*AA36*AB36/SUMPRODUCT($AB36:$AB$55,$AA36:$AA$55)),"")</s:f>
        <s:v/>
      </s:c>
      <s:c r="Y36" s="170" t="str">
        <s:f>IF(AB36&lt;&gt;"",IF(E36&lt;&gt;"",E36,($I$9-SUM($Y$25:Y35))*AA36*AB36/SUMPRODUCT($AB36:$AB$55,$AA36:$AA$55)),"")</s:f>
        <s:v/>
      </s:c>
      <s:c r="Z36" s="170" t="str">
        <s:f>IF(AB36&lt;&gt;"",IF($I$12&lt;&gt;"",IF(G36&lt;&gt;"",G36,($I$9/$I$12-SUM($Z$25:Z35))*AA36*AB36/SUMPRODUCT($AB36:$AB$55,$AA36:$AA$55)),""),"")</s:f>
        <s:v/>
      </s:c>
      <s:c r="AA36" s="171"/>
      <s:c r="AB36" s="171"/>
      <s:c r="AC36" s="172"/>
      <s:c r="AD36" s="172"/>
      <s:c r="AE36" s="178"/>
      <s:c r="AF36" s="2"/>
      <s:c r="AG36" s="2"/>
      <s:c r="AH36" s="2"/>
      <s:c r="AI36" s="2"/>
      <s:c r="AJ36" s="2"/>
      <s:c r="AK36" s="2"/>
      <s:c r="AL36" s="2"/>
    </s:row>
    <s:row r="37">
      <s:c r="A37" s="159"/>
      <s:c r="B37" s="160"/>
      <s:c r="C37" s="179"/>
      <s:c r="D37" s="165"/>
      <s:c r="E37" s="198"/>
      <s:c r="F37" s="164"/>
      <s:c r="G37" s="198"/>
      <s:c r="H37" s="164"/>
      <s:c r="I37" s="198"/>
      <s:c r="J37" s="165" t="str">
        <s:f>IF(AND(G37&lt;&gt;"",G37&lt;&gt;0),E37/G37,"")</s:f>
        <s:v/>
      </s:c>
      <s:c r="K37" s="198"/>
      <s:c r="L37" s="385"/>
      <s:c r="M37" s="385"/>
      <s:c r="N37" s="385"/>
      <s:c r="O37" s="385"/>
      <s:c r="P37" s="385"/>
      <s:c r="Q37" s="198"/>
      <s:c r="R37" s="164"/>
      <s:c r="S37" s="469" t="str">
        <s:f>IF(AND(I37&lt;&gt;"",I37&lt;&gt;0),G37/I37,"")</s:f>
        <s:v/>
      </s:c>
      <s:c r="T37" s="378" t="e">
        <s:f>D37/U37</s:f>
        <s:v>#DIV/0!</s:v>
      </s:c>
      <s:c r="U37" s="169">
        <s:f>$I$8*AA37*AB37/SUMPRODUCT($AB$25:$AB$55,$AA$25:$AA$55)</s:f>
        <s:v>0</s:v>
      </s:c>
      <s:c r="V37" s="379">
        <s:f>$I$9*AA37*AB37/SUMPRODUCT($AB$25:$AB$55,$AA$25:$AA$55)</s:f>
        <s:v>0</s:v>
      </s:c>
      <s:c r="W37" s="170">
        <s:f>IF($I$12="","",V37/$I$12)</s:f>
        <s:v>0</s:v>
      </s:c>
      <s:c r="X37" s="381" t="str">
        <s:f>IF(AB37&lt;&gt;"",IF(D37&lt;&gt;"",D37,($I$8-SUM($X$25:X36))*AA37*AB37/SUMPRODUCT($AB37:$AB$55,$AA37:$AA$55)),"")</s:f>
        <s:v/>
      </s:c>
      <s:c r="Y37" s="170" t="str">
        <s:f>IF(AB37&lt;&gt;"",IF(E37&lt;&gt;"",E37,($I$9-SUM($Y$25:Y36))*AA37*AB37/SUMPRODUCT($AB37:$AB$55,$AA37:$AA$55)),"")</s:f>
        <s:v/>
      </s:c>
      <s:c r="Z37" s="379" t="str">
        <s:f>IF(AB37&lt;&gt;"",IF($I$12&lt;&gt;"",IF(G37&lt;&gt;"",G37,($I$9/$I$12-SUM($Z$25:Z36))*AA37*AB37/SUMPRODUCT($AB37:$AB$55,$AA37:$AA$55)),""),"")</s:f>
        <s:v/>
      </s:c>
      <s:c r="AA37" s="171"/>
      <s:c r="AB37" s="171"/>
      <s:c r="AC37" s="172"/>
      <s:c r="AD37" s="172"/>
      <s:c r="AE37" s="178"/>
      <s:c r="AF37" s="2"/>
      <s:c r="AG37" s="2"/>
      <s:c r="AH37" s="2"/>
      <s:c r="AI37" s="2"/>
      <s:c r="AJ37" s="2"/>
      <s:c r="AK37" s="2"/>
      <s:c r="AL37" s="2"/>
    </s:row>
    <s:row r="38">
      <s:c r="A38" s="481"/>
      <s:c r="B38" s="160"/>
      <s:c r="C38" s="179"/>
      <s:c r="D38" s="387"/>
      <s:c r="E38" s="388"/>
      <s:c r="F38" s="164"/>
      <s:c r="G38" s="388"/>
      <s:c r="H38" s="164"/>
      <s:c r="I38" s="388"/>
      <s:c r="J38" s="165" t="str">
        <s:f>IF(AND(G38&lt;&gt;"",G38&lt;&gt;0),E38/G38,"")</s:f>
        <s:v/>
      </s:c>
      <s:c r="K38" s="463"/>
      <s:c r="L38" s="385"/>
      <s:c r="M38" s="385"/>
      <s:c r="N38" s="385"/>
      <s:c r="O38" s="385"/>
      <s:c r="P38" s="385"/>
      <s:c r="Q38" s="166"/>
      <s:c r="R38" s="164"/>
      <s:c r="S38" s="469" t="str">
        <s:f>IF(AND(I38&lt;&gt;"",I38&lt;&gt;0),G38/I38,"")</s:f>
        <s:v/>
      </s:c>
      <s:c r="T38" s="415" t="e">
        <s:f>D38/U38</s:f>
        <s:v>#DIV/0!</s:v>
      </s:c>
      <s:c r="U38" s="169">
        <s:f>$I$8*AA38*AB38/SUMPRODUCT($AB$25:$AB$46,$AA$25:$AA$46)</s:f>
        <s:v>0</s:v>
      </s:c>
      <s:c r="V38" s="170">
        <s:f>$I$9*AA38*AB38/SUMPRODUCT($AB$25:$AB$46,$AA$25:$AA$46)</s:f>
        <s:v>0</s:v>
      </s:c>
      <s:c r="W38" s="170">
        <s:f>IF($I$12="","",V38/$I$12)</s:f>
        <s:v>0</s:v>
      </s:c>
      <s:c r="X38" s="169" t="str">
        <s:f>IF(AB38&lt;&gt;"",IF(D38&lt;&gt;"",D38,($I$8-SUM($X$25:X37))*AA38*AB38/SUMPRODUCT($AB38:$AB$55,$AA38:$AA$55)),"")</s:f>
        <s:v/>
      </s:c>
      <s:c r="Y38" s="170" t="str">
        <s:f>IF(AB38&lt;&gt;"",IF(E38&lt;&gt;"",E38,($I$9-SUM($Y$25:Y37))*AA38*AB38/SUMPRODUCT($AB38:$AB$55,$AA38:$AA$55)),"")</s:f>
        <s:v/>
      </s:c>
      <s:c r="Z38" s="170" t="str">
        <s:f>IF(AB38&lt;&gt;"",IF($I$12&lt;&gt;"",IF(G38&lt;&gt;"",G38,($I$9/$I$12-SUM($Z$25:Z37))*AA38*AB38/SUMPRODUCT($AB38:$AB$55,$AA38:$AA$55)),""),"")</s:f>
        <s:v/>
      </s:c>
      <s:c r="AA38" s="171"/>
      <s:c r="AB38" s="171"/>
      <s:c r="AC38" s="383"/>
      <s:c r="AD38" s="383"/>
    </s:row>
    <s:row r="39">
      <s:c r="B39" s="160"/>
      <s:c r="C39" s="179"/>
      <s:c r="D39" s="387"/>
      <s:c r="E39" s="388"/>
      <s:c r="F39" s="164"/>
      <s:c r="G39" s="388"/>
      <s:c r="H39" s="164"/>
      <s:c r="I39" s="388"/>
      <s:c r="J39" s="165" t="str">
        <s:f>IF(AND(G39&lt;&gt;"",G39&lt;&gt;0),E39/G39,"")</s:f>
        <s:v/>
      </s:c>
      <s:c r="K39" s="164"/>
      <s:c r="L39" s="199"/>
      <s:c r="M39" s="199"/>
      <s:c r="N39" s="384"/>
      <s:c r="O39" s="385"/>
      <s:c r="P39" s="385"/>
      <s:c r="Q39" s="166"/>
      <s:c r="R39" s="164"/>
      <s:c r="S39" s="469" t="str">
        <s:f>IF(AND(I39&lt;&gt;"",I39&lt;&gt;0),G39/I39,"")</s:f>
        <s:v/>
      </s:c>
      <s:c r="T39" s="415" t="e">
        <s:f>D39/U39</s:f>
        <s:v>#DIV/0!</s:v>
      </s:c>
      <s:c r="U39" s="169">
        <s:f>$I$8*AA39*AB39/SUMPRODUCT($AB$25:$AB$46,$AA$25:$AA$46)</s:f>
        <s:v>0</s:v>
      </s:c>
      <s:c r="V39" s="170">
        <s:f>$I$9*AA39*AB39/SUMPRODUCT($AB$25:$AB$46,$AA$25:$AA$46)</s:f>
        <s:v>0</s:v>
      </s:c>
      <s:c r="W39" s="170">
        <s:f>IF($I$12="","",V39/$I$12)</s:f>
        <s:v>0</s:v>
      </s:c>
      <s:c r="X39" s="169" t="str">
        <s:f>IF(AB39&lt;&gt;"",IF(D39&lt;&gt;"",D39,($I$8-SUM($X$25:X38))*AA39*AB39/SUMPRODUCT($AB39:$AB$47,$AA39:$AA$47)),"")</s:f>
        <s:v/>
      </s:c>
      <s:c r="Y39" s="170" t="str">
        <s:f>IF(AB39&lt;&gt;"",IF(E39&lt;&gt;"",E39,($I$9-SUM($Y$25:Y38))*AA39*AB39/SUMPRODUCT($AB39:$AB$55,$AA39:$AA$55)),"")</s:f>
        <s:v/>
      </s:c>
      <s:c r="Z39" s="170" t="str">
        <s:f>IF(AB39&lt;&gt;"",IF($I$12&lt;&gt;"",IF(G39&lt;&gt;"",G39,($I$9/$I$12-SUM($Z$25:Z38))*AA39*AB39/SUMPRODUCT($AB39:$AB$55,$AA39:$AA$55)),""),"")</s:f>
        <s:v/>
      </s:c>
      <s:c r="AA39" s="171"/>
      <s:c r="AB39" s="171"/>
      <s:c r="AC39" s="383"/>
      <s:c r="AD39" s="383"/>
      <s:c r="AE39" s="386"/>
    </s:row>
    <s:row r="40">
      <s:c r="B40" s="160"/>
      <s:c r="C40" s="179"/>
      <s:c r="D40" s="387"/>
      <s:c r="E40" s="388"/>
      <s:c r="F40" s="164"/>
      <s:c r="G40" s="388"/>
      <s:c r="H40" s="164"/>
      <s:c r="I40" s="388"/>
      <s:c r="J40" s="165" t="str">
        <s:f>IF(AND(G40&lt;&gt;"",G40&lt;&gt;0),E40/G40,"")</s:f>
        <s:v/>
      </s:c>
      <s:c r="K40" s="164"/>
      <s:c r="L40" s="164"/>
      <s:c r="M40" s="164"/>
      <s:c r="N40" s="463"/>
      <s:c r="O40" s="385"/>
      <s:c r="P40" s="385"/>
      <s:c r="Q40" s="166"/>
      <s:c r="R40" s="164"/>
      <s:c r="S40" s="469" t="str">
        <s:f>IF(AND(I40&lt;&gt;"",I40&lt;&gt;0),G40/I40,"")</s:f>
        <s:v/>
      </s:c>
      <s:c r="T40" s="415" t="e">
        <s:f>D40/U40</s:f>
        <s:v>#DIV/0!</s:v>
      </s:c>
      <s:c r="U40" s="169">
        <s:f>$I$8*AA40*AB40/SUMPRODUCT($AB$25:$AB$46,$AA$25:$AA$46)</s:f>
        <s:v>0</s:v>
      </s:c>
      <s:c r="V40" s="170">
        <s:f>$I$9*AA40*AB40/SUMPRODUCT($AB$25:$AB$46,$AA$25:$AA$46)</s:f>
        <s:v>0</s:v>
      </s:c>
      <s:c r="W40" s="170">
        <s:f>IF($I$12="","",V40/$I$12)</s:f>
        <s:v>0</s:v>
      </s:c>
      <s:c r="X40" s="169" t="str">
        <s:f>IF(AB40&lt;&gt;"",IF(D40&lt;&gt;"",D40,($I$8-SUM($X$25:X39))*AA40*AB40/SUMPRODUCT($AB40:$AB$46,$AA40:$AA$46)),"")</s:f>
        <s:v/>
      </s:c>
      <s:c r="Y40" s="170" t="str">
        <s:f>IF(AB40&lt;&gt;"",IF(E40&lt;&gt;"",E40,($I$9-SUM($Y$25:Y39))*AA40*AB40/SUMPRODUCT($AB40:$AB$46,$AA40:$AA$46)),"")</s:f>
        <s:v/>
      </s:c>
      <s:c r="Z40" s="170" t="str">
        <s:f>IF(AB40&lt;&gt;"",IF($I$12&lt;&gt;"",IF(G40&lt;&gt;"",G40,($I$9/$I$12-SUM($Z$25:Z39))*AA40*AB40/SUMPRODUCT($AB40:$AB$55,$AA40:$AA$55)),""),"")</s:f>
        <s:v/>
      </s:c>
      <s:c r="AA40" s="171"/>
      <s:c r="AB40" s="171"/>
      <s:c r="AC40" s="383"/>
      <s:c r="AD40" s="383"/>
      <s:c r="AE40" s="386"/>
    </s:row>
    <s:row r="41">
      <s:c r="B41" s="482"/>
      <s:c r="C41" s="161"/>
      <s:c r="D41" s="387"/>
      <s:c r="E41" s="388"/>
      <s:c r="F41" s="164" t="str">
        <s:f>IF(AND(E41&lt;&gt;"",E41&lt;&gt;0),D41/E41,"")</s:f>
        <s:v/>
      </s:c>
      <s:c r="G41" s="388"/>
      <s:c r="H41" s="164" t="str">
        <s:f>IF(AND(G41&lt;&gt;"",G41&lt;&gt;0),D41/G41,"")</s:f>
        <s:v/>
      </s:c>
      <s:c r="I41" s="388"/>
      <s:c r="J41" s="165" t="str">
        <s:f>IF(AND(G41&lt;&gt;"",G41&lt;&gt;0),E41/G41,"")</s:f>
        <s:v/>
      </s:c>
      <s:c r="K41" s="164"/>
      <s:c r="L41" s="164"/>
      <s:c r="M41" s="164"/>
      <s:c r="N41" s="463"/>
      <s:c r="O41" s="385"/>
      <s:c r="P41" s="385"/>
      <s:c r="Q41" s="166"/>
      <s:c r="R41" s="164"/>
      <s:c r="S41" s="469" t="str">
        <s:f>IF(AND(I41&lt;&gt;"",I41&lt;&gt;0),G41/I41,"")</s:f>
        <s:v/>
      </s:c>
      <s:c r="T41" s="415" t="e">
        <s:f>D41/U41</s:f>
        <s:v>#DIV/0!</s:v>
      </s:c>
      <s:c r="U41" s="169">
        <s:f>$I$8*AA41*AB41/SUMPRODUCT($AB$25:$AB$46,$AA$25:$AA$46)</s:f>
        <s:v>0</s:v>
      </s:c>
      <s:c r="V41" s="170">
        <s:f>$I$9*AA41*AB41/SUMPRODUCT($AB$25:$AB$46,$AA$25:$AA$46)</s:f>
        <s:v>0</s:v>
      </s:c>
      <s:c r="W41" s="170">
        <s:f>IF($I$12="","",V41/$I$12)</s:f>
        <s:v>0</s:v>
      </s:c>
      <s:c r="X41" s="169" t="str">
        <s:f>IF(AB41&lt;&gt;"",IF(D41&lt;&gt;"",D41,($I$8-SUM($X$25:X40))*AA41*AB41/SUMPRODUCT($AB41:$AB$46,$AA41:$AA$46)),"")</s:f>
        <s:v/>
      </s:c>
      <s:c r="Y41" s="170" t="str">
        <s:f>IF(AB41&lt;&gt;"",IF(E41&lt;&gt;"",E41,($I$9-SUM($Y$25:Y40))*AA41*AB41/SUMPRODUCT($AB41:$AB$46,$AA41:$AA$46)),"")</s:f>
        <s:v/>
      </s:c>
      <s:c r="Z41" s="170" t="str">
        <s:f>IF(AB41&lt;&gt;"",IF($I$12&lt;&gt;"",IF(G41&lt;&gt;"",G41,($I$9/$I$12-SUM($Z$25:Z40))*AA41*AB41/SUMPRODUCT($AB41:$AB$55,$AA41:$AA$55)),""),"")</s:f>
        <s:v/>
      </s:c>
      <s:c r="AA41" s="416"/>
      <s:c r="AB41" s="416"/>
      <s:c r="AC41" s="383"/>
      <s:c r="AD41" s="383"/>
      <s:c r="AE41" s="386"/>
    </s:row>
    <s:row r="42">
      <s:c r="B42" s="160"/>
      <s:c r="C42" s="161"/>
      <s:c r="D42" s="387"/>
      <s:c r="E42" s="388"/>
      <s:c r="F42" s="164" t="str">
        <s:f>IF(AND(E42&lt;&gt;"",E42&lt;&gt;0),D42/E42,"")</s:f>
        <s:v/>
      </s:c>
      <s:c r="G42" s="388"/>
      <s:c r="H42" s="164" t="str">
        <s:f>IF(AND(G42&lt;&gt;"",G42&lt;&gt;0),D42/G42,"")</s:f>
        <s:v/>
      </s:c>
      <s:c r="I42" s="388"/>
      <s:c r="J42" s="165" t="str">
        <s:f>IF(AND(G42&lt;&gt;"",G42&lt;&gt;0),E42/G42,"")</s:f>
        <s:v/>
      </s:c>
      <s:c r="K42" s="164"/>
      <s:c r="L42" s="164"/>
      <s:c r="M42" s="164"/>
      <s:c r="N42" s="463"/>
      <s:c r="O42" s="385"/>
      <s:c r="P42" s="385"/>
      <s:c r="Q42" s="166"/>
      <s:c r="R42" s="164"/>
      <s:c r="S42" s="469" t="str">
        <s:f>IF(AND(I42&lt;&gt;"",I42&lt;&gt;0),G42/I42,"")</s:f>
        <s:v/>
      </s:c>
      <s:c r="T42" s="415" t="e">
        <s:f>D42/U42</s:f>
        <s:v>#DIV/0!</s:v>
      </s:c>
      <s:c r="U42" s="169">
        <s:f>$I$8*AA42*AB42/SUMPRODUCT($AB$25:$AB$46,$AA$25:$AA$46)</s:f>
        <s:v>0</s:v>
      </s:c>
      <s:c r="V42" s="170">
        <s:f>$I$9*AA42*AB42/SUMPRODUCT($AB$25:$AB$46,$AA$25:$AA$46)</s:f>
        <s:v>0</s:v>
      </s:c>
      <s:c r="W42" s="170">
        <s:f>IF($I$12="","",V42/$I$12)</s:f>
        <s:v>0</s:v>
      </s:c>
      <s:c r="X42" s="169" t="str">
        <s:f>IF(AB42&lt;&gt;"",IF(D42&lt;&gt;"",D42,($I$8-SUM($X$25:X41))*AA42*AB42/SUMPRODUCT($AB42:$AB$46,$AA42:$AA$46)),"")</s:f>
        <s:v/>
      </s:c>
      <s:c r="Y42" s="170" t="str">
        <s:f>IF(AB42&lt;&gt;"",IF(E42&lt;&gt;"",E42,($I$9-SUM($Y$25:Y41))*AA42*AB42/SUMPRODUCT($AB42:$AB$46,$AA42:$AA$46)),"")</s:f>
        <s:v/>
      </s:c>
      <s:c r="Z42" s="170" t="str">
        <s:f>IF(AB42&lt;&gt;"",IF($I$12&lt;&gt;"",IF(G42&lt;&gt;"",G42,($I$9/$I$12-SUM($Z$25:Z41))*AA42*AB42/SUMPRODUCT($AB42:$AB$46,$AA42:$AA$46)),""),"")</s:f>
        <s:v/>
      </s:c>
      <s:c r="AA42" s="416"/>
      <s:c r="AB42" s="416"/>
      <s:c r="AC42" s="383"/>
      <s:c r="AD42" s="383"/>
      <s:c r="AE42" s="386"/>
    </s:row>
    <s:row r="43" ht="15" customHeight="1">
      <s:c r="B43" s="160"/>
      <s:c r="C43" s="161"/>
      <s:c r="D43" s="387"/>
      <s:c r="E43" s="388"/>
      <s:c r="F43" s="164" t="str">
        <s:f>IF(AND(E43&lt;&gt;"",E43&lt;&gt;0),D43/E43,"")</s:f>
        <s:v/>
      </s:c>
      <s:c r="G43" s="388"/>
      <s:c r="H43" s="164" t="str">
        <s:f>IF(AND(G43&lt;&gt;"",G43&lt;&gt;0),D43/G43,"")</s:f>
        <s:v/>
      </s:c>
      <s:c r="I43" s="388"/>
      <s:c r="J43" s="165" t="str">
        <s:f>IF(AND(G43&lt;&gt;"",G43&lt;&gt;0),E43/G43,"")</s:f>
        <s:v/>
      </s:c>
      <s:c r="K43" s="164"/>
      <s:c r="L43" s="164"/>
      <s:c r="M43" s="164"/>
      <s:c r="N43" s="164"/>
      <s:c r="O43" s="384"/>
      <s:c r="P43" s="476"/>
      <s:c r="Q43" s="166"/>
      <s:c r="R43" s="164"/>
      <s:c r="S43" s="469" t="str">
        <s:f>IF(AND(I43&lt;&gt;"",I43&lt;&gt;0),G43/I43,"")</s:f>
        <s:v/>
      </s:c>
      <s:c r="T43" s="415" t="e">
        <s:f>D43/U43</s:f>
        <s:v>#DIV/0!</s:v>
      </s:c>
      <s:c r="U43" s="169">
        <s:f>$I$8*AA43*AB43/SUMPRODUCT($AB$25:$AB$46,$AA$25:$AA$46)</s:f>
        <s:v>0</s:v>
      </s:c>
      <s:c r="V43" s="170">
        <s:f>$I$9*AA43*AB43/SUMPRODUCT($AB$25:$AB$46,$AA$25:$AA$46)</s:f>
        <s:v>0</s:v>
      </s:c>
      <s:c r="W43" s="170">
        <s:f>IF($I$12="","",V43/$I$12)</s:f>
        <s:v>0</s:v>
      </s:c>
      <s:c r="X43" s="169" t="str">
        <s:f>IF(AB43&lt;&gt;"",IF(D43&lt;&gt;"",D43,($I$8-SUM($X$25:X42))*AA43*AB43/SUMPRODUCT($AB43:$AB$46,$AA43:$AA$46)),"")</s:f>
        <s:v/>
      </s:c>
      <s:c r="Y43" s="170" t="str">
        <s:f>IF(AB43&lt;&gt;"",IF(E43&lt;&gt;"",E43,($I$9-SUM($Y$25:Y42))*AA43*AB43/SUMPRODUCT($AB43:$AB$46,$AA43:$AA$46)),"")</s:f>
        <s:v/>
      </s:c>
      <s:c r="Z43" s="170" t="str">
        <s:f>IF(AB43&lt;&gt;"",IF($I$12&lt;&gt;"",IF(G43&lt;&gt;"",G43,($I$9/$I$12-SUM($Z$25:Z42))*AA43*AB43/SUMPRODUCT($AB43:$AB$46,$AA43:$AA$46)),""),"")</s:f>
        <s:v/>
      </s:c>
      <s:c r="AA43" s="416"/>
      <s:c r="AB43" s="416"/>
      <s:c r="AC43" s="383"/>
      <s:c r="AD43" s="383"/>
      <s:c r="AE43" s="386"/>
    </s:row>
    <s:row r="44">
      <s:c r="B44" s="160"/>
      <s:c r="C44" s="161"/>
      <s:c r="D44" s="387"/>
      <s:c r="E44" s="388"/>
      <s:c r="F44" s="164" t="str">
        <s:f>IF(AND(E44&lt;&gt;"",E44&lt;&gt;0),D44/E44,"")</s:f>
        <s:v/>
      </s:c>
      <s:c r="G44" s="388"/>
      <s:c r="H44" s="164" t="str">
        <s:f>IF(AND(G44&lt;&gt;"",G44&lt;&gt;0),D44/G44,"")</s:f>
        <s:v/>
      </s:c>
      <s:c r="I44" s="388"/>
      <s:c r="J44" s="165" t="str">
        <s:f>IF(AND(G44&lt;&gt;"",G44&lt;&gt;0),E44/G44,"")</s:f>
        <s:v/>
      </s:c>
      <s:c r="K44" s="164"/>
      <s:c r="L44" s="164"/>
      <s:c r="M44" s="164"/>
      <s:c r="N44" s="164"/>
      <s:c r="O44" s="164"/>
      <s:c r="P44" s="199"/>
      <s:c r="Q44" s="164"/>
      <s:c r="R44" s="164"/>
      <s:c r="S44" s="469" t="str">
        <s:f>IF(AND(I44&lt;&gt;"",I44&lt;&gt;0),G44/I44,"")</s:f>
        <s:v/>
      </s:c>
      <s:c r="T44" s="415" t="e">
        <s:f>D44/U44</s:f>
        <s:v>#DIV/0!</s:v>
      </s:c>
      <s:c r="U44" s="169">
        <s:f>$I$8*AA44*AB44/SUMPRODUCT($AB$25:$AB$46,$AA$25:$AA$46)</s:f>
        <s:v>0</s:v>
      </s:c>
      <s:c r="V44" s="170">
        <s:f>$I$9*AA44*AB44/SUMPRODUCT($AB$25:$AB$46,$AA$25:$AA$46)</s:f>
        <s:v>0</s:v>
      </s:c>
      <s:c r="W44" s="170">
        <s:f>IF($I$12="","",V44/$I$12)</s:f>
        <s:v>0</s:v>
      </s:c>
      <s:c r="X44" s="169" t="str">
        <s:f>IF(AB44&lt;&gt;"",IF(D44&lt;&gt;"",D44,($I$8-SUM($X$25:X43))*AA44*AB44/SUMPRODUCT($AB44:$AB$46,$AA44:$AA$46)),"")</s:f>
        <s:v/>
      </s:c>
      <s:c r="Y44" s="170" t="str">
        <s:f>IF(AB44&lt;&gt;"",IF(E44&lt;&gt;"",E44,($I$9-SUM($Y$25:Y43))*AA44*AB44/SUMPRODUCT($AB44:$AB$46,$AA44:$AA$46)),"")</s:f>
        <s:v/>
      </s:c>
      <s:c r="Z44" s="170" t="str">
        <s:f>IF(AB44&lt;&gt;"",IF($I$12&lt;&gt;"",IF(G44&lt;&gt;"",G44,($I$9/$I$12-SUM($Z$25:Z43))*AA44*AB44/SUMPRODUCT($AB44:$AB$46,$AA44:$AA$46)),""),"")</s:f>
        <s:v/>
      </s:c>
      <s:c r="AA44" s="416"/>
      <s:c r="AB44" s="416"/>
      <s:c r="AC44" s="383"/>
      <s:c r="AD44" s="383"/>
      <s:c r="AE44" s="386"/>
    </s:row>
    <s:row r="45">
      <s:c r="B45" s="160"/>
      <s:c r="C45" s="205"/>
      <s:c r="D45" s="387"/>
      <s:c r="E45" s="388"/>
      <s:c r="F45" s="164" t="str">
        <s:f>IF(AND(E45&lt;&gt;"",E45&lt;&gt;0),D45/E45,"")</s:f>
        <s:v/>
      </s:c>
      <s:c r="G45" s="388"/>
      <s:c r="H45" s="164" t="str">
        <s:f>IF(AND(G45&lt;&gt;"",G45&lt;&gt;0),D45/G45,"")</s:f>
        <s:v/>
      </s:c>
      <s:c r="I45" s="388"/>
      <s:c r="J45" s="165" t="str">
        <s:f>IF(AND(G45&lt;&gt;"",G45&lt;&gt;0),E45/G45,"")</s:f>
        <s:v/>
      </s:c>
      <s:c r="K45" s="164"/>
      <s:c r="L45" s="164"/>
      <s:c r="M45" s="164"/>
      <s:c r="N45" s="164"/>
      <s:c r="O45" s="164"/>
      <s:c r="P45" s="164"/>
      <s:c r="Q45" s="164"/>
      <s:c r="R45" s="164"/>
      <s:c r="S45" s="469" t="str">
        <s:f>IF(AND(I45&lt;&gt;"",I45&lt;&gt;0),G45/I45,"")</s:f>
        <s:v/>
      </s:c>
      <s:c r="T45" s="415" t="e">
        <s:f>D45/U45</s:f>
        <s:v>#DIV/0!</s:v>
      </s:c>
      <s:c r="U45" s="169">
        <s:f>$I$8*AA45*AB45/SUMPRODUCT($AB$25:$AB$46,$AA$25:$AA$46)</s:f>
        <s:v>0</s:v>
      </s:c>
      <s:c r="V45" s="170">
        <s:f>$I$9*AA45*AB45/SUMPRODUCT($AB$25:$AB$46,$AA$25:$AA$46)</s:f>
        <s:v>0</s:v>
      </s:c>
      <s:c r="W45" s="170">
        <s:f>IF($I$12="","",V45/$I$12)</s:f>
        <s:v>0</s:v>
      </s:c>
      <s:c r="X45" s="169" t="str">
        <s:f>IF(AB45&lt;&gt;"",IF(D45&lt;&gt;"",D45,($I$8-SUM($X$25:X44))*AA45*AB45/SUMPRODUCT($AB45:$AB$46,$AA45:$AA$46)),"")</s:f>
        <s:v/>
      </s:c>
      <s:c r="Y45" s="170" t="str">
        <s:f>IF(AB45&lt;&gt;"",IF(E45&lt;&gt;"",E45,($I$9-SUM($Y$25:Y44))*AA45*AB45/SUMPRODUCT($AB45:$AB$46,$AA45:$AA$46)),"")</s:f>
        <s:v/>
      </s:c>
      <s:c r="Z45" s="170" t="str">
        <s:f>IF(AB45&lt;&gt;"",IF($I$12&lt;&gt;"",IF(G45&lt;&gt;"",G45,($I$9/$I$12-SUM($Z$25:Z44))*AA45*AB45/SUMPRODUCT($AB45:$AB$46,$AA45:$AA$46)),""),"")</s:f>
        <s:v/>
      </s:c>
      <s:c r="AA45" s="416"/>
      <s:c r="AB45" s="416"/>
      <s:c r="AC45" s="383"/>
      <s:c r="AD45" s="383"/>
      <s:c r="AE45" s="386"/>
    </s:row>
    <s:row r="46">
      <s:c r="B46" s="160">
        <s:v>46041</s:v>
      </s:c>
      <s:c r="C46" s="161" t="s">
        <s:v>61</s:v>
      </s:c>
      <s:c r="D46" s="371">
        <s:v>13009</s:v>
      </s:c>
      <s:c r="E46" s="199">
        <s:v>1</s:v>
      </s:c>
      <s:c r="F46" s="198">
        <s:f>IF(AND(E46&lt;&gt;"",E46&lt;&gt;0),D46/E46,"")</s:f>
        <s:v>13009</s:v>
      </s:c>
      <s:c r="G46" s="199">
        <s:v>1</s:v>
      </s:c>
      <s:c r="H46" s="198">
        <s:f>IF(AND(G46&lt;&gt;"",G46&lt;&gt;0),D46/G46,"")</s:f>
        <s:v>13009</s:v>
      </s:c>
      <s:c r="I46" s="199"/>
      <s:c r="J46" s="165">
        <s:f>IF(AND(G46&lt;&gt;"",G46&lt;&gt;0),E46/G46,"")</s:f>
        <s:v>1</s:v>
      </s:c>
      <s:c r="K46" s="164"/>
      <s:c r="L46" s="164"/>
      <s:c r="M46" s="164"/>
      <s:c r="N46" s="164"/>
      <s:c r="O46" s="164"/>
      <s:c r="P46" s="164"/>
      <s:c r="Q46" s="164"/>
      <s:c r="R46" s="164"/>
      <s:c r="S46" s="469" t="str">
        <s:f>IF(AND(I46&lt;&gt;"",I46&lt;&gt;0),G46/I46,"")</s:f>
        <s:v/>
      </s:c>
      <s:c r="T46" s="415" t="e">
        <s:f>D46/U46</s:f>
        <s:v>#DIV/0!</s:v>
      </s:c>
      <s:c r="U46" s="169">
        <s:f>$I$8*AA46*AB46/SUMPRODUCT($AB$25:$AB$46,$AA$25:$AA$46)</s:f>
        <s:v>0</s:v>
      </s:c>
      <s:c r="V46" s="170">
        <s:f>$I$9*AA46*AB46/SUMPRODUCT($AB$25:$AB$46,$AA$25:$AA$46)</s:f>
        <s:v>0</s:v>
      </s:c>
      <s:c r="W46" s="170">
        <s:f>IF($I$12="","",V46/$I$12)</s:f>
        <s:v>0</s:v>
      </s:c>
      <s:c r="X46" s="169" t="str">
        <s:f>IF(AB46&lt;&gt;"",IF(D46&lt;&gt;"",D46,($I$8-SUM($X$25:X45))*AA46*AB46/SUMPRODUCT($AB46:$AB$46,$AA46:$AA$46)),"")</s:f>
        <s:v/>
      </s:c>
      <s:c r="Y46" s="170" t="str">
        <s:f>IF(AB46&lt;&gt;"",IF(E46&lt;&gt;"",E46,($I$9-SUM($Y$25:Y39))*AA46*AB46/SUMPRODUCT($AB46:$AB$46,$AA46:$AA$46)),"")</s:f>
        <s:v/>
      </s:c>
      <s:c r="Z46" s="170" t="str">
        <s:f>IF(AB46&lt;&gt;"",IF($I$12&lt;&gt;"",IF(G46&lt;&gt;"",G46,($I$9/$I$12-SUM($Z$25:Z39))*AA46*AB46/SUMPRODUCT($AB46:$AB$46,$AA46:$AA$46)),""),"")</s:f>
        <s:v/>
      </s:c>
      <s:c r="AA46" s="416"/>
      <s:c r="AB46" s="416"/>
      <s:c r="AC46" s="383"/>
      <s:c r="AD46" s="390"/>
    </s:row>
    <s:row r="47">
      <s:c r="A47" s="1" t="s">
        <s:v>105</s:v>
      </s:c>
      <s:c r="B47" s="160">
        <s:v>46031</s:v>
      </s:c>
      <s:c r="C47" s="205" t="s">
        <s:v>57</s:v>
      </s:c>
      <s:c r="D47" s="371">
        <s:v>9993</s:v>
      </s:c>
      <s:c r="E47" s="199">
        <s:v>1</s:v>
      </s:c>
      <s:c r="F47" s="164">
        <s:f>IF(AND(E47&lt;&gt;"",E47&lt;&gt;0),D47/E47,"")</s:f>
        <s:v>9993</s:v>
      </s:c>
      <s:c r="G47" s="199">
        <s:v>1</s:v>
      </s:c>
      <s:c r="H47" s="164">
        <s:f>IF(AND(G47&lt;&gt;"",G47&lt;&gt;0),D47/G47,"")</s:f>
        <s:v>9993</s:v>
      </s:c>
      <s:c r="I47" s="199">
        <s:v>1</s:v>
      </s:c>
      <s:c r="J47" s="165">
        <s:f>IF(AND(G47&lt;&gt;"",G47&lt;&gt;0),E47/G47,"")</s:f>
        <s:v>1</s:v>
      </s:c>
      <s:c r="K47" s="164"/>
      <s:c r="L47" s="164"/>
      <s:c r="M47" s="164"/>
      <s:c r="N47" s="164"/>
      <s:c r="O47" s="164"/>
      <s:c r="P47" s="164"/>
      <s:c r="Q47" s="164"/>
      <s:c r="R47" s="164"/>
      <s:c r="S47" s="469">
        <s:f>IF(AND(I47&lt;&gt;"",I47&lt;&gt;0),G47/I47,"")</s:f>
        <s:v>1</s:v>
      </s:c>
      <s:c r="T47" s="415" t="e">
        <s:f>D47/U47</s:f>
        <s:v>#DIV/0!</s:v>
      </s:c>
      <s:c r="U47" s="169">
        <s:f>$I$8*AA47*AB47/SUMPRODUCT($AB$25:$AB$46,$AA$25:$AA$46)</s:f>
        <s:v>0</s:v>
      </s:c>
      <s:c r="V47" s="170">
        <s:f>$I$9*AA47*AB47/SUMPRODUCT($AB$25:$AB$46,$AA$25:$AA$46)</s:f>
        <s:v>0</s:v>
      </s:c>
      <s:c r="W47" s="170">
        <s:f>IF($I$12="","",V47/$I$12)</s:f>
        <s:v>0</s:v>
      </s:c>
      <s:c r="X47" s="169" t="str">
        <s:f>IF(AB47&lt;&gt;"",IF(D47&lt;&gt;"",D47,($I$8-SUM($X$25:X46))*AA47*AB47/SUMPRODUCT($AB$47:$AB47,$AA$47:$AA47)),"")</s:f>
        <s:v/>
      </s:c>
      <s:c r="Y47" s="170" t="str">
        <s:f>IF(AB47&lt;&gt;"",IF(E47&lt;&gt;"",E47,($I$9-SUM(#REF!))*AA47*AB47/SUMPRODUCT($AB$47:$AB47,$AA$47:$AA47)),"")</s:f>
        <s:v/>
      </s:c>
      <s:c r="Z47" s="170" t="str">
        <s:f>IF(AB47&lt;&gt;"",IF($I$12&lt;&gt;"",IF(G47&lt;&gt;"",G47,($I$9/$I$12-SUM(#REF!))*AA47*AB47/SUMPRODUCT($AB$47:$AB47,$AA$47:$AA47)),""),"")</s:f>
        <s:v/>
      </s:c>
      <s:c r="AA47" s="416"/>
      <s:c r="AB47" s="416"/>
      <s:c r="AC47" s="383"/>
      <s:c r="AD47" s="383"/>
    </s:row>
    <s:row r="48" ht="15" customHeight="1">
      <s:c r="B48" s="418" t="s">
        <s:v>85</s:v>
      </s:c>
      <s:c r="C48" s="418"/>
      <s:c r="D48" s="393">
        <s:f>SUM(D25:D47)</s:f>
        <s:v>132872</s:v>
      </s:c>
      <s:c r="E48" s="393">
        <s:f>SUM(E25:E47)</s:f>
        <s:v>13</s:v>
      </s:c>
      <s:c r="F48" s="483">
        <s:f>IF(AND(E48&lt;&gt;"",E48&lt;&gt;0),D48/E48,"")</s:f>
        <s:v>10220.923076923076</s:v>
      </s:c>
      <s:c r="G48" s="393">
        <s:f>SUM(G25:G47)</s:f>
        <s:v>8</s:v>
      </s:c>
      <s:c r="H48" s="483">
        <s:f>IF(AND(G48&lt;&gt;"",G48&lt;&gt;0),D48/G48,"")</s:f>
        <s:v>16609</s:v>
      </s:c>
      <s:c r="I48" s="393">
        <s:f>SUM(I25:I47)*0.8</s:f>
        <s:v>82.400000000000006</s:v>
      </s:c>
      <s:c r="J48" s="394">
        <s:f>IF(AND(G48&lt;&gt;"",G48&lt;&gt;0),E48/G48,"")</s:f>
        <s:v>1.625</s:v>
      </s:c>
      <s:c r="K48" s="393">
        <s:f>SUM(K25:K47)</s:f>
        <s:v>7220</s:v>
      </s:c>
      <s:c r="L48" s="393">
        <s:f>SUM(L25:L47)</s:f>
        <s:v>0</s:v>
      </s:c>
      <s:c r="M48" s="393">
        <s:f>SUM(M25:M47)</s:f>
        <s:v>11393</s:v>
      </s:c>
      <s:c r="N48" s="393">
        <s:f>SUM(N25:N47)</s:f>
        <s:v>0</s:v>
      </s:c>
      <s:c r="O48" s="393">
        <s:f>SUM(O25:O47)</s:f>
        <s:v>0</s:v>
      </s:c>
      <s:c r="P48" s="393">
        <s:f>SUM(P25:P47)</s:f>
        <s:v>0</s:v>
      </s:c>
      <s:c r="Q48" s="393">
        <s:f>SUM(Q25:Q47)</s:f>
        <s:v>0</s:v>
      </s:c>
      <s:c r="R48" s="393">
        <s:f>SUM(R25:R47)</s:f>
        <s:v>61786</s:v>
      </s:c>
      <s:c r="S48" s="202">
        <s:f>IF(AND(I48&lt;&gt;"",I48&lt;&gt;0),G48/I48,"")</s:f>
        <s:v>0.097087378640776698</s:v>
      </s:c>
      <s:c r="T48" s="395" t="e">
        <s:f>D48/U48</s:f>
        <s:v>#DIV/0!</s:v>
      </s:c>
      <s:c r="U48" s="396">
        <s:f>SUM(U25:U47)</s:f>
        <s:v>0</s:v>
      </s:c>
      <s:c r="V48" s="396">
        <s:f>SUM(V25:V47)</s:f>
        <s:v>0</s:v>
      </s:c>
      <s:c r="W48" s="396">
        <s:f>SUM(W25:W47)</s:f>
        <s:v>0</s:v>
      </s:c>
      <s:c r="X48" s="396">
        <s:f>SUM(X25:X47)</s:f>
        <s:v>0</s:v>
      </s:c>
      <s:c r="Y48" s="396">
        <s:f>SUM(Y25:Y47)</s:f>
        <s:v>0</s:v>
      </s:c>
      <s:c r="Z48" s="396">
        <s:f>SUM(Z25:Z47)</s:f>
        <s:v>0</s:v>
      </s:c>
      <s:c r="AA48" s="397"/>
      <s:c r="AB48" s="397"/>
    </s:row>
    <s:row r="49">
      <s:c r="B49" s="205"/>
      <s:c r="C49" s="206"/>
      <s:c r="D49" s="207">
        <s:f>SUMIF(D25:D47,"",U25:U47)+D48</s:f>
        <s:v>132872</s:v>
      </s:c>
      <s:c r="E49" s="208"/>
      <s:c r="F49" s="206"/>
      <s:c r="G49" s="206"/>
      <s:c r="H49" s="209"/>
      <s:c r="I49" s="210"/>
      <s:c r="J49" s="209"/>
      <s:c r="O49" s="211"/>
      <s:c r="P49" s="211"/>
      <s:c r="Q49" s="208"/>
      <s:c r="R49" s="208"/>
      <s:c r="S49" s="211"/>
      <s:c r="T49" s="211"/>
      <s:c r="U49" s="211"/>
      <s:c r="V49" s="212"/>
    </s:row>
    <s:row r="50">
      <s:c r="D50" s="214"/>
      <s:c r="R50" s="208"/>
    </s:row>
    <s:row r="52">
      <s:c r="D52" s="214"/>
    </s:row>
    <s:row r="53">
      <s:c r="D53" s="214"/>
    </s:row>
  </s:sheetData>
  <s:mergeCells count="27">
    <s:mergeCell ref="B1:C1"/>
    <s:mergeCell ref="V1:Y4"/>
    <s:mergeCell ref="B2:C2"/>
    <s:mergeCell ref="J2:M2"/>
    <s:mergeCell ref="J3:M4"/>
    <s:mergeCell ref="C4:D4"/>
    <s:mergeCell ref="F6:Q6"/>
    <s:mergeCell ref="F7:H7"/>
    <s:mergeCell ref="P7:Q7"/>
    <s:mergeCell ref="F8:H8"/>
    <s:mergeCell ref="F9:H9"/>
    <s:mergeCell ref="F10:H10"/>
    <s:mergeCell ref="F11:H11"/>
    <s:mergeCell ref="F12:H12"/>
    <s:mergeCell ref="F13:H13"/>
    <s:mergeCell ref="F14:H14"/>
    <s:mergeCell ref="F15:H15"/>
    <s:mergeCell ref="F16:H16"/>
    <s:mergeCell ref="T16:T17"/>
    <s:mergeCell ref="F17:H17"/>
    <s:mergeCell ref="F18:H18"/>
    <s:mergeCell ref="F19:H19"/>
    <s:mergeCell ref="F20:H20"/>
    <s:mergeCell ref="B22:S22"/>
    <s:mergeCell ref="T22:T24"/>
    <s:mergeCell ref="U22:AB22"/>
    <s:mergeCell ref="B48:C48"/>
  </s:mergeCells>
  <s:conditionalFormatting sqref="T37">
    <s:cfRule type="cellIs" dxfId="4" priority="407" operator="between">
      <s:formula>0.9001</s:formula>
      <s:formula>0.9999</s:formula>
    </s:cfRule>
  </s:conditionalFormatting>
  <s:conditionalFormatting sqref="T37">
    <s:cfRule type="cellIs" dxfId="2" priority="406" operator="lessThan">
      <s:formula>0.9</s:formula>
    </s:cfRule>
  </s:conditionalFormatting>
  <s:conditionalFormatting sqref="T37">
    <s:cfRule type="cellIs" dxfId="3" priority="403" operator="between">
      <s:formula>0.85</s:formula>
      <s:formula>1</s:formula>
    </s:cfRule>
  </s:conditionalFormatting>
  <s:conditionalFormatting sqref="T33:T34">
    <s:cfRule type="cellIs" dxfId="4" priority="396" operator="between">
      <s:formula>0.9001</s:formula>
      <s:formula>0.9999</s:formula>
    </s:cfRule>
  </s:conditionalFormatting>
  <s:conditionalFormatting sqref="T33:T34">
    <s:cfRule type="cellIs" dxfId="2" priority="394" operator="lessThan">
      <s:formula>0.9</s:formula>
    </s:cfRule>
  </s:conditionalFormatting>
  <s:conditionalFormatting sqref="T33:T34">
    <s:cfRule type="cellIs" dxfId="3" priority="388" operator="between">
      <s:formula>0.85</s:formula>
      <s:formula>1</s:formula>
    </s:cfRule>
  </s:conditionalFormatting>
  <s:conditionalFormatting sqref="P10:Q10">
    <s:cfRule type="cellIs" dxfId="0" priority="353" operator="lessThan">
      <s:formula>0</s:formula>
    </s:cfRule>
  </s:conditionalFormatting>
  <s:conditionalFormatting sqref="J16">
    <s:cfRule type="cellIs" dxfId="1" priority="352" operator="greaterThan">
      <s:formula>0</s:formula>
    </s:cfRule>
  </s:conditionalFormatting>
  <s:conditionalFormatting sqref="J16">
    <s:cfRule type="cellIs" dxfId="2" priority="351" operator="lessThan">
      <s:formula>0</s:formula>
    </s:cfRule>
  </s:conditionalFormatting>
  <s:conditionalFormatting sqref="K10:K12 K15">
    <s:cfRule type="cellIs" dxfId="1" priority="350" operator="greaterThan">
      <s:formula>1</s:formula>
    </s:cfRule>
  </s:conditionalFormatting>
  <s:conditionalFormatting sqref="K10:K12 K15">
    <s:cfRule type="cellIs" dxfId="2" priority="349" operator="lessThan">
      <s:formula>1</s:formula>
    </s:cfRule>
  </s:conditionalFormatting>
  <s:conditionalFormatting sqref="T37:T45">
    <s:cfRule type="cellIs" dxfId="0" priority="348" operator="between">
      <s:formula>0.01</s:formula>
      <s:formula>0.99</s:formula>
    </s:cfRule>
  </s:conditionalFormatting>
  <s:conditionalFormatting sqref="T38:T45">
    <s:cfRule type="cellIs" dxfId="3" priority="347" operator="between">
      <s:formula>0.85</s:formula>
      <s:formula>1</s:formula>
    </s:cfRule>
  </s:conditionalFormatting>
  <s:conditionalFormatting sqref="T38:T46">
    <s:cfRule type="cellIs" dxfId="2" priority="345" operator="lessThan">
      <s:formula>0.9</s:formula>
    </s:cfRule>
  </s:conditionalFormatting>
  <s:conditionalFormatting sqref="T38:T46">
    <s:cfRule type="cellIs" dxfId="4" priority="344" operator="between">
      <s:formula>0.9001</s:formula>
      <s:formula>0.9999</s:formula>
    </s:cfRule>
  </s:conditionalFormatting>
  <s:conditionalFormatting sqref="M9:M15">
    <s:cfRule type="cellIs" dxfId="1" priority="341" operator="greaterThan">
      <s:formula>1</s:formula>
    </s:cfRule>
  </s:conditionalFormatting>
  <s:conditionalFormatting sqref="M9:M15">
    <s:cfRule type="cellIs" dxfId="2" priority="340" operator="lessThan">
      <s:formula>1</s:formula>
    </s:cfRule>
  </s:conditionalFormatting>
  <s:conditionalFormatting sqref="T25:T34">
    <s:cfRule type="cellIs" dxfId="0" priority="33" operator="between">
      <s:formula>0.01</s:formula>
      <s:formula>0.99</s:formula>
    </s:cfRule>
  </s:conditionalFormatting>
  <s:conditionalFormatting sqref="T25:T32">
    <s:cfRule type="cellIs" dxfId="3" priority="32" operator="between">
      <s:formula>0.85</s:formula>
      <s:formula>1</s:formula>
    </s:cfRule>
  </s:conditionalFormatting>
  <s:conditionalFormatting sqref="T25:T32">
    <s:cfRule type="cellIs" dxfId="2" priority="31" operator="lessThan">
      <s:formula>0.9</s:formula>
    </s:cfRule>
  </s:conditionalFormatting>
  <s:conditionalFormatting sqref="T25:T32">
    <s:cfRule type="cellIs" dxfId="4" priority="30" operator="between">
      <s:formula>0.9001</s:formula>
      <s:formula>0.9999</s:formula>
    </s:cfRule>
  </s:conditionalFormatting>
  <s:conditionalFormatting sqref="K20">
    <s:cfRule type="cellIs" dxfId="1" priority="24" operator="greaterThan">
      <s:formula>1</s:formula>
    </s:cfRule>
  </s:conditionalFormatting>
  <s:conditionalFormatting sqref="K20">
    <s:cfRule type="cellIs" dxfId="2" priority="23" operator="lessThan">
      <s:formula>1</s:formula>
    </s:cfRule>
  </s:conditionalFormatting>
  <s:conditionalFormatting sqref="T35:T36">
    <s:cfRule type="cellIs" dxfId="0" priority="21" operator="between">
      <s:formula>0.01</s:formula>
      <s:formula>0.99</s:formula>
    </s:cfRule>
  </s:conditionalFormatting>
  <s:conditionalFormatting sqref="T35:T36">
    <s:cfRule type="cellIs" dxfId="3" priority="20" operator="between">
      <s:formula>0.85</s:formula>
      <s:formula>1</s:formula>
    </s:cfRule>
  </s:conditionalFormatting>
  <s:conditionalFormatting sqref="T35:T36">
    <s:cfRule type="cellIs" dxfId="2" priority="17" operator="lessThan">
      <s:formula>0.9</s:formula>
    </s:cfRule>
  </s:conditionalFormatting>
  <s:conditionalFormatting sqref="T35:T36">
    <s:cfRule type="cellIs" dxfId="4" priority="16" operator="between">
      <s:formula>0.9001</s:formula>
      <s:formula>0.9999</s:formula>
    </s:cfRule>
  </s:conditionalFormatting>
  <s:conditionalFormatting sqref="T46:T47">
    <s:cfRule type="cellIs" dxfId="0" priority="11" operator="between">
      <s:formula>0.01</s:formula>
      <s:formula>0.99</s:formula>
    </s:cfRule>
  </s:conditionalFormatting>
  <s:conditionalFormatting sqref="T46:T47">
    <s:cfRule type="cellIs" dxfId="3" priority="10" operator="between">
      <s:formula>0.85</s:formula>
      <s:formula>1</s:formula>
    </s:cfRule>
  </s:conditionalFormatting>
  <s:conditionalFormatting sqref="T47">
    <s:cfRule type="cellIs" dxfId="2" priority="9" operator="lessThan">
      <s:formula>0.9</s:formula>
    </s:cfRule>
  </s:conditionalFormatting>
  <s:conditionalFormatting sqref="T47">
    <s:cfRule type="cellIs" dxfId="4" priority="8" operator="between">
      <s:formula>0.9001</s:formula>
      <s:formula>0.9999</s:formula>
    </s:cfRule>
  </s:conditionalFormatting>
  <s:conditionalFormatting sqref="S25:S47">
    <s:cfRule type="cellIs" dxfId="1" priority="5" operator="greaterThanOrEqual">
      <s:formula>0.25</s:formula>
    </s:cfRule>
  </s:conditionalFormatting>
  <s:conditionalFormatting sqref="S25:S47">
    <s:cfRule type="cellIs" dxfId="4" priority="4" operator="between">
      <s:formula>0.2</s:formula>
      <s:formula>0.25</s:formula>
    </s:cfRule>
  </s:conditionalFormatting>
  <s:conditionalFormatting sqref="S25:S47">
    <s:cfRule type="cellIs" dxfId="2" priority="3" operator="lessThan">
      <s:formula>0.2</s:formula>
    </s:cfRule>
  </s:conditionalFormatting>
  <s:conditionalFormatting sqref="T25:T47">
    <s:cfRule type="cellIs" dxfId="1" priority="2" operator="greaterThan">
      <s:formula>100</s:formula>
    </s:cfRule>
  </s:conditionalFormatting>
  <s:conditionalFormatting sqref="T25:T47">
    <s:cfRule type="cellIs" dxfId="1" priority="1" operator="greaterThan">
      <s:formula>1</s:formula>
    </s:cfRule>
  </s:conditionalFormatting>
  <s:conditionalFormatting sqref="J37">
    <s:cfRule type="cellIs" dxfId="2" priority="398" operator="lessThan">
      <s:formula>$I$12</s:formula>
    </s:cfRule>
  </s:conditionalFormatting>
  <s:conditionalFormatting sqref="J33:J34">
    <s:cfRule type="cellIs" dxfId="2" priority="378" operator="lessThan">
      <s:formula>$I$12</s:formula>
    </s:cfRule>
  </s:conditionalFormatting>
  <s:conditionalFormatting sqref="J25:J46">
    <s:cfRule type="cellIs" dxfId="1" priority="15" operator="greaterThan">
      <s:formula>$I$12</s:formula>
    </s:cfRule>
  </s:conditionalFormatting>
  <s:conditionalFormatting sqref="J25:J36">
    <s:cfRule type="cellIs" dxfId="2" priority="14" operator="lessThan">
      <s:formula>$I$12</s:formula>
    </s:cfRule>
  </s:conditionalFormatting>
  <s:conditionalFormatting sqref="J47">
    <s:cfRule type="cellIs" dxfId="1" priority="7" operator="greaterThan">
      <s:formula>$I$12</s:formula>
    </s:cfRule>
  </s:conditionalFormatting>
  <s:conditionalFormatting sqref="J38:J47">
    <s:cfRule type="cellIs" dxfId="2" priority="6" operator="lessThan">
      <s:formula>$I$12</s:formula>
    </s:cfRule>
  </s:conditionalFormatting>
  <s:dataValidations count="3">
    <s:dataValidation type="decimal" sqref="I41" vyd:viewType="arrow" mc:Ignorable="vyd">
      <s:formula1>0</s:formula1>
      <s:formula2>10000000000000000</s:formula2>
    </s:dataValidation>
    <s:dataValidation type="decimal" sqref="L10:L11 I14 I8:J13" vyd:viewType="arrow" mc:Ignorable="vyd">
      <s:formula1>0</s:formula1>
      <s:formula2>1000000000000000</s:formula2>
    </s:dataValidation>
    <s:dataValidation type="date" sqref="B41" vyd:viewType="arrow" mc:Ignorable="vyd">
      <s:formula1>40544</s:formula1>
      <s:formula2>73051</s:formula2>
    </s:dataValidation>
  </s:dataValidations>
  <s:printOptions headings="0" gridLines="1"/>
  <s:pageMargins left="0.7" right="0.7" top="0.75" bottom="0.75" header="0.512" footer="0.512"/>
  <s:pageSetup paperSize="9" scale="100" firstPageNumber="0" fitToWidth="1" fitToHeight="0" pageOrder="downThenOver" orientation="landscape" usePrinterDefaults="1" blackAndWhite="0" draft="0" cellComments="none" useFirstPageNumber="0" errors="displayed" horizontalDpi="300" verticalDpi="300" copies="1"/>
  <s:headerFooter/>
  <s:drawing r:id="rId1"/>
  <s:extLst>
    <s:ext uri="{CCE6A557-97BC-4b89-ADB6-D9C93CAAB3DF}">
      <x14:dataValidations disablePrompts="0" count="0"/>
    </s:ext>
  </s:extLst>
</s:worksheet>
</file>

<file path=xl/worksheets/sheet11.xml><?xml version="1.0" encoding="utf-8"?>
<s:worksheet xmlns:x14ac="http://schemas.microsoft.com/office/spreadsheetml/2009/9/ac" xmlns:mc="http://schemas.openxmlformats.org/markup-compatibility/2006" xmlns:s="http://schemas.openxmlformats.org/spreadsheetml/2006/main" mc:Ignorable="x14ac">
  <s:sheetPr>
    <s:tabColor rgb="FFDBDBDB"/>
    <s:outlinePr applyStyles="0" summaryBelow="1" summaryRight="1" showOutlineSymbols="1"/>
    <s:pageSetUpPr autoPageBreaks="1" fitToPage="0"/>
  </s:sheetPr>
  <s:sheetViews>
    <s:sheetView tabSelected="0" zoomScale="92" workbookViewId="0">
      <s:selection activeCell="D8" activeCellId="0" sqref="D8:E8"/>
    </s:sheetView>
  </s:sheetViews>
  <s:sheetFormatPr baseColWidth="10" defaultColWidth="11.5" defaultRowHeight="14.25"/>
  <s:cols>
    <s:col min="1" max="1" width="4.5" style="1" customWidth="1"/>
    <s:col min="2" max="2" width="11.664" style="1" customWidth="1"/>
    <s:col min="3" max="3" width="17" style="1" customWidth="1"/>
    <s:col min="4" max="6" width="11.5" style="1"/>
    <s:col min="7" max="7" width="12.664" style="1" customWidth="1"/>
    <s:col min="8" max="8" width="12.5" style="1" customWidth="1"/>
    <s:col min="9" max="10" width="17.164" style="1" customWidth="1"/>
    <s:col min="11" max="11" width="15.832" style="1" customWidth="1"/>
    <s:col min="12" max="12" width="17.164" style="1" customWidth="1"/>
    <s:col min="13" max="13" width="17.332" style="1" customWidth="1"/>
    <s:col min="14" max="14" width="18.5" customWidth="1"/>
  </s:cols>
  <s:sheetData>
    <s:row r="1" ht="21" customHeight="1">
      <s:c r="A1" s="484" t="str">
        <s:f>График!B1</s:f>
        <s:v>Январь, 2026</s:v>
      </s:c>
      <s:c r="B1" s="485"/>
      <s:c r="C1" s="485"/>
      <s:c r="D1" s="486"/>
      <s:c r="E1" s="487"/>
      <s:c r="F1" s="488"/>
      <s:c r="G1" s="488"/>
      <s:c r="H1" s="488"/>
      <s:c r="I1" s="488"/>
      <s:c r="J1" s="488"/>
      <s:c r="K1" s="488"/>
      <s:c r="L1" s="488"/>
      <s:c r="M1" s="488"/>
      <s:c r="N1" s="489"/>
    </s:row>
    <s:row r="2" ht="21" customHeight="1">
      <s:c r="A2" s="490" t="str">
        <s:f>График!B3</s:f>
        <s:v>ул. Севастопольская, 62</s:v>
      </s:c>
      <s:c r="B2" s="491"/>
      <s:c r="C2" s="492"/>
      <s:c r="D2" s="493" t="str">
        <s:f>График!B4</s:f>
        <s:v>GL-0004</s:v>
      </s:c>
      <s:c r="E2" s="494"/>
      <s:c r="F2" s="495"/>
      <s:c r="G2" s="495"/>
      <s:c r="H2" s="495"/>
      <s:c r="I2" s="495"/>
      <s:c r="J2" s="495"/>
      <s:c r="K2" s="496"/>
      <s:c r="L2" s="496"/>
      <s:c r="M2" s="495"/>
      <s:c r="N2" s="497"/>
    </s:row>
    <s:row r="3" ht="63.75">
      <s:c r="A3" s="498" t="s">
        <s:v>28</s:v>
      </s:c>
      <s:c r="B3" s="498"/>
      <s:c r="C3" s="498"/>
      <s:c r="D3" s="498" t="s">
        <s:v>106</s:v>
      </s:c>
      <s:c r="E3" s="499" t="s">
        <s:v>107</s:v>
      </s:c>
      <s:c r="F3" s="500" t="s">
        <s:v>108</s:v>
      </s:c>
      <s:c r="G3" s="501" t="s">
        <s:v>109</s:v>
      </s:c>
      <s:c r="H3" s="502" t="s">
        <s:v>110</s:v>
      </s:c>
      <s:c r="I3" s="502" t="s">
        <s:v>111</s:v>
      </s:c>
      <s:c r="J3" s="503" t="s">
        <s:v>112</s:v>
      </s:c>
      <s:c r="K3" s="504" t="s">
        <s:v>88</s:v>
      </s:c>
      <s:c r="L3" s="505" t="s">
        <s:v>113</s:v>
      </s:c>
      <s:c r="M3" s="500" t="s">
        <s:v>114</s:v>
      </s:c>
      <s:c r="N3" s="506" t="s">
        <s:v>115</s:v>
      </s:c>
    </s:row>
    <s:row r="4" s="507" customFormat="1" ht="20" customHeight="1">
      <s:c r="A4" s="508" t="str">
        <s:f>График!B26</s:f>
        <s:v>Козлова Валерия</s:v>
      </s:c>
      <s:c r="B4" s="508"/>
      <s:c r="C4" s="508"/>
      <s:c r="D4" s="509"/>
      <s:c r="E4" s="510"/>
      <s:c r="F4" s="511">
        <s:f>H8+H9</s:f>
        <s:v>0</s:v>
      </s:c>
      <s:c r="G4" s="512">
        <s:f>D13</s:f>
        <s:v>18300</s:v>
      </s:c>
      <s:c r="H4" s="509">
        <s:f>D21</s:f>
        <s:v>13141.548999999999</s:v>
      </s:c>
      <s:c r="I4" s="509">
        <s:f>M21</s:f>
        <s:v>9264.0980903914588</s:v>
      </s:c>
      <s:c r="J4" s="513">
        <s:f>M13</s:f>
        <s:v>0</s:v>
      </s:c>
      <s:c r="K4" s="514">
        <s:f>H4+J4+G4+F4+I4</s:f>
        <s:v>40705.64709039146</s:v>
      </s:c>
      <s:c r="L4" s="515">
        <s:f>C8+C9</s:f>
        <s:v>0</s:v>
      </s:c>
      <s:c r="M4" s="511">
        <s:f>K4-L4-D4-E4</s:f>
        <s:v>40705.64709039146</s:v>
      </s:c>
      <s:c r="N4" s="511"/>
    </s:row>
    <s:row r="5">
      <s:c r="A5" s="516"/>
      <s:c r="B5" s="517"/>
      <s:c r="C5" s="518"/>
      <s:c r="D5" s="518"/>
      <s:c r="E5" s="518"/>
      <s:c r="F5" s="518"/>
      <s:c r="G5" s="518"/>
      <s:c r="H5" s="518"/>
      <s:c r="I5" s="518"/>
      <s:c r="J5" s="518"/>
      <s:c r="K5" s="519"/>
      <s:c r="L5" s="518"/>
      <s:c r="M5" s="520"/>
      <s:c r="N5" s="521"/>
    </s:row>
    <s:row r="6">
      <s:c r="A6" s="516"/>
      <s:c r="B6" s="517" t="s">
        <s:v>113</s:v>
      </s:c>
      <s:c r="C6" s="518"/>
      <s:c r="D6" s="518"/>
      <s:c r="E6" s="518"/>
      <s:c r="F6" s="518"/>
      <s:c r="G6" s="517" t="s">
        <s:v>116</s:v>
      </s:c>
      <s:c r="H6" s="518"/>
      <s:c r="I6" s="518"/>
      <s:c r="J6" s="518"/>
      <s:c r="K6" s="518"/>
      <s:c r="L6" s="518"/>
      <s:c r="M6" s="520"/>
      <s:c r="N6" s="521"/>
    </s:row>
    <s:row r="7" ht="16" customHeight="1">
      <s:c r="A7" s="522"/>
      <s:c r="B7" s="523" t="s">
        <s:v>29</s:v>
      </s:c>
      <s:c r="C7" s="523" t="s">
        <s:v>117</s:v>
      </s:c>
      <s:c r="D7" s="523" t="s">
        <s:v>118</s:v>
      </s:c>
      <s:c r="E7" s="523"/>
      <s:c r="F7" s="524"/>
      <s:c r="G7" s="523" t="s">
        <s:v>29</s:v>
      </s:c>
      <s:c r="H7" s="523" t="s">
        <s:v>117</s:v>
      </s:c>
      <s:c r="I7" s="523"/>
      <s:c r="J7" s="523" t="s">
        <s:v>118</s:v>
      </s:c>
      <s:c r="K7" s="523"/>
      <s:c r="L7" s="524"/>
      <s:c r="M7" s="525"/>
      <s:c r="N7" s="526"/>
    </s:row>
    <s:row r="8" ht="18" customHeight="1">
      <s:c r="A8" s="527"/>
      <s:c r="B8" s="528">
        <s:v>46022</s:v>
      </s:c>
      <s:c r="C8" s="529"/>
      <s:c r="D8" s="530" t="s">
        <s:v>119</s:v>
      </s:c>
      <s:c r="E8" s="530"/>
      <s:c r="F8" s="518"/>
      <s:c r="G8" s="528"/>
      <s:c r="H8" s="531"/>
      <s:c r="I8" s="531"/>
      <s:c r="J8" s="530"/>
      <s:c r="K8" s="530"/>
      <s:c r="L8" s="518"/>
      <s:c r="M8" s="520"/>
      <s:c r="N8" s="521"/>
    </s:row>
    <s:row r="9" ht="26" customHeight="1">
      <s:c r="A9" s="516"/>
      <s:c r="B9" s="528">
        <s:v>46053</s:v>
      </s:c>
      <s:c r="C9" s="529"/>
      <s:c r="D9" s="530" t="s">
        <s:v>120</s:v>
      </s:c>
      <s:c r="E9" s="530"/>
      <s:c r="F9" s="518"/>
      <s:c r="G9" s="528"/>
      <s:c r="H9" s="531"/>
      <s:c r="I9" s="531"/>
      <s:c r="J9" s="530"/>
      <s:c r="K9" s="530"/>
      <s:c r="L9" s="518"/>
      <s:c r="M9" s="520"/>
      <s:c r="N9" s="521"/>
    </s:row>
    <s:row r="10" ht="19" customHeight="1">
      <s:c r="A10" s="532"/>
      <s:c r="B10" s="533"/>
      <s:c r="C10" s="534"/>
      <s:c r="D10" s="535"/>
      <s:c r="E10" s="535"/>
      <s:c r="F10" s="536"/>
      <s:c r="G10" s="518"/>
      <s:c r="H10" s="518"/>
      <s:c r="I10" s="518"/>
      <s:c r="J10" s="518"/>
      <s:c r="K10" s="518"/>
      <s:c r="L10" s="518"/>
      <s:c r="M10" s="520"/>
      <s:c r="N10" s="521"/>
    </s:row>
    <s:row r="11" ht="19" customHeight="1">
      <s:c r="A11" s="532"/>
      <s:c r="B11" s="537"/>
      <s:c r="C11" s="538"/>
      <s:c r="D11" s="539"/>
      <s:c r="E11" s="539"/>
      <s:c r="F11" s="536"/>
      <s:c r="G11" s="518"/>
      <s:c r="H11" s="518"/>
      <s:c r="I11" s="518"/>
      <s:c r="J11" s="518"/>
      <s:c r="K11" s="518"/>
      <s:c r="L11" s="518"/>
      <s:c r="M11" s="520"/>
      <s:c r="N11" s="521"/>
    </s:row>
    <s:row r="12">
      <s:c r="A12" s="516"/>
      <s:c r="B12" s="540"/>
      <s:c r="C12" s="541"/>
      <s:c r="D12" s="542"/>
      <s:c r="E12" s="542"/>
      <s:c r="F12" s="518"/>
      <s:c r="G12" s="518"/>
      <s:c r="H12" s="518"/>
      <s:c r="I12" s="518"/>
      <s:c r="J12" s="518"/>
      <s:c r="K12" s="518"/>
      <s:c r="L12" s="518"/>
      <s:c r="M12" s="520"/>
      <s:c r="N12" s="521"/>
    </s:row>
    <s:row r="13">
      <s:c r="A13" s="543" t="s">
        <s:v>121</s:v>
      </s:c>
      <s:c r="B13" s="544"/>
      <s:c r="C13" s="544"/>
      <s:c r="D13" s="545">
        <s:f>G17+G19+G18</s:f>
        <s:v>18300</s:v>
      </s:c>
      <s:c r="E13" s="546"/>
      <s:c r="F13" s="547"/>
      <s:c r="G13" s="544"/>
      <s:c r="H13" s="544"/>
      <s:c r="I13" s="548" t="s">
        <s:v>122</s:v>
      </s:c>
      <s:c r="J13" s="544"/>
      <s:c r="K13" s="544"/>
      <s:c r="L13" s="544"/>
      <s:c r="M13" s="549">
        <s:f>K17+K19+K18</s:f>
        <s:v>0</s:v>
      </s:c>
      <s:c r="N13" s="550"/>
    </s:row>
    <s:row r="14">
      <s:c r="A14" s="516"/>
      <s:c r="B14" s="517"/>
      <s:c r="C14" s="518"/>
      <s:c r="D14" s="551"/>
      <s:c r="E14" s="551"/>
      <s:c r="F14" s="518"/>
      <s:c r="G14" s="518"/>
      <s:c r="H14" s="518"/>
      <s:c r="I14" s="518"/>
      <s:c r="J14" s="518"/>
      <s:c r="K14" s="520"/>
      <s:c r="L14" s="520"/>
      <s:c r="M14" s="520"/>
      <s:c r="N14" s="521"/>
    </s:row>
    <s:row r="15">
      <s:c r="A15" s="552"/>
      <s:c r="B15" s="553" t="s">
        <s:v>121</s:v>
      </s:c>
      <s:c r="C15" s="551"/>
      <s:c r="D15" s="551"/>
      <s:c r="E15" s="551"/>
      <s:c r="F15" s="551"/>
      <s:c r="G15" s="551"/>
      <s:c r="H15" s="551"/>
      <s:c r="I15" s="554" t="s">
        <s:v>112</s:v>
      </s:c>
      <s:c r="J15" s="555"/>
      <s:c r="K15" s="555"/>
      <s:c r="L15" s="556"/>
      <s:c r="M15" s="556"/>
      <s:c r="N15" s="557"/>
    </s:row>
    <s:row r="16" ht="21">
      <s:c r="A16" s="552"/>
      <s:c r="B16" s="558" t="s">
        <s:v>123</s:v>
      </s:c>
      <s:c r="C16" s="558" t="s">
        <s:v>124</s:v>
      </s:c>
      <s:c r="D16" s="558" t="s">
        <s:v>125</s:v>
      </s:c>
      <s:c r="E16" s="558" t="s">
        <s:v>126</s:v>
      </s:c>
      <s:c r="F16" s="558" t="s">
        <s:v>127</s:v>
      </s:c>
      <s:c r="G16" s="558" t="s">
        <s:v>128</s:v>
      </s:c>
      <s:c r="H16" s="551"/>
      <s:c r="I16" s="558" t="s">
        <s:v>124</s:v>
      </s:c>
      <s:c r="J16" s="558" t="s">
        <s:v>129</s:v>
      </s:c>
      <s:c r="K16" s="558" t="s">
        <s:v>130</s:v>
      </s:c>
      <s:c r="L16" s="556"/>
      <s:c r="M16" s="556"/>
      <s:c r="N16" s="557"/>
    </s:row>
    <s:row r="17" ht="17" customHeight="1">
      <s:c r="A17" s="516"/>
      <s:c r="B17" s="559">
        <s:f>График!AI26</s:f>
        <s:v>19</s:v>
      </s:c>
      <s:c r="C17" s="560" t="str">
        <s:f>A2</s:f>
        <s:v>ул. Севастопольская, 62</s:v>
      </s:c>
      <s:c r="D17" s="560" t="s">
        <s:v>131</s:v>
      </s:c>
      <s:c r="E17" s="561">
        <s:f>График!AJ26</s:f>
        <s:v>183</s:v>
      </s:c>
      <s:c r="F17" s="562">
        <s:v>100</s:v>
      </s:c>
      <s:c r="G17" s="563">
        <s:f validation_="true">E17*F17</s:f>
        <s:v>18300</s:v>
      </s:c>
      <s:c r="H17" s="564"/>
      <s:c r="I17" s="518" t="str">
        <s:f>C17</s:f>
        <s:v>ул. Севастопольская, 62</s:v>
      </s:c>
      <s:c r="J17" s="565">
        <s:f>Центрум!K8</s:f>
        <s:v>0.74142872481262578</s:v>
      </s:c>
      <s:c r="K17" s="562"/>
      <s:c r="L17" s="520"/>
      <s:c r="M17" s="520"/>
      <s:c r="N17" s="521"/>
    </s:row>
    <s:row r="18" ht="17" customHeight="1">
      <s:c r="A18" s="566"/>
      <s:c r="B18" s="567"/>
      <s:c r="C18" s="568"/>
      <s:c r="D18" s="560"/>
      <s:c r="E18" s="569"/>
      <s:c r="F18" s="562"/>
      <s:c r="G18" s="563">
        <s:f validation_="true">E18*F18</s:f>
        <s:v>0</s:v>
      </s:c>
      <s:c r="H18" s="570"/>
      <s:c r="I18" s="530"/>
      <s:c r="J18" s="571"/>
      <s:c r="K18" s="562"/>
      <s:c r="L18" s="555"/>
      <s:c r="M18" s="555"/>
      <s:c r="N18" s="572"/>
    </s:row>
    <s:row r="19" ht="17" customHeight="1">
      <s:c r="A19" s="573"/>
      <s:c r="B19" s="574"/>
      <s:c r="C19" s="568"/>
      <s:c r="D19" s="568"/>
      <s:c r="E19" s="575"/>
      <s:c r="F19" s="576"/>
      <s:c r="G19" s="577"/>
      <s:c r="H19" s="578"/>
      <s:c r="I19" s="579"/>
      <s:c r="J19" s="580"/>
      <s:c r="K19" s="576"/>
      <s:c r="L19" s="556"/>
      <s:c r="M19" s="556"/>
      <s:c r="N19" s="557"/>
    </s:row>
    <s:row r="20">
      <s:c r="A20" s="552"/>
      <s:c r="B20" s="551"/>
      <s:c r="C20" s="581"/>
      <s:c r="D20" s="518"/>
      <s:c r="E20" s="582"/>
      <s:c r="F20" s="582"/>
      <s:c r="G20" s="583"/>
      <s:c r="H20" s="551"/>
      <s:c r="I20" s="551"/>
      <s:c r="J20" s="551"/>
      <s:c r="K20" s="551"/>
      <s:c r="L20" s="556"/>
      <s:c r="M20" s="556"/>
      <s:c r="N20" s="557"/>
    </s:row>
    <s:row r="21" ht="19" customHeight="1">
      <s:c r="A21" s="543" t="s">
        <s:v>132</s:v>
      </s:c>
      <s:c r="B21" s="544"/>
      <s:c r="C21" s="544"/>
      <s:c r="D21" s="584">
        <s:f>G26+G27+G28</s:f>
        <s:v>13141.548999999999</s:v>
      </s:c>
      <s:c r="E21" s="585"/>
      <s:c r="F21" s="547"/>
      <s:c r="G21" s="547"/>
      <s:c r="H21" s="547"/>
      <s:c r="I21" s="544" t="s">
        <s:v>111</s:v>
      </s:c>
      <s:c r="J21" s="547"/>
      <s:c r="K21" s="547"/>
      <s:c r="L21" s="547"/>
      <s:c r="M21" s="584">
        <s:f>N26+N27+N28</s:f>
        <s:v>9264.0980903914588</s:v>
      </s:c>
      <s:c r="N21" s="550"/>
    </s:row>
    <s:row r="22">
      <s:c r="A22" s="586"/>
      <s:c r="B22" s="517"/>
      <s:c r="C22" s="520"/>
      <s:c r="D22" s="520"/>
      <s:c r="E22" s="520"/>
      <s:c r="F22" s="520"/>
      <s:c r="G22" s="520"/>
      <s:c r="H22" s="520"/>
      <s:c r="I22" s="520"/>
      <s:c r="J22" s="520"/>
      <s:c r="K22" s="587"/>
      <s:c r="L22" s="206"/>
      <s:c r="M22" s="206"/>
      <s:c r="N22" s="588"/>
    </s:row>
    <s:row r="23">
      <s:c r="A23" s="586"/>
      <s:c r="B23" s="518"/>
      <s:c r="C23" s="517"/>
      <s:c r="D23" s="520"/>
      <s:c r="E23" s="520"/>
      <s:c r="F23" s="520"/>
      <s:c r="G23" s="520"/>
      <s:c r="H23" s="520"/>
      <s:c r="I23" s="520"/>
      <s:c r="J23" s="520"/>
      <s:c r="K23" s="520"/>
      <s:c r="L23" s="520"/>
      <s:c r="M23" s="520"/>
      <s:c r="N23" s="521"/>
    </s:row>
    <s:row r="24" ht="28" customHeight="1">
      <s:c r="A24" s="589"/>
      <s:c r="B24" s="590" t="s">
        <s:v>133</s:v>
      </s:c>
      <s:c r="C24" s="590"/>
      <s:c r="D24" s="591"/>
      <s:c r="E24" s="591"/>
      <s:c r="F24" s="591"/>
      <s:c r="G24" s="591"/>
      <s:c r="H24" s="555"/>
      <s:c r="I24" s="590" t="s">
        <s:v>134</s:v>
      </s:c>
      <s:c r="J24" s="590"/>
      <s:c r="K24" s="591"/>
      <s:c r="L24" s="591"/>
      <s:c r="M24" s="591"/>
      <s:c r="N24" s="592"/>
    </s:row>
    <s:row r="25" ht="31.5">
      <s:c r="A25" s="593"/>
      <s:c r="B25" s="558" t="s">
        <s:v>28</s:v>
      </s:c>
      <s:c r="C25" s="594" t="s">
        <s:v>124</s:v>
      </s:c>
      <s:c r="D25" s="595"/>
      <s:c r="E25" s="558" t="s">
        <s:v>135</s:v>
      </s:c>
      <s:c r="F25" s="558" t="s">
        <s:v>136</s:v>
      </s:c>
      <s:c r="G25" s="596" t="s">
        <s:v>137</s:v>
      </s:c>
      <s:c r="H25" s="551"/>
      <s:c r="I25" s="558" t="s">
        <s:v>28</s:v>
      </s:c>
      <s:c r="J25" s="551" t="s">
        <s:v>124</s:v>
      </s:c>
      <s:c r="K25" s="558" t="s">
        <s:v>138</s:v>
      </s:c>
      <s:c r="L25" s="551" t="s">
        <s:v>139</s:v>
      </s:c>
      <s:c r="M25" s="558" t="s">
        <s:v>135</s:v>
      </s:c>
      <s:c r="N25" s="597" t="s">
        <s:v>137</s:v>
      </s:c>
    </s:row>
    <s:row r="26" ht="20" customHeight="1">
      <s:c r="A26" s="598"/>
      <s:c r="B26" s="560" t="str">
        <s:f>A4</s:f>
        <s:v>Козлова Валерия</s:v>
      </s:c>
      <s:c r="C26" s="599" t="str">
        <s:f>A2</s:f>
        <s:v>ул. Севастопольская, 62</s:v>
      </s:c>
      <s:c r="D26" s="600"/>
      <s:c r="E26" s="565">
        <s:v>0.050000000000000003</s:v>
      </s:c>
      <s:c r="F26" s="601">
        <s:f>'Козлова В. Э.'!J8</s:f>
        <s:v>262830.97999999998</s:v>
      </s:c>
      <s:c r="G26" s="602">
        <s:f>F26*E26</s:f>
        <s:v>13141.548999999999</s:v>
      </s:c>
      <s:c r="H26" s="542"/>
      <s:c r="I26" s="603" t="str">
        <s:f>B26</s:f>
        <s:v>Козлова Валерия</s:v>
      </s:c>
      <s:c r="J26" s="604" t="str">
        <s:f>C26</s:f>
        <s:v>ул. Севастопольская, 62</s:v>
      </s:c>
      <s:c r="K26" s="605">
        <s:f>E17</s:f>
        <s:v>183</s:v>
      </s:c>
      <s:c r="L26" s="606">
        <s:f>График!AJ29</s:f>
        <s:v>562</s:v>
      </s:c>
      <s:c r="M26" s="607">
        <s:v>0.02</s:v>
      </s:c>
      <s:c r="N26" s="608">
        <s:f>Центрум!J8*M26*K26/L26</s:f>
        <s:v>9264.0980903914588</s:v>
      </s:c>
    </s:row>
    <s:row r="27" ht="20" customHeight="1">
      <s:c r="A27" s="593"/>
      <s:c r="B27" s="560"/>
      <s:c r="C27" s="609"/>
      <s:c r="D27" s="610"/>
      <s:c r="E27" s="565"/>
      <s:c r="F27" s="611"/>
      <s:c r="G27" s="612"/>
      <s:c r="H27" s="613"/>
      <s:c r="I27" s="603"/>
      <s:c r="J27" s="614"/>
      <s:c r="K27" s="615"/>
      <s:c r="L27" s="616"/>
      <s:c r="M27" s="565"/>
      <s:c r="N27" s="608"/>
    </s:row>
    <s:row r="28" ht="20" customHeight="1">
      <s:c r="A28" s="617"/>
      <s:c r="B28" s="618"/>
      <s:c r="C28" s="619"/>
      <s:c r="D28" s="620"/>
      <s:c r="E28" s="621"/>
      <s:c r="F28" s="622"/>
      <s:c r="G28" s="623"/>
      <s:c r="H28" s="624"/>
      <s:c r="I28" s="625"/>
      <s:c r="J28" s="624"/>
      <s:c r="K28" s="626"/>
      <s:c r="L28" s="624"/>
      <s:c r="M28" s="627"/>
      <s:c r="N28" s="628"/>
    </s:row>
  </s:sheetData>
  <s:mergeCells count="20">
    <s:mergeCell ref="A1:D1"/>
    <s:mergeCell ref="A2:C2"/>
    <s:mergeCell ref="A3:C3"/>
    <s:mergeCell ref="A4:C4"/>
    <s:mergeCell ref="D7:E7"/>
    <s:mergeCell ref="H7:I7"/>
    <s:mergeCell ref="J7:K7"/>
    <s:mergeCell ref="D8:E8"/>
    <s:mergeCell ref="H8:I8"/>
    <s:mergeCell ref="J8:K8"/>
    <s:mergeCell ref="D9:E9"/>
    <s:mergeCell ref="H9:I9"/>
    <s:mergeCell ref="J9:K9"/>
    <s:mergeCell ref="D10:E10"/>
    <s:mergeCell ref="D11:E11"/>
    <s:mergeCell ref="B24:C24"/>
    <s:mergeCell ref="C25:D25"/>
    <s:mergeCell ref="C26:D26"/>
    <s:mergeCell ref="C27:D27"/>
    <s:mergeCell ref="C28:D28"/>
  </s:mergeCells>
  <s:printOptions headings="0" gridLines="0"/>
  <s:pageMargins left="0.7" right="0.7" top="0.75" bottom="0.75" header="0.3" footer="0.3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</s:worksheet>
</file>

<file path=xl/worksheets/sheet12.xml><?xml version="1.0" encoding="utf-8"?>
<s:worksheet xmlns:x14ac="http://schemas.microsoft.com/office/spreadsheetml/2009/9/ac" xmlns:mc="http://schemas.openxmlformats.org/markup-compatibility/2006" xmlns:s="http://schemas.openxmlformats.org/spreadsheetml/2006/main" mc:Ignorable="x14ac">
  <s:sheetPr>
    <s:tabColor rgb="FFDBDBDB"/>
    <s:outlinePr applyStyles="0" summaryBelow="1" summaryRight="1" showOutlineSymbols="1"/>
    <s:pageSetUpPr autoPageBreaks="1" fitToPage="0"/>
  </s:sheetPr>
  <s:sheetViews>
    <s:sheetView tabSelected="0" zoomScale="92" workbookViewId="0">
      <s:selection activeCell="H11" activeCellId="0" sqref="H11"/>
    </s:sheetView>
  </s:sheetViews>
  <s:sheetFormatPr baseColWidth="10" defaultColWidth="11.5" defaultRowHeight="14.25"/>
  <s:cols>
    <s:col min="1" max="1" width="2.664" style="1" customWidth="1"/>
    <s:col min="2" max="2" width="11.664" style="1" customWidth="1"/>
    <s:col min="3" max="3" width="16.5" style="1" customWidth="1"/>
    <s:col min="4" max="6" width="11.5" style="1"/>
    <s:col min="7" max="7" width="12.664" style="1" customWidth="1"/>
    <s:col min="8" max="8" width="11.5" style="1" customWidth="1"/>
    <s:col min="9" max="9" width="15.5" style="1" customWidth="1"/>
    <s:col min="10" max="10" width="17.164" style="1" customWidth="1"/>
    <s:col min="11" max="11" width="14.5" style="1" customWidth="1"/>
    <s:col min="12" max="12" width="15" style="1" customWidth="1"/>
    <s:col min="13" max="13" width="14.832" style="1" customWidth="1"/>
    <s:col min="14" max="14" width="15.332" customWidth="1"/>
  </s:cols>
  <s:sheetData>
    <s:row r="1" ht="18" customHeight="1">
      <s:c r="A1" s="484" t="str">
        <s:f>График!B1</s:f>
        <s:v>Январь, 2026</s:v>
      </s:c>
      <s:c r="B1" s="485"/>
      <s:c r="C1" s="485"/>
      <s:c r="D1" s="486"/>
      <s:c r="E1" s="487"/>
      <s:c r="F1" s="488"/>
      <s:c r="G1" s="488"/>
      <s:c r="H1" s="488"/>
      <s:c r="I1" s="488"/>
      <s:c r="J1" s="488"/>
      <s:c r="K1" s="488"/>
      <s:c r="L1" s="488"/>
      <s:c r="M1" s="488"/>
      <s:c r="N1" s="489"/>
    </s:row>
    <s:row r="2" ht="19" customHeight="1">
      <s:c r="A2" s="490" t="str">
        <s:f>График!B3</s:f>
        <s:v>ул. Севастопольская, 62</s:v>
      </s:c>
      <s:c r="B2" s="491"/>
      <s:c r="C2" s="492"/>
      <s:c r="D2" s="493" t="str">
        <s:f>График!B4</s:f>
        <s:v>GL-0004</s:v>
      </s:c>
      <s:c r="E2" s="629"/>
      <s:c r="F2" s="495"/>
      <s:c r="G2" s="495"/>
      <s:c r="H2" s="495"/>
      <s:c r="I2" s="495"/>
      <s:c r="J2" s="495"/>
      <s:c r="K2" s="495"/>
      <s:c r="L2" s="495"/>
      <s:c r="M2" s="495"/>
      <s:c r="N2" s="630"/>
    </s:row>
    <s:row r="3" ht="63.75">
      <s:c r="A3" s="631" t="s">
        <s:v>28</s:v>
      </s:c>
      <s:c r="B3" s="632"/>
      <s:c r="C3" s="633"/>
      <s:c r="D3" s="504" t="s">
        <s:v>106</s:v>
      </s:c>
      <s:c r="E3" s="505" t="s">
        <s:v>107</s:v>
      </s:c>
      <s:c r="F3" s="500" t="s">
        <s:v>108</s:v>
      </s:c>
      <s:c r="G3" s="501" t="s">
        <s:v>109</s:v>
      </s:c>
      <s:c r="H3" s="502" t="s">
        <s:v>110</s:v>
      </s:c>
      <s:c r="I3" s="502" t="s">
        <s:v>111</s:v>
      </s:c>
      <s:c r="J3" s="503" t="s">
        <s:v>112</s:v>
      </s:c>
      <s:c r="K3" s="634" t="s">
        <s:v>88</s:v>
      </s:c>
      <s:c r="L3" s="635" t="s">
        <s:v>113</s:v>
      </s:c>
      <s:c r="M3" s="500" t="s">
        <s:v>114</s:v>
      </s:c>
      <s:c r="N3" s="636" t="s">
        <s:v>115</s:v>
      </s:c>
    </s:row>
    <s:row r="4" ht="20" customHeight="1">
      <s:c r="A4" s="637" t="str">
        <s:f>График!B27</s:f>
        <s:v>Свидовская София</s:v>
      </s:c>
      <s:c r="B4" s="638"/>
      <s:c r="C4" s="639"/>
      <s:c r="D4" s="640"/>
      <s:c r="E4" s="641"/>
      <s:c r="F4" s="642">
        <s:f>H8+H9</s:f>
        <s:v>0</s:v>
      </s:c>
      <s:c r="G4" s="643">
        <s:f>D13</s:f>
        <s:v>10400</s:v>
      </s:c>
      <s:c r="H4" s="644">
        <s:f>D20</s:f>
        <s:v>13401.150000000001</s:v>
      </s:c>
      <s:c r="I4" s="644">
        <s:f>M20</s:f>
        <s:v>5264.8426306049823</s:v>
      </s:c>
      <s:c r="J4" s="645">
        <s:f>M13</s:f>
        <s:v>0</s:v>
      </s:c>
      <s:c r="K4" s="646">
        <s:f>H4+J4+G4+F4+I4</s:f>
        <s:v>29065.992630604982</s:v>
      </s:c>
      <s:c r="L4" s="647">
        <s:f>C8+C9+C10+C11</s:f>
        <s:v>0</s:v>
      </s:c>
      <s:c r="M4" s="642">
        <s:f>K4-L4-D4-E4</s:f>
        <s:v>29065.992630604982</s:v>
      </s:c>
      <s:c r="N4" s="648"/>
    </s:row>
    <s:row r="5">
      <s:c r="A5" s="516"/>
      <s:c r="B5" s="517"/>
      <s:c r="C5" s="518"/>
      <s:c r="D5" s="518"/>
      <s:c r="E5" s="518"/>
      <s:c r="F5" s="518"/>
      <s:c r="G5" s="518"/>
      <s:c r="H5" s="518"/>
      <s:c r="I5" s="518"/>
      <s:c r="J5" s="518"/>
      <s:c r="K5" s="519"/>
      <s:c r="L5" s="518"/>
      <s:c r="M5" s="520"/>
      <s:c r="N5" s="521"/>
    </s:row>
    <s:row r="6">
      <s:c r="A6" s="516"/>
      <s:c r="B6" s="649" t="s">
        <s:v>113</s:v>
      </s:c>
      <s:c r="C6" s="650"/>
      <s:c r="D6" s="650"/>
      <s:c r="E6" s="650"/>
      <s:c r="F6" s="518"/>
      <s:c r="G6" s="649" t="s">
        <s:v>116</s:v>
      </s:c>
      <s:c r="H6" s="650"/>
      <s:c r="I6" s="650"/>
      <s:c r="J6" s="650"/>
      <s:c r="K6" s="650"/>
      <s:c r="L6" s="518"/>
      <s:c r="M6" s="520"/>
      <s:c r="N6" s="521"/>
    </s:row>
    <s:row r="7" ht="16" customHeight="1">
      <s:c r="A7" s="522"/>
      <s:c r="B7" s="523" t="s">
        <s:v>29</s:v>
      </s:c>
      <s:c r="C7" s="523" t="s">
        <s:v>117</s:v>
      </s:c>
      <s:c r="D7" s="523" t="s">
        <s:v>118</s:v>
      </s:c>
      <s:c r="E7" s="523"/>
      <s:c r="F7" s="651"/>
      <s:c r="G7" s="652" t="s">
        <s:v>29</s:v>
      </s:c>
      <s:c r="H7" s="653" t="s">
        <s:v>117</s:v>
      </s:c>
      <s:c r="I7" s="654"/>
      <s:c r="J7" s="653" t="s">
        <s:v>118</s:v>
      </s:c>
      <s:c r="K7" s="654"/>
      <s:c r="L7" s="524"/>
      <s:c r="M7" s="525"/>
      <s:c r="N7" s="526"/>
    </s:row>
    <s:row r="8" ht="16" customHeight="1">
      <s:c r="A8" s="527"/>
      <s:c r="B8" s="528">
        <s:v>46022</s:v>
      </s:c>
      <s:c r="C8" s="529"/>
      <s:c r="D8" s="530" t="s">
        <s:v>119</s:v>
      </s:c>
      <s:c r="E8" s="530"/>
      <s:c r="F8" s="655"/>
      <s:c r="G8" s="656"/>
      <s:c r="H8" s="657"/>
      <s:c r="I8" s="658"/>
      <s:c r="J8" s="659"/>
      <s:c r="K8" s="660"/>
      <s:c r="L8" s="518"/>
      <s:c r="M8" s="520"/>
      <s:c r="N8" s="521"/>
    </s:row>
    <s:row r="9" ht="21" customHeight="1">
      <s:c r="A9" s="516"/>
      <s:c r="B9" s="528">
        <s:v>46053</s:v>
      </s:c>
      <s:c r="C9" s="529"/>
      <s:c r="D9" s="530" t="s">
        <s:v>120</s:v>
      </s:c>
      <s:c r="E9" s="530"/>
      <s:c r="F9" s="661"/>
      <s:c r="G9" s="656"/>
      <s:c r="H9" s="657"/>
      <s:c r="I9" s="658"/>
      <s:c r="J9" s="659"/>
      <s:c r="K9" s="660"/>
      <s:c r="L9" s="518"/>
      <s:c r="M9" s="520"/>
      <s:c r="N9" s="521"/>
    </s:row>
    <s:row r="10" ht="29" customHeight="1">
      <s:c r="A10" s="532"/>
      <s:c r="B10" s="533"/>
      <s:c r="C10" s="534"/>
      <s:c r="D10" s="662"/>
      <s:c r="E10" s="662"/>
      <s:c r="F10" s="536"/>
      <s:c r="G10" s="518"/>
      <s:c r="H10" s="518"/>
      <s:c r="I10" s="518"/>
      <s:c r="J10" s="518"/>
      <s:c r="K10" s="518"/>
      <s:c r="L10" s="518"/>
      <s:c r="M10" s="520"/>
      <s:c r="N10" s="521"/>
    </s:row>
    <s:row r="11" ht="29" customHeight="1">
      <s:c r="A11" s="532"/>
      <s:c r="B11" s="537"/>
      <s:c r="C11" s="538"/>
      <s:c r="D11" s="539"/>
      <s:c r="E11" s="539"/>
      <s:c r="F11" s="536"/>
      <s:c r="G11" s="518"/>
      <s:c r="H11" s="518"/>
      <s:c r="I11" s="518"/>
      <s:c r="J11" s="518"/>
      <s:c r="K11" s="518"/>
      <s:c r="L11" s="518"/>
      <s:c r="M11" s="520"/>
      <s:c r="N11" s="521"/>
    </s:row>
    <s:row r="12">
      <s:c r="A12" s="516"/>
      <s:c r="B12" s="540"/>
      <s:c r="C12" s="541"/>
      <s:c r="D12" s="542"/>
      <s:c r="E12" s="542"/>
      <s:c r="F12" s="518"/>
      <s:c r="G12" s="518"/>
      <s:c r="H12" s="518"/>
      <s:c r="I12" s="518"/>
      <s:c r="J12" s="518"/>
      <s:c r="K12" s="518"/>
      <s:c r="L12" s="518"/>
      <s:c r="M12" s="520"/>
      <s:c r="N12" s="521"/>
    </s:row>
    <s:row r="13" ht="17" customHeight="1">
      <s:c r="A13" s="543" t="s">
        <s:v>121</s:v>
      </s:c>
      <s:c r="B13" s="544"/>
      <s:c r="C13" s="544"/>
      <s:c r="D13" s="545">
        <s:f>G17+G18</s:f>
        <s:v>10400</s:v>
      </s:c>
      <s:c r="E13" s="546"/>
      <s:c r="F13" s="547"/>
      <s:c r="G13" s="544"/>
      <s:c r="H13" s="544"/>
      <s:c r="I13" s="548" t="s">
        <s:v>122</s:v>
      </s:c>
      <s:c r="J13" s="544"/>
      <s:c r="K13" s="544"/>
      <s:c r="L13" s="544"/>
      <s:c r="M13" s="549">
        <s:f>K17+K18</s:f>
        <s:v>0</s:v>
      </s:c>
      <s:c r="N13" s="550"/>
    </s:row>
    <s:row r="14">
      <s:c r="A14" s="516"/>
      <s:c r="B14" s="517"/>
      <s:c r="C14" s="518"/>
      <s:c r="D14" s="551"/>
      <s:c r="E14" s="551"/>
      <s:c r="F14" s="518"/>
      <s:c r="G14" s="518"/>
      <s:c r="H14" s="518"/>
      <s:c r="I14" s="518"/>
      <s:c r="J14" s="518"/>
      <s:c r="K14" s="520"/>
      <s:c r="L14" s="520"/>
      <s:c r="M14" s="520"/>
      <s:c r="N14" s="521"/>
    </s:row>
    <s:row r="15">
      <s:c r="A15" s="552"/>
      <s:c r="B15" s="553" t="s">
        <s:v>121</s:v>
      </s:c>
      <s:c r="C15" s="551"/>
      <s:c r="D15" s="551"/>
      <s:c r="E15" s="551"/>
      <s:c r="F15" s="551"/>
      <s:c r="G15" s="551"/>
      <s:c r="H15" s="551"/>
      <s:c r="I15" s="663" t="s">
        <s:v>112</s:v>
      </s:c>
      <s:c r="J15" s="591"/>
      <s:c r="K15" s="591"/>
      <s:c r="L15" s="556"/>
      <s:c r="M15" s="556"/>
      <s:c r="N15" s="557"/>
    </s:row>
    <s:row r="16" ht="21">
      <s:c r="A16" s="664"/>
      <s:c r="B16" s="665" t="s">
        <s:v>123</s:v>
      </s:c>
      <s:c r="C16" s="665" t="s">
        <s:v>124</s:v>
      </s:c>
      <s:c r="D16" s="665" t="s">
        <s:v>125</s:v>
      </s:c>
      <s:c r="E16" s="665" t="s">
        <s:v>126</s:v>
      </s:c>
      <s:c r="F16" s="665" t="s">
        <s:v>127</s:v>
      </s:c>
      <s:c r="G16" s="665" t="s">
        <s:v>128</s:v>
      </s:c>
      <s:c r="H16" s="666"/>
      <s:c r="I16" s="558" t="s">
        <s:v>124</s:v>
      </s:c>
      <s:c r="J16" s="558" t="s">
        <s:v>129</s:v>
      </s:c>
      <s:c r="K16" s="558" t="s">
        <s:v>130</s:v>
      </s:c>
      <s:c r="L16" s="556"/>
      <s:c r="M16" s="556"/>
      <s:c r="N16" s="557"/>
    </s:row>
    <s:row r="17">
      <s:c r="A17" s="527"/>
      <s:c r="B17" s="667">
        <s:f>График!AI27</s:f>
        <s:v>10</s:v>
      </s:c>
      <s:c r="C17" s="518" t="str">
        <s:f>A2</s:f>
        <s:v>ул. Севастопольская, 62</s:v>
      </s:c>
      <s:c r="D17" s="668" t="s">
        <s:v>131</s:v>
      </s:c>
      <s:c r="E17" s="669">
        <s:f>График!AJ27</s:f>
        <s:v>104</s:v>
      </s:c>
      <s:c r="F17" s="670">
        <s:v>100</s:v>
      </s:c>
      <s:c r="G17" s="671">
        <s:f>E17*F17</s:f>
        <s:v>10400</s:v>
      </s:c>
      <s:c r="H17" s="672"/>
      <s:c r="I17" s="560" t="str">
        <s:f>C17</s:f>
        <s:v>ул. Севастопольская, 62</s:v>
      </s:c>
      <s:c r="J17" s="565">
        <s:f>Центрум!K8</s:f>
        <s:v>0.74142872481262578</s:v>
      </s:c>
      <s:c r="K17" s="562"/>
      <s:c r="L17" s="520"/>
      <s:c r="M17" s="520"/>
      <s:c r="N17" s="521"/>
    </s:row>
    <s:row r="18">
      <s:c r="A18" s="664"/>
      <s:c r="B18" s="665"/>
      <s:c r="C18" s="668"/>
      <s:c r="D18" s="668"/>
      <s:c r="E18" s="673"/>
      <s:c r="F18" s="670"/>
      <s:c r="G18" s="671"/>
      <s:c r="H18" s="666"/>
      <s:c r="I18" s="674"/>
      <s:c r="J18" s="571"/>
      <s:c r="K18" s="562"/>
      <s:c r="L18" s="556"/>
      <s:c r="M18" s="556"/>
      <s:c r="N18" s="557"/>
    </s:row>
    <s:row r="19">
      <s:c r="A19" s="552"/>
      <s:c r="B19" s="551"/>
      <s:c r="C19" s="581"/>
      <s:c r="D19" s="518"/>
      <s:c r="E19" s="582"/>
      <s:c r="F19" s="582"/>
      <s:c r="G19" s="583"/>
      <s:c r="H19" s="551"/>
      <s:c r="I19" s="551"/>
      <s:c r="J19" s="551"/>
      <s:c r="K19" s="551"/>
      <s:c r="L19" s="556"/>
      <s:c r="M19" s="556"/>
      <s:c r="N19" s="557"/>
    </s:row>
    <s:row r="20" ht="17" customHeight="1">
      <s:c r="A20" s="543" t="s">
        <s:v>132</s:v>
      </s:c>
      <s:c r="B20" s="544"/>
      <s:c r="C20" s="544"/>
      <s:c r="D20" s="584">
        <s:f>G25+G26</s:f>
        <s:v>13401.150000000001</s:v>
      </s:c>
      <s:c r="E20" s="585"/>
      <s:c r="F20" s="547"/>
      <s:c r="G20" s="547"/>
      <s:c r="H20" s="547"/>
      <s:c r="I20" s="544" t="s">
        <s:v>111</s:v>
      </s:c>
      <s:c r="J20" s="547"/>
      <s:c r="K20" s="547"/>
      <s:c r="L20" s="547"/>
      <s:c r="M20" s="584">
        <s:f>N25+N26</s:f>
        <s:v>5264.8426306049823</s:v>
      </s:c>
      <s:c r="N20" s="550"/>
    </s:row>
    <s:row r="21">
      <s:c r="A21" s="586"/>
      <s:c r="B21" s="517"/>
      <s:c r="C21" s="520"/>
      <s:c r="D21" s="520"/>
      <s:c r="E21" s="520"/>
      <s:c r="F21" s="520"/>
      <s:c r="G21" s="520"/>
      <s:c r="H21" s="520"/>
      <s:c r="I21" s="520"/>
      <s:c r="J21" s="520"/>
      <s:c r="K21" s="587"/>
      <s:c r="L21" s="206"/>
      <s:c r="M21" s="206"/>
      <s:c r="N21" s="588"/>
    </s:row>
    <s:row r="22">
      <s:c r="A22" s="586"/>
      <s:c r="B22" s="518"/>
      <s:c r="C22" s="517"/>
      <s:c r="D22" s="520"/>
      <s:c r="E22" s="520"/>
      <s:c r="F22" s="520"/>
      <s:c r="G22" s="520"/>
      <s:c r="H22" s="520"/>
      <s:c r="I22" s="520"/>
      <s:c r="J22" s="520"/>
      <s:c r="K22" s="520"/>
      <s:c r="L22" s="520"/>
      <s:c r="M22" s="520"/>
      <s:c r="N22" s="521"/>
    </s:row>
    <s:row r="23">
      <s:c r="A23" s="586"/>
      <s:c r="B23" s="517" t="s">
        <s:v>133</s:v>
      </s:c>
      <s:c r="C23" s="520"/>
      <s:c r="D23" s="520"/>
      <s:c r="E23" s="520"/>
      <s:c r="F23" s="520"/>
      <s:c r="G23" s="520"/>
      <s:c r="H23" s="520"/>
      <s:c r="I23" s="517" t="s">
        <s:v>134</s:v>
      </s:c>
      <s:c r="J23" s="517"/>
      <s:c r="K23" s="520"/>
      <s:c r="L23" s="520"/>
      <s:c r="M23" s="520"/>
      <s:c r="N23" s="675"/>
    </s:row>
    <s:row r="24" ht="31.5">
      <s:c r="A24" s="676"/>
      <s:c r="B24" s="665" t="s">
        <s:v>28</s:v>
      </s:c>
      <s:c r="C24" s="677" t="s">
        <s:v>124</s:v>
      </s:c>
      <s:c r="D24" s="678"/>
      <s:c r="E24" s="665" t="s">
        <s:v>135</s:v>
      </s:c>
      <s:c r="F24" s="665" t="s">
        <s:v>136</s:v>
      </s:c>
      <s:c r="G24" s="665" t="s">
        <s:v>137</s:v>
      </s:c>
      <s:c r="H24" s="551"/>
      <s:c r="I24" s="558" t="s">
        <s:v>28</s:v>
      </s:c>
      <s:c r="J24" s="558" t="s">
        <s:v>124</s:v>
      </s:c>
      <s:c r="K24" s="558" t="s">
        <s:v>138</s:v>
      </s:c>
      <s:c r="L24" s="558" t="s">
        <s:v>139</s:v>
      </s:c>
      <s:c r="M24" s="558" t="s">
        <s:v>135</s:v>
      </s:c>
      <s:c r="N24" s="679" t="s">
        <s:v>137</s:v>
      </s:c>
    </s:row>
    <s:row r="25">
      <s:c r="A25" s="680"/>
      <s:c r="B25" s="668" t="str">
        <s:f>A4</s:f>
        <s:v>Свидовская София</s:v>
      </s:c>
      <s:c r="C25" s="681" t="str">
        <s:f>A2</s:f>
        <s:v>ул. Севастопольская, 62</s:v>
      </s:c>
      <s:c r="D25" s="682"/>
      <s:c r="E25" s="683">
        <s:v>0.050000000000000003</s:v>
      </s:c>
      <s:c r="F25" s="541">
        <s:f>'Свидовская С. А.'!J8</s:f>
        <s:v>268023</s:v>
      </s:c>
      <s:c r="G25" s="684">
        <s:f>F25*E25</s:f>
        <s:v>13401.150000000001</s:v>
      </s:c>
      <s:c r="H25" s="518"/>
      <s:c r="I25" s="603" t="str">
        <s:f>B25</s:f>
        <s:v>Свидовская София</s:v>
      </s:c>
      <s:c r="J25" s="685" t="str">
        <s:f>C25</s:f>
        <s:v>ул. Севастопольская, 62</s:v>
      </s:c>
      <s:c r="K25" s="604">
        <s:f>E17</s:f>
        <s:v>104</s:v>
      </s:c>
      <s:c r="L25" s="686">
        <s:f>График!AJ29</s:f>
        <s:v>562</s:v>
      </s:c>
      <s:c r="M25" s="565">
        <s:v>0.02</s:v>
      </s:c>
      <s:c r="N25" s="608">
        <s:f>Центрум!J8*M25*K25/L25</s:f>
        <s:v>5264.8426306049823</s:v>
      </s:c>
    </s:row>
    <s:row r="26">
      <s:c r="A26" s="676"/>
      <s:c r="B26" s="668"/>
      <s:c r="C26" s="687"/>
      <s:c r="D26" s="688"/>
      <s:c r="E26" s="683"/>
      <s:c r="F26" s="689"/>
      <s:c r="G26" s="684"/>
      <s:c r="H26" s="551"/>
      <s:c r="I26" s="603"/>
      <s:c r="J26" s="690"/>
      <s:c r="K26" s="615"/>
      <s:c r="L26" s="616"/>
      <s:c r="M26" s="565"/>
      <s:c r="N26" s="608"/>
    </s:row>
    <s:row r="27">
      <s:c r="A27" s="691"/>
      <s:c r="B27" s="692"/>
      <s:c r="C27" s="692"/>
      <s:c r="D27" s="692"/>
      <s:c r="E27" s="692"/>
      <s:c r="F27" s="692"/>
      <s:c r="G27" s="692"/>
      <s:c r="H27" s="693"/>
      <s:c r="I27" s="694"/>
      <s:c r="J27" s="694"/>
      <s:c r="K27" s="694"/>
      <s:c r="L27" s="694"/>
      <s:c r="M27" s="694"/>
      <s:c r="N27" s="695"/>
    </s:row>
  </s:sheetData>
  <s:mergeCells count="18">
    <s:mergeCell ref="A1:D1"/>
    <s:mergeCell ref="A2:C2"/>
    <s:mergeCell ref="A3:C3"/>
    <s:mergeCell ref="A4:C4"/>
    <s:mergeCell ref="D7:E7"/>
    <s:mergeCell ref="H7:I7"/>
    <s:mergeCell ref="J7:K7"/>
    <s:mergeCell ref="D8:E8"/>
    <s:mergeCell ref="H8:I8"/>
    <s:mergeCell ref="J8:K8"/>
    <s:mergeCell ref="D9:E9"/>
    <s:mergeCell ref="H9:I9"/>
    <s:mergeCell ref="J9:K9"/>
    <s:mergeCell ref="D10:E10"/>
    <s:mergeCell ref="D11:E11"/>
    <s:mergeCell ref="C24:D24"/>
    <s:mergeCell ref="C25:D25"/>
    <s:mergeCell ref="C26:D26"/>
  </s:mergeCells>
  <s:printOptions headings="0" gridLines="0"/>
  <s:pageMargins left="0.7" right="0.7" top="0.75" bottom="0.75" header="0.3" footer="0.3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</s:worksheet>
</file>

<file path=xl/worksheets/sheet13.xml><?xml version="1.0" encoding="utf-8"?>
<s:worksheet xmlns:x14ac="http://schemas.microsoft.com/office/spreadsheetml/2009/9/ac" xmlns:mc="http://schemas.openxmlformats.org/markup-compatibility/2006" xmlns:s="http://schemas.openxmlformats.org/spreadsheetml/2006/main" mc:Ignorable="x14ac">
  <s:sheetPr>
    <s:tabColor rgb="FFDBDBDB"/>
    <s:outlinePr applyStyles="0" summaryBelow="1" summaryRight="1" showOutlineSymbols="1"/>
    <s:pageSetUpPr autoPageBreaks="1" fitToPage="0"/>
  </s:sheetPr>
  <s:sheetViews>
    <s:sheetView tabSelected="0" zoomScale="83" workbookViewId="0">
      <s:selection activeCell="F19" activeCellId="0" sqref="F19"/>
    </s:sheetView>
  </s:sheetViews>
  <s:sheetFormatPr baseColWidth="10" defaultColWidth="11.5" defaultRowHeight="14.25"/>
  <s:cols>
    <s:col min="1" max="1" width="2.5" style="1" customWidth="1"/>
    <s:col min="2" max="2" width="11.664" style="1" customWidth="1"/>
    <s:col min="3" max="3" width="18" style="1" customWidth="1"/>
    <s:col min="4" max="6" width="11.5" style="1"/>
    <s:col min="7" max="7" width="12.664" style="1" customWidth="1"/>
    <s:col min="8" max="8" width="12.832" style="1" customWidth="1"/>
    <s:col min="9" max="10" width="17.164" style="1" customWidth="1"/>
    <s:col min="11" max="11" width="15.832" style="1" customWidth="1"/>
    <s:col min="12" max="12" width="17.164" style="1" customWidth="1"/>
    <s:col min="13" max="13" width="16.164" style="1" customWidth="1"/>
    <s:col min="14" max="14" width="19.664" customWidth="1"/>
  </s:cols>
  <s:sheetData>
    <s:row r="1" ht="20" customHeight="1">
      <s:c r="A1" s="484" t="str">
        <s:f>График!B1</s:f>
        <s:v>Январь, 2026</s:v>
      </s:c>
      <s:c r="B1" s="485"/>
      <s:c r="C1" s="485"/>
      <s:c r="D1" s="486"/>
      <s:c r="E1" s="487"/>
      <s:c r="F1" s="488"/>
      <s:c r="G1" s="488"/>
      <s:c r="H1" s="488"/>
      <s:c r="I1" s="488"/>
      <s:c r="J1" s="488"/>
      <s:c r="K1" s="488"/>
      <s:c r="L1" s="488"/>
      <s:c r="M1" s="488"/>
      <s:c r="N1" s="489"/>
    </s:row>
    <s:row r="2" ht="20" customHeight="1">
      <s:c r="A2" s="490" t="str">
        <s:f>График!B3</s:f>
        <s:v>ул. Севастопольская, 62</s:v>
      </s:c>
      <s:c r="B2" s="491"/>
      <s:c r="C2" s="492"/>
      <s:c r="D2" s="493" t="str">
        <s:f>График!B4</s:f>
        <s:v>GL-0004</s:v>
      </s:c>
      <s:c r="E2" s="629"/>
      <s:c r="F2" s="495"/>
      <s:c r="G2" s="495"/>
      <s:c r="H2" s="495"/>
      <s:c r="I2" s="495"/>
      <s:c r="J2" s="495"/>
      <s:c r="K2" s="495"/>
      <s:c r="L2" s="495"/>
      <s:c r="M2" s="495"/>
      <s:c r="N2" s="630"/>
    </s:row>
    <s:row r="3" ht="63.75">
      <s:c r="A3" s="631" t="s">
        <s:v>28</s:v>
      </s:c>
      <s:c r="B3" s="632"/>
      <s:c r="C3" s="633"/>
      <s:c r="D3" s="504" t="s">
        <s:v>106</s:v>
      </s:c>
      <s:c r="E3" s="505" t="s">
        <s:v>107</s:v>
      </s:c>
      <s:c r="F3" s="500" t="s">
        <s:v>108</s:v>
      </s:c>
      <s:c r="G3" s="501" t="s">
        <s:v>109</s:v>
      </s:c>
      <s:c r="H3" s="502" t="s">
        <s:v>110</s:v>
      </s:c>
      <s:c r="I3" s="502" t="s">
        <s:v>111</s:v>
      </s:c>
      <s:c r="J3" s="503" t="s">
        <s:v>112</s:v>
      </s:c>
      <s:c r="K3" s="634" t="s">
        <s:v>88</s:v>
      </s:c>
      <s:c r="L3" s="635" t="s">
        <s:v>113</s:v>
      </s:c>
      <s:c r="M3" s="500" t="s">
        <s:v>114</s:v>
      </s:c>
      <s:c r="N3" s="636" t="s">
        <s:v>115</s:v>
      </s:c>
    </s:row>
    <s:row r="4" ht="21" customHeight="1">
      <s:c r="A4" s="696" t="str">
        <s:f>График!B25</s:f>
        <s:v>Корж Анастасия</s:v>
      </s:c>
      <s:c r="B4" s="697"/>
      <s:c r="C4" s="698"/>
      <s:c r="D4" s="699"/>
      <s:c r="E4" s="700"/>
      <s:c r="F4" s="701">
        <s:f>H8+H9</s:f>
        <s:v>0</s:v>
      </s:c>
      <s:c r="G4" s="702">
        <s:f>D13</s:f>
        <s:v>18500</s:v>
      </s:c>
      <s:c r="H4" s="703">
        <s:f>D21</s:f>
        <s:v>25256.75</s:v>
      </s:c>
      <s:c r="I4" s="703">
        <s:f>M21</s:f>
        <s:v>9365.345064056939</s:v>
      </s:c>
      <s:c r="J4" s="704">
        <s:f>M13</s:f>
        <s:v>0</s:v>
      </s:c>
      <s:c r="K4" s="705">
        <s:f>H4+J4+G4+F4+I4</s:f>
        <s:v>53122.095064056935</s:v>
      </s:c>
      <s:c r="L4" s="706">
        <s:f>C8+C9+C10+C11</s:f>
        <s:v>0</s:v>
      </s:c>
      <s:c r="M4" s="701">
        <s:f>K4-L4-D4-E4</s:f>
        <s:v>53122.095064056935</s:v>
      </s:c>
      <s:c r="N4" s="707"/>
    </s:row>
    <s:row r="5">
      <s:c r="A5" s="708"/>
      <s:c r="B5" s="517"/>
      <s:c r="C5" s="518"/>
      <s:c r="D5" s="518"/>
      <s:c r="E5" s="518"/>
      <s:c r="F5" s="518"/>
      <s:c r="G5" s="518"/>
      <s:c r="H5" s="518"/>
      <s:c r="I5" s="518"/>
      <s:c r="J5" s="518"/>
      <s:c r="K5" s="519"/>
      <s:c r="L5" s="518"/>
      <s:c r="M5" s="520"/>
      <s:c r="N5" s="709"/>
    </s:row>
    <s:row r="6">
      <s:c r="A6" s="516"/>
      <s:c r="B6" s="517" t="s">
        <s:v>113</s:v>
      </s:c>
      <s:c r="C6" s="518"/>
      <s:c r="D6" s="518"/>
      <s:c r="E6" s="518"/>
      <s:c r="F6" s="518"/>
      <s:c r="G6" s="517" t="s">
        <s:v>116</s:v>
      </s:c>
      <s:c r="H6" s="518"/>
      <s:c r="I6" s="518"/>
      <s:c r="J6" s="518"/>
      <s:c r="K6" s="518"/>
      <s:c r="L6" s="518"/>
      <s:c r="M6" s="520"/>
      <s:c r="N6" s="521"/>
    </s:row>
    <s:row r="7" ht="17" customHeight="1">
      <s:c r="A7" s="710"/>
      <s:c r="B7" s="523" t="s">
        <s:v>29</s:v>
      </s:c>
      <s:c r="C7" s="523" t="s">
        <s:v>117</s:v>
      </s:c>
      <s:c r="D7" s="523" t="s">
        <s:v>118</s:v>
      </s:c>
      <s:c r="E7" s="523"/>
      <s:c r="F7" s="524"/>
      <s:c r="G7" s="523" t="s">
        <s:v>29</s:v>
      </s:c>
      <s:c r="H7" s="523" t="s">
        <s:v>117</s:v>
      </s:c>
      <s:c r="I7" s="523"/>
      <s:c r="J7" s="523" t="s">
        <s:v>118</s:v>
      </s:c>
      <s:c r="K7" s="523"/>
      <s:c r="L7" s="524"/>
      <s:c r="M7" s="525"/>
      <s:c r="N7" s="526"/>
    </s:row>
    <s:row r="8" ht="18" customHeight="1">
      <s:c r="A8" s="516"/>
      <s:c r="B8" s="528">
        <s:v>46022</s:v>
      </s:c>
      <s:c r="C8" s="529"/>
      <s:c r="D8" s="530" t="s">
        <s:v>119</s:v>
      </s:c>
      <s:c r="E8" s="530"/>
      <s:c r="F8" s="518"/>
      <s:c r="G8" s="528"/>
      <s:c r="H8" s="531"/>
      <s:c r="I8" s="531"/>
      <s:c r="J8" s="530"/>
      <s:c r="K8" s="530"/>
      <s:c r="L8" s="518"/>
      <s:c r="M8" s="520"/>
      <s:c r="N8" s="521"/>
    </s:row>
    <s:row r="9" ht="25" customHeight="1">
      <s:c r="A9" s="516"/>
      <s:c r="B9" s="528">
        <s:v>46053</s:v>
      </s:c>
      <s:c r="C9" s="529"/>
      <s:c r="D9" s="530" t="s">
        <s:v>120</s:v>
      </s:c>
      <s:c r="E9" s="530"/>
      <s:c r="F9" s="518"/>
      <s:c r="G9" s="528"/>
      <s:c r="H9" s="531"/>
      <s:c r="I9" s="531"/>
      <s:c r="J9" s="530"/>
      <s:c r="K9" s="530"/>
      <s:c r="L9" s="518"/>
      <s:c r="M9" s="520"/>
      <s:c r="N9" s="521"/>
    </s:row>
    <s:row r="10" ht="29" customHeight="1">
      <s:c r="A10" s="532"/>
      <s:c r="B10" s="533"/>
      <s:c r="C10" s="534"/>
      <s:c r="D10" s="535"/>
      <s:c r="E10" s="535"/>
      <s:c r="F10" s="536"/>
      <s:c r="G10" s="518"/>
      <s:c r="H10" s="518"/>
      <s:c r="I10" s="518"/>
      <s:c r="J10" s="518"/>
      <s:c r="K10" s="518"/>
      <s:c r="L10" s="518"/>
      <s:c r="M10" s="520"/>
      <s:c r="N10" s="521"/>
    </s:row>
    <s:row r="11" ht="29" customHeight="1">
      <s:c r="A11" s="532"/>
      <s:c r="B11" s="537"/>
      <s:c r="C11" s="538"/>
      <s:c r="D11" s="539"/>
      <s:c r="E11" s="539"/>
      <s:c r="F11" s="536"/>
      <s:c r="G11" s="518"/>
      <s:c r="H11" s="518"/>
      <s:c r="I11" s="518"/>
      <s:c r="J11" s="518"/>
      <s:c r="K11" s="518"/>
      <s:c r="L11" s="518"/>
      <s:c r="M11" s="520"/>
      <s:c r="N11" s="521"/>
    </s:row>
    <s:row r="12">
      <s:c r="A12" s="516"/>
      <s:c r="B12" s="540"/>
      <s:c r="C12" s="541"/>
      <s:c r="D12" s="542"/>
      <s:c r="E12" s="542"/>
      <s:c r="F12" s="518"/>
      <s:c r="G12" s="518"/>
      <s:c r="H12" s="518"/>
      <s:c r="I12" s="518"/>
      <s:c r="J12" s="518"/>
      <s:c r="K12" s="518"/>
      <s:c r="L12" s="518"/>
      <s:c r="M12" s="520"/>
      <s:c r="N12" s="521"/>
    </s:row>
    <s:row r="13">
      <s:c r="A13" s="543" t="s">
        <s:v>121</s:v>
      </s:c>
      <s:c r="B13" s="544"/>
      <s:c r="C13" s="544"/>
      <s:c r="D13" s="545">
        <s:f>G17+G19+G18</s:f>
        <s:v>18500</s:v>
      </s:c>
      <s:c r="E13" s="546"/>
      <s:c r="F13" s="547"/>
      <s:c r="G13" s="544"/>
      <s:c r="H13" s="544"/>
      <s:c r="I13" s="548" t="s">
        <s:v>122</s:v>
      </s:c>
      <s:c r="J13" s="544"/>
      <s:c r="K13" s="544"/>
      <s:c r="L13" s="544"/>
      <s:c r="M13" s="549">
        <s:f>K17+K19+K18</s:f>
        <s:v>0</s:v>
      </s:c>
      <s:c r="N13" s="550"/>
    </s:row>
    <s:row r="14">
      <s:c r="A14" s="516"/>
      <s:c r="B14" s="517"/>
      <s:c r="C14" s="518"/>
      <s:c r="D14" s="551"/>
      <s:c r="E14" s="551"/>
      <s:c r="F14" s="518"/>
      <s:c r="G14" s="518"/>
      <s:c r="H14" s="518"/>
      <s:c r="I14" s="518"/>
      <s:c r="J14" s="518"/>
      <s:c r="K14" s="520"/>
      <s:c r="L14" s="520"/>
      <s:c r="M14" s="520"/>
      <s:c r="N14" s="521"/>
    </s:row>
    <s:row r="15">
      <s:c r="A15" s="552"/>
      <s:c r="B15" s="553" t="s">
        <s:v>121</s:v>
      </s:c>
      <s:c r="C15" s="551"/>
      <s:c r="D15" s="551"/>
      <s:c r="E15" s="551"/>
      <s:c r="F15" s="551"/>
      <s:c r="G15" s="551"/>
      <s:c r="H15" s="551"/>
      <s:c r="I15" s="554" t="s">
        <s:v>112</s:v>
      </s:c>
      <s:c r="J15" s="555"/>
      <s:c r="K15" s="555"/>
      <s:c r="L15" s="556"/>
      <s:c r="M15" s="556"/>
      <s:c r="N15" s="557"/>
    </s:row>
    <s:row r="16" ht="28" customHeight="1">
      <s:c r="A16" s="552"/>
      <s:c r="B16" s="558" t="s">
        <s:v>123</s:v>
      </s:c>
      <s:c r="C16" s="558" t="s">
        <s:v>124</s:v>
      </s:c>
      <s:c r="D16" s="558" t="s">
        <s:v>125</s:v>
      </s:c>
      <s:c r="E16" s="558" t="s">
        <s:v>126</s:v>
      </s:c>
      <s:c r="F16" s="558" t="s">
        <s:v>127</s:v>
      </s:c>
      <s:c r="G16" s="558" t="s">
        <s:v>128</s:v>
      </s:c>
      <s:c r="H16" s="551"/>
      <s:c r="I16" s="558" t="s">
        <s:v>124</s:v>
      </s:c>
      <s:c r="J16" s="558" t="s">
        <s:v>129</s:v>
      </s:c>
      <s:c r="K16" s="558" t="s">
        <s:v>130</s:v>
      </s:c>
      <s:c r="L16" s="556"/>
      <s:c r="M16" s="556"/>
      <s:c r="N16" s="557"/>
    </s:row>
    <s:row r="17" ht="21" customHeight="1">
      <s:c r="A17" s="516"/>
      <s:c r="B17" s="559">
        <s:f>График!AI25</s:f>
        <s:v>18</s:v>
      </s:c>
      <s:c r="C17" s="560" t="str">
        <s:f>A2</s:f>
        <s:v>ул. Севастопольская, 62</s:v>
      </s:c>
      <s:c r="D17" s="560" t="s">
        <s:v>131</s:v>
      </s:c>
      <s:c r="E17" s="561">
        <s:f>График!AJ25</s:f>
        <s:v>185</s:v>
      </s:c>
      <s:c r="F17" s="562">
        <s:v>100</s:v>
      </s:c>
      <s:c r="G17" s="711">
        <s:f>E17*F17</s:f>
        <s:v>18500</s:v>
      </s:c>
      <s:c r="H17" s="564"/>
      <s:c r="I17" s="518" t="str">
        <s:f>C17</s:f>
        <s:v>ул. Севастопольская, 62</s:v>
      </s:c>
      <s:c r="J17" s="565">
        <s:f>Центрум!K8</s:f>
        <s:v>0.74142872481262578</s:v>
      </s:c>
      <s:c r="K17" s="562"/>
      <s:c r="L17" s="520"/>
      <s:c r="M17" s="520"/>
      <s:c r="N17" s="521"/>
    </s:row>
    <s:row r="18" ht="16" customHeight="1">
      <s:c r="A18" s="566"/>
      <s:c r="B18" s="567"/>
      <s:c r="C18" s="560"/>
      <s:c r="D18" s="560"/>
      <s:c r="E18" s="569"/>
      <s:c r="F18" s="562"/>
      <s:c r="G18" s="711"/>
      <s:c r="H18" s="570"/>
      <s:c r="I18" s="530"/>
      <s:c r="J18" s="571"/>
      <s:c r="K18" s="562"/>
      <s:c r="L18" s="555"/>
      <s:c r="M18" s="555"/>
      <s:c r="N18" s="572"/>
    </s:row>
    <s:row r="19" ht="16" customHeight="1">
      <s:c r="A19" s="552"/>
      <s:c r="B19" s="558"/>
      <s:c r="C19" s="560"/>
      <s:c r="D19" s="560"/>
      <s:c r="E19" s="712"/>
      <s:c r="F19" s="713"/>
      <s:c r="G19" s="714"/>
      <s:c r="H19" s="715"/>
      <s:c r="I19" s="674"/>
      <s:c r="J19" s="571"/>
      <s:c r="K19" s="713"/>
      <s:c r="L19" s="556"/>
      <s:c r="M19" s="556"/>
      <s:c r="N19" s="557"/>
    </s:row>
    <s:row r="20">
      <s:c r="A20" s="552"/>
      <s:c r="B20" s="551"/>
      <s:c r="C20" s="581"/>
      <s:c r="D20" s="518"/>
      <s:c r="E20" s="582"/>
      <s:c r="F20" s="582"/>
      <s:c r="G20" s="583"/>
      <s:c r="H20" s="551"/>
      <s:c r="I20" s="551"/>
      <s:c r="J20" s="551"/>
      <s:c r="K20" s="551"/>
      <s:c r="L20" s="556"/>
      <s:c r="M20" s="556"/>
      <s:c r="N20" s="557"/>
    </s:row>
    <s:row r="21">
      <s:c r="A21" s="543" t="s">
        <s:v>132</s:v>
      </s:c>
      <s:c r="B21" s="544"/>
      <s:c r="C21" s="544"/>
      <s:c r="D21" s="584">
        <s:f>G26+G27+G28</s:f>
        <s:v>25256.75</s:v>
      </s:c>
      <s:c r="E21" s="585"/>
      <s:c r="F21" s="547"/>
      <s:c r="G21" s="547"/>
      <s:c r="H21" s="547"/>
      <s:c r="I21" s="544" t="s">
        <s:v>111</s:v>
      </s:c>
      <s:c r="J21" s="547"/>
      <s:c r="K21" s="547"/>
      <s:c r="L21" s="547"/>
      <s:c r="M21" s="584">
        <s:f>N26+N27+N28</s:f>
        <s:v>9365.345064056939</s:v>
      </s:c>
      <s:c r="N21" s="550"/>
    </s:row>
    <s:row r="22">
      <s:c r="A22" s="586"/>
      <s:c r="B22" s="517"/>
      <s:c r="C22" s="520"/>
      <s:c r="D22" s="520"/>
      <s:c r="E22" s="520"/>
      <s:c r="F22" s="520"/>
      <s:c r="G22" s="520"/>
      <s:c r="H22" s="520"/>
      <s:c r="I22" s="520"/>
      <s:c r="J22" s="520"/>
      <s:c r="K22" s="587"/>
      <s:c r="L22" s="206"/>
      <s:c r="M22" s="206"/>
      <s:c r="N22" s="588"/>
    </s:row>
    <s:row r="23">
      <s:c r="A23" s="586"/>
      <s:c r="B23" s="518"/>
      <s:c r="C23" s="517"/>
      <s:c r="D23" s="520"/>
      <s:c r="E23" s="520"/>
      <s:c r="F23" s="520"/>
      <s:c r="G23" s="520"/>
      <s:c r="H23" s="520"/>
      <s:c r="I23" s="520"/>
      <s:c r="J23" s="520"/>
      <s:c r="K23" s="520"/>
      <s:c r="L23" s="520"/>
      <s:c r="M23" s="520"/>
      <s:c r="N23" s="521"/>
    </s:row>
    <s:row r="24" ht="52.5">
      <s:c r="A24" s="589"/>
      <s:c r="B24" s="590" t="s">
        <s:v>133</s:v>
      </s:c>
      <s:c r="C24" s="591"/>
      <s:c r="D24" s="591"/>
      <s:c r="E24" s="591"/>
      <s:c r="F24" s="591"/>
      <s:c r="G24" s="591"/>
      <s:c r="H24" s="555"/>
      <s:c r="I24" s="590" t="s">
        <s:v>134</s:v>
      </s:c>
      <s:c r="J24" s="590"/>
      <s:c r="K24" s="591"/>
      <s:c r="L24" s="591"/>
      <s:c r="M24" s="591"/>
      <s:c r="N24" s="592"/>
    </s:row>
    <s:row r="25" ht="31.5">
      <s:c r="A25" s="593"/>
      <s:c r="B25" s="558" t="s">
        <s:v>28</s:v>
      </s:c>
      <s:c r="C25" s="594" t="s">
        <s:v>124</s:v>
      </s:c>
      <s:c r="D25" s="595"/>
      <s:c r="E25" s="558" t="s">
        <s:v>135</s:v>
      </s:c>
      <s:c r="F25" s="558" t="s">
        <s:v>136</s:v>
      </s:c>
      <s:c r="G25" s="596" t="s">
        <s:v>137</s:v>
      </s:c>
      <s:c r="H25" s="551"/>
      <s:c r="I25" s="558" t="s">
        <s:v>28</s:v>
      </s:c>
      <s:c r="J25" s="551" t="s">
        <s:v>124</s:v>
      </s:c>
      <s:c r="K25" s="558" t="s">
        <s:v>138</s:v>
      </s:c>
      <s:c r="L25" s="551" t="s">
        <s:v>139</s:v>
      </s:c>
      <s:c r="M25" s="558" t="s">
        <s:v>135</s:v>
      </s:c>
      <s:c r="N25" s="597" t="s">
        <s:v>137</s:v>
      </s:c>
    </s:row>
    <s:row r="26">
      <s:c r="A26" s="598"/>
      <s:c r="B26" s="560" t="str">
        <s:f>A4</s:f>
        <s:v>Корж Анастасия</s:v>
      </s:c>
      <s:c r="C26" s="599" t="str">
        <s:f>A2</s:f>
        <s:v>ул. Севастопольская, 62</s:v>
      </s:c>
      <s:c r="D26" s="600"/>
      <s:c r="E26" s="565">
        <s:v>0.050000000000000003</s:v>
      </s:c>
      <s:c r="F26" s="601">
        <s:f>'Корж А. А.'!J8</s:f>
        <s:v>505135</s:v>
      </s:c>
      <s:c r="G26" s="602">
        <s:f>F26*E26</s:f>
        <s:v>25256.75</s:v>
      </s:c>
      <s:c r="H26" s="542"/>
      <s:c r="I26" s="603" t="str">
        <s:f>B26</s:f>
        <s:v>Корж Анастасия</s:v>
      </s:c>
      <s:c r="J26" s="604" t="str">
        <s:f>C26</s:f>
        <s:v>ул. Севастопольская, 62</s:v>
      </s:c>
      <s:c r="K26" s="605">
        <s:f>E17</s:f>
        <s:v>185</s:v>
      </s:c>
      <s:c r="L26" s="606">
        <s:f>График!AJ29</s:f>
        <s:v>562</s:v>
      </s:c>
      <s:c r="M26" s="607">
        <s:v>0.02</s:v>
      </s:c>
      <s:c r="N26" s="608">
        <s:f>Центрум!J8*M26*K26/L26</s:f>
        <s:v>9365.345064056939</s:v>
      </s:c>
    </s:row>
    <s:row r="27">
      <s:c r="A27" s="593"/>
      <s:c r="B27" s="560"/>
      <s:c r="C27" s="716"/>
      <s:c r="D27" s="717"/>
      <s:c r="E27" s="565"/>
      <s:c r="F27" s="611"/>
      <s:c r="G27" s="612"/>
      <s:c r="H27" s="613"/>
      <s:c r="I27" s="603"/>
      <s:c r="J27" s="690"/>
      <s:c r="K27" s="615"/>
      <s:c r="L27" s="616"/>
      <s:c r="M27" s="565"/>
      <s:c r="N27" s="718"/>
    </s:row>
    <s:row r="28">
      <s:c r="A28" s="719"/>
      <s:c r="B28" s="720"/>
      <s:c r="C28" s="721"/>
      <s:c r="D28" s="722"/>
      <s:c r="E28" s="621"/>
      <s:c r="F28" s="622"/>
      <s:c r="G28" s="623"/>
      <s:c r="H28" s="723"/>
      <s:c r="I28" s="724"/>
      <s:c r="J28" s="725"/>
      <s:c r="K28" s="726"/>
      <s:c r="L28" s="725"/>
      <s:c r="M28" s="727"/>
      <s:c r="N28" s="728"/>
    </s:row>
  </s:sheetData>
  <s:mergeCells count="19">
    <s:mergeCell ref="A1:D1"/>
    <s:mergeCell ref="A2:C2"/>
    <s:mergeCell ref="A3:C3"/>
    <s:mergeCell ref="A4:C4"/>
    <s:mergeCell ref="D7:E7"/>
    <s:mergeCell ref="H7:I7"/>
    <s:mergeCell ref="J7:K7"/>
    <s:mergeCell ref="D8:E8"/>
    <s:mergeCell ref="H8:I8"/>
    <s:mergeCell ref="J8:K8"/>
    <s:mergeCell ref="D9:E9"/>
    <s:mergeCell ref="H9:I9"/>
    <s:mergeCell ref="J9:K9"/>
    <s:mergeCell ref="D10:E10"/>
    <s:mergeCell ref="D11:E11"/>
    <s:mergeCell ref="C25:D25"/>
    <s:mergeCell ref="C26:D26"/>
    <s:mergeCell ref="C27:D27"/>
    <s:mergeCell ref="C28:D28"/>
  </s:mergeCells>
  <s:printOptions headings="0" gridLines="0"/>
  <s:pageMargins left="0.7" right="0.7" top="0.75" bottom="0.75" header="0.3" footer="0.3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</s:worksheet>
</file>

<file path=xl/worksheets/sheet14.xml><?xml version="1.0" encoding="utf-8"?>
<s:worksheet xmlns:x14ac="http://schemas.microsoft.com/office/spreadsheetml/2009/9/ac" xmlns:mc="http://schemas.openxmlformats.org/markup-compatibility/2006" xmlns:s="http://schemas.openxmlformats.org/spreadsheetml/2006/main" mc:Ignorable="x14ac">
  <s:sheetPr>
    <s:tabColor rgb="FFDBDBDB"/>
    <s:outlinePr applyStyles="0" summaryBelow="1" summaryRight="1" showOutlineSymbols="1"/>
    <s:pageSetUpPr autoPageBreaks="1" fitToPage="0"/>
  </s:sheetPr>
  <s:sheetViews>
    <s:sheetView tabSelected="0" topLeftCell="A3" zoomScale="91" workbookViewId="0">
      <s:selection activeCell="K25" activeCellId="0" sqref="K25"/>
    </s:sheetView>
  </s:sheetViews>
  <s:sheetFormatPr baseColWidth="10" defaultColWidth="11.5" defaultRowHeight="14.25"/>
  <s:cols>
    <s:col min="1" max="1" width="2.164" style="1" customWidth="1"/>
    <s:col min="2" max="2" width="11.664" style="1" customWidth="1"/>
    <s:col min="3" max="3" width="19.164" style="1" customWidth="1"/>
    <s:col min="4" max="4" width="10.832" style="1" customWidth="1"/>
    <s:col min="5" max="6" width="11.5" style="1"/>
    <s:col min="7" max="7" width="12.664" style="1" customWidth="1"/>
    <s:col min="8" max="8" width="11.5" style="1" customWidth="1"/>
    <s:col min="9" max="9" width="16.332" style="1" customWidth="1"/>
    <s:col min="10" max="10" width="17.164" style="1" customWidth="1"/>
    <s:col min="11" max="11" width="14.164" style="1" customWidth="1"/>
    <s:col min="12" max="12" width="13.832" style="1" customWidth="1"/>
    <s:col min="13" max="13" width="15.5" style="1" customWidth="1"/>
    <s:col min="14" max="14" width="15.832" customWidth="1"/>
  </s:cols>
  <s:sheetData>
    <s:row r="1" ht="22" customHeight="1">
      <s:c r="A1" s="484" t="str">
        <s:f>График!B1</s:f>
        <s:v>Январь, 2026</s:v>
      </s:c>
      <s:c r="B1" s="485"/>
      <s:c r="C1" s="485"/>
      <s:c r="D1" s="486"/>
      <s:c r="E1" s="487"/>
      <s:c r="F1" s="488"/>
      <s:c r="G1" s="488"/>
      <s:c r="H1" s="488"/>
      <s:c r="I1" s="488"/>
      <s:c r="J1" s="488"/>
      <s:c r="K1" s="488"/>
      <s:c r="L1" s="488"/>
      <s:c r="M1" s="488"/>
      <s:c r="N1" s="489"/>
    </s:row>
    <s:row r="2" ht="19" customHeight="1">
      <s:c r="A2" s="729" t="str">
        <s:f>График!B3</s:f>
        <s:v>ул. Севастопольская, 62</s:v>
      </s:c>
      <s:c r="B2" s="730"/>
      <s:c r="C2" s="731"/>
      <s:c r="D2" s="732" t="str">
        <s:f>График!B4</s:f>
        <s:v>GL-0004</s:v>
      </s:c>
      <s:c r="E2" s="629"/>
      <s:c r="F2" s="733"/>
      <s:c r="G2" s="733"/>
      <s:c r="H2" s="733"/>
      <s:c r="I2" s="733"/>
      <s:c r="J2" s="733"/>
      <s:c r="K2" s="734"/>
      <s:c r="L2" s="734"/>
      <s:c r="M2" s="733"/>
      <s:c r="N2" s="630"/>
    </s:row>
    <s:row r="3" ht="63.75">
      <s:c r="A3" s="498" t="s">
        <s:v>28</s:v>
      </s:c>
      <s:c r="B3" s="498"/>
      <s:c r="C3" s="498"/>
      <s:c r="D3" s="498" t="s">
        <s:v>106</s:v>
      </s:c>
      <s:c r="E3" s="735" t="s">
        <s:v>107</s:v>
      </s:c>
      <s:c r="F3" s="500" t="s">
        <s:v>108</s:v>
      </s:c>
      <s:c r="G3" s="501" t="s">
        <s:v>109</s:v>
      </s:c>
      <s:c r="H3" s="502" t="s">
        <s:v>110</s:v>
      </s:c>
      <s:c r="I3" s="502" t="s">
        <s:v>111</s:v>
      </s:c>
      <s:c r="J3" s="503" t="s">
        <s:v>112</s:v>
      </s:c>
      <s:c r="K3" s="634" t="s">
        <s:v>88</s:v>
      </s:c>
      <s:c r="L3" s="635" t="s">
        <s:v>113</s:v>
      </s:c>
      <s:c r="M3" s="500" t="s">
        <s:v>114</s:v>
      </s:c>
      <s:c r="N3" s="636" t="s">
        <s:v>115</s:v>
      </s:c>
    </s:row>
    <s:row r="4" ht="19" customHeight="1">
      <s:c r="A4" s="736">
        <s:f>График!B23</s:f>
        <s:v>0</s:v>
      </s:c>
      <s:c r="B4" s="736"/>
      <s:c r="C4" s="736"/>
      <s:c r="D4" s="737"/>
      <s:c r="E4" s="738"/>
      <s:c r="F4" s="701">
        <s:f>H8+H9</s:f>
        <s:v>0</s:v>
      </s:c>
      <s:c r="G4" s="739">
        <s:f>D13</s:f>
        <s:v>0</s:v>
      </s:c>
      <s:c r="H4" s="740">
        <s:f>D20</s:f>
        <s:v>6609.3199999999997</s:v>
      </s:c>
      <s:c r="I4" s="740">
        <s:f>M20</s:f>
        <s:v>0</s:v>
      </s:c>
      <s:c r="J4" s="741">
        <s:f>M13</s:f>
        <s:v>0</s:v>
      </s:c>
      <s:c r="K4" s="705">
        <s:f>H4+J4+G4+F4+I4</s:f>
        <s:v>6609.3199999999997</s:v>
      </s:c>
      <s:c r="L4" s="706">
        <s:f>C8+C9+C10+C11</s:f>
        <s:v>0</s:v>
      </s:c>
      <s:c r="M4" s="701">
        <s:f>K4-L4-D4-E4</s:f>
        <s:v>6609.3199999999997</s:v>
      </s:c>
      <s:c r="N4" s="707"/>
    </s:row>
    <s:row r="5">
      <s:c r="A5" s="516"/>
      <s:c r="B5" s="517"/>
      <s:c r="C5" s="518"/>
      <s:c r="D5" s="518"/>
      <s:c r="E5" s="518"/>
      <s:c r="F5" s="518"/>
      <s:c r="G5" s="518"/>
      <s:c r="H5" s="518"/>
      <s:c r="I5" s="518"/>
      <s:c r="J5" s="518"/>
      <s:c r="K5" s="519"/>
      <s:c r="L5" s="518"/>
      <s:c r="M5" s="520"/>
      <s:c r="N5" s="709"/>
    </s:row>
    <s:row r="6">
      <s:c r="A6" s="516"/>
      <s:c r="B6" s="649" t="s">
        <s:v>113</s:v>
      </s:c>
      <s:c r="C6" s="650"/>
      <s:c r="D6" s="650"/>
      <s:c r="E6" s="650"/>
      <s:c r="F6" s="518"/>
      <s:c r="G6" s="517" t="s">
        <s:v>116</s:v>
      </s:c>
      <s:c r="H6" s="518"/>
      <s:c r="I6" s="518"/>
      <s:c r="J6" s="518"/>
      <s:c r="K6" s="518"/>
      <s:c r="L6" s="518"/>
      <s:c r="M6" s="520"/>
      <s:c r="N6" s="521"/>
    </s:row>
    <s:row r="7" ht="20" customHeight="1">
      <s:c r="A7" s="522"/>
      <s:c r="B7" s="523" t="s">
        <s:v>29</s:v>
      </s:c>
      <s:c r="C7" s="523" t="s">
        <s:v>117</s:v>
      </s:c>
      <s:c r="D7" s="523" t="s">
        <s:v>118</s:v>
      </s:c>
      <s:c r="E7" s="523"/>
      <s:c r="F7" s="742"/>
      <s:c r="G7" s="523" t="s">
        <s:v>29</s:v>
      </s:c>
      <s:c r="H7" s="523" t="s">
        <s:v>117</s:v>
      </s:c>
      <s:c r="I7" s="523"/>
      <s:c r="J7" s="523" t="s">
        <s:v>118</s:v>
      </s:c>
      <s:c r="K7" s="523"/>
      <s:c r="L7" s="524"/>
      <s:c r="M7" s="525"/>
      <s:c r="N7" s="526"/>
    </s:row>
    <s:row r="8" ht="24" customHeight="1">
      <s:c r="A8" s="527"/>
      <s:c r="B8" s="528">
        <s:v>46032</s:v>
      </s:c>
      <s:c r="C8" s="529"/>
      <s:c r="D8" s="530" t="s">
        <s:v>119</s:v>
      </s:c>
      <s:c r="E8" s="530"/>
      <s:c r="F8" s="743"/>
      <s:c r="G8" s="528"/>
      <s:c r="H8" s="531"/>
      <s:c r="I8" s="531"/>
      <s:c r="J8" s="530"/>
      <s:c r="K8" s="530"/>
      <s:c r="L8" s="518"/>
      <s:c r="M8" s="520"/>
      <s:c r="N8" s="521"/>
    </s:row>
    <s:row r="9" ht="24" customHeight="1">
      <s:c r="A9" s="516"/>
      <s:c r="B9" s="528">
        <s:v>46031</s:v>
      </s:c>
      <s:c r="C9" s="529"/>
      <s:c r="D9" s="530" t="s">
        <s:v>140</s:v>
      </s:c>
      <s:c r="E9" s="530"/>
      <s:c r="F9" s="518"/>
      <s:c r="G9" s="528"/>
      <s:c r="H9" s="531"/>
      <s:c r="I9" s="531"/>
      <s:c r="J9" s="530" t="s">
        <s:v>141</s:v>
      </s:c>
      <s:c r="K9" s="530"/>
      <s:c r="L9" s="518"/>
      <s:c r="M9" s="520"/>
      <s:c r="N9" s="521"/>
    </s:row>
    <s:row r="10" ht="24" customHeight="1">
      <s:c r="A10" s="532"/>
      <s:c r="B10" s="533"/>
      <s:c r="C10" s="534"/>
      <s:c r="D10" s="535"/>
      <s:c r="E10" s="535"/>
      <s:c r="F10" s="536"/>
      <s:c r="G10" s="528">
        <s:v>46053</s:v>
      </s:c>
      <s:c r="H10" s="531"/>
      <s:c r="I10" s="531"/>
      <s:c r="J10" s="530" t="s">
        <s:v>142</s:v>
      </s:c>
      <s:c r="K10" s="530"/>
      <s:c r="L10" s="518"/>
      <s:c r="M10" s="520"/>
      <s:c r="N10" s="521"/>
    </s:row>
    <s:row r="11" ht="29" customHeight="1">
      <s:c r="A11" s="532"/>
      <s:c r="B11" s="537"/>
      <s:c r="C11" s="538"/>
      <s:c r="D11" s="539"/>
      <s:c r="E11" s="539"/>
      <s:c r="F11" s="536"/>
      <s:c r="G11" s="518"/>
      <s:c r="H11" s="518"/>
      <s:c r="I11" s="518"/>
      <s:c r="J11" s="518"/>
      <s:c r="K11" s="518"/>
      <s:c r="L11" s="518"/>
      <s:c r="M11" s="520"/>
      <s:c r="N11" s="521"/>
    </s:row>
    <s:row r="12">
      <s:c r="A12" s="516"/>
      <s:c r="B12" s="540"/>
      <s:c r="C12" s="541"/>
      <s:c r="D12" s="542"/>
      <s:c r="E12" s="542"/>
      <s:c r="F12" s="518"/>
      <s:c r="G12" s="518"/>
      <s:c r="H12" s="518"/>
      <s:c r="I12" s="518"/>
      <s:c r="J12" s="518"/>
      <s:c r="K12" s="518"/>
      <s:c r="L12" s="518"/>
      <s:c r="M12" s="520"/>
      <s:c r="N12" s="521"/>
    </s:row>
    <s:row r="13" ht="19" customHeight="1">
      <s:c r="A13" s="744" t="s">
        <s:v>121</s:v>
      </s:c>
      <s:c r="B13" s="544"/>
      <s:c r="C13" s="544"/>
      <s:c r="D13" s="545">
        <s:f>G17+G18</s:f>
        <s:v>0</s:v>
      </s:c>
      <s:c r="E13" s="546"/>
      <s:c r="F13" s="547"/>
      <s:c r="G13" s="544"/>
      <s:c r="H13" s="544"/>
      <s:c r="I13" s="548" t="s">
        <s:v>122</s:v>
      </s:c>
      <s:c r="J13" s="544"/>
      <s:c r="K13" s="544"/>
      <s:c r="L13" s="544"/>
      <s:c r="M13" s="549">
        <s:f>K17+K18</s:f>
        <s:v>0</s:v>
      </s:c>
      <s:c r="N13" s="550"/>
    </s:row>
    <s:row r="14">
      <s:c r="A14" s="516"/>
      <s:c r="B14" s="517"/>
      <s:c r="C14" s="518"/>
      <s:c r="D14" s="551"/>
      <s:c r="E14" s="551"/>
      <s:c r="F14" s="518"/>
      <s:c r="G14" s="518"/>
      <s:c r="H14" s="518"/>
      <s:c r="I14" s="518"/>
      <s:c r="J14" s="518"/>
      <s:c r="K14" s="520"/>
      <s:c r="L14" s="520"/>
      <s:c r="M14" s="520"/>
      <s:c r="N14" s="521"/>
    </s:row>
    <s:row r="15">
      <s:c r="A15" s="552"/>
      <s:c r="B15" s="553" t="s">
        <s:v>121</s:v>
      </s:c>
      <s:c r="C15" s="551"/>
      <s:c r="D15" s="551"/>
      <s:c r="E15" s="551"/>
      <s:c r="F15" s="551"/>
      <s:c r="G15" s="551"/>
      <s:c r="H15" s="551"/>
      <s:c r="I15" s="663" t="s">
        <s:v>112</s:v>
      </s:c>
      <s:c r="J15" s="591"/>
      <s:c r="K15" s="591"/>
      <s:c r="L15" s="556"/>
      <s:c r="M15" s="556"/>
      <s:c r="N15" s="557"/>
    </s:row>
    <s:row r="16" ht="21">
      <s:c r="A16" s="552"/>
      <s:c r="B16" s="558" t="s">
        <s:v>123</s:v>
      </s:c>
      <s:c r="C16" s="558" t="s">
        <s:v>124</s:v>
      </s:c>
      <s:c r="D16" s="558" t="s">
        <s:v>125</s:v>
      </s:c>
      <s:c r="E16" s="558" t="s">
        <s:v>126</s:v>
      </s:c>
      <s:c r="F16" s="558" t="s">
        <s:v>127</s:v>
      </s:c>
      <s:c r="G16" s="558" t="s">
        <s:v>128</s:v>
      </s:c>
      <s:c r="H16" s="715"/>
      <s:c r="I16" s="558" t="s">
        <s:v>124</s:v>
      </s:c>
      <s:c r="J16" s="558" t="s">
        <s:v>129</s:v>
      </s:c>
      <s:c r="K16" s="558" t="s">
        <s:v>130</s:v>
      </s:c>
      <s:c r="L16" s="556"/>
      <s:c r="M16" s="556"/>
      <s:c r="N16" s="557"/>
    </s:row>
    <s:row r="17" ht="19" customHeight="1">
      <s:c r="A17" s="516"/>
      <s:c r="B17" s="559">
        <s:f>График!AI23</s:f>
        <s:v>0</s:v>
      </s:c>
      <s:c r="C17" s="560" t="str">
        <s:f>A2</s:f>
        <s:v>ул. Севастопольская, 62</s:v>
      </s:c>
      <s:c r="D17" s="560" t="s">
        <s:v>143</s:v>
      </s:c>
      <s:c r="E17" s="561">
        <s:f>График!AJ23</s:f>
        <s:v>0</s:v>
      </s:c>
      <s:c r="F17" s="562">
        <s:v>100</s:v>
      </s:c>
      <s:c r="G17" s="711">
        <s:f>E17*F17</s:f>
        <s:v>0</s:v>
      </s:c>
      <s:c r="H17" s="564"/>
      <s:c r="I17" s="560" t="str">
        <s:f>C17</s:f>
        <s:v>ул. Севастопольская, 62</s:v>
      </s:c>
      <s:c r="J17" s="565"/>
      <s:c r="K17" s="562"/>
      <s:c r="L17" s="520"/>
      <s:c r="M17" s="520"/>
      <s:c r="N17" s="521"/>
    </s:row>
    <s:row r="18" ht="19" customHeight="1">
      <s:c r="A18" s="552"/>
      <s:c r="B18" s="558"/>
      <s:c r="C18" s="560"/>
      <s:c r="D18" s="560"/>
      <s:c r="E18" s="712"/>
      <s:c r="F18" s="562"/>
      <s:c r="G18" s="711"/>
      <s:c r="H18" s="715"/>
      <s:c r="I18" s="674"/>
      <s:c r="J18" s="571"/>
      <s:c r="K18" s="562"/>
      <s:c r="L18" s="556"/>
      <s:c r="M18" s="556"/>
      <s:c r="N18" s="557"/>
    </s:row>
    <s:row r="19">
      <s:c r="A19" s="552"/>
      <s:c r="B19" s="551"/>
      <s:c r="C19" s="581"/>
      <s:c r="D19" s="518"/>
      <s:c r="E19" s="582"/>
      <s:c r="F19" s="582"/>
      <s:c r="G19" s="583"/>
      <s:c r="H19" s="551"/>
      <s:c r="I19" s="551"/>
      <s:c r="J19" s="551"/>
      <s:c r="K19" s="551"/>
      <s:c r="L19" s="556"/>
      <s:c r="M19" s="556"/>
      <s:c r="N19" s="557"/>
    </s:row>
    <s:row r="20">
      <s:c r="A20" s="744" t="s">
        <s:v>132</s:v>
      </s:c>
      <s:c r="B20" s="544"/>
      <s:c r="C20" s="544"/>
      <s:c r="D20" s="584">
        <s:f>G25+G26</s:f>
        <s:v>6609.3199999999997</s:v>
      </s:c>
      <s:c r="E20" s="585"/>
      <s:c r="F20" s="547"/>
      <s:c r="G20" s="547"/>
      <s:c r="H20" s="547"/>
      <s:c r="I20" s="745" t="s">
        <s:v>111</s:v>
      </s:c>
      <s:c r="J20" s="547"/>
      <s:c r="K20" s="547"/>
      <s:c r="L20" s="547"/>
      <s:c r="M20" s="584">
        <s:f>N25+N26</s:f>
        <s:v>0</s:v>
      </s:c>
      <s:c r="N20" s="550"/>
    </s:row>
    <s:row r="21">
      <s:c r="A21" s="586"/>
      <s:c r="B21" s="517"/>
      <s:c r="C21" s="520"/>
      <s:c r="D21" s="520"/>
      <s:c r="E21" s="520"/>
      <s:c r="F21" s="520"/>
      <s:c r="G21" s="520"/>
      <s:c r="H21" s="520"/>
      <s:c r="I21" s="520"/>
      <s:c r="J21" s="520"/>
      <s:c r="K21" s="587"/>
      <s:c r="L21" s="206"/>
      <s:c r="M21" s="206"/>
      <s:c r="N21" s="588"/>
    </s:row>
    <s:row r="22">
      <s:c r="A22" s="586"/>
      <s:c r="B22" s="518"/>
      <s:c r="C22" s="517"/>
      <s:c r="D22" s="520"/>
      <s:c r="E22" s="520"/>
      <s:c r="F22" s="520"/>
      <s:c r="G22" s="520"/>
      <s:c r="H22" s="520"/>
      <s:c r="I22" s="520"/>
      <s:c r="J22" s="520"/>
      <s:c r="K22" s="520"/>
      <s:c r="L22" s="520"/>
      <s:c r="M22" s="520"/>
      <s:c r="N22" s="521"/>
    </s:row>
    <s:row r="23">
      <s:c r="A23" s="586"/>
      <s:c r="B23" s="517" t="s">
        <s:v>133</s:v>
      </s:c>
      <s:c r="C23" s="520"/>
      <s:c r="D23" s="520"/>
      <s:c r="E23" s="520"/>
      <s:c r="F23" s="520"/>
      <s:c r="G23" s="520"/>
      <s:c r="H23" s="520"/>
      <s:c r="I23" s="746" t="s">
        <s:v>134</s:v>
      </s:c>
      <s:c r="J23" s="746"/>
      <s:c r="K23" s="747"/>
      <s:c r="L23" s="747"/>
      <s:c r="M23" s="747"/>
      <s:c r="N23" s="675"/>
    </s:row>
    <s:row r="24" ht="31.5">
      <s:c r="A24" s="573"/>
      <s:c r="B24" s="558" t="s">
        <s:v>28</s:v>
      </s:c>
      <s:c r="C24" s="558" t="s">
        <s:v>124</s:v>
      </s:c>
      <s:c r="D24" s="558"/>
      <s:c r="E24" s="558" t="s">
        <s:v>135</s:v>
      </s:c>
      <s:c r="F24" s="558" t="s">
        <s:v>136</s:v>
      </s:c>
      <s:c r="G24" s="558" t="s">
        <s:v>137</s:v>
      </s:c>
      <s:c r="H24" s="715"/>
      <s:c r="I24" s="558" t="s">
        <s:v>28</s:v>
      </s:c>
      <s:c r="J24" s="558" t="s">
        <s:v>124</s:v>
      </s:c>
      <s:c r="K24" s="558" t="s">
        <s:v>138</s:v>
      </s:c>
      <s:c r="L24" s="558" t="s">
        <s:v>139</s:v>
      </s:c>
      <s:c r="M24" s="558" t="s">
        <s:v>135</s:v>
      </s:c>
      <s:c r="N24" s="679" t="s">
        <s:v>137</s:v>
      </s:c>
    </s:row>
    <s:row r="25" ht="18" customHeight="1">
      <s:c r="A25" s="586"/>
      <s:c r="B25" s="560">
        <s:f>A4</s:f>
        <s:v>0</s:v>
      </s:c>
      <s:c r="C25" s="560" t="str">
        <s:f>A2</s:f>
        <s:v>ул. Севастопольская, 62</s:v>
      </s:c>
      <s:c r="D25" s="560"/>
      <s:c r="E25" s="565">
        <s:v>0.040000000000000001</s:v>
      </s:c>
      <s:c r="F25" s="529">
        <s:f>'Сейтджелилова А.Э.'!J8</s:f>
        <s:v>165233</s:v>
      </s:c>
      <s:c r="G25" s="748">
        <s:f>F25*E25</s:f>
        <s:v>6609.3199999999997</s:v>
      </s:c>
      <s:c r="H25" s="749"/>
      <s:c r="I25" s="603">
        <s:f>B25</s:f>
        <s:v>0</s:v>
      </s:c>
      <s:c r="J25" s="604" t="str">
        <s:f>C25</s:f>
        <s:v>ул. Севастопольская, 62</s:v>
      </s:c>
      <s:c r="K25" s="604">
        <s:f>E17</s:f>
        <s:v>0</s:v>
      </s:c>
      <s:c r="L25" s="606">
        <s:f>График!AJ29</s:f>
        <s:v>562</s:v>
      </s:c>
      <s:c r="M25" s="565">
        <s:v>0.02</s:v>
      </s:c>
      <s:c r="N25" s="608">
        <s:f>Центрум!J8*M25*K25/L25</s:f>
        <s:v>0</s:v>
      </s:c>
    </s:row>
    <s:row r="26" ht="18" customHeight="1">
      <s:c r="A26" s="573"/>
      <s:c r="B26" s="560"/>
      <s:c r="C26" s="750"/>
      <s:c r="D26" s="750"/>
      <s:c r="E26" s="565"/>
      <s:c r="F26" s="611"/>
      <s:c r="G26" s="748"/>
      <s:c r="H26" s="715"/>
      <s:c r="I26" s="603"/>
      <s:c r="J26" s="690"/>
      <s:c r="K26" s="615"/>
      <s:c r="L26" s="616"/>
      <s:c r="M26" s="565"/>
      <s:c r="N26" s="608"/>
    </s:row>
    <s:row r="27">
      <s:c r="A27" s="691"/>
      <s:c r="B27" s="693"/>
      <s:c r="C27" s="693"/>
      <s:c r="D27" s="693"/>
      <s:c r="E27" s="693"/>
      <s:c r="F27" s="693"/>
      <s:c r="G27" s="693"/>
      <s:c r="H27" s="693"/>
      <s:c r="I27" s="694"/>
      <s:c r="J27" s="694"/>
      <s:c r="K27" s="694"/>
      <s:c r="L27" s="694"/>
      <s:c r="M27" s="694"/>
      <s:c r="N27" s="695"/>
    </s:row>
  </s:sheetData>
  <s:mergeCells count="20">
    <s:mergeCell ref="A1:D1"/>
    <s:mergeCell ref="A2:C2"/>
    <s:mergeCell ref="A3:C3"/>
    <s:mergeCell ref="A4:C4"/>
    <s:mergeCell ref="D7:E7"/>
    <s:mergeCell ref="H7:I7"/>
    <s:mergeCell ref="J7:K7"/>
    <s:mergeCell ref="D8:E8"/>
    <s:mergeCell ref="H8:I8"/>
    <s:mergeCell ref="J8:K8"/>
    <s:mergeCell ref="D9:E9"/>
    <s:mergeCell ref="H9:I9"/>
    <s:mergeCell ref="J9:K9"/>
    <s:mergeCell ref="D10:E10"/>
    <s:mergeCell ref="H10:I10"/>
    <s:mergeCell ref="J10:K10"/>
    <s:mergeCell ref="D11:E11"/>
    <s:mergeCell ref="C24:D24"/>
    <s:mergeCell ref="C25:D25"/>
    <s:mergeCell ref="C26:D26"/>
  </s:mergeCells>
  <s:printOptions headings="0" gridLines="0"/>
  <s:pageMargins left="0.7" right="0.7" top="0.75" bottom="0.75" header="0.3" footer="0.3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</s:worksheet>
</file>

<file path=xl/worksheets/sheet15.xml><?xml version="1.0" encoding="utf-8"?>
<s:worksheet xmlns:x14ac="http://schemas.microsoft.com/office/spreadsheetml/2009/9/ac" xmlns:mc="http://schemas.openxmlformats.org/markup-compatibility/2006" xmlns:s="http://schemas.openxmlformats.org/spreadsheetml/2006/main" mc:Ignorable="x14ac">
  <s:sheetPr>
    <s:tabColor rgb="FFDBDBDB"/>
    <s:outlinePr applyStyles="0" summaryBelow="1" summaryRight="1" showOutlineSymbols="1"/>
    <s:pageSetUpPr autoPageBreaks="1" fitToPage="0"/>
  </s:sheetPr>
  <s:sheetViews>
    <s:sheetView tabSelected="0" zoomScale="93" workbookViewId="0">
      <s:selection activeCell="F25" activeCellId="0" sqref="F25"/>
    </s:sheetView>
  </s:sheetViews>
  <s:sheetFormatPr baseColWidth="10" defaultColWidth="11.5" defaultRowHeight="14.25"/>
  <s:cols>
    <s:col min="1" max="1" width="2" style="1" customWidth="1"/>
    <s:col min="2" max="2" width="11" style="1" customWidth="1"/>
    <s:col min="3" max="3" width="16.5" style="1" customWidth="1"/>
    <s:col min="4" max="6" width="11.5" style="1"/>
    <s:col min="7" max="7" width="12.664" style="1" customWidth="1"/>
    <s:col min="8" max="8" width="13.164" style="1" customWidth="1"/>
    <s:col min="9" max="10" width="16.332" style="1" customWidth="1"/>
    <s:col min="11" max="11" width="14.5" style="1" customWidth="1"/>
    <s:col min="12" max="12" width="17.164" style="1" customWidth="1"/>
    <s:col min="13" max="13" width="16.332" style="1" customWidth="1"/>
    <s:col min="14" max="14" width="16.332" customWidth="1"/>
  </s:cols>
  <s:sheetData>
    <s:row r="1" ht="17" customHeight="1">
      <s:c r="A1" s="484" t="str">
        <s:f>График!B1</s:f>
        <s:v>Январь, 2026</s:v>
      </s:c>
      <s:c r="B1" s="485"/>
      <s:c r="C1" s="485"/>
      <s:c r="D1" s="486"/>
      <s:c r="E1" s="487"/>
      <s:c r="F1" s="488"/>
      <s:c r="G1" s="488"/>
      <s:c r="H1" s="488"/>
      <s:c r="I1" s="488"/>
      <s:c r="J1" s="488"/>
      <s:c r="K1" s="488"/>
      <s:c r="L1" s="488"/>
      <s:c r="M1" s="488"/>
      <s:c r="N1" s="489"/>
    </s:row>
    <s:row r="2" ht="19" customHeight="1">
      <s:c r="A2" s="490" t="str">
        <s:f>График!B3</s:f>
        <s:v>ул. Севастопольская, 62</s:v>
      </s:c>
      <s:c r="B2" s="491"/>
      <s:c r="C2" s="492"/>
      <s:c r="D2" s="493" t="str">
        <s:f>График!B4</s:f>
        <s:v>GL-0004</s:v>
      </s:c>
      <s:c r="E2" s="629"/>
      <s:c r="F2" s="495"/>
      <s:c r="G2" s="495"/>
      <s:c r="H2" s="495"/>
      <s:c r="I2" s="495"/>
      <s:c r="J2" s="495"/>
      <s:c r="K2" s="495"/>
      <s:c r="L2" s="495"/>
      <s:c r="M2" s="495"/>
      <s:c r="N2" s="630"/>
    </s:row>
    <s:row r="3" ht="63.75">
      <s:c r="A3" s="751" t="s">
        <s:v>28</s:v>
      </s:c>
      <s:c r="B3" s="752"/>
      <s:c r="C3" s="753"/>
      <s:c r="D3" s="754" t="s">
        <s:v>106</s:v>
      </s:c>
      <s:c r="E3" s="755" t="s">
        <s:v>107</s:v>
      </s:c>
      <s:c r="F3" s="756" t="s">
        <s:v>108</s:v>
      </s:c>
      <s:c r="G3" s="501" t="s">
        <s:v>109</s:v>
      </s:c>
      <s:c r="H3" s="502" t="s">
        <s:v>110</s:v>
      </s:c>
      <s:c r="I3" s="502" t="s">
        <s:v>111</s:v>
      </s:c>
      <s:c r="J3" s="503" t="s">
        <s:v>112</s:v>
      </s:c>
      <s:c r="K3" s="757" t="s">
        <s:v>88</s:v>
      </s:c>
      <s:c r="L3" s="758" t="s">
        <s:v>113</s:v>
      </s:c>
      <s:c r="M3" s="759" t="s">
        <s:v>114</s:v>
      </s:c>
      <s:c r="N3" s="760" t="s">
        <s:v>115</s:v>
      </s:c>
    </s:row>
    <s:row r="4" ht="18" customHeight="1">
      <s:c r="A4" s="761">
        <s:f>График!B24</s:f>
        <s:v>0</s:v>
      </s:c>
      <s:c r="B4" s="762"/>
      <s:c r="C4" s="763"/>
      <s:c r="D4" s="764"/>
      <s:c r="E4" s="765"/>
      <s:c r="F4" s="766">
        <s:f>H8+H9</s:f>
        <s:v>0</s:v>
      </s:c>
      <s:c r="G4" s="702">
        <s:f>D13</s:f>
        <s:v>0</s:v>
      </s:c>
      <s:c r="H4" s="703">
        <s:f>D20</s:f>
        <s:v>6360.9500000000007</s:v>
      </s:c>
      <s:c r="I4" s="703">
        <s:f>M20</s:f>
        <s:v>0</s:v>
      </s:c>
      <s:c r="J4" s="704">
        <s:f>M13</s:f>
        <s:v>0</s:v>
      </s:c>
      <s:c r="K4" s="767">
        <s:f>H4+J4+G4+F4+I4</s:f>
        <s:v>6360.9500000000007</s:v>
      </s:c>
      <s:c r="L4" s="768">
        <s:f>C8+C9+C10+C11</s:f>
        <s:v>200</s:v>
      </s:c>
      <s:c r="M4" s="766">
        <s:f>K4-L4-D4-E4</s:f>
        <s:v>6160.9500000000007</s:v>
      </s:c>
      <s:c r="N4" s="769"/>
    </s:row>
    <s:row r="5">
      <s:c r="A5" s="708"/>
      <s:c r="B5" s="517"/>
      <s:c r="C5" s="518"/>
      <s:c r="D5" s="518"/>
      <s:c r="E5" s="518"/>
      <s:c r="F5" s="518"/>
      <s:c r="G5" s="518"/>
      <s:c r="H5" s="518"/>
      <s:c r="I5" s="518"/>
      <s:c r="J5" s="518"/>
      <s:c r="K5" s="519"/>
      <s:c r="L5" s="518"/>
      <s:c r="M5" s="520"/>
      <s:c r="N5" s="709"/>
    </s:row>
    <s:row r="6">
      <s:c r="A6" s="516"/>
      <s:c r="B6" s="649" t="s">
        <s:v>113</s:v>
      </s:c>
      <s:c r="C6" s="650"/>
      <s:c r="D6" s="650"/>
      <s:c r="E6" s="650"/>
      <s:c r="F6" s="518"/>
      <s:c r="G6" s="517" t="s">
        <s:v>116</s:v>
      </s:c>
      <s:c r="H6" s="518"/>
      <s:c r="I6" s="518"/>
      <s:c r="J6" s="518"/>
      <s:c r="K6" s="518"/>
      <s:c r="L6" s="518"/>
      <s:c r="M6" s="520"/>
      <s:c r="N6" s="521"/>
    </s:row>
    <s:row r="7" ht="16" customHeight="1">
      <s:c r="A7" s="522"/>
      <s:c r="B7" s="523" t="s">
        <s:v>29</s:v>
      </s:c>
      <s:c r="C7" s="523" t="s">
        <s:v>117</s:v>
      </s:c>
      <s:c r="D7" s="523" t="s">
        <s:v>118</s:v>
      </s:c>
      <s:c r="E7" s="523"/>
      <s:c r="F7" s="742"/>
      <s:c r="G7" s="523" t="s">
        <s:v>29</s:v>
      </s:c>
      <s:c r="H7" s="523" t="s">
        <s:v>117</s:v>
      </s:c>
      <s:c r="I7" s="523"/>
      <s:c r="J7" s="523" t="s">
        <s:v>118</s:v>
      </s:c>
      <s:c r="K7" s="523"/>
      <s:c r="L7" s="524"/>
      <s:c r="M7" s="525"/>
      <s:c r="N7" s="526"/>
    </s:row>
    <s:row r="8" ht="23" customHeight="1">
      <s:c r="A8" s="527"/>
      <s:c r="B8" s="528">
        <s:v>46031</s:v>
      </s:c>
      <s:c r="C8" s="529">
        <s:v>200</s:v>
      </s:c>
      <s:c r="D8" s="530" t="s">
        <s:v>140</s:v>
      </s:c>
      <s:c r="E8" s="530"/>
      <s:c r="F8" s="743"/>
      <s:c r="G8" s="528">
        <s:v>46053</s:v>
      </s:c>
      <s:c r="H8" s="531">
        <s:f>Центрум!D62*1%/2</s:f>
        <s:v>0</s:v>
      </s:c>
      <s:c r="I8" s="531"/>
      <s:c r="J8" s="530" t="s">
        <s:v>144</s:v>
      </s:c>
      <s:c r="K8" s="530"/>
      <s:c r="L8" s="518"/>
      <s:c r="M8" s="520"/>
      <s:c r="N8" s="521"/>
    </s:row>
    <s:row r="9" ht="23" customHeight="1">
      <s:c r="A9" s="516"/>
      <s:c r="B9" s="528"/>
      <s:c r="C9" s="529"/>
      <s:c r="D9" s="530"/>
      <s:c r="E9" s="530"/>
      <s:c r="F9" s="518"/>
      <s:c r="G9" s="528"/>
      <s:c r="H9" s="531"/>
      <s:c r="I9" s="531"/>
      <s:c r="J9" s="530"/>
      <s:c r="K9" s="530"/>
      <s:c r="L9" s="518"/>
      <s:c r="M9" s="520"/>
      <s:c r="N9" s="521"/>
    </s:row>
    <s:row r="10" ht="21" customHeight="1">
      <s:c r="A10" s="532"/>
      <s:c r="B10" s="533"/>
      <s:c r="C10" s="534"/>
      <s:c r="D10" s="535"/>
      <s:c r="E10" s="535"/>
      <s:c r="F10" s="536"/>
      <s:c r="G10" s="518"/>
      <s:c r="H10" s="518"/>
      <s:c r="I10" s="518"/>
      <s:c r="J10" s="518"/>
      <s:c r="K10" s="518"/>
      <s:c r="L10" s="518"/>
      <s:c r="M10" s="520"/>
      <s:c r="N10" s="521"/>
    </s:row>
    <s:row r="11" ht="16" customHeight="1">
      <s:c r="A11" s="532"/>
      <s:c r="B11" s="537"/>
      <s:c r="C11" s="538"/>
      <s:c r="D11" s="539"/>
      <s:c r="E11" s="539"/>
      <s:c r="F11" s="536"/>
      <s:c r="G11" s="518"/>
      <s:c r="H11" s="518"/>
      <s:c r="I11" s="518"/>
      <s:c r="J11" s="518"/>
      <s:c r="K11" s="518"/>
      <s:c r="L11" s="518"/>
      <s:c r="M11" s="520"/>
      <s:c r="N11" s="521"/>
    </s:row>
    <s:row r="12">
      <s:c r="A12" s="516"/>
      <s:c r="B12" s="540"/>
      <s:c r="C12" s="541"/>
      <s:c r="D12" s="542"/>
      <s:c r="E12" s="542"/>
      <s:c r="F12" s="518"/>
      <s:c r="G12" s="518"/>
      <s:c r="H12" s="518"/>
      <s:c r="I12" s="518"/>
      <s:c r="J12" s="518"/>
      <s:c r="K12" s="518"/>
      <s:c r="L12" s="518"/>
      <s:c r="M12" s="520"/>
      <s:c r="N12" s="521"/>
    </s:row>
    <s:row r="13">
      <s:c r="A13" s="543" t="s">
        <s:v>121</s:v>
      </s:c>
      <s:c r="B13" s="544"/>
      <s:c r="C13" s="544"/>
      <s:c r="D13" s="545">
        <s:f>G17+G18</s:f>
        <s:v>0</s:v>
      </s:c>
      <s:c r="E13" s="546"/>
      <s:c r="F13" s="547"/>
      <s:c r="G13" s="544"/>
      <s:c r="H13" s="544"/>
      <s:c r="I13" s="548" t="s">
        <s:v>122</s:v>
      </s:c>
      <s:c r="J13" s="544"/>
      <s:c r="K13" s="544"/>
      <s:c r="L13" s="544"/>
      <s:c r="M13" s="549">
        <s:f>K17+K18</s:f>
        <s:v>0</s:v>
      </s:c>
      <s:c r="N13" s="550"/>
    </s:row>
    <s:row r="14">
      <s:c r="A14" s="516"/>
      <s:c r="B14" s="517"/>
      <s:c r="C14" s="518"/>
      <s:c r="D14" s="551"/>
      <s:c r="E14" s="551"/>
      <s:c r="F14" s="518"/>
      <s:c r="G14" s="518"/>
      <s:c r="H14" s="518"/>
      <s:c r="I14" s="518"/>
      <s:c r="J14" s="518"/>
      <s:c r="K14" s="520"/>
      <s:c r="L14" s="520"/>
      <s:c r="M14" s="520"/>
      <s:c r="N14" s="521"/>
    </s:row>
    <s:row r="15">
      <s:c r="A15" s="552"/>
      <s:c r="B15" s="553" t="s">
        <s:v>121</s:v>
      </s:c>
      <s:c r="C15" s="551"/>
      <s:c r="D15" s="551"/>
      <s:c r="E15" s="551"/>
      <s:c r="F15" s="551"/>
      <s:c r="G15" s="551"/>
      <s:c r="H15" s="551"/>
      <s:c r="I15" s="663" t="s">
        <s:v>112</s:v>
      </s:c>
      <s:c r="J15" s="591"/>
      <s:c r="K15" s="591"/>
      <s:c r="L15" s="556"/>
      <s:c r="M15" s="556"/>
      <s:c r="N15" s="557"/>
    </s:row>
    <s:row r="16" ht="21">
      <s:c r="A16" s="664"/>
      <s:c r="B16" s="665" t="s">
        <s:v>123</s:v>
      </s:c>
      <s:c r="C16" s="665" t="s">
        <s:v>124</s:v>
      </s:c>
      <s:c r="D16" s="665" t="s">
        <s:v>125</s:v>
      </s:c>
      <s:c r="E16" s="665" t="s">
        <s:v>126</s:v>
      </s:c>
      <s:c r="F16" s="665" t="s">
        <s:v>127</s:v>
      </s:c>
      <s:c r="G16" s="665" t="s">
        <s:v>128</s:v>
      </s:c>
      <s:c r="H16" s="666"/>
      <s:c r="I16" s="558" t="s">
        <s:v>124</s:v>
      </s:c>
      <s:c r="J16" s="558" t="s">
        <s:v>129</s:v>
      </s:c>
      <s:c r="K16" s="558" t="s">
        <s:v>130</s:v>
      </s:c>
      <s:c r="L16" s="556"/>
      <s:c r="M16" s="556"/>
      <s:c r="N16" s="557"/>
    </s:row>
    <s:row r="17">
      <s:c r="A17" s="527"/>
      <s:c r="B17" s="667">
        <s:f>График!AI24</s:f>
        <s:v>0</s:v>
      </s:c>
      <s:c r="C17" s="518" t="str">
        <s:f>A2</s:f>
        <s:v>ул. Севастопольская, 62</s:v>
      </s:c>
      <s:c r="D17" s="668" t="s">
        <s:v>143</s:v>
      </s:c>
      <s:c r="E17" s="669">
        <s:f>График!AJ24</s:f>
        <s:v>0</s:v>
      </s:c>
      <s:c r="F17" s="670">
        <s:v>200</s:v>
      </s:c>
      <s:c r="G17" s="671">
        <s:f>E17*F17</s:f>
        <s:v>0</s:v>
      </s:c>
      <s:c r="H17" s="672"/>
      <s:c r="I17" s="560" t="str">
        <s:f>C17</s:f>
        <s:v>ул. Севастопольская, 62</s:v>
      </s:c>
      <s:c r="J17" s="565">
        <s:f>Центрум!K8</s:f>
        <s:v>0.74142872481262578</s:v>
      </s:c>
      <s:c r="K17" s="562"/>
      <s:c r="L17" s="520"/>
      <s:c r="M17" s="520"/>
      <s:c r="N17" s="521"/>
    </s:row>
    <s:row r="18">
      <s:c r="A18" s="664"/>
      <s:c r="B18" s="665"/>
      <s:c r="C18" s="668"/>
      <s:c r="D18" s="668"/>
      <s:c r="E18" s="673"/>
      <s:c r="F18" s="670"/>
      <s:c r="G18" s="671"/>
      <s:c r="H18" s="666"/>
      <s:c r="I18" s="674"/>
      <s:c r="J18" s="571"/>
      <s:c r="K18" s="562"/>
      <s:c r="L18" s="556"/>
      <s:c r="M18" s="556"/>
      <s:c r="N18" s="557"/>
    </s:row>
    <s:row r="19">
      <s:c r="A19" s="552"/>
      <s:c r="B19" s="551"/>
      <s:c r="C19" s="581"/>
      <s:c r="D19" s="518"/>
      <s:c r="E19" s="582"/>
      <s:c r="F19" s="582"/>
      <s:c r="G19" s="583"/>
      <s:c r="H19" s="551"/>
      <s:c r="I19" s="551"/>
      <s:c r="J19" s="551"/>
      <s:c r="K19" s="551"/>
      <s:c r="L19" s="556"/>
      <s:c r="M19" s="556"/>
      <s:c r="N19" s="557"/>
    </s:row>
    <s:row r="20">
      <s:c r="A20" s="543" t="s">
        <s:v>132</s:v>
      </s:c>
      <s:c r="B20" s="544"/>
      <s:c r="C20" s="544"/>
      <s:c r="D20" s="584">
        <s:f>G25+G26</s:f>
        <s:v>6360.9500000000007</s:v>
      </s:c>
      <s:c r="E20" s="585"/>
      <s:c r="F20" s="547"/>
      <s:c r="G20" s="547"/>
      <s:c r="H20" s="547"/>
      <s:c r="I20" s="544" t="s">
        <s:v>111</s:v>
      </s:c>
      <s:c r="J20" s="547"/>
      <s:c r="K20" s="547"/>
      <s:c r="L20" s="547"/>
      <s:c r="M20" s="584">
        <s:f>N25+N26</s:f>
        <s:v>0</s:v>
      </s:c>
      <s:c r="N20" s="550"/>
    </s:row>
    <s:row r="21">
      <s:c r="A21" s="586"/>
      <s:c r="B21" s="517"/>
      <s:c r="C21" s="520"/>
      <s:c r="D21" s="520"/>
      <s:c r="E21" s="520"/>
      <s:c r="F21" s="520"/>
      <s:c r="G21" s="520"/>
      <s:c r="H21" s="520"/>
      <s:c r="I21" s="520"/>
      <s:c r="J21" s="520"/>
      <s:c r="K21" s="587"/>
      <s:c r="L21" s="206"/>
      <s:c r="M21" s="206"/>
      <s:c r="N21" s="588"/>
    </s:row>
    <s:row r="22">
      <s:c r="A22" s="586"/>
      <s:c r="B22" s="518"/>
      <s:c r="C22" s="517"/>
      <s:c r="D22" s="520"/>
      <s:c r="E22" s="520"/>
      <s:c r="F22" s="520"/>
      <s:c r="G22" s="520"/>
      <s:c r="H22" s="520"/>
      <s:c r="I22" s="520"/>
      <s:c r="J22" s="520"/>
      <s:c r="K22" s="520"/>
      <s:c r="L22" s="520"/>
      <s:c r="M22" s="520"/>
      <s:c r="N22" s="521"/>
    </s:row>
    <s:row r="23">
      <s:c r="A23" s="586"/>
      <s:c r="B23" s="517" t="s">
        <s:v>133</s:v>
      </s:c>
      <s:c r="C23" s="520"/>
      <s:c r="D23" s="520"/>
      <s:c r="E23" s="520"/>
      <s:c r="F23" s="520"/>
      <s:c r="G23" s="520"/>
      <s:c r="H23" s="520"/>
      <s:c r="I23" s="517" t="s">
        <s:v>134</s:v>
      </s:c>
      <s:c r="J23" s="517"/>
      <s:c r="K23" s="520"/>
      <s:c r="L23" s="520"/>
      <s:c r="M23" s="520"/>
      <s:c r="N23" s="675"/>
    </s:row>
    <s:row r="24" ht="31.5">
      <s:c r="A24" s="676"/>
      <s:c r="B24" s="665" t="s">
        <s:v>28</s:v>
      </s:c>
      <s:c r="C24" s="677" t="s">
        <s:v>124</s:v>
      </s:c>
      <s:c r="D24" s="678"/>
      <s:c r="E24" s="665" t="s">
        <s:v>135</s:v>
      </s:c>
      <s:c r="F24" s="665" t="s">
        <s:v>136</s:v>
      </s:c>
      <s:c r="G24" s="665" t="s">
        <s:v>137</s:v>
      </s:c>
      <s:c r="H24" s="551"/>
      <s:c r="I24" s="558" t="s">
        <s:v>28</s:v>
      </s:c>
      <s:c r="J24" s="558" t="s">
        <s:v>124</s:v>
      </s:c>
      <s:c r="K24" s="558" t="s">
        <s:v>138</s:v>
      </s:c>
      <s:c r="L24" s="558" t="s">
        <s:v>139</s:v>
      </s:c>
      <s:c r="M24" s="558" t="s">
        <s:v>135</s:v>
      </s:c>
      <s:c r="N24" s="679" t="s">
        <s:v>137</s:v>
      </s:c>
    </s:row>
    <s:row r="25">
      <s:c r="A25" s="680"/>
      <s:c r="B25" s="668">
        <s:f>A4</s:f>
        <s:v>0</s:v>
      </s:c>
      <s:c r="C25" s="681" t="str">
        <s:f>A2</s:f>
        <s:v>ул. Севастопольская, 62</s:v>
      </s:c>
      <s:c r="D25" s="682"/>
      <s:c r="E25" s="683">
        <s:v>0.050000000000000003</s:v>
      </s:c>
      <s:c r="F25" s="541">
        <s:f>'Доп сотрудник'!J8-5653</s:f>
        <s:v>127219</s:v>
      </s:c>
      <s:c r="G25" s="684">
        <s:f>F25*E25</s:f>
        <s:v>6360.9500000000007</s:v>
      </s:c>
      <s:c r="H25" s="518"/>
      <s:c r="I25" s="603">
        <s:f>B25</s:f>
        <s:v>0</s:v>
      </s:c>
      <s:c r="J25" s="685" t="str">
        <s:f>C25</s:f>
        <s:v>ул. Севастопольская, 62</s:v>
      </s:c>
      <s:c r="K25" s="604">
        <s:f>E17</s:f>
        <s:v>0</s:v>
      </s:c>
      <s:c r="L25" s="686">
        <s:f>График!AJ29</s:f>
        <s:v>562</s:v>
      </s:c>
      <s:c r="M25" s="565">
        <s:v>0.02</s:v>
      </s:c>
      <s:c r="N25" s="608">
        <s:f>Центрум!J8*M25*K25/L25</s:f>
        <s:v>0</s:v>
      </s:c>
    </s:row>
    <s:row r="26">
      <s:c r="A26" s="676"/>
      <s:c r="B26" s="668"/>
      <s:c r="C26" s="687"/>
      <s:c r="D26" s="688"/>
      <s:c r="E26" s="683"/>
      <s:c r="F26" s="689"/>
      <s:c r="G26" s="684"/>
      <s:c r="H26" s="551"/>
      <s:c r="I26" s="603"/>
      <s:c r="J26" s="690"/>
      <s:c r="K26" s="615"/>
      <s:c r="L26" s="616"/>
      <s:c r="M26" s="565"/>
      <s:c r="N26" s="608"/>
    </s:row>
    <s:row r="27">
      <s:c r="A27" s="691"/>
      <s:c r="B27" s="692"/>
      <s:c r="C27" s="692"/>
      <s:c r="D27" s="692"/>
      <s:c r="E27" s="692"/>
      <s:c r="F27" s="692"/>
      <s:c r="G27" s="692"/>
      <s:c r="H27" s="693"/>
      <s:c r="I27" s="694"/>
      <s:c r="J27" s="694"/>
      <s:c r="K27" s="694"/>
      <s:c r="L27" s="694"/>
      <s:c r="M27" s="694"/>
      <s:c r="N27" s="695"/>
    </s:row>
  </s:sheetData>
  <s:mergeCells count="18">
    <s:mergeCell ref="A1:D1"/>
    <s:mergeCell ref="A2:C2"/>
    <s:mergeCell ref="A3:C3"/>
    <s:mergeCell ref="A4:C4"/>
    <s:mergeCell ref="D7:E7"/>
    <s:mergeCell ref="H7:I7"/>
    <s:mergeCell ref="J7:K7"/>
    <s:mergeCell ref="D8:E8"/>
    <s:mergeCell ref="H8:I8"/>
    <s:mergeCell ref="J8:K8"/>
    <s:mergeCell ref="D9:E9"/>
    <s:mergeCell ref="H9:I9"/>
    <s:mergeCell ref="J9:K9"/>
    <s:mergeCell ref="D10:E10"/>
    <s:mergeCell ref="D11:E11"/>
    <s:mergeCell ref="C24:D24"/>
    <s:mergeCell ref="C25:D25"/>
    <s:mergeCell ref="C26:D26"/>
  </s:mergeCells>
  <s:printOptions headings="0" gridLines="0"/>
  <s:pageMargins left="0.7" right="0.7" top="0.75" bottom="0.75" header="0.3" footer="0.3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</s:worksheet>
</file>

<file path=xl/worksheets/sheet16.xml><?xml version="1.0" encoding="utf-8"?>
<s:worksheet xmlns:x14ac="http://schemas.microsoft.com/office/spreadsheetml/2009/9/ac" xmlns:mc="http://schemas.openxmlformats.org/markup-compatibility/2006" xmlns:s="http://schemas.openxmlformats.org/spreadsheetml/2006/main" mc:Ignorable="x14ac">
  <s:sheetPr>
    <s:tabColor rgb="FFDBDBDB"/>
    <s:outlinePr applyStyles="0" summaryBelow="1" summaryRight="1" showOutlineSymbols="1"/>
    <s:pageSetUpPr autoPageBreaks="1" fitToPage="0"/>
  </s:sheetPr>
  <s:sheetViews>
    <s:sheetView tabSelected="0" topLeftCell="A1" zoomScale="75" workbookViewId="0">
      <s:pane xSplit="3" topLeftCell="D1" activePane="topRight" state="frozen"/>
      <s:selection activeCell="A1" activeCellId="0" sqref="A1"/>
    </s:sheetView>
  </s:sheetViews>
  <s:sheetFormatPr baseColWidth="10" defaultColWidth="11.5" defaultRowHeight="14.25"/>
  <s:cols>
    <s:col min="1" max="1" width="4.832" style="1" customWidth="1"/>
    <s:col min="2" max="2" width="26.141" style="1" customWidth="1"/>
    <s:col min="3" max="3" width="18" style="1" customWidth="1"/>
    <s:col min="4" max="34" width="7.332" style="1" customWidth="1"/>
    <s:col min="35" max="35" width="4.832" style="1" customWidth="1"/>
    <s:col min="36" max="36" width="11.164" style="1" customWidth="1"/>
    <s:col min="37" max="40" width="6.332" style="1" customWidth="1"/>
    <s:col min="41" max="43" width="11.5" style="1"/>
  </s:cols>
  <s:sheetData>
    <s:row r="1">
      <s:c r="A1" s="770"/>
      <s:c r="B1" s="771" t="s">
        <s:v>145</s:v>
      </s:c>
      <s:c r="C1" s="772"/>
      <s:c r="D1" s="772"/>
      <s:c r="E1" s="772"/>
      <s:c r="F1" s="772"/>
      <s:c r="G1" s="772"/>
      <s:c r="H1" s="772"/>
      <s:c r="I1" s="772"/>
      <s:c r="J1" s="772"/>
      <s:c r="K1" s="772"/>
      <s:c r="L1" s="772"/>
      <s:c r="M1" s="772"/>
      <s:c r="N1" s="772"/>
      <s:c r="O1" s="772"/>
      <s:c r="P1" s="772"/>
      <s:c r="Q1" s="772"/>
      <s:c r="R1" s="772"/>
      <s:c r="S1" s="772"/>
      <s:c r="T1" s="772"/>
      <s:c r="U1" s="772"/>
      <s:c r="V1" s="772"/>
      <s:c r="W1" s="772"/>
      <s:c r="X1" s="772"/>
      <s:c r="Y1" s="772"/>
      <s:c r="Z1" s="772"/>
      <s:c r="AA1" s="772"/>
      <s:c r="AB1" s="772"/>
      <s:c r="AC1" s="772"/>
      <s:c r="AD1" s="772"/>
      <s:c r="AE1" s="772"/>
      <s:c r="AF1" s="772"/>
      <s:c r="AG1" s="772"/>
      <s:c r="AH1" s="772"/>
      <s:c r="AI1" s="772"/>
      <s:c r="AJ1" s="772"/>
      <s:c r="AK1" s="772"/>
      <s:c r="AL1" s="772"/>
      <s:c r="AM1" s="772"/>
      <s:c r="AN1" s="772"/>
    </s:row>
    <s:row r="2">
      <s:c r="A2" s="770"/>
      <s:c r="B2" s="773" t="s">
        <s:v>146</s:v>
      </s:c>
      <s:c r="C2" s="774"/>
      <s:c r="D2" s="774"/>
      <s:c r="E2" s="774"/>
      <s:c r="F2" s="774"/>
      <s:c r="G2" s="774"/>
      <s:c r="H2" s="774"/>
      <s:c r="I2" s="774"/>
      <s:c r="J2" s="774"/>
      <s:c r="K2" s="774"/>
      <s:c r="L2" s="774"/>
      <s:c r="M2" s="774"/>
      <s:c r="N2" s="774"/>
      <s:c r="O2" s="774"/>
      <s:c r="P2" s="774"/>
      <s:c r="Q2" s="774"/>
      <s:c r="R2" s="774"/>
      <s:c r="S2" s="774"/>
      <s:c r="T2" s="774"/>
      <s:c r="U2" s="774"/>
      <s:c r="V2" s="774"/>
      <s:c r="W2" s="774"/>
      <s:c r="X2" s="774"/>
      <s:c r="Y2" s="774"/>
      <s:c r="Z2" s="774"/>
      <s:c r="AA2" s="774"/>
      <s:c r="AB2" s="774"/>
      <s:c r="AC2" s="774"/>
      <s:c r="AD2" s="774"/>
      <s:c r="AE2" s="774"/>
      <s:c r="AF2" s="774"/>
      <s:c r="AG2" s="774"/>
      <s:c r="AH2" s="774"/>
      <s:c r="AI2" s="774"/>
      <s:c r="AJ2" s="774"/>
      <s:c r="AK2" s="774"/>
      <s:c r="AL2" s="774"/>
      <s:c r="AM2" s="774"/>
      <s:c r="AN2" s="774"/>
    </s:row>
    <s:row r="3">
      <s:c r="A3" s="770"/>
      <s:c r="B3" s="773" t="s">
        <s:v>147</s:v>
      </s:c>
      <s:c r="C3" s="774"/>
      <s:c r="D3" s="774"/>
      <s:c r="E3" s="774"/>
      <s:c r="F3" s="774"/>
      <s:c r="G3" s="774"/>
      <s:c r="H3" s="774"/>
      <s:c r="I3" s="774"/>
      <s:c r="J3" s="774"/>
      <s:c r="K3" s="774"/>
      <s:c r="L3" s="774"/>
      <s:c r="M3" s="774"/>
      <s:c r="N3" s="774"/>
      <s:c r="O3" s="774"/>
      <s:c r="P3" s="774"/>
      <s:c r="Q3" s="774"/>
      <s:c r="R3" s="774"/>
      <s:c r="S3" s="774"/>
      <s:c r="T3" s="774"/>
      <s:c r="U3" s="774"/>
      <s:c r="V3" s="774"/>
      <s:c r="W3" s="774"/>
      <s:c r="X3" s="774"/>
      <s:c r="Y3" s="774"/>
      <s:c r="Z3" s="774"/>
      <s:c r="AA3" s="774"/>
      <s:c r="AB3" s="774"/>
      <s:c r="AC3" s="774"/>
      <s:c r="AD3" s="774"/>
      <s:c r="AE3" s="774"/>
      <s:c r="AF3" s="774"/>
      <s:c r="AG3" s="774"/>
      <s:c r="AH3" s="774"/>
      <s:c r="AI3" s="774"/>
      <s:c r="AJ3" s="774"/>
      <s:c r="AK3" s="774"/>
      <s:c r="AL3" s="774"/>
      <s:c r="AM3" s="774"/>
      <s:c r="AN3" s="774"/>
    </s:row>
    <s:row r="4" ht="16.5">
      <s:c r="A4" s="770"/>
      <s:c r="B4" s="775" t="s">
        <s:v>148</s:v>
      </s:c>
      <s:c r="C4" s="774"/>
      <s:c r="D4" s="774"/>
      <s:c r="E4" s="774"/>
      <s:c r="F4" s="774"/>
      <s:c r="G4" s="774"/>
      <s:c r="H4" s="774"/>
      <s:c r="I4" s="774"/>
      <s:c r="J4" s="774"/>
      <s:c r="K4" s="774"/>
      <s:c r="L4" s="774"/>
      <s:c r="M4" s="774"/>
      <s:c r="N4" s="774"/>
      <s:c r="O4" s="774"/>
      <s:c r="P4" s="774"/>
      <s:c r="Q4" s="774"/>
      <s:c r="R4" s="774"/>
      <s:c r="S4" s="774"/>
      <s:c r="T4" s="774"/>
      <s:c r="U4" s="774"/>
      <s:c r="V4" s="774"/>
      <s:c r="W4" s="774"/>
      <s:c r="X4" s="774"/>
      <s:c r="Y4" s="774"/>
      <s:c r="Z4" s="774"/>
      <s:c r="AA4" s="774"/>
      <s:c r="AB4" s="774"/>
      <s:c r="AC4" s="774"/>
      <s:c r="AD4" s="774"/>
      <s:c r="AE4" s="774"/>
      <s:c r="AF4" s="774"/>
      <s:c r="AG4" s="774"/>
      <s:c r="AH4" s="774"/>
      <s:c r="AI4" s="774"/>
      <s:c r="AJ4" s="774"/>
      <s:c r="AK4" s="774"/>
      <s:c r="AL4" s="774"/>
      <s:c r="AM4" s="774"/>
      <s:c r="AN4" s="774"/>
    </s:row>
    <s:row r="5" ht="15">
      <s:c r="A5" s="770"/>
      <s:c r="B5" s="776" t="s">
        <s:v>149</s:v>
      </s:c>
      <s:c r="C5" s="774"/>
      <s:c r="D5" s="774"/>
      <s:c r="E5" s="774"/>
      <s:c r="F5" s="774"/>
      <s:c r="G5" s="774"/>
      <s:c r="H5" s="774"/>
      <s:c r="I5" s="774"/>
      <s:c r="J5" s="774"/>
      <s:c r="K5" s="774"/>
      <s:c r="L5" s="774"/>
      <s:c r="M5" s="774"/>
      <s:c r="N5" s="774"/>
      <s:c r="O5" s="774"/>
      <s:c r="P5" s="774"/>
      <s:c r="Q5" s="774"/>
      <s:c r="R5" s="774"/>
      <s:c r="S5" s="774"/>
      <s:c r="T5" s="774"/>
      <s:c r="U5" s="774"/>
      <s:c r="V5" s="774"/>
      <s:c r="W5" s="774"/>
      <s:c r="X5" s="774"/>
      <s:c r="Y5" s="774"/>
      <s:c r="Z5" s="774"/>
      <s:c r="AA5" s="774"/>
      <s:c r="AB5" s="774"/>
      <s:c r="AC5" s="774"/>
      <s:c r="AD5" s="774"/>
      <s:c r="AE5" s="774"/>
      <s:c r="AF5" s="774"/>
      <s:c r="AG5" s="774"/>
      <s:c r="AH5" s="774"/>
      <s:c r="AI5" s="774"/>
      <s:c r="AJ5" s="777"/>
      <s:c r="AK5" s="778"/>
      <s:c r="AL5" s="779"/>
      <s:c r="AM5" s="780"/>
      <s:c r="AN5" s="781"/>
    </s:row>
    <s:row r="6" ht="16" customHeight="1">
      <s:c r="A6" s="770"/>
      <s:c r="B6" s="782" t="s">
        <s:v>150</s:v>
      </s:c>
      <s:c r="C6" s="783" t="s">
        <s:v>151</s:v>
      </s:c>
      <s:c r="D6" s="784"/>
      <s:c r="E6" s="784"/>
      <s:c r="F6" s="784"/>
      <s:c r="G6" s="784"/>
      <s:c r="H6" s="784"/>
      <s:c r="I6" s="784"/>
      <s:c r="J6" s="784"/>
      <s:c r="K6" s="784"/>
      <s:c r="L6" s="784"/>
      <s:c r="M6" s="784"/>
      <s:c r="N6" s="784"/>
      <s:c r="O6" s="784"/>
      <s:c r="P6" s="784"/>
      <s:c r="Q6" s="784"/>
      <s:c r="R6" s="784"/>
      <s:c r="S6" s="784"/>
      <s:c r="T6" s="784"/>
      <s:c r="U6" s="784"/>
      <s:c r="V6" s="784"/>
      <s:c r="W6" s="784"/>
      <s:c r="X6" s="784"/>
      <s:c r="Y6" s="784"/>
      <s:c r="Z6" s="784"/>
      <s:c r="AA6" s="784"/>
      <s:c r="AB6" s="784"/>
      <s:c r="AC6" s="784"/>
      <s:c r="AD6" s="784"/>
      <s:c r="AE6" s="784"/>
      <s:c r="AF6" s="784"/>
      <s:c r="AG6" s="784"/>
      <s:c r="AH6" s="784"/>
      <s:c r="AI6" s="784"/>
      <s:c r="AJ6" s="785"/>
      <s:c r="AK6" s="786">
        <s:v>30</s:v>
      </s:c>
      <s:c r="AL6" s="787"/>
      <s:c r="AM6" s="787"/>
      <s:c r="AN6" s="787"/>
    </s:row>
    <s:row r="7" ht="16" customHeight="1">
      <s:c r="A7" s="788"/>
      <s:c r="B7" s="789"/>
      <s:c r="C7" s="783" t="s">
        <s:v>152</s:v>
      </s:c>
      <s:c r="D7" s="790"/>
      <s:c r="E7" s="790"/>
      <s:c r="F7" s="790"/>
      <s:c r="G7" s="790"/>
      <s:c r="H7" s="790"/>
      <s:c r="I7" s="790"/>
      <s:c r="J7" s="790"/>
      <s:c r="K7" s="790"/>
      <s:c r="L7" s="790"/>
      <s:c r="M7" s="790"/>
      <s:c r="N7" s="790"/>
      <s:c r="O7" s="790"/>
      <s:c r="P7" s="790"/>
      <s:c r="Q7" s="790"/>
      <s:c r="R7" s="790"/>
      <s:c r="S7" s="790"/>
      <s:c r="T7" s="790"/>
      <s:c r="U7" s="790"/>
      <s:c r="V7" s="790"/>
      <s:c r="W7" s="790"/>
      <s:c r="X7" s="790"/>
      <s:c r="Y7" s="790"/>
      <s:c r="Z7" s="790"/>
      <s:c r="AA7" s="790"/>
      <s:c r="AB7" s="790"/>
      <s:c r="AC7" s="790"/>
      <s:c r="AD7" s="790"/>
      <s:c r="AE7" s="790"/>
      <s:c r="AF7" s="790"/>
      <s:c r="AG7" s="790"/>
      <s:c r="AH7" s="790"/>
      <s:c r="AI7" s="784"/>
      <s:c r="AJ7" s="785"/>
      <s:c r="AK7" s="791"/>
      <s:c r="AL7" s="791"/>
      <s:c r="AM7" s="792"/>
      <s:c r="AN7" s="792"/>
    </s:row>
    <s:row r="8" ht="29" customHeight="1">
      <s:c r="A8" s="793"/>
      <s:c r="B8" s="794"/>
      <s:c r="C8" s="795"/>
      <s:c r="D8" s="796" t="s">
        <s:v>59</s:v>
      </s:c>
      <s:c r="E8" s="796" t="s">
        <s:v>61</s:v>
      </s:c>
      <s:c r="F8" s="796" t="s">
        <s:v>63</s:v>
      </s:c>
      <s:c r="G8" s="796" t="s">
        <s:v>65</s:v>
      </s:c>
      <s:c r="H8" s="796" t="s">
        <s:v>55</s:v>
      </s:c>
      <s:c r="I8" s="796" t="s">
        <s:v>57</s:v>
      </s:c>
      <s:c r="J8" s="796" t="s">
        <s:v>58</s:v>
      </s:c>
      <s:c r="K8" s="796" t="s">
        <s:v>59</s:v>
      </s:c>
      <s:c r="L8" s="796" t="s">
        <s:v>61</s:v>
      </s:c>
      <s:c r="M8" s="797" t="s">
        <s:v>63</s:v>
      </s:c>
      <s:c r="N8" s="798" t="s">
        <s:v>65</s:v>
      </s:c>
      <s:c r="O8" s="799" t="s">
        <s:v>55</s:v>
      </s:c>
      <s:c r="P8" s="796" t="s">
        <s:v>57</s:v>
      </s:c>
      <s:c r="Q8" s="797" t="s">
        <s:v>58</s:v>
      </s:c>
      <s:c r="R8" s="800" t="s">
        <s:v>59</s:v>
      </s:c>
      <s:c r="S8" s="798" t="s">
        <s:v>61</s:v>
      </s:c>
      <s:c r="T8" s="799" t="s">
        <s:v>63</s:v>
      </s:c>
      <s:c r="U8" s="796" t="s">
        <s:v>65</s:v>
      </s:c>
      <s:c r="V8" s="796" t="s">
        <s:v>55</s:v>
      </s:c>
      <s:c r="W8" s="796" t="s">
        <s:v>57</s:v>
      </s:c>
      <s:c r="X8" s="796" t="s">
        <s:v>58</s:v>
      </s:c>
      <s:c r="Y8" s="796" t="s">
        <s:v>59</s:v>
      </s:c>
      <s:c r="Z8" s="796" t="s">
        <s:v>61</s:v>
      </s:c>
      <s:c r="AA8" s="796" t="s">
        <s:v>63</s:v>
      </s:c>
      <s:c r="AB8" s="796" t="s">
        <s:v>65</s:v>
      </s:c>
      <s:c r="AC8" s="796" t="s">
        <s:v>55</s:v>
      </s:c>
      <s:c r="AD8" s="796" t="s">
        <s:v>57</s:v>
      </s:c>
      <s:c r="AE8" s="796" t="s">
        <s:v>58</s:v>
      </s:c>
      <s:c r="AF8" s="796"/>
      <s:c r="AG8" s="796"/>
      <s:c r="AH8" s="796"/>
      <s:c r="AI8" s="801"/>
      <s:c r="AJ8" s="802" t="s">
        <s:v>153</s:v>
      </s:c>
      <s:c r="AK8" s="802" t="s">
        <s:v>154</s:v>
      </s:c>
      <s:c r="AL8" s="803" t="s">
        <s:v>155</s:v>
      </s:c>
      <s:c r="AM8" s="803" t="s">
        <s:v>156</s:v>
      </s:c>
      <s:c r="AN8" s="804" t="s">
        <s:v>157</s:v>
      </s:c>
    </s:row>
    <s:row r="9">
      <s:c r="A9" s="805"/>
      <s:c r="B9" s="806"/>
      <s:c r="C9" s="807"/>
      <s:c r="D9" s="808"/>
      <s:c r="E9" s="808"/>
      <s:c r="F9" s="808"/>
      <s:c r="G9" s="808"/>
      <s:c r="H9" s="808"/>
      <s:c r="I9" s="808"/>
      <s:c r="J9" s="808"/>
      <s:c r="K9" s="808"/>
      <s:c r="L9" s="808"/>
      <s:c r="M9" s="808"/>
      <s:c r="N9" s="808"/>
      <s:c r="O9" s="808"/>
      <s:c r="P9" s="808"/>
      <s:c r="Q9" s="808"/>
      <s:c r="R9" s="809"/>
      <s:c r="S9" s="810"/>
      <s:c r="T9" s="808"/>
      <s:c r="U9" s="808"/>
      <s:c r="V9" s="808"/>
      <s:c r="W9" s="808"/>
      <s:c r="X9" s="808"/>
      <s:c r="Y9" s="808"/>
      <s:c r="Z9" s="808"/>
      <s:c r="AA9" s="808"/>
      <s:c r="AB9" s="808"/>
      <s:c r="AC9" s="808"/>
      <s:c r="AD9" s="808"/>
      <s:c r="AE9" s="808"/>
      <s:c r="AF9" s="808"/>
      <s:c r="AG9" s="808"/>
      <s:c r="AH9" s="808"/>
      <s:c r="AI9" s="811"/>
      <s:c r="AJ9" s="803"/>
      <s:c r="AK9" s="803"/>
      <s:c r="AL9" s="812"/>
      <s:c r="AM9" s="812"/>
      <s:c r="AN9" s="813"/>
    </s:row>
    <s:row r="10" ht="23" customHeight="1">
      <s:c r="A10" s="814" t="s">
        <s:v>158</s:v>
      </s:c>
      <s:c r="B10" s="815" t="s">
        <s:v>159</s:v>
      </s:c>
      <s:c r="C10" s="816" t="s">
        <s:v>125</s:v>
      </s:c>
      <s:c r="D10" s="817">
        <s:v>1</s:v>
      </s:c>
      <s:c r="E10" s="817">
        <s:v>2</s:v>
      </s:c>
      <s:c r="F10" s="817">
        <s:v>3</s:v>
      </s:c>
      <s:c r="G10" s="817">
        <s:v>4</s:v>
      </s:c>
      <s:c r="H10" s="817">
        <s:v>5</s:v>
      </s:c>
      <s:c r="I10" s="817">
        <s:v>6</s:v>
      </s:c>
      <s:c r="J10" s="817">
        <s:v>7</s:v>
      </s:c>
      <s:c r="K10" s="817">
        <s:v>8</s:v>
      </s:c>
      <s:c r="L10" s="817">
        <s:v>9</s:v>
      </s:c>
      <s:c r="M10" s="817">
        <s:v>10</s:v>
      </s:c>
      <s:c r="N10" s="817">
        <s:v>11</s:v>
      </s:c>
      <s:c r="O10" s="817">
        <s:v>12</s:v>
      </s:c>
      <s:c r="P10" s="817">
        <s:v>13</s:v>
      </s:c>
      <s:c r="Q10" s="817">
        <s:v>14</s:v>
      </s:c>
      <s:c r="R10" s="818">
        <s:v>15</s:v>
      </s:c>
      <s:c r="S10" s="819">
        <s:v>16</s:v>
      </s:c>
      <s:c r="T10" s="817">
        <s:v>17</s:v>
      </s:c>
      <s:c r="U10" s="817">
        <s:v>18</s:v>
      </s:c>
      <s:c r="V10" s="817">
        <s:v>19</s:v>
      </s:c>
      <s:c r="W10" s="817">
        <s:v>20</s:v>
      </s:c>
      <s:c r="X10" s="817">
        <s:v>21</s:v>
      </s:c>
      <s:c r="Y10" s="817">
        <s:v>22</s:v>
      </s:c>
      <s:c r="Z10" s="817">
        <s:v>23</s:v>
      </s:c>
      <s:c r="AA10" s="817">
        <s:v>24</s:v>
      </s:c>
      <s:c r="AB10" s="817">
        <s:v>25</s:v>
      </s:c>
      <s:c r="AC10" s="817">
        <s:v>26</s:v>
      </s:c>
      <s:c r="AD10" s="817">
        <s:v>27</s:v>
      </s:c>
      <s:c r="AE10" s="817">
        <s:v>28</s:v>
      </s:c>
      <s:c r="AF10" s="817"/>
      <s:c r="AG10" s="817"/>
      <s:c r="AH10" s="817"/>
      <s:c r="AI10" s="820" t="s">
        <s:v>160</s:v>
      </s:c>
      <s:c r="AJ10" s="821"/>
      <s:c r="AK10" s="822"/>
      <s:c r="AL10" s="823"/>
      <s:c r="AM10" s="824"/>
      <s:c r="AN10" s="825"/>
    </s:row>
    <s:row r="11">
      <s:c r="A11" s="826">
        <s:v>18</s:v>
      </s:c>
      <s:c r="B11" s="827"/>
      <s:c r="C11" s="827"/>
      <s:c r="D11" s="827"/>
      <s:c r="E11" s="827"/>
      <s:c r="F11" s="827"/>
      <s:c r="G11" s="827"/>
      <s:c r="H11" s="827"/>
      <s:c r="I11" s="827"/>
      <s:c r="J11" s="827"/>
      <s:c r="K11" s="827"/>
      <s:c r="L11" s="827"/>
      <s:c r="M11" s="827"/>
      <s:c r="N11" s="827"/>
      <s:c r="O11" s="827"/>
      <s:c r="P11" s="827"/>
      <s:c r="Q11" s="827"/>
      <s:c r="R11" s="828"/>
      <s:c r="S11" s="829"/>
      <s:c r="T11" s="827"/>
      <s:c r="U11" s="827"/>
      <s:c r="V11" s="827"/>
      <s:c r="W11" s="827"/>
      <s:c r="X11" s="827"/>
      <s:c r="Y11" s="827"/>
      <s:c r="Z11" s="830"/>
      <s:c r="AA11" s="830"/>
      <s:c r="AB11" s="830"/>
      <s:c r="AC11" s="830"/>
      <s:c r="AD11" s="830"/>
      <s:c r="AE11" s="830"/>
      <s:c r="AF11" s="827"/>
      <s:c r="AG11" s="827"/>
      <s:c r="AH11" s="831"/>
      <s:c r="AI11" s="832">
        <s:f validation_="true">COUNTIF(D11:AH11,"&gt;0")</s:f>
        <s:v>0</s:v>
      </s:c>
      <s:c r="AJ11" s="833">
        <s:f validation_="true">SUMIF(D11:AH11,"&gt;0")</s:f>
        <s:v>0</s:v>
      </s:c>
      <s:c r="AK11" s="834">
        <s:v>0</s:v>
      </s:c>
      <s:c r="AL11" s="834">
        <s:v>0</s:v>
      </s:c>
      <s:c r="AM11" s="834">
        <s:v>0</s:v>
      </s:c>
      <s:c r="AN11" s="835">
        <s:v>0</s:v>
      </s:c>
    </s:row>
    <s:row r="12">
      <s:c r="A12" s="836">
        <s:v>17</s:v>
      </s:c>
      <s:c r="B12" s="837"/>
      <s:c r="C12" s="837"/>
      <s:c r="D12" s="837"/>
      <s:c r="E12" s="837"/>
      <s:c r="F12" s="837"/>
      <s:c r="G12" s="837"/>
      <s:c r="H12" s="837"/>
      <s:c r="I12" s="837"/>
      <s:c r="J12" s="837"/>
      <s:c r="K12" s="837"/>
      <s:c r="L12" s="837"/>
      <s:c r="M12" s="837"/>
      <s:c r="N12" s="837"/>
      <s:c r="O12" s="837"/>
      <s:c r="P12" s="837"/>
      <s:c r="Q12" s="837"/>
      <s:c r="R12" s="838"/>
      <s:c r="S12" s="839"/>
      <s:c r="T12" s="837"/>
      <s:c r="U12" s="837"/>
      <s:c r="V12" s="837"/>
      <s:c r="W12" s="837"/>
      <s:c r="X12" s="837"/>
      <s:c r="Y12" s="837"/>
      <s:c r="Z12" s="840"/>
      <s:c r="AA12" s="840"/>
      <s:c r="AB12" s="840"/>
      <s:c r="AC12" s="840"/>
      <s:c r="AD12" s="840"/>
      <s:c r="AE12" s="840"/>
      <s:c r="AF12" s="837"/>
      <s:c r="AG12" s="837"/>
      <s:c r="AH12" s="841"/>
      <s:c r="AI12" s="832">
        <s:f validation_="true">COUNTIF(D12:AH12,"&gt;0")</s:f>
        <s:v>0</s:v>
      </s:c>
      <s:c r="AJ12" s="833">
        <s:f validation_="true">SUMIF(D12:AH12,"&gt;0")</s:f>
        <s:v>0</s:v>
      </s:c>
      <s:c r="AK12" s="842">
        <s:f validation_="true">COUNTIF(D12:AH12,"В")</s:f>
        <s:v>0</s:v>
      </s:c>
      <s:c r="AL12" s="842">
        <s:v>0</s:v>
      </s:c>
      <s:c r="AM12" s="842">
        <s:v>0</s:v>
      </s:c>
      <s:c r="AN12" s="843">
        <s:v>0</s:v>
      </s:c>
    </s:row>
    <s:row r="13">
      <s:c r="A13" s="836">
        <s:v>16</s:v>
      </s:c>
      <s:c r="B13" s="837"/>
      <s:c r="C13" s="837"/>
      <s:c r="D13" s="837"/>
      <s:c r="E13" s="837"/>
      <s:c r="F13" s="837"/>
      <s:c r="G13" s="837"/>
      <s:c r="H13" s="837"/>
      <s:c r="I13" s="837"/>
      <s:c r="J13" s="837"/>
      <s:c r="K13" s="837"/>
      <s:c r="L13" s="837"/>
      <s:c r="M13" s="837"/>
      <s:c r="N13" s="837"/>
      <s:c r="O13" s="837"/>
      <s:c r="P13" s="837"/>
      <s:c r="Q13" s="837"/>
      <s:c r="R13" s="838"/>
      <s:c r="S13" s="839"/>
      <s:c r="T13" s="837"/>
      <s:c r="U13" s="837"/>
      <s:c r="V13" s="837"/>
      <s:c r="W13" s="837"/>
      <s:c r="X13" s="837"/>
      <s:c r="Y13" s="837"/>
      <s:c r="Z13" s="840"/>
      <s:c r="AA13" s="840"/>
      <s:c r="AB13" s="840"/>
      <s:c r="AC13" s="840"/>
      <s:c r="AD13" s="840"/>
      <s:c r="AE13" s="840"/>
      <s:c r="AF13" s="837"/>
      <s:c r="AG13" s="837"/>
      <s:c r="AH13" s="841"/>
      <s:c r="AI13" s="832">
        <s:f validation_="true">COUNTIF(D13:AH13,"&gt;0")</s:f>
        <s:v>0</s:v>
      </s:c>
      <s:c r="AJ13" s="833">
        <s:f validation_="true">SUMIF(D13:AH13,"&gt;0")</s:f>
        <s:v>0</s:v>
      </s:c>
      <s:c r="AK13" s="842">
        <s:f validation_="true">COUNTIF(D13:AH13,"В")</s:f>
        <s:v>0</s:v>
      </s:c>
      <s:c r="AL13" s="834">
        <s:v>0</s:v>
      </s:c>
      <s:c r="AM13" s="834">
        <s:v>0</s:v>
      </s:c>
      <s:c r="AN13" s="835">
        <s:v>0</s:v>
      </s:c>
    </s:row>
    <s:row r="14">
      <s:c r="A14" s="836">
        <s:v>15</s:v>
      </s:c>
      <s:c r="B14" s="837"/>
      <s:c r="C14" s="837"/>
      <s:c r="D14" s="837"/>
      <s:c r="E14" s="837"/>
      <s:c r="F14" s="837"/>
      <s:c r="G14" s="837"/>
      <s:c r="H14" s="837"/>
      <s:c r="I14" s="837"/>
      <s:c r="J14" s="837"/>
      <s:c r="K14" s="837"/>
      <s:c r="L14" s="837"/>
      <s:c r="M14" s="837"/>
      <s:c r="N14" s="837"/>
      <s:c r="O14" s="837"/>
      <s:c r="P14" s="837"/>
      <s:c r="Q14" s="837"/>
      <s:c r="R14" s="838"/>
      <s:c r="S14" s="839"/>
      <s:c r="T14" s="837"/>
      <s:c r="U14" s="837"/>
      <s:c r="V14" s="837"/>
      <s:c r="W14" s="837"/>
      <s:c r="X14" s="837"/>
      <s:c r="Y14" s="837"/>
      <s:c r="Z14" s="837"/>
      <s:c r="AA14" s="837"/>
      <s:c r="AB14" s="837"/>
      <s:c r="AC14" s="837"/>
      <s:c r="AD14" s="837"/>
      <s:c r="AE14" s="837"/>
      <s:c r="AF14" s="837"/>
      <s:c r="AG14" s="837"/>
      <s:c r="AH14" s="841"/>
      <s:c r="AI14" s="832">
        <s:f validation_="true">COUNTIF(D14:AH14,"&gt;0")</s:f>
        <s:v>0</s:v>
      </s:c>
      <s:c r="AJ14" s="833">
        <s:f validation_="true">SUMIF(D14:AH14,"&gt;0")</s:f>
        <s:v>0</s:v>
      </s:c>
      <s:c r="AK14" s="842">
        <s:f validation_="true">COUNTIF(D14:AH14,"В")</s:f>
        <s:v>0</s:v>
      </s:c>
      <s:c r="AL14" s="842">
        <s:v>0</s:v>
      </s:c>
      <s:c r="AM14" s="842">
        <s:v>0</s:v>
      </s:c>
      <s:c r="AN14" s="843">
        <s:v>0</s:v>
      </s:c>
    </s:row>
    <s:row r="15">
      <s:c r="A15" s="836">
        <s:v>14</s:v>
      </s:c>
      <s:c r="B15" s="837"/>
      <s:c r="C15" s="837"/>
      <s:c r="D15" s="837"/>
      <s:c r="E15" s="837"/>
      <s:c r="F15" s="837"/>
      <s:c r="G15" s="837"/>
      <s:c r="H15" s="837"/>
      <s:c r="I15" s="837"/>
      <s:c r="J15" s="837"/>
      <s:c r="K15" s="837"/>
      <s:c r="L15" s="837"/>
      <s:c r="M15" s="837"/>
      <s:c r="N15" s="837"/>
      <s:c r="O15" s="837"/>
      <s:c r="P15" s="837"/>
      <s:c r="Q15" s="837"/>
      <s:c r="R15" s="838"/>
      <s:c r="S15" s="839"/>
      <s:c r="T15" s="837"/>
      <s:c r="U15" s="837"/>
      <s:c r="V15" s="837"/>
      <s:c r="W15" s="837"/>
      <s:c r="X15" s="837"/>
      <s:c r="Y15" s="837"/>
      <s:c r="Z15" s="837"/>
      <s:c r="AA15" s="837"/>
      <s:c r="AB15" s="837"/>
      <s:c r="AC15" s="837"/>
      <s:c r="AD15" s="837"/>
      <s:c r="AE15" s="837"/>
      <s:c r="AF15" s="837"/>
      <s:c r="AG15" s="837"/>
      <s:c r="AH15" s="841"/>
      <s:c r="AI15" s="832">
        <s:f validation_="true">COUNTIF(D15:AH15,"&gt;0")</s:f>
        <s:v>0</s:v>
      </s:c>
      <s:c r="AJ15" s="833">
        <s:f validation_="true">SUMIF(D15:AH15,"&gt;0")</s:f>
        <s:v>0</s:v>
      </s:c>
      <s:c r="AK15" s="842">
        <s:f validation_="true">COUNTIF(D15:AH15,"В")</s:f>
        <s:v>0</s:v>
      </s:c>
      <s:c r="AL15" s="834">
        <s:v>0</s:v>
      </s:c>
      <s:c r="AM15" s="834">
        <s:v>0</s:v>
      </s:c>
      <s:c r="AN15" s="835">
        <s:v>0</s:v>
      </s:c>
    </s:row>
    <s:row r="16">
      <s:c r="A16" s="836">
        <s:v>13</s:v>
      </s:c>
      <s:c r="B16" s="837"/>
      <s:c r="C16" s="837"/>
      <s:c r="D16" s="837"/>
      <s:c r="E16" s="837"/>
      <s:c r="F16" s="837"/>
      <s:c r="G16" s="837"/>
      <s:c r="H16" s="837"/>
      <s:c r="I16" s="837"/>
      <s:c r="J16" s="837"/>
      <s:c r="K16" s="837"/>
      <s:c r="L16" s="837"/>
      <s:c r="M16" s="837"/>
      <s:c r="N16" s="837"/>
      <s:c r="O16" s="837"/>
      <s:c r="P16" s="837"/>
      <s:c r="Q16" s="837"/>
      <s:c r="R16" s="838"/>
      <s:c r="S16" s="839"/>
      <s:c r="T16" s="837"/>
      <s:c r="U16" s="837"/>
      <s:c r="V16" s="837"/>
      <s:c r="W16" s="837"/>
      <s:c r="X16" s="837"/>
      <s:c r="Y16" s="837"/>
      <s:c r="Z16" s="837"/>
      <s:c r="AA16" s="837"/>
      <s:c r="AB16" s="837"/>
      <s:c r="AC16" s="837"/>
      <s:c r="AD16" s="837"/>
      <s:c r="AE16" s="837"/>
      <s:c r="AF16" s="837"/>
      <s:c r="AG16" s="837"/>
      <s:c r="AH16" s="841"/>
      <s:c r="AI16" s="832">
        <s:f validation_="true">COUNTIF(D16:AH16,"&gt;0")</s:f>
        <s:v>0</s:v>
      </s:c>
      <s:c r="AJ16" s="833">
        <s:f validation_="true">SUMIF(D16:AH16,"&gt;0")</s:f>
        <s:v>0</s:v>
      </s:c>
      <s:c r="AK16" s="842">
        <s:f validation_="true">COUNTIF(D16:AH16,"В")</s:f>
        <s:v>0</s:v>
      </s:c>
      <s:c r="AL16" s="842">
        <s:v>0</s:v>
      </s:c>
      <s:c r="AM16" s="842">
        <s:v>0</s:v>
      </s:c>
      <s:c r="AN16" s="843">
        <s:v>0</s:v>
      </s:c>
    </s:row>
    <s:row r="17">
      <s:c r="A17" s="836">
        <s:v>12</s:v>
      </s:c>
      <s:c r="B17" s="837"/>
      <s:c r="C17" s="837"/>
      <s:c r="D17" s="837"/>
      <s:c r="E17" s="837"/>
      <s:c r="F17" s="837"/>
      <s:c r="G17" s="837"/>
      <s:c r="H17" s="837"/>
      <s:c r="I17" s="837"/>
      <s:c r="J17" s="837"/>
      <s:c r="K17" s="837"/>
      <s:c r="L17" s="837"/>
      <s:c r="M17" s="837"/>
      <s:c r="N17" s="837"/>
      <s:c r="O17" s="837"/>
      <s:c r="P17" s="837"/>
      <s:c r="Q17" s="837"/>
      <s:c r="R17" s="838"/>
      <s:c r="S17" s="839"/>
      <s:c r="T17" s="837"/>
      <s:c r="U17" s="837"/>
      <s:c r="V17" s="837"/>
      <s:c r="W17" s="837"/>
      <s:c r="X17" s="837"/>
      <s:c r="Y17" s="837"/>
      <s:c r="Z17" s="837"/>
      <s:c r="AA17" s="837"/>
      <s:c r="AB17" s="837"/>
      <s:c r="AC17" s="837"/>
      <s:c r="AD17" s="837"/>
      <s:c r="AE17" s="837"/>
      <s:c r="AF17" s="837"/>
      <s:c r="AG17" s="837"/>
      <s:c r="AH17" s="841"/>
      <s:c r="AI17" s="832">
        <s:f validation_="true">COUNTIF(D17:AH17,"&gt;0")</s:f>
        <s:v>0</s:v>
      </s:c>
      <s:c r="AJ17" s="833">
        <s:f validation_="true">SUMIF(D17:AH17,"&gt;0")</s:f>
        <s:v>0</s:v>
      </s:c>
      <s:c r="AK17" s="842">
        <s:f validation_="true">COUNTIF(D17:AH17,"В")</s:f>
        <s:v>0</s:v>
      </s:c>
      <s:c r="AL17" s="842">
        <s:v>0</s:v>
      </s:c>
      <s:c r="AM17" s="842">
        <s:v>0</s:v>
      </s:c>
      <s:c r="AN17" s="843">
        <s:v>0</s:v>
      </s:c>
    </s:row>
    <s:row r="18">
      <s:c r="A18" s="836">
        <s:v>11</s:v>
      </s:c>
      <s:c r="B18" s="837"/>
      <s:c r="C18" s="837"/>
      <s:c r="D18" s="837"/>
      <s:c r="E18" s="837"/>
      <s:c r="F18" s="837"/>
      <s:c r="G18" s="837"/>
      <s:c r="H18" s="837"/>
      <s:c r="I18" s="837"/>
      <s:c r="J18" s="837"/>
      <s:c r="K18" s="837"/>
      <s:c r="L18" s="837"/>
      <s:c r="M18" s="837"/>
      <s:c r="N18" s="837"/>
      <s:c r="O18" s="837"/>
      <s:c r="P18" s="837"/>
      <s:c r="Q18" s="837"/>
      <s:c r="R18" s="838"/>
      <s:c r="S18" s="839"/>
      <s:c r="T18" s="837"/>
      <s:c r="U18" s="837"/>
      <s:c r="V18" s="837"/>
      <s:c r="W18" s="837"/>
      <s:c r="X18" s="837"/>
      <s:c r="Y18" s="837"/>
      <s:c r="Z18" s="837"/>
      <s:c r="AA18" s="837"/>
      <s:c r="AB18" s="837"/>
      <s:c r="AC18" s="837"/>
      <s:c r="AD18" s="837"/>
      <s:c r="AE18" s="837"/>
      <s:c r="AF18" s="837"/>
      <s:c r="AG18" s="837"/>
      <s:c r="AH18" s="841"/>
      <s:c r="AI18" s="832">
        <s:f validation_="true">COUNTIF(D18:AH18,"&gt;0")</s:f>
        <s:v>0</s:v>
      </s:c>
      <s:c r="AJ18" s="833">
        <s:f validation_="true">SUMIF(D18:AH18,"&gt;0")</s:f>
        <s:v>0</s:v>
      </s:c>
      <s:c r="AK18" s="842">
        <s:f validation_="true">COUNTIF(D18:AH18,"В")</s:f>
        <s:v>0</s:v>
      </s:c>
      <s:c r="AL18" s="842">
        <s:v>0</s:v>
      </s:c>
      <s:c r="AM18" s="842">
        <s:v>0</s:v>
      </s:c>
      <s:c r="AN18" s="843">
        <s:v>0</s:v>
      </s:c>
    </s:row>
    <s:row r="19">
      <s:c r="A19" s="836">
        <s:v>10</s:v>
      </s:c>
      <s:c r="B19" s="837"/>
      <s:c r="C19" s="837"/>
      <s:c r="D19" s="837"/>
      <s:c r="E19" s="837"/>
      <s:c r="F19" s="837"/>
      <s:c r="G19" s="837"/>
      <s:c r="H19" s="837"/>
      <s:c r="I19" s="837"/>
      <s:c r="J19" s="837"/>
      <s:c r="K19" s="837"/>
      <s:c r="L19" s="837"/>
      <s:c r="M19" s="837"/>
      <s:c r="N19" s="837"/>
      <s:c r="O19" s="837"/>
      <s:c r="P19" s="837"/>
      <s:c r="Q19" s="837"/>
      <s:c r="R19" s="838"/>
      <s:c r="S19" s="839"/>
      <s:c r="T19" s="844"/>
      <s:c r="U19" s="844"/>
      <s:c r="V19" s="844"/>
      <s:c r="W19" s="844"/>
      <s:c r="X19" s="844"/>
      <s:c r="Y19" s="844"/>
      <s:c r="Z19" s="844"/>
      <s:c r="AA19" s="844"/>
      <s:c r="AB19" s="844"/>
      <s:c r="AC19" s="844"/>
      <s:c r="AD19" s="844"/>
      <s:c r="AE19" s="844"/>
      <s:c r="AF19" s="844"/>
      <s:c r="AG19" s="844"/>
      <s:c r="AH19" s="841"/>
      <s:c r="AI19" s="832">
        <s:f validation_="true">COUNTIF(D19:AH19,"&gt;0")</s:f>
        <s:v>0</s:v>
      </s:c>
      <s:c r="AJ19" s="833">
        <s:f validation_="true">SUMIF(D19:AH19,"&gt;0")</s:f>
        <s:v>0</s:v>
      </s:c>
      <s:c r="AK19" s="842">
        <s:f validation_="true">COUNTIF(D19:AH19,"В")</s:f>
        <s:v>0</s:v>
      </s:c>
      <s:c r="AL19" s="842">
        <s:v>0</s:v>
      </s:c>
      <s:c r="AM19" s="842">
        <s:v>0</s:v>
      </s:c>
      <s:c r="AN19" s="843">
        <s:v>0</s:v>
      </s:c>
    </s:row>
    <s:row r="20">
      <s:c r="A20" s="836">
        <s:v>9</s:v>
      </s:c>
      <s:c r="B20" s="837"/>
      <s:c r="C20" s="837"/>
      <s:c r="D20" s="837"/>
      <s:c r="E20" s="837"/>
      <s:c r="F20" s="837"/>
      <s:c r="G20" s="837"/>
      <s:c r="H20" s="837"/>
      <s:c r="I20" s="837"/>
      <s:c r="J20" s="837"/>
      <s:c r="K20" s="837"/>
      <s:c r="L20" s="837"/>
      <s:c r="M20" s="837"/>
      <s:c r="N20" s="837"/>
      <s:c r="O20" s="837"/>
      <s:c r="P20" s="837"/>
      <s:c r="Q20" s="837"/>
      <s:c r="R20" s="838"/>
      <s:c r="S20" s="839"/>
      <s:c r="T20" s="844"/>
      <s:c r="U20" s="844"/>
      <s:c r="V20" s="844"/>
      <s:c r="W20" s="844"/>
      <s:c r="X20" s="844"/>
      <s:c r="Y20" s="844"/>
      <s:c r="Z20" s="844"/>
      <s:c r="AA20" s="844"/>
      <s:c r="AB20" s="844"/>
      <s:c r="AC20" s="844"/>
      <s:c r="AD20" s="844"/>
      <s:c r="AE20" s="844"/>
      <s:c r="AF20" s="844"/>
      <s:c r="AG20" s="844"/>
      <s:c r="AH20" s="841"/>
      <s:c r="AI20" s="832">
        <s:f validation_="true">COUNTIF(D20:AH20,"&gt;0")</s:f>
        <s:v>0</s:v>
      </s:c>
      <s:c r="AJ20" s="833">
        <s:f validation_="true">SUMIF(D20:AH20,"&gt;0")</s:f>
        <s:v>0</s:v>
      </s:c>
      <s:c r="AK20" s="842">
        <s:f validation_="true">COUNTIF(D20:AH20,"В")</s:f>
        <s:v>0</s:v>
      </s:c>
      <s:c r="AL20" s="842">
        <s:v>0</s:v>
      </s:c>
      <s:c r="AM20" s="842">
        <s:v>0</s:v>
      </s:c>
      <s:c r="AN20" s="843">
        <s:v>0</s:v>
      </s:c>
    </s:row>
    <s:row r="21">
      <s:c r="A21" s="836">
        <s:v>8</s:v>
      </s:c>
      <s:c r="B21" s="837"/>
      <s:c r="C21" s="837"/>
      <s:c r="D21" s="837"/>
      <s:c r="E21" s="837"/>
      <s:c r="F21" s="837"/>
      <s:c r="G21" s="837"/>
      <s:c r="H21" s="837"/>
      <s:c r="I21" s="837"/>
      <s:c r="J21" s="837"/>
      <s:c r="K21" s="837"/>
      <s:c r="L21" s="837"/>
      <s:c r="M21" s="837"/>
      <s:c r="N21" s="837"/>
      <s:c r="O21" s="837"/>
      <s:c r="P21" s="837"/>
      <s:c r="Q21" s="837"/>
      <s:c r="R21" s="838"/>
      <s:c r="S21" s="839"/>
      <s:c r="T21" s="844"/>
      <s:c r="U21" s="844"/>
      <s:c r="V21" s="844"/>
      <s:c r="W21" s="844"/>
      <s:c r="X21" s="844"/>
      <s:c r="Y21" s="844"/>
      <s:c r="Z21" s="844"/>
      <s:c r="AA21" s="844"/>
      <s:c r="AB21" s="844"/>
      <s:c r="AC21" s="844"/>
      <s:c r="AD21" s="844"/>
      <s:c r="AE21" s="844"/>
      <s:c r="AF21" s="844"/>
      <s:c r="AG21" s="844"/>
      <s:c r="AH21" s="841"/>
      <s:c r="AI21" s="832">
        <s:f validation_="true">COUNTIF(D21:AH21,"&gt;0")</s:f>
        <s:v>0</s:v>
      </s:c>
      <s:c r="AJ21" s="833">
        <s:f validation_="true">SUMIF(D21:AH21,"&gt;0")</s:f>
        <s:v>0</s:v>
      </s:c>
      <s:c r="AK21" s="842">
        <s:f validation_="true">COUNTIF(D21:AH21,"В")</s:f>
        <s:v>0</s:v>
      </s:c>
      <s:c r="AL21" s="842">
        <s:v>0</s:v>
      </s:c>
      <s:c r="AM21" s="842">
        <s:v>0</s:v>
      </s:c>
      <s:c r="AN21" s="843">
        <s:v>0</s:v>
      </s:c>
    </s:row>
    <s:row r="22">
      <s:c r="A22" s="836">
        <s:v>7</s:v>
      </s:c>
      <s:c r="B22" s="837"/>
      <s:c r="C22" s="837"/>
      <s:c r="D22" s="837"/>
      <s:c r="E22" s="837"/>
      <s:c r="F22" s="837"/>
      <s:c r="G22" s="837"/>
      <s:c r="H22" s="837"/>
      <s:c r="I22" s="837"/>
      <s:c r="J22" s="837"/>
      <s:c r="K22" s="837"/>
      <s:c r="L22" s="837"/>
      <s:c r="M22" s="837"/>
      <s:c r="N22" s="845"/>
      <s:c r="O22" s="837"/>
      <s:c r="P22" s="837"/>
      <s:c r="Q22" s="837"/>
      <s:c r="R22" s="838"/>
      <s:c r="S22" s="839"/>
      <s:c r="T22" s="844"/>
      <s:c r="U22" s="844"/>
      <s:c r="V22" s="846"/>
      <s:c r="W22" s="844"/>
      <s:c r="X22" s="844"/>
      <s:c r="Y22" s="844"/>
      <s:c r="Z22" s="844"/>
      <s:c r="AA22" s="844"/>
      <s:c r="AB22" s="844"/>
      <s:c r="AC22" s="844"/>
      <s:c r="AD22" s="844"/>
      <s:c r="AE22" s="844"/>
      <s:c r="AF22" s="844"/>
      <s:c r="AG22" s="844"/>
      <s:c r="AH22" s="841"/>
      <s:c r="AI22" s="832">
        <s:f validation_="true">COUNTIF(D22:AH22,"&gt;0")</s:f>
        <s:v>0</s:v>
      </s:c>
      <s:c r="AJ22" s="833">
        <s:f validation_="true">SUMIF(D22:AH22,"&gt;0")</s:f>
        <s:v>0</s:v>
      </s:c>
      <s:c r="AK22" s="842">
        <s:f validation_="true">COUNTIF(D22:AH22,"В")</s:f>
        <s:v>0</s:v>
      </s:c>
      <s:c r="AL22" s="842">
        <s:v>0</s:v>
      </s:c>
      <s:c r="AM22" s="842">
        <s:v>0</s:v>
      </s:c>
      <s:c r="AN22" s="843">
        <s:v>0</s:v>
      </s:c>
    </s:row>
    <s:row r="23" ht="15">
      <s:c r="A23" s="836">
        <s:v>6</s:v>
      </s:c>
      <s:c r="B23" s="847"/>
      <s:c r="C23" s="847"/>
      <s:c r="D23" s="848"/>
      <s:c r="E23" s="849"/>
      <s:c r="F23" s="849"/>
      <s:c r="G23" s="849"/>
      <s:c r="H23" s="849"/>
      <s:c r="I23" s="849"/>
      <s:c r="J23" s="849"/>
      <s:c r="K23" s="849"/>
      <s:c r="L23" s="849"/>
      <s:c r="M23" s="848"/>
      <s:c r="N23" s="849"/>
      <s:c r="O23" s="849"/>
      <s:c r="P23" s="850"/>
      <s:c r="Q23" s="850"/>
      <s:c r="R23" s="850"/>
      <s:c r="S23" s="850"/>
      <s:c r="T23" s="850"/>
      <s:c r="U23" s="850"/>
      <s:c r="V23" s="850"/>
      <s:c r="W23" s="850"/>
      <s:c r="X23" s="851"/>
      <s:c r="Y23" s="851"/>
      <s:c r="Z23" s="851"/>
      <s:c r="AA23" s="851"/>
      <s:c r="AB23" s="851"/>
      <s:c r="AC23" s="851"/>
      <s:c r="AD23" s="852"/>
      <s:c r="AE23" s="851"/>
      <s:c r="AF23" s="851"/>
      <s:c r="AG23" s="851"/>
      <s:c r="AH23" s="853"/>
      <s:c r="AI23" s="832">
        <s:f validation_="true">COUNTIF(D23:AH23,"&gt;0")</s:f>
        <s:v>0</s:v>
      </s:c>
      <s:c r="AJ23" s="833">
        <s:f validation_="true">SUMIF(D23:AH23,"&gt;0")</s:f>
        <s:v>0</s:v>
      </s:c>
      <s:c r="AK23" s="842">
        <s:f validation_="true">COUNTIF(D23:AH23,"В")</s:f>
        <s:v>0</s:v>
      </s:c>
      <s:c r="AL23" s="842">
        <s:v>0</s:v>
      </s:c>
      <s:c r="AM23" s="842">
        <s:v>0</s:v>
      </s:c>
      <s:c r="AN23" s="843">
        <s:v>0</s:v>
      </s:c>
    </s:row>
    <s:row r="24" ht="15">
      <s:c r="A24" s="836">
        <s:v>5</s:v>
      </s:c>
      <s:c r="B24" s="854"/>
      <s:c r="C24" s="847"/>
      <s:c r="D24" s="855"/>
      <s:c r="E24" s="855"/>
      <s:c r="F24" s="855"/>
      <s:c r="G24" s="855"/>
      <s:c r="H24" s="855"/>
      <s:c r="I24" s="855"/>
      <s:c r="J24" s="855"/>
      <s:c r="K24" s="855"/>
      <s:c r="L24" s="855"/>
      <s:c r="M24" s="855"/>
      <s:c r="N24" s="855"/>
      <s:c r="O24" s="855"/>
      <s:c r="P24" s="856"/>
      <s:c r="Q24" s="857"/>
      <s:c r="R24" s="857"/>
      <s:c r="S24" s="857"/>
      <s:c r="T24" s="857"/>
      <s:c r="U24" s="850"/>
      <s:c r="V24" s="857"/>
      <s:c r="W24" s="857"/>
      <s:c r="X24" s="857"/>
      <s:c r="Y24" s="857"/>
      <s:c r="Z24" s="857"/>
      <s:c r="AA24" s="850"/>
      <s:c r="AB24" s="857"/>
      <s:c r="AC24" s="850"/>
      <s:c r="AD24" s="850"/>
      <s:c r="AE24" s="857"/>
      <s:c r="AF24" s="857"/>
      <s:c r="AG24" s="857"/>
      <s:c r="AH24" s="858"/>
      <s:c r="AI24" s="859">
        <s:f validation_="true">COUNTIF(D24:AH24,"&gt;0")</s:f>
        <s:v>0</s:v>
      </s:c>
      <s:c r="AJ24" s="833">
        <s:f validation_="true">SUMIF(D24:AH24,"&gt;0")</s:f>
        <s:v>0</s:v>
      </s:c>
      <s:c r="AK24" s="842">
        <s:f validation_="true">COUNTIF(D24:AH24,"В")</s:f>
        <s:v>0</s:v>
      </s:c>
      <s:c r="AL24" s="842">
        <s:v>0</s:v>
      </s:c>
      <s:c r="AM24" s="842">
        <s:v>0</s:v>
      </s:c>
      <s:c r="AN24" s="843">
        <s:v>0</s:v>
      </s:c>
    </s:row>
    <s:row r="25" ht="15">
      <s:c r="A25" s="836">
        <s:v>4</s:v>
      </s:c>
      <s:c r="B25" s="854" t="s">
        <s:v>92</s:v>
      </s:c>
      <s:c r="C25" s="854" t="s">
        <s:v>131</s:v>
      </s:c>
      <s:c r="D25" s="860" t="s">
        <s:v>103</s:v>
      </s:c>
      <s:c r="E25" s="861">
        <s:v>9</s:v>
      </s:c>
      <s:c r="F25" s="862">
        <s:v>9</s:v>
      </s:c>
      <s:c r="G25" s="861">
        <s:v>9</s:v>
      </s:c>
      <s:c r="H25" s="863">
        <s:v>11</s:v>
      </s:c>
      <s:c r="I25" s="864" t="s">
        <s:v>103</s:v>
      </s:c>
      <s:c r="J25" s="865">
        <s:v>10</s:v>
      </s:c>
      <s:c r="K25" s="866">
        <s:v>9</s:v>
      </s:c>
      <s:c r="L25" s="864" t="s">
        <s:v>103</s:v>
      </s:c>
      <s:c r="M25" s="867" t="s">
        <s:v>103</s:v>
      </s:c>
      <s:c r="N25" s="868">
        <s:v>11</s:v>
      </s:c>
      <s:c r="O25" s="868">
        <s:v>11</s:v>
      </s:c>
      <s:c r="P25" s="869">
        <s:v>11</s:v>
      </s:c>
      <s:c r="Q25" s="860" t="s">
        <s:v>103</s:v>
      </s:c>
      <s:c r="R25" s="860" t="s">
        <s:v>103</s:v>
      </s:c>
      <s:c r="S25" s="863">
        <s:v>11</s:v>
      </s:c>
      <s:c r="T25" s="863">
        <s:v>11</s:v>
      </s:c>
      <s:c r="U25" s="870">
        <s:v>9</s:v>
      </s:c>
      <s:c r="V25" s="847" t="s">
        <s:v>103</s:v>
      </s:c>
      <s:c r="W25" s="847" t="s">
        <s:v>103</s:v>
      </s:c>
      <s:c r="X25" s="870">
        <s:v>11</s:v>
      </s:c>
      <s:c r="Y25" s="870">
        <s:v>11</s:v>
      </s:c>
      <s:c r="Z25" s="870">
        <s:v>11</s:v>
      </s:c>
      <s:c r="AA25" s="847" t="s">
        <s:v>103</s:v>
      </s:c>
      <s:c r="AB25" s="847" t="s">
        <s:v>103</s:v>
      </s:c>
      <s:c r="AC25" s="871">
        <s:v>9</s:v>
      </s:c>
      <s:c r="AD25" s="870">
        <s:v>11</s:v>
      </s:c>
      <s:c r="AE25" s="870">
        <s:v>11</s:v>
      </s:c>
      <s:c r="AF25" s="850"/>
      <s:c r="AG25" s="850"/>
      <s:c r="AH25" s="850"/>
      <s:c r="AI25" s="859">
        <s:f validation_="true">COUNTIF(D25:AH25,"&gt;0")</s:f>
        <s:v>18</s:v>
      </s:c>
      <s:c r="AJ25" s="833">
        <s:f validation_="true">SUMIF(D25:AH25,"&gt;0")</s:f>
        <s:v>185</s:v>
      </s:c>
      <s:c r="AK25" s="842">
        <s:f validation_="true">COUNTIF(D25:AH25,"В")</s:f>
        <s:v>10</s:v>
      </s:c>
      <s:c r="AL25" s="842">
        <s:v>0</s:v>
      </s:c>
      <s:c r="AM25" s="842">
        <s:v>0</s:v>
      </s:c>
      <s:c r="AN25" s="843">
        <s:v>0</s:v>
      </s:c>
    </s:row>
    <s:row r="26" ht="15">
      <s:c r="A26" s="836">
        <s:v>3</s:v>
      </s:c>
      <s:c r="B26" s="854" t="s">
        <s:v>93</s:v>
      </s:c>
      <s:c r="C26" s="854" t="s">
        <s:v>131</s:v>
      </s:c>
      <s:c r="D26" s="872">
        <s:v>11</s:v>
      </s:c>
      <s:c r="E26" s="863">
        <s:v>11</s:v>
      </s:c>
      <s:c r="F26" s="861">
        <s:v>9</s:v>
      </s:c>
      <s:c r="G26" s="863">
        <s:v>11</s:v>
      </s:c>
      <s:c r="H26" s="863">
        <s:v>11</s:v>
      </s:c>
      <s:c r="I26" s="863">
        <s:v>11</s:v>
      </s:c>
      <s:c r="J26" s="873">
        <s:v>1</s:v>
      </s:c>
      <s:c r="K26" s="860" t="s">
        <s:v>103</s:v>
      </s:c>
      <s:c r="L26" s="874">
        <s:v>9</s:v>
      </s:c>
      <s:c r="M26" s="875">
        <s:v>11</s:v>
      </s:c>
      <s:c r="N26" s="865">
        <s:v>9</s:v>
      </s:c>
      <s:c r="O26" s="873" t="s">
        <s:v>103</s:v>
      </s:c>
      <s:c r="P26" s="876" t="s">
        <s:v>103</s:v>
      </s:c>
      <s:c r="Q26" s="863">
        <s:v>11</s:v>
      </s:c>
      <s:c r="R26" s="866">
        <s:v>9</s:v>
      </s:c>
      <s:c r="S26" s="860" t="s">
        <s:v>103</s:v>
      </s:c>
      <s:c r="T26" s="860" t="s">
        <s:v>103</s:v>
      </s:c>
      <s:c r="U26" s="870">
        <s:v>9</s:v>
      </s:c>
      <s:c r="V26" s="870">
        <s:v>9</s:v>
      </s:c>
      <s:c r="W26" s="870">
        <s:v>9</s:v>
      </s:c>
      <s:c r="X26" s="847" t="s">
        <s:v>103</s:v>
      </s:c>
      <s:c r="Y26" s="847" t="s">
        <s:v>103</s:v>
      </s:c>
      <s:c r="Z26" s="870">
        <s:v>9</s:v>
      </s:c>
      <s:c r="AA26" s="870">
        <s:v>11</s:v>
      </s:c>
      <s:c r="AB26" s="870">
        <s:v>11</s:v>
      </s:c>
      <s:c r="AC26" s="870">
        <s:v>11</s:v>
      </s:c>
      <s:c r="AD26" s="847" t="s">
        <s:v>103</s:v>
      </s:c>
      <s:c r="AE26" s="877" t="s">
        <s:v>103</s:v>
      </s:c>
      <s:c r="AF26" s="850"/>
      <s:c r="AG26" s="850"/>
      <s:c r="AH26" s="850"/>
      <s:c r="AI26" s="859">
        <s:f validation_="true">COUNTIF(D26:AH26,"&gt;0")</s:f>
        <s:v>19</s:v>
      </s:c>
      <s:c r="AJ26" s="833">
        <s:f validation_="true">SUMIF(D26:AH26,"&gt;0")</s:f>
        <s:v>183</s:v>
      </s:c>
      <s:c r="AK26" s="842">
        <s:f validation_="true">COUNTIF(D26:AH26,"В")</s:f>
        <s:v>9</s:v>
      </s:c>
      <s:c r="AL26" s="842">
        <s:v>0</s:v>
      </s:c>
      <s:c r="AM26" s="842">
        <s:v>0</s:v>
      </s:c>
      <s:c r="AN26" s="843">
        <s:v>0</s:v>
      </s:c>
    </s:row>
    <s:row r="27" ht="15">
      <s:c r="A27" s="836">
        <s:v>2</s:v>
      </s:c>
      <s:c r="B27" s="854" t="s">
        <s:v>91</s:v>
      </s:c>
      <s:c r="C27" s="847" t="s">
        <s:v>131</s:v>
      </s:c>
      <s:c r="D27" s="878" t="s">
        <s:v>161</s:v>
      </s:c>
      <s:c r="E27" s="878" t="s">
        <s:v>161</s:v>
      </s:c>
      <s:c r="F27" s="878" t="s">
        <s:v>161</s:v>
      </s:c>
      <s:c r="G27" s="878" t="s">
        <s:v>161</s:v>
      </s:c>
      <s:c r="H27" s="878" t="s">
        <s:v>161</s:v>
      </s:c>
      <s:c r="I27" s="878" t="s">
        <s:v>161</s:v>
      </s:c>
      <s:c r="J27" s="878" t="s">
        <s:v>161</s:v>
      </s:c>
      <s:c r="K27" s="878" t="s">
        <s:v>161</s:v>
      </s:c>
      <s:c r="L27" s="878" t="s">
        <s:v>161</s:v>
      </s:c>
      <s:c r="M27" s="860" t="s">
        <s:v>103</s:v>
      </s:c>
      <s:c r="N27" s="866">
        <s:v>9</s:v>
      </s:c>
      <s:c r="O27" s="863">
        <s:v>11</s:v>
      </s:c>
      <s:c r="P27" s="879" t="s">
        <s:v>103</s:v>
      </s:c>
      <s:c r="Q27" s="860" t="s">
        <s:v>103</s:v>
      </s:c>
      <s:c r="R27" s="863">
        <s:v>11</s:v>
      </s:c>
      <s:c r="S27" s="863">
        <s:v>9</s:v>
      </s:c>
      <s:c r="T27" s="863" t="s">
        <s:v>103</s:v>
      </s:c>
      <s:c r="U27" s="847" t="s">
        <s:v>103</s:v>
      </s:c>
      <s:c r="V27" s="870">
        <s:v>11</s:v>
      </s:c>
      <s:c r="W27" s="870">
        <s:v>11</s:v>
      </s:c>
      <s:c r="X27" s="870">
        <s:v>11</s:v>
      </s:c>
      <s:c r="Y27" s="847" t="s">
        <s:v>103</s:v>
      </s:c>
      <s:c r="Z27" s="847" t="s">
        <s:v>103</s:v>
      </s:c>
      <s:c r="AA27" s="870">
        <s:v>11</s:v>
      </s:c>
      <s:c r="AB27" s="870">
        <s:v>11</s:v>
      </s:c>
      <s:c r="AC27" s="880">
        <s:v>9</s:v>
      </s:c>
      <s:c r="AD27" s="847" t="s">
        <s:v>103</s:v>
      </s:c>
      <s:c r="AE27" s="847" t="s">
        <s:v>103</s:v>
      </s:c>
      <s:c r="AF27" s="850"/>
      <s:c r="AG27" s="850"/>
      <s:c r="AH27" s="850"/>
      <s:c r="AI27" s="859">
        <s:f validation_="true">COUNTIF(D27:AH27,"&gt;0")</s:f>
        <s:v>10</s:v>
      </s:c>
      <s:c r="AJ27" s="833">
        <s:f validation_="true">SUMIF(D27:AH27,"&gt;0")</s:f>
        <s:v>104</s:v>
      </s:c>
      <s:c r="AK27" s="842">
        <s:f validation_="true">COUNTIF(D27:AH27,"В")</s:f>
        <s:v>9</s:v>
      </s:c>
      <s:c r="AL27" s="842">
        <s:v>0</s:v>
      </s:c>
      <s:c r="AM27" s="842">
        <s:v>0</s:v>
      </s:c>
      <s:c r="AN27" s="843">
        <s:v>0</s:v>
      </s:c>
    </s:row>
    <s:row r="28" ht="15">
      <s:c r="A28" s="881">
        <s:v>1</s:v>
      </s:c>
      <s:c r="B28" s="848" t="s">
        <s:v>162</s:v>
      </s:c>
      <s:c r="C28" s="882" t="s">
        <s:v>143</s:v>
      </s:c>
      <s:c r="D28" s="883">
        <s:v>9</s:v>
      </s:c>
      <s:c r="E28" s="850">
        <s:v>9</s:v>
      </s:c>
      <s:c r="F28" s="884">
        <s:v>9</s:v>
      </s:c>
      <s:c r="G28" s="885">
        <s:v>9</s:v>
      </s:c>
      <s:c r="H28" s="883">
        <s:v>9</s:v>
      </s:c>
      <s:c r="I28" s="863">
        <s:v>9</s:v>
      </s:c>
      <s:c r="J28" s="863">
        <s:v>9</s:v>
      </s:c>
      <s:c r="K28" s="886">
        <s:v>9</s:v>
      </s:c>
      <s:c r="L28" s="887">
        <s:v>8</s:v>
      </s:c>
      <s:c r="M28" s="888">
        <s:v>10</s:v>
      </s:c>
      <s:c r="N28" s="889" t="s">
        <s:v>163</s:v>
      </s:c>
      <s:c r="O28" s="889" t="s">
        <s:v>163</s:v>
      </s:c>
      <s:c r="P28" s="889" t="s">
        <s:v>163</s:v>
      </s:c>
      <s:c r="Q28" s="889" t="s">
        <s:v>163</s:v>
      </s:c>
      <s:c r="R28" s="889" t="s">
        <s:v>163</s:v>
      </s:c>
      <s:c r="S28" s="889" t="s">
        <s:v>163</s:v>
      </s:c>
      <s:c r="T28" s="889" t="s">
        <s:v>163</s:v>
      </s:c>
      <s:c r="U28" s="889" t="s">
        <s:v>163</s:v>
      </s:c>
      <s:c r="V28" s="889" t="s">
        <s:v>163</s:v>
      </s:c>
      <s:c r="W28" s="889" t="s">
        <s:v>163</s:v>
      </s:c>
      <s:c r="X28" s="889" t="s">
        <s:v>163</s:v>
      </s:c>
      <s:c r="Y28" s="889" t="s">
        <s:v>163</s:v>
      </s:c>
      <s:c r="Z28" s="889" t="s">
        <s:v>163</s:v>
      </s:c>
      <s:c r="AA28" s="889" t="s">
        <s:v>163</s:v>
      </s:c>
      <s:c r="AB28" s="889" t="s">
        <s:v>163</s:v>
      </s:c>
      <s:c r="AC28" s="889" t="s">
        <s:v>163</s:v>
      </s:c>
      <s:c r="AD28" s="889" t="s">
        <s:v>163</s:v>
      </s:c>
      <s:c r="AE28" s="889" t="s">
        <s:v>163</s:v>
      </s:c>
      <s:c r="AF28" s="890"/>
      <s:c r="AG28" s="890"/>
      <s:c r="AH28" s="890"/>
      <s:c r="AI28" s="891">
        <s:f validation_="true">COUNTIF(D28:AH28,"&gt;0")</s:f>
        <s:v>10</s:v>
      </s:c>
      <s:c r="AJ28" s="892">
        <s:f validation_="true">SUMIF(D28:AH28,"&gt;0")</s:f>
        <s:v>90</s:v>
      </s:c>
      <s:c r="AK28" s="893">
        <s:f validation_="true">COUNTIF(D28:AH28,"В")</s:f>
        <s:v>0</s:v>
      </s:c>
      <s:c r="AL28" s="893">
        <s:f>COUNTIF(E28:AI28,"о")</s:f>
        <s:v>0</s:v>
      </s:c>
      <s:c r="AM28" s="893">
        <s:f>COUNTIF(F28:AJ28,"б")</s:f>
        <s:v>0</s:v>
      </s:c>
      <s:c r="AN28" s="894">
        <s:v>0</s:v>
      </s:c>
    </s:row>
    <s:row r="29">
      <s:c r="A29" s="895"/>
      <s:c r="B29" s="896" t="s">
        <s:v>164</s:v>
      </s:c>
      <s:c r="C29" s="896"/>
      <s:c r="D29" s="896">
        <s:f validation_="true">COUNTIF(D11:D28,"&gt;0")</s:f>
        <s:v>2</s:v>
      </s:c>
      <s:c r="E29" s="896">
        <s:f validation_="true">COUNTIF(E11:E28,"&gt;0")</s:f>
        <s:v>3</s:v>
      </s:c>
      <s:c r="F29" s="896">
        <s:f validation_="true">COUNTIF(F11:F28,"&gt;0")</s:f>
        <s:v>3</s:v>
      </s:c>
      <s:c r="G29" s="896">
        <s:f validation_="true">COUNTIF(G11:G28,"&gt;0")</s:f>
        <s:v>3</s:v>
      </s:c>
      <s:c r="H29" s="896">
        <s:f validation_="true">COUNTIF(H11:H28,"&gt;0")</s:f>
        <s:v>3</s:v>
      </s:c>
      <s:c r="I29" s="896">
        <s:f validation_="true">COUNTIF(I11:I28,"&gt;0")</s:f>
        <s:v>2</s:v>
      </s:c>
      <s:c r="J29" s="896">
        <s:f validation_="true">COUNTIF(J11:J28,"&gt;0")</s:f>
        <s:v>3</s:v>
      </s:c>
      <s:c r="K29" s="896">
        <s:f validation_="true">COUNTIF(K11:K28,"&gt;0")</s:f>
        <s:v>2</s:v>
      </s:c>
      <s:c r="L29" s="896">
        <s:f validation_="true">COUNTIF(L11:L28,"&gt;0")</s:f>
        <s:v>2</s:v>
      </s:c>
      <s:c r="M29" s="896">
        <s:f validation_="true">COUNTIF(M11:M28,"&gt;0")</s:f>
        <s:v>2</s:v>
      </s:c>
      <s:c r="N29" s="896">
        <s:f validation_="true">COUNTIF(N11:N28,"&gt;0")</s:f>
        <s:v>3</s:v>
      </s:c>
      <s:c r="O29" s="896">
        <s:f validation_="true">COUNTIF(O11:O28,"&gt;0")</s:f>
        <s:v>2</s:v>
      </s:c>
      <s:c r="P29" s="896">
        <s:f validation_="true">COUNTIF(P11:P28,"&gt;0")</s:f>
        <s:v>1</s:v>
      </s:c>
      <s:c r="Q29" s="896">
        <s:f validation_="true">COUNTIF(Q11:Q28,"&gt;0")</s:f>
        <s:v>1</s:v>
      </s:c>
      <s:c r="R29" s="897">
        <s:f validation_="true">COUNTIF(R11:R28,"&gt;0")</s:f>
        <s:v>2</s:v>
      </s:c>
      <s:c r="S29" s="898">
        <s:f validation_="true">COUNTIF(S11:S28,"&gt;0")</s:f>
        <s:v>2</s:v>
      </s:c>
      <s:c r="T29" s="896">
        <s:f validation_="true">COUNTIF(T11:T28,"&gt;0")</s:f>
        <s:v>1</s:v>
      </s:c>
      <s:c r="U29" s="896">
        <s:f validation_="true">COUNTIF(U11:U28,"&gt;0")</s:f>
        <s:v>2</s:v>
      </s:c>
      <s:c r="V29" s="896">
        <s:f validation_="true">COUNTIF(V11:V28,"&gt;0")</s:f>
        <s:v>2</s:v>
      </s:c>
      <s:c r="W29" s="896">
        <s:f validation_="true">COUNTIF(W11:W28,"&gt;0")</s:f>
        <s:v>2</s:v>
      </s:c>
      <s:c r="X29" s="896">
        <s:f validation_="true">COUNTIF(X11:X28,"&gt;0")</s:f>
        <s:v>2</s:v>
      </s:c>
      <s:c r="Y29" s="896">
        <s:f validation_="true">COUNTIF(Y11:Y28,"&gt;0")</s:f>
        <s:v>1</s:v>
      </s:c>
      <s:c r="Z29" s="896">
        <s:f validation_="true">COUNTIF(Z11:Z28,"&gt;0")</s:f>
        <s:v>2</s:v>
      </s:c>
      <s:c r="AA29" s="896">
        <s:f validation_="true">COUNTIF(AA11:AA28,"&gt;0")</s:f>
        <s:v>2</s:v>
      </s:c>
      <s:c r="AB29" s="896">
        <s:f validation_="true">COUNTIF(AB11:AB28,"&gt;0")</s:f>
        <s:v>2</s:v>
      </s:c>
      <s:c r="AC29" s="896">
        <s:f validation_="true">COUNTIF(AC11:AC28,"&gt;0")</s:f>
        <s:v>3</s:v>
      </s:c>
      <s:c r="AD29" s="896">
        <s:f validation_="true">COUNTIF(AD11:AD28,"&gt;0")</s:f>
        <s:v>1</s:v>
      </s:c>
      <s:c r="AE29" s="896">
        <s:f validation_="true">COUNTIF(AE11:AE28,"&gt;0")</s:f>
        <s:v>1</s:v>
      </s:c>
      <s:c r="AF29" s="896">
        <s:f validation_="true">COUNTIF(AF11:AF28,"&gt;0")</s:f>
        <s:v>0</s:v>
      </s:c>
      <s:c r="AG29" s="896">
        <s:f validation_="true">COUNTIF(AG11:AG28,"&gt;0")</s:f>
        <s:v>0</s:v>
      </s:c>
      <s:c r="AH29" s="896">
        <s:f validation_="true">COUNTIF(AH11:AH28,"&gt;0")</s:f>
        <s:v>0</s:v>
      </s:c>
      <s:c r="AI29" s="899">
        <s:f>SUM(AI11:AI28)</s:f>
        <s:v>57</s:v>
      </s:c>
      <s:c r="AJ29" s="900">
        <s:f validation_="true">SUM(AJ11:AJ28)</s:f>
        <s:v>562</s:v>
      </s:c>
      <s:c r="AK29" s="899">
        <s:f validation_="true">SUM(AK11:AK28)</s:f>
        <s:v>28</s:v>
      </s:c>
      <s:c r="AL29" s="899">
        <s:f validation_="true">SUM(AL11:AL28)</s:f>
        <s:v>0</s:v>
      </s:c>
      <s:c r="AM29" s="899">
        <s:f validation_="true">SUM(AM11:AM28)</s:f>
        <s:v>0</s:v>
      </s:c>
      <s:c r="AN29" s="901">
        <s:f validation_="true">SUM(AN11:AN28)</s:f>
        <s:v>0</s:v>
      </s:c>
    </s:row>
    <s:row r="31">
      <s:c r="P31" s="1" t="s">
        <s:v>165</s:v>
      </s:c>
    </s:row>
    <s:row r="32">
      <s:c r="T32" s="1" t="s">
        <s:v>166</s:v>
      </s:c>
    </s:row>
    <s:row r="35">
      <s:c r="R35" s="217"/>
    </s:row>
    <s:row r="39">
      <s:c r="I39" s="1" t="s">
        <s:v>167</s:v>
      </s:c>
    </s:row>
    <s:row r="54">
      <s:c r="Q54" s="1" t="s">
        <s:v>166</s:v>
      </s:c>
    </s:row>
  </s:sheetData>
  <s:mergeCells count="7">
    <s:mergeCell ref="AJ5:AK5"/>
    <s:mergeCell ref="AL5:AN5"/>
    <s:mergeCell ref="C6:AJ6"/>
    <s:mergeCell ref="C7:AJ7"/>
    <s:mergeCell ref="AL8:AL10"/>
    <s:mergeCell ref="AM8:AM10"/>
    <s:mergeCell ref="AN8:AN10"/>
  </s:mergeCells>
  <s:printOptions headings="0" gridLines="0"/>
  <s:pageMargins left="0.7" right="0.7" top="0.75" bottom="0.75" header="0.3" footer="0.3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</s:worksheet>
</file>

<file path=xl/worksheets/sheet17.xml><?xml version="1.0" encoding="utf-8"?>
<s:worksheet xmlns:r="http://schemas.openxmlformats.org/officeDocument/2006/relationships" xmlns:s="http://schemas.openxmlformats.org/spreadsheetml/2006/main" xmlns:vyd="http://volga.yandex.com/schemas/document/model" xmlns:mc="http://schemas.openxmlformats.org/markup-compatibility/2006" xmlns:x14="http://schemas.microsoft.com/office/spreadsheetml/2009/9/main" xmlns:x14ac="http://schemas.microsoft.com/office/spreadsheetml/2009/9/ac" mc:Ignorable="x14ac">
  <s:sheetPr>
    <s:tabColor rgb="FFDBDBDB"/>
    <s:outlinePr applyStyles="0" summaryBelow="1" summaryRight="1" showOutlineSymbols="1"/>
    <s:pageSetUpPr autoPageBreaks="1" fitToPage="1"/>
  </s:sheetPr>
  <s:sheetViews>
    <s:sheetView showGridLines="0" showZeros="0" tabSelected="0" topLeftCell="A21" zoomScale="100" workbookViewId="0">
      <s:selection activeCell="I51" activeCellId="0" sqref="I51"/>
    </s:sheetView>
  </s:sheetViews>
  <s:sheetFormatPr baseColWidth="10" defaultColWidth="9.164" defaultRowHeight="14.25"/>
  <s:cols>
    <s:col min="1" max="1" width="4" style="1" customWidth="1"/>
    <s:col min="2" max="2" width="10.332" style="1" customWidth="1"/>
    <s:col min="3" max="3" width="10.832" style="1" customWidth="1"/>
    <s:col min="4" max="4" width="10.332" style="1" customWidth="1"/>
    <s:col min="5" max="5" width="10.164" style="1" customWidth="1"/>
    <s:col min="6" max="6" width="11.332" style="1" customWidth="1"/>
    <s:col min="7" max="7" width="9.832" style="1" customWidth="1"/>
    <s:col min="8" max="8" width="9.5" style="1" customWidth="1"/>
    <s:col min="9" max="9" width="11" style="1" customWidth="1"/>
    <s:col min="10" max="10" width="8.832" style="1" customWidth="1"/>
    <s:col min="11" max="14" width="12.664" style="1" customWidth="1"/>
    <s:col min="15" max="15" width="11" style="1" customWidth="1"/>
    <s:col min="16" max="17" width="10.832" style="1" customWidth="1"/>
    <s:col min="18" max="18" width="11.664" style="1" customWidth="1"/>
    <s:col min="19" max="19" width="12.832" style="1" customWidth="1"/>
    <s:col min="20" max="20" width="10.332" style="1" customWidth="1"/>
    <s:col min="21" max="22" width="11.332" style="1" customWidth="1"/>
    <s:col min="23" max="23" width="11" style="1" customWidth="1"/>
    <s:col min="24" max="24" width="9.5" style="1" customWidth="1"/>
    <s:col min="25" max="25" width="9.164" style="1"/>
    <s:col min="26" max="27" width="10.5" style="1" customWidth="1"/>
    <s:col min="28" max="37" width="9.164" style="1"/>
    <s:col min="38" max="259" width="9.164" style="2"/>
  </s:cols>
  <s:sheetData>
    <s:row r="1" ht="15.75" customHeight="1">
      <s:c r="B1" s="3">
        <s:f ca="1">TODAY()-1</s:f>
        <s:v>46170</s:v>
      </s:c>
      <s:c r="C1" s="3"/>
      <s:c r="D1" s="4"/>
      <s:c r="E1" s="4"/>
      <s:c r="F1" s="5"/>
      <s:c r="G1" s="5"/>
      <s:c r="H1" s="5"/>
      <s:c r="I1" s="5"/>
      <s:c r="J1" s="6"/>
      <s:c r="K1" s="6"/>
      <s:c r="L1" s="6"/>
      <s:c r="M1" s="6"/>
      <s:c r="N1" s="6"/>
      <s:c r="O1" s="6"/>
      <s:c r="P1" s="6"/>
      <s:c r="Q1" s="6"/>
      <s:c r="R1" s="6"/>
      <s:c r="S1" s="6"/>
      <s:c r="T1" s="6"/>
      <s:c r="U1" s="7"/>
      <s:c r="V1" s="7"/>
      <s:c r="W1" s="7"/>
      <s:c r="X1" s="7"/>
      <s:c r="Y1" s="5"/>
      <s:c r="Z1" s="5"/>
      <s:c r="AA1" s="5"/>
    </s:row>
    <s:row r="2" ht="21.75" customHeight="1">
      <s:c r="B2" s="8" t="s">
        <s:v>0</s:v>
      </s:c>
      <s:c r="C2" s="8"/>
      <s:c r="D2" s="4"/>
      <s:c r="E2" s="4"/>
      <s:c r="F2" s="5"/>
      <s:c r="G2" s="5"/>
      <s:c r="H2" s="5"/>
      <s:c r="I2" s="5"/>
      <s:c r="J2" s="902" t="s">
        <s:v>1</s:v>
      </s:c>
      <s:c r="K2" s="902"/>
      <s:c r="L2" s="902"/>
      <s:c r="M2" s="902"/>
      <s:c r="N2" s="902"/>
      <s:c r="O2" s="902"/>
      <s:c r="P2" s="902"/>
      <s:c r="Q2" s="902"/>
      <s:c r="R2" s="902"/>
      <s:c r="S2" s="902"/>
      <s:c r="T2" s="902"/>
      <s:c r="U2" s="7"/>
      <s:c r="V2" s="7"/>
      <s:c r="W2" s="7"/>
      <s:c r="X2" s="7"/>
      <s:c r="Y2" s="5"/>
      <s:c r="Z2" s="5"/>
      <s:c r="AA2" s="5"/>
    </s:row>
    <s:row r="3" ht="14" customHeight="1">
      <s:c r="B3" s="10" t="s">
        <s:v>2</s:v>
      </s:c>
      <s:c r="C3" s="4"/>
      <s:c r="D3" s="4"/>
      <s:c r="E3" s="4"/>
      <s:c r="F3" s="5"/>
      <s:c r="G3" s="5"/>
      <s:c r="H3" s="5"/>
      <s:c r="I3" s="5"/>
      <s:c r="J3" s="903" t="str">
        <s:f>График!B28</s:f>
        <s:v>Сейтджелилова Алина</s:v>
      </s:c>
      <s:c r="K3" s="903"/>
      <s:c r="L3" s="903"/>
      <s:c r="M3" s="903"/>
      <s:c r="N3" s="903"/>
      <s:c r="O3" s="903"/>
      <s:c r="P3" s="903"/>
      <s:c r="Q3" s="903"/>
      <s:c r="R3" s="903"/>
      <s:c r="S3" s="6"/>
      <s:c r="T3" s="14"/>
      <s:c r="U3" s="7"/>
      <s:c r="V3" s="7"/>
      <s:c r="W3" s="7"/>
      <s:c r="X3" s="7"/>
      <s:c r="Y3" s="5"/>
      <s:c r="Z3" s="5"/>
      <s:c r="AA3" s="5"/>
    </s:row>
    <s:row r="4" ht="15" customHeight="1">
      <s:c r="B4" s="4"/>
      <s:c r="C4" s="339">
        <s:f>I8-D50</s:f>
        <s:v>218826.3131672598</s:v>
      </s:c>
      <s:c r="D4" s="339"/>
      <s:c r="E4" s="340">
        <s:f>IF(I8&lt;&gt;0,C4/I8,0)</s:f>
        <s:v>0.71220395677912018</s:v>
      </s:c>
      <s:c r="F4" s="5"/>
      <s:c r="G4" s="5"/>
      <s:c r="H4" s="5"/>
      <s:c r="I4" s="5"/>
      <s:c r="J4" s="903"/>
      <s:c r="K4" s="903"/>
      <s:c r="L4" s="903"/>
      <s:c r="M4" s="903"/>
      <s:c r="N4" s="903"/>
      <s:c r="O4" s="903"/>
      <s:c r="P4" s="903"/>
      <s:c r="Q4" s="903"/>
      <s:c r="R4" s="903"/>
      <s:c r="S4" s="5"/>
      <s:c r="T4" s="5"/>
      <s:c r="U4" s="7"/>
      <s:c r="V4" s="7"/>
      <s:c r="W4" s="7"/>
      <s:c r="X4" s="7"/>
      <s:c r="Y4" s="5"/>
      <s:c r="Z4" s="5"/>
      <s:c r="AA4" s="5"/>
    </s:row>
    <s:row r="5">
      <s:c r="B5" s="5"/>
      <s:c r="C5" s="5"/>
      <s:c r="D5" s="5"/>
      <s:c r="E5" s="5"/>
      <s:c r="F5" s="5"/>
      <s:c r="G5" s="5"/>
      <s:c r="H5" s="5"/>
      <s:c r="I5" s="5"/>
      <s:c r="J5" s="21"/>
      <s:c r="K5" s="21"/>
      <s:c r="L5" s="21"/>
      <s:c r="M5" s="21"/>
      <s:c r="N5" s="21"/>
      <s:c r="O5" s="21"/>
      <s:c r="P5" s="21"/>
      <s:c r="Q5" s="21"/>
      <s:c r="R5" s="21"/>
      <s:c r="S5" s="5"/>
      <s:c r="T5" s="28"/>
      <s:c r="U5" s="5"/>
      <s:c r="V5" s="5"/>
      <s:c r="W5" s="5"/>
      <s:c r="X5" s="5"/>
      <s:c r="Y5" s="5"/>
      <s:c r="Z5" s="5"/>
      <s:c r="AA5" s="5"/>
    </s:row>
    <s:row r="6" ht="15.75" customHeight="1">
      <s:c r="B6" s="23"/>
      <s:c r="C6" s="5"/>
      <s:c r="D6" s="5"/>
      <s:c r="E6" s="5"/>
      <s:c r="F6" s="25" t="s">
        <s:v>4</s:v>
      </s:c>
      <s:c r="G6" s="26"/>
      <s:c r="H6" s="26"/>
      <s:c r="I6" s="26"/>
      <s:c r="J6" s="26"/>
      <s:c r="K6" s="26"/>
      <s:c r="L6" s="26"/>
      <s:c r="M6" s="26"/>
      <s:c r="N6" s="26"/>
      <s:c r="O6" s="26"/>
      <s:c r="P6" s="26"/>
      <s:c r="Q6" s="26"/>
      <s:c r="R6" s="26"/>
      <s:c r="S6" s="5"/>
      <s:c r="T6" s="28"/>
      <s:c r="U6" s="5"/>
      <s:c r="V6" s="28"/>
      <s:c r="W6" s="28"/>
      <s:c r="X6" s="5"/>
      <s:c r="Y6" s="5"/>
      <s:c r="Z6" s="5"/>
      <s:c r="AA6" s="5"/>
    </s:row>
    <s:row r="7" ht="50.75" customHeight="1">
      <s:c r="B7" s="23"/>
      <s:c r="C7" s="5"/>
      <s:c r="D7" s="5"/>
      <s:c r="E7" s="29"/>
      <s:c r="F7" s="344" t="s">
        <s:v>5</s:v>
      </s:c>
      <s:c r="G7" s="344"/>
      <s:c r="H7" s="344"/>
      <s:c r="I7" s="31" t="s">
        <s:v>6</s:v>
      </s:c>
      <s:c r="J7" s="32" t="s">
        <s:v>7</s:v>
      </s:c>
      <s:c r="K7" s="33" t="s">
        <s:v>8</s:v>
      </s:c>
      <s:c r="L7" s="34" t="s">
        <s:v>9</s:v>
      </s:c>
      <s:c r="M7" s="34" t="s">
        <s:v>10</s:v>
      </s:c>
      <s:c r="N7" s="904" t="s">
        <s:v>11</s:v>
      </s:c>
      <s:c r="O7" s="904" t="s">
        <s:v>12</s:v>
      </s:c>
      <s:c r="P7" s="905" t="s">
        <s:v>13</s:v>
      </s:c>
      <s:c r="Q7" s="905"/>
      <s:c r="R7" s="905"/>
      <s:c r="S7" s="5"/>
      <s:c r="T7" s="28"/>
      <s:c r="U7" s="5"/>
      <s:c r="V7" s="5"/>
      <s:c r="W7" s="5"/>
      <s:c r="X7" s="5"/>
      <s:c r="Y7" s="5"/>
      <s:c r="Z7" s="5"/>
      <s:c r="AA7" s="5"/>
    </s:row>
    <s:row r="8" ht="15.75" customHeight="1">
      <s:c r="B8" s="23"/>
      <s:c r="C8" s="5"/>
      <s:c r="D8" s="5"/>
      <s:c r="E8" s="5"/>
      <s:c r="F8" s="59" t="s">
        <s:v>14</s:v>
      </s:c>
      <s:c r="G8" s="59"/>
      <s:c r="H8" s="59"/>
      <s:c r="I8" s="345">
        <s:f>Центрум!I8/График!AJ29*График!AJ28</s:f>
        <s:v>307252.3131672598</s:v>
      </s:c>
      <s:c r="J8" s="41">
        <s:f>D50</s:f>
        <s:v>88426</s:v>
      </s:c>
      <s:c r="K8" s="346">
        <s:f>IF(AND(I8&lt;&gt;"",I8&lt;&gt;0,J8&lt;&gt;""),J8/I8,"")</s:f>
        <s:v>0.28779604322087982</s:v>
      </s:c>
      <s:c r="L8" s="43">
        <s:f>IF(SUMIF($D$25:$D$49,"&gt;=0",$T$25:$T$49)&lt;&gt;0,I8*D50/SUMIF($D$25:$D$49,"&gt;=0",$T$25:$T$49),0)</s:f>
        <s:v>468194.56825606077</s:v>
      </s:c>
      <s:c r="M8" s="347">
        <s:f>L8/I8</s:f>
        <s:v>1.5238113699771836</s:v>
      </s:c>
      <s:c r="N8" s="906">
        <s:f>IF(AND(J8&lt;&gt;0,J8&lt;&gt;"",I8&lt;&gt;0,I8&lt;&gt;""),L8-I8,"")</s:f>
        <s:v>160942.25508880097</s:v>
      </s:c>
      <s:c r="O8" s="907"/>
      <s:c r="P8" s="906" t="str">
        <s:f>IF(AND(O8&lt;&gt;"",O8&lt;&gt;0,L8&lt;&gt;"",L8&lt;&gt;0),-O8+L8,"")</s:f>
        <s:v/>
      </s:c>
      <s:c r="Q8" s="48" t="str">
        <s:f>IF(AND(P8&lt;&gt;"",P8&lt;&gt;0,O8&lt;&gt;0,O8&lt;&gt;""),P8/O8,"")</s:f>
        <s:v/>
      </s:c>
      <s:c r="R8" s="28"/>
      <s:c r="S8" s="28"/>
      <s:c r="T8" s="5"/>
      <s:c r="U8" s="5"/>
      <s:c r="V8" s="5"/>
      <s:c r="W8" s="5"/>
      <s:c r="X8" s="5"/>
      <s:c r="Y8" s="5"/>
      <s:c r="Z8" s="5"/>
    </s:row>
    <s:row r="9" ht="15.75" customHeight="1">
      <s:c r="B9" s="23"/>
      <s:c r="C9" s="5"/>
      <s:c r="D9" s="5"/>
      <s:c r="E9" s="5"/>
      <s:c r="F9" s="49" t="s">
        <s:v>15</s:v>
      </s:c>
      <s:c r="G9" s="49"/>
      <s:c r="H9" s="49"/>
      <s:c r="I9" s="50">
        <s:f>I8/I11</s:f>
        <s:v>46.553380782918154</s:v>
      </s:c>
      <s:c r="J9" s="51">
        <s:f>E50</s:f>
        <s:v>14</s:v>
      </s:c>
      <s:c r="K9" s="348">
        <s:f>IF(AND(I9&lt;&gt;"",I9&lt;&gt;0,J9&lt;&gt;""),J9/I9,"")</s:f>
        <s:v>0.30073003860413561</s:v>
      </s:c>
      <s:c r="L9" s="79">
        <s:f>IF(SUMIF($E$25:$E$49,"&gt;=0",$U$25:$U$49)&lt;&gt;0,I9*E50/SUMIF($E$25:$E$49,"&gt;=0",$U$25:$U$49),0)</s:f>
        <s:v>61.195633355432783</s:v>
      </s:c>
      <s:c r="M9" s="349">
        <s:f>IF(AND(I9&lt;&gt;"",I9&lt;&gt;0,L9&lt;&gt;"",L9&lt;&gt;0),L9/I9,"")</s:f>
        <s:v>1.3145260843845592</s:v>
      </s:c>
      <s:c r="N9" s="908">
        <s:f>IF(AND(J9&lt;&gt;0,J9&lt;&gt;"",I9&lt;&gt;0,I9&lt;&gt;""),L9-I9,"")</s:f>
        <s:v>14.642252572514629</s:v>
      </s:c>
      <s:c r="O9" s="909" t="e">
        <s:f>O8/O11</s:f>
        <s:v>#DIV/0!</s:v>
      </s:c>
      <s:c r="P9" s="908" t="e">
        <s:f>IF(AND(O9&lt;&gt;"",O9&lt;&gt;0,L9&lt;&gt;"",L9&lt;&gt;0),-O9+L9,"")</s:f>
        <s:v>#DIV/0!</s:v>
      </s:c>
      <s:c r="Q9" s="58" t="e">
        <s:f>IF(AND(P9&lt;&gt;"",P9&lt;&gt;0,O9&lt;&gt;0,O9&lt;&gt;""),P9/O9,"")</s:f>
        <s:v>#DIV/0!</s:v>
      </s:c>
      <s:c r="R9" s="28"/>
      <s:c r="S9" s="28"/>
      <s:c r="T9" s="5"/>
      <s:c r="U9" s="5"/>
      <s:c r="V9" s="5"/>
      <s:c r="W9" s="5"/>
      <s:c r="X9" s="5"/>
      <s:c r="Y9" s="5"/>
      <s:c r="Z9" s="5"/>
    </s:row>
    <s:row r="10" ht="15.75" customHeight="1">
      <s:c r="B10" s="23"/>
      <s:c r="C10" s="5"/>
      <s:c r="D10" s="5"/>
      <s:c r="E10" s="5"/>
      <s:c r="F10" s="59" t="s">
        <s:v>16</s:v>
      </s:c>
      <s:c r="G10" s="59"/>
      <s:c r="H10" s="59"/>
      <s:c r="I10" s="60">
        <s:f>I11*I12</s:f>
        <s:v>11220</s:v>
      </s:c>
      <s:c r="J10" s="61">
        <s:f>H50</s:f>
        <s:v>9825.1111111111113</s:v>
      </s:c>
      <s:c r="K10" s="350">
        <s:f>IF(AND(I10&lt;&gt;"",I10&lt;&gt;0,J10&lt;&gt;""),J10/I10,"")</s:f>
        <s:v>0.87567835214894041</s:v>
      </s:c>
      <s:c r="L10" s="79">
        <s:f>J10</s:f>
        <s:v>9825.1111111111113</s:v>
      </s:c>
      <s:c r="M10" s="351">
        <s:f>IF(AND(I10&lt;&gt;"",I10&lt;&gt;0,L10&lt;&gt;"",L10&lt;&gt;0),L10/I10,"")</s:f>
        <s:v>0.87567835214894041</s:v>
      </s:c>
      <s:c r="N10" s="910">
        <s:f>IF(AND(J10&lt;&gt;0,J10&lt;&gt;"",I10&lt;&gt;0,I10&lt;&gt;""),L10-I10,"")</s:f>
        <s:v>-1394.8888888888887</s:v>
      </s:c>
      <s:c r="O10" s="60">
        <s:f>O11*O12</s:f>
        <s:v>0</s:v>
      </s:c>
      <s:c r="P10" s="910" t="str">
        <s:f>IF(AND(O10&lt;&gt;"",O10&lt;&gt;0,L10&lt;&gt;"",L10&lt;&gt;0),-O10+L10,"")</s:f>
        <s:v/>
      </s:c>
      <s:c r="Q10" s="67" t="str">
        <s:f>IF(AND(P10&lt;&gt;"",P10&lt;&gt;0,O10&lt;&gt;0,O10&lt;&gt;""),P10/O10,"")</s:f>
        <s:v/>
      </s:c>
      <s:c r="R10" s="28"/>
      <s:c r="S10" s="28"/>
      <s:c r="T10" s="5"/>
      <s:c r="U10" s="5"/>
      <s:c r="V10" s="5"/>
      <s:c r="W10" s="5"/>
      <s:c r="X10" s="5"/>
      <s:c r="Y10" s="5"/>
      <s:c r="Z10" s="5"/>
    </s:row>
    <s:row r="11" ht="15.75" customHeight="1">
      <s:c r="B11" s="23"/>
      <s:c r="C11" s="5"/>
      <s:c r="D11" s="5"/>
      <s:c r="E11" s="5"/>
      <s:c r="F11" s="49" t="s">
        <s:v>17</s:v>
      </s:c>
      <s:c r="G11" s="49"/>
      <s:c r="H11" s="49"/>
      <s:c r="I11" s="68">
        <s:f>Центрум!I11</s:f>
        <s:v>6600</s:v>
      </s:c>
      <s:c r="J11" s="51">
        <s:f>F50</s:f>
        <s:v>6316.1428571428569</s:v>
      </s:c>
      <s:c r="K11" s="348">
        <s:f>IF(AND(I11&lt;&gt;"",I11&lt;&gt;0,J11&lt;&gt;""),J11/I11,"")</s:f>
        <s:v>0.95699134199134195</s:v>
      </s:c>
      <s:c r="L11" s="79">
        <s:f>J11</s:f>
        <s:v>6316.1428571428569</s:v>
      </s:c>
      <s:c r="M11" s="349">
        <s:f>IF(AND(I11&lt;&gt;"",I11&lt;&gt;0,L11&lt;&gt;"",L11&lt;&gt;0),L11/I11,"")</s:f>
        <s:v>0.95699134199134195</s:v>
      </s:c>
      <s:c r="N11" s="908">
        <s:f>IF(AND(J11&lt;&gt;0,J11&lt;&gt;"",I11&lt;&gt;0,I11&lt;&gt;""),L11-I11,"")</s:f>
        <s:v>-283.85714285714312</s:v>
      </s:c>
      <s:c r="O11" s="911"/>
      <s:c r="P11" s="908" t="str">
        <s:f>IF(AND(O11&lt;&gt;"",O11&lt;&gt;0,L11&lt;&gt;"",L11&lt;&gt;0),-O11+L11,"")</s:f>
        <s:v/>
      </s:c>
      <s:c r="Q11" s="58" t="str">
        <s:f>IF(AND(P11&lt;&gt;"",P11&lt;&gt;0,O11&lt;&gt;0,O11&lt;&gt;""),P11/O11,"")</s:f>
        <s:v/>
      </s:c>
      <s:c r="R11" s="28"/>
      <s:c r="S11" s="5"/>
      <s:c r="T11" s="5"/>
      <s:c r="U11" s="5"/>
      <s:c r="V11" s="5"/>
      <s:c r="W11" s="5"/>
      <s:c r="X11" s="5"/>
      <s:c r="Y11" s="5"/>
      <s:c r="Z11" s="5"/>
    </s:row>
    <s:row r="12" ht="15.75" customHeight="1">
      <s:c r="B12" s="23"/>
      <s:c r="C12" s="5"/>
      <s:c r="D12" s="5"/>
      <s:c r="E12" s="5"/>
      <s:c r="F12" s="49" t="s">
        <s:v>18</s:v>
      </s:c>
      <s:c r="G12" s="49"/>
      <s:c r="H12" s="49"/>
      <s:c r="I12" s="70">
        <s:f>'Центрум'!I12</s:f>
        <s:v>1.7</s:v>
      </s:c>
      <s:c r="J12" s="71">
        <s:f>J50</s:f>
        <s:v>1.5555555555555556</s:v>
      </s:c>
      <s:c r="K12" s="348">
        <s:f>IF(AND(I12&lt;&gt;"",I12&lt;&gt;0,J12&lt;&gt;""),J12/I12,"")</s:f>
        <s:v>0.91503267973856217</s:v>
      </s:c>
      <s:c r="L12" s="79">
        <s:f>J12</s:f>
        <s:v>1.5555555555555556</s:v>
      </s:c>
      <s:c r="M12" s="349">
        <s:f>IF(AND(I12&lt;&gt;"",I12&lt;&gt;0,L12&lt;&gt;"",L12&lt;&gt;0),L12/I12,"")</s:f>
        <s:v>0.91503267973856217</s:v>
      </s:c>
      <s:c r="N12" s="912">
        <s:f>IF(AND(J12&lt;&gt;0,J12&lt;&gt;"",I12&lt;&gt;0,I12&lt;&gt;""),L12-I12,"")</s:f>
        <s:v>-0.14444444444444438</s:v>
      </s:c>
      <s:c r="O12" s="913"/>
      <s:c r="P12" s="908" t="str">
        <s:f>IF(AND(O12&lt;&gt;"",O12&lt;&gt;0,L12&lt;&gt;"",L12&lt;&gt;0),-O12+L12,"")</s:f>
        <s:v/>
      </s:c>
      <s:c r="Q12" s="58" t="str">
        <s:f>IF(AND(P12&lt;&gt;"",P12&lt;&gt;0,O12&lt;&gt;0,O12&lt;&gt;""),P12/O12,"")</s:f>
        <s:v/>
      </s:c>
      <s:c r="R12" s="28"/>
      <s:c r="S12" s="5"/>
      <s:c r="T12" s="5"/>
      <s:c r="U12" s="5"/>
      <s:c r="V12" s="5"/>
      <s:c r="W12" s="5"/>
      <s:c r="X12" s="5"/>
      <s:c r="Y12" s="5"/>
      <s:c r="Z12" s="5"/>
    </s:row>
    <s:row r="13" ht="15.75" customHeight="1">
      <s:c r="B13" s="23"/>
      <s:c r="C13" s="5"/>
      <s:c r="D13" s="5"/>
      <s:c r="E13" s="5"/>
      <s:c r="F13" s="49" t="s">
        <s:v>19</s:v>
      </s:c>
      <s:c r="G13" s="49"/>
      <s:c r="H13" s="49"/>
      <s:c r="I13" s="50">
        <s:f>IF(I12&lt;&gt;0,I9/I12,"")</s:f>
        <s:v>27.384341637010678</s:v>
      </s:c>
      <s:c r="J13" s="51">
        <s:f>G50</s:f>
        <s:v>9</s:v>
      </s:c>
      <s:c r="K13" s="348">
        <s:f>IF(AND(I13&lt;&gt;"",I13&lt;&gt;0,J13&lt;&gt;""),J13/I13,"")</s:f>
        <s:v>0.32865497076023392</s:v>
      </s:c>
      <s:c r="L13" s="79">
        <s:f>IF(SUMIF($G$25:$G$49,"&gt;=0",$V$25:$V$49)&lt;&gt;0,I13*G50/SUMIF($G$25:$G$49,"&gt;=0",$V$25:$V$49),"")</s:f>
        <s:v>41.688656881054072</s:v>
      </s:c>
      <s:c r="M13" s="349">
        <s:f>IF(AND(I13&lt;&gt;"",I13&lt;&gt;0,L13&lt;&gt;"",L13&lt;&gt;0),L13/I13,"")</s:f>
        <s:v>1.5223538120306943</s:v>
      </s:c>
      <s:c r="N13" s="912">
        <s:f>IF(AND(J13&lt;&gt;0,J13&lt;&gt;"",I13&lt;&gt;0,I13&lt;&gt;""),L13-I13,"")</s:f>
        <s:v>14.304315244043394</s:v>
      </s:c>
      <s:c r="O13" s="914"/>
      <s:c r="P13" s="908" t="str">
        <s:f>IF(AND(O13&lt;&gt;"",O13&lt;&gt;0,L13&lt;&gt;"",L13&lt;&gt;0),-O13+L13,"")</s:f>
        <s:v/>
      </s:c>
      <s:c r="Q13" s="58" t="str">
        <s:f>IF(AND(P13&lt;&gt;"",P13&lt;&gt;0,O13&lt;&gt;0,O13&lt;&gt;""),P13/O13,"")</s:f>
        <s:v/>
      </s:c>
      <s:c r="R13" s="28"/>
      <s:c r="S13" s="5"/>
      <s:c r="T13" s="5"/>
      <s:c r="U13" s="5"/>
      <s:c r="V13" s="5"/>
      <s:c r="W13" s="5"/>
      <s:c r="X13" s="5"/>
      <s:c r="Y13" s="5"/>
      <s:c r="Z13" s="5"/>
    </s:row>
    <s:row r="14" ht="15.75" customHeight="1">
      <s:c r="B14" s="23"/>
      <s:c r="C14" s="5"/>
      <s:c r="D14" s="5"/>
      <s:c r="E14" s="5"/>
      <s:c r="F14" s="49" t="s">
        <s:v>98</s:v>
      </s:c>
      <s:c r="G14" s="49"/>
      <s:c r="H14" s="49"/>
      <s:c r="I14" s="68">
        <s:f>График!AI28</s:f>
        <s:v>10</s:v>
      </s:c>
      <s:c r="J14" s="76">
        <s:v>5</s:v>
      </s:c>
      <s:c r="K14" s="348">
        <s:f>IF(AND(I14&lt;&gt;"",I14&lt;&gt;0,J14&lt;&gt;""),J14/I14,"")</s:f>
        <s:v>0.5</s:v>
      </s:c>
      <s:c r="L14" s="79">
        <s:f>IF(SUMIF($D$25:$D$49,"&gt;=0",$T$25:$T$49),I50*I8/SUMIF($D$25:$D$49,"&gt;=0",$T$25:$T$49),"")</s:f>
        <s:v>559.12679989867263</s:v>
      </s:c>
      <s:c r="M14" s="349"/>
      <s:c r="N14" s="908">
        <s:f>IF(AND(J14&lt;&gt;0,J14&lt;&gt;"",I14&lt;&gt;0,I14&lt;&gt;""),L14-I14,"")</s:f>
        <s:v>549.12679989867263</s:v>
      </s:c>
      <s:c r="O14" s="914"/>
      <s:c r="P14" s="908" t="str">
        <s:f>IF(AND(O14&lt;&gt;"",O14&lt;&gt;0,L14&lt;&gt;"",L14&lt;&gt;0),-O14+L14,"")</s:f>
        <s:v/>
      </s:c>
      <s:c r="Q14" s="58" t="str">
        <s:f>IF(AND(P14&lt;&gt;"",P14&lt;&gt;0,O14&lt;&gt;0,O14&lt;&gt;""),P14/O14,"")</s:f>
        <s:v/>
      </s:c>
      <s:c r="R14" s="28"/>
      <s:c r="S14" s="77"/>
      <s:c r="T14" s="5"/>
      <s:c r="U14" s="5"/>
      <s:c r="V14" s="5"/>
      <s:c r="W14" s="5"/>
      <s:c r="X14" s="5"/>
      <s:c r="Y14" s="5"/>
      <s:c r="Z14" s="5"/>
    </s:row>
    <s:row r="15" ht="15.75" customHeight="1">
      <s:c r="B15" s="23"/>
      <s:c r="C15" s="5"/>
      <s:c r="D15" s="5"/>
      <s:c r="E15" s="5"/>
      <s:c r="F15" s="49" t="s">
        <s:v>21</s:v>
      </s:c>
      <s:c r="G15" s="49"/>
      <s:c r="H15" s="49"/>
      <s:c r="I15" s="352">
        <s:f>Центрум!I15</s:f>
        <s:v>61890.967741935485</s:v>
      </s:c>
      <s:c r="J15" s="85">
        <s:f>J8/J14</s:f>
        <s:v>17685.200000000001</s:v>
      </s:c>
      <s:c r="K15" s="353">
        <s:f>IF(AND(I15&lt;&gt;"",I15&lt;&gt;0,J15&lt;&gt;""),J15/I15,"")</s:f>
        <s:v>0.28574767280649632</s:v>
      </s:c>
      <s:c r="L15" s="86">
        <s:f>J15</s:f>
        <s:v>17685.200000000001</s:v>
      </s:c>
      <s:c r="M15" s="349">
        <s:f>IF(AND(I15&lt;&gt;"",I15&lt;&gt;0,L15&lt;&gt;"",L15&lt;&gt;0),L15/I15,"")</s:f>
        <s:v>0.28574767280649632</s:v>
      </s:c>
      <s:c r="N15" s="908">
        <s:f>IF(AND(J15&lt;&gt;0,J15&lt;&gt;"",I15&lt;&gt;0,I15&lt;&gt;""),L15-I15,"")</s:f>
        <s:v>-44205.767741935488</s:v>
      </s:c>
      <s:c r="O15" s="915"/>
      <s:c r="P15" s="908" t="str">
        <s:f>IF(AND(O15&lt;&gt;"",O15&lt;&gt;0,L15&lt;&gt;"",L15&lt;&gt;0),-O15+L15,"")</s:f>
        <s:v/>
      </s:c>
      <s:c r="Q15" s="58" t="str">
        <s:f>IF(AND(P15&lt;&gt;"",P15&lt;&gt;0,O15&lt;&gt;0,O15&lt;&gt;""),P15/O15,"")</s:f>
        <s:v/>
      </s:c>
      <s:c r="R15" s="28"/>
      <s:c r="S15" s="28"/>
      <s:c r="T15" s="5"/>
      <s:c r="U15" s="5"/>
      <s:c r="V15" s="5"/>
      <s:c r="W15" s="5"/>
      <s:c r="X15" s="5"/>
      <s:c r="Y15" s="5"/>
      <s:c r="Z15" s="5"/>
    </s:row>
    <s:row r="16" ht="15.75" customHeight="1">
      <s:c r="B16" s="23"/>
      <s:c r="C16" s="5"/>
      <s:c r="D16" s="5"/>
      <s:c r="E16" s="5"/>
      <s:c r="F16" s="49" t="s">
        <s:v>22</s:v>
      </s:c>
      <s:c r="G16" s="49"/>
      <s:c r="H16" s="49"/>
      <s:c r="I16" s="352"/>
      <s:c r="J16" s="85">
        <s:f>J8-I15*J14</s:f>
        <s:v>-221028.83870967745</s:v>
      </s:c>
      <s:c r="K16" s="353" t="str">
        <s:f>IF(AND(I16&lt;&gt;"",I16&lt;&gt;0,J16&lt;&gt;""),J16/I16,"")</s:f>
        <s:v/>
      </s:c>
      <s:c r="L16" s="86">
        <s:f>J16</s:f>
        <s:v>-221028.83870967745</s:v>
      </s:c>
      <s:c r="M16" s="354" t="str">
        <s:f>IF(AND(I16&lt;&gt;"",I16&lt;&gt;0,L16&lt;&gt;"",L16&lt;&gt;0),L16/I16,"")</s:f>
        <s:v/>
      </s:c>
      <s:c r="N16" s="908" t="str">
        <s:f>IF(AND(J16&lt;&gt;0,J16&lt;&gt;"",I16&lt;&gt;0,I16&lt;&gt;""),L16-I16,"")</s:f>
        <s:v/>
      </s:c>
      <s:c r="O16" s="915"/>
      <s:c r="P16" s="908" t="str">
        <s:f>IF(AND(O16&lt;&gt;"",O16&lt;&gt;0,L16&lt;&gt;"",L16&lt;&gt;0),-O16+L16,"")</s:f>
        <s:v/>
      </s:c>
      <s:c r="Q16" s="58" t="str">
        <s:f>IF(AND(P16&lt;&gt;"",P16&lt;&gt;0,O16&lt;&gt;0,O16&lt;&gt;""),P16/O16,"")</s:f>
        <s:v/>
      </s:c>
      <s:c r="R16" s="28"/>
      <s:c r="S16" s="355" t="s">
        <s:v>23</s:v>
      </s:c>
      <s:c r="T16" s="5"/>
      <s:c r="U16" s="5"/>
      <s:c r="V16" s="5"/>
      <s:c r="W16" s="5"/>
      <s:c r="X16" s="5"/>
      <s:c r="Y16" s="5"/>
      <s:c r="Z16" s="5"/>
    </s:row>
    <s:row r="17" ht="15.75" customHeight="1">
      <s:c r="B17" s="23"/>
      <s:c r="C17" s="5"/>
      <s:c r="D17" s="5"/>
      <s:c r="E17" s="5"/>
      <s:c r="F17" s="49" t="s">
        <s:v>24</s:v>
      </s:c>
      <s:c r="G17" s="49"/>
      <s:c r="H17" s="49"/>
      <s:c r="I17" s="352">
        <s:f>Центрум!I17/График!AJ29*График!AJ28</s:f>
        <s:v>304.27046263345198</s:v>
      </s:c>
      <s:c r="J17" s="85">
        <s:f>I50</s:f>
        <s:v>105.60000000000001</s:v>
      </s:c>
      <s:c r="K17" s="353">
        <s:f>IF(AND(I17&lt;&gt;"",I17&lt;&gt;0,J17&lt;&gt;""),J17/I17,"")</s:f>
        <s:v>0.34705964912280701</s:v>
      </s:c>
      <s:c r="L17" s="86">
        <s:f>J17/J14*I14</s:f>
        <s:v>211.20000000000002</s:v>
      </s:c>
      <s:c r="M17" s="354">
        <s:f>IF(AND(I17&lt;&gt;"",I17&lt;&gt;0,L17&lt;&gt;"",L17&lt;&gt;0),L17/I17,"")</s:f>
        <s:v>0.69411929824561402</s:v>
      </s:c>
      <s:c r="N17" s="908">
        <s:f>IF(AND(J17&lt;&gt;0,J17&lt;&gt;"",I17&lt;&gt;0,I17&lt;&gt;""),L17-I17,"")</s:f>
        <s:v>-93.070462633451967</s:v>
      </s:c>
      <s:c r="O17" s="915"/>
      <s:c r="P17" s="908" t="str">
        <s:f>IF(AND(O17&lt;&gt;"",O17&lt;&gt;0,L17&lt;&gt;"",L17&lt;&gt;0),-O17+L17,"")</s:f>
        <s:v/>
      </s:c>
      <s:c r="Q17" s="58" t="str">
        <s:f>IF(AND(P17&lt;&gt;"",P17&lt;&gt;0,O17&lt;&gt;0,O17&lt;&gt;""),P17/O17,"")</s:f>
        <s:v/>
      </s:c>
      <s:c r="R17" s="28"/>
      <s:c r="S17" s="355"/>
      <s:c r="T17" s="5"/>
      <s:c r="U17" s="5"/>
      <s:c r="V17" s="5"/>
      <s:c r="W17" s="5"/>
      <s:c r="X17" s="5"/>
      <s:c r="Y17" s="5"/>
      <s:c r="Z17" s="5"/>
    </s:row>
    <s:row r="18" ht="15.75" customHeight="1">
      <s:c r="B18" s="23"/>
      <s:c r="C18" s="5"/>
      <s:c r="D18" s="5"/>
      <s:c r="E18" s="5"/>
      <s:c r="F18" s="49"/>
      <s:c r="G18" s="49"/>
      <s:c r="H18" s="49"/>
      <s:c r="I18" s="84"/>
      <s:c r="J18" s="85"/>
      <s:c r="K18" s="353" t="str">
        <s:f>IF(AND(I18&lt;&gt;"",I18&lt;&gt;0,J18&lt;&gt;""),J18/I18,"")</s:f>
        <s:v/>
      </s:c>
      <s:c r="L18" s="86">
        <s:f>J18</s:f>
        <s:v>0</s:v>
      </s:c>
      <s:c r="M18" s="354" t="str">
        <s:f>IF(AND(I18&lt;&gt;"",I18&lt;&gt;0,L18&lt;&gt;"",L18&lt;&gt;0),L18/I18,"")</s:f>
        <s:v/>
      </s:c>
      <s:c r="N18" s="908" t="str">
        <s:f>IF(AND(J18&lt;&gt;0,J18&lt;&gt;"",I18&lt;&gt;0,I18&lt;&gt;""),L18-I18,"")</s:f>
        <s:v/>
      </s:c>
      <s:c r="O18" s="916">
        <s:v>0</s:v>
      </s:c>
      <s:c r="P18" s="908" t="str">
        <s:f>IF(AND(O18&lt;&gt;"",O18&lt;&gt;0,L18&lt;&gt;"",L18&lt;&gt;0),-O18+L18,"")</s:f>
        <s:v/>
      </s:c>
      <s:c r="Q18" s="58" t="str">
        <s:f>IF(AND(P18&lt;&gt;"",P18&lt;&gt;0,O18&lt;&gt;0,O18&lt;&gt;""),P18/O18,"")</s:f>
        <s:v/>
      </s:c>
      <s:c r="R18" s="28"/>
      <s:c r="S18" s="83"/>
      <s:c r="T18" s="5"/>
      <s:c r="U18" s="5"/>
      <s:c r="V18" s="5"/>
      <s:c r="W18" s="5"/>
      <s:c r="X18" s="5"/>
      <s:c r="Y18" s="5"/>
      <s:c r="Z18" s="5"/>
    </s:row>
    <s:row r="19" ht="15.75" customHeight="1">
      <s:c r="B19" s="23"/>
      <s:c r="C19" s="5"/>
      <s:c r="D19" s="5"/>
      <s:c r="E19" s="5"/>
      <s:c r="F19" s="49"/>
      <s:c r="G19" s="49"/>
      <s:c r="H19" s="49"/>
      <s:c r="I19" s="84"/>
      <s:c r="J19" s="85">
        <s:f>P50</s:f>
        <s:v>0</s:v>
      </s:c>
      <s:c r="K19" s="353" t="str">
        <s:f>IF(AND(I19&lt;&gt;"",I19&lt;&gt;0,J19&lt;&gt;""),J19/I19,"")</s:f>
        <s:v/>
      </s:c>
      <s:c r="L19" s="86">
        <s:f>J19</s:f>
        <s:v>0</s:v>
      </s:c>
      <s:c r="M19" s="354" t="str">
        <s:f>IF(AND(I19&lt;&gt;"",I19&lt;&gt;0,L19&lt;&gt;"",L19&lt;&gt;0),L19/I19,"")</s:f>
        <s:v/>
      </s:c>
      <s:c r="N19" s="908" t="str">
        <s:f>IF(AND(J19&lt;&gt;0,J19&lt;&gt;"",I19&lt;&gt;0,I19&lt;&gt;""),L19-I19,"")</s:f>
        <s:v/>
      </s:c>
      <s:c r="O19" s="915">
        <s:v>0</s:v>
      </s:c>
      <s:c r="P19" s="908" t="str">
        <s:f>IF(AND(O19&lt;&gt;"",O19&lt;&gt;0,L19&lt;&gt;"",L19&lt;&gt;0),-O19+L19,"")</s:f>
        <s:v/>
      </s:c>
      <s:c r="Q19" s="58" t="str">
        <s:f>IF(AND(P19&lt;&gt;"",P19&lt;&gt;0,O19&lt;&gt;0,O19&lt;&gt;""),P19/O19,"")</s:f>
        <s:v/>
      </s:c>
      <s:c r="R19" s="28"/>
      <s:c r="S19" s="52" t="e">
        <s:f>S18/I16</s:f>
        <s:v>#DIV/0!</s:v>
      </s:c>
      <s:c r="T19" s="5"/>
      <s:c r="U19" s="5"/>
      <s:c r="V19" s="5"/>
      <s:c r="W19" s="5"/>
      <s:c r="X19" s="5"/>
      <s:c r="Y19" s="5"/>
      <s:c r="Z19" s="5"/>
    </s:row>
    <s:row r="20" ht="15.75" customHeight="1">
      <s:c r="B20" s="23"/>
      <s:c r="C20" s="5"/>
      <s:c r="D20" s="5"/>
      <s:c r="E20" s="5"/>
      <s:c r="F20" s="89" t="s">
        <s:v>102</s:v>
      </s:c>
      <s:c r="G20" s="89"/>
      <s:c r="H20" s="89"/>
      <s:c r="I20" s="357">
        <s:f>Центрум!I20</s:f>
        <s:v>0.089999999999999997</s:v>
      </s:c>
      <s:c r="J20" s="358">
        <s:f>R50</s:f>
        <s:v>0.085227272727272721</s:v>
      </s:c>
      <s:c r="K20" s="91">
        <s:f>J20/I20</s:f>
        <s:v>0.94696969696969691</s:v>
      </s:c>
      <s:c r="L20" s="92">
        <s:f>IF(AND(K8&lt;&gt;0,I14&lt;&gt;0,I50&lt;&gt;0),(I50*R50+(I50/K8-I50)*I20)/(I50/K8),0)</s:f>
        <s:v>0.088626427975536701</s:v>
      </s:c>
      <s:c r="M20" s="359">
        <s:f>IF(AND(I20&lt;&gt;"",I20&lt;&gt;0,L20&lt;&gt;"",L20&lt;&gt;0),L20/I20,"")</s:f>
        <s:v>0.98473808861707446</s:v>
      </s:c>
      <s:c r="N20" s="917">
        <s:f>IF(AND(J20&lt;&gt;0,J20&lt;&gt;"",I20&lt;&gt;0,I20&lt;&gt;""),L20-I20,"")</s:f>
        <s:v>-0.001373572024463296</s:v>
      </s:c>
      <s:c r="O20" s="918"/>
      <s:c r="P20" s="919" t="str">
        <s:f>IF(AND(O20&lt;&gt;"",O20&lt;&gt;0,L20&lt;&gt;"",L20&lt;&gt;0),-O20+L20,"")</s:f>
        <s:v/>
      </s:c>
      <s:c r="Q20" s="97" t="str">
        <s:f>IF(AND(P20&lt;&gt;"",P20&lt;&gt;0,O20&lt;&gt;0,O20&lt;&gt;""),P20/O20,"")</s:f>
        <s:v/>
      </s:c>
      <s:c r="R20" s="28"/>
      <s:c r="S20" s="28"/>
      <s:c r="T20" s="5"/>
      <s:c r="U20" s="5"/>
      <s:c r="V20" s="5"/>
      <s:c r="W20" s="5"/>
      <s:c r="X20" s="5"/>
      <s:c r="Y20" s="5"/>
      <s:c r="Z20" s="5"/>
    </s:row>
    <s:row r="21" ht="15.75" customHeight="1">
      <s:c r="B21" s="23"/>
      <s:c r="C21" s="5"/>
      <s:c r="D21" s="5"/>
      <s:c r="E21" s="5"/>
      <s:c r="F21" s="5"/>
      <s:c r="G21" s="5"/>
      <s:c r="H21" s="5"/>
      <s:c r="I21" s="5"/>
      <s:c r="J21" s="5"/>
      <s:c r="K21" s="5"/>
      <s:c r="L21" s="5"/>
      <s:c r="M21" s="5"/>
      <s:c r="N21" s="5"/>
      <s:c r="O21" s="5"/>
      <s:c r="P21" s="5"/>
      <s:c r="Q21" s="5"/>
      <s:c r="R21" s="5"/>
      <s:c r="S21" s="5"/>
      <s:c r="T21" s="5"/>
      <s:c r="U21" s="5"/>
      <s:c r="V21" s="28"/>
      <s:c r="W21" s="28"/>
      <s:c r="X21" s="5"/>
      <s:c r="Y21" s="5"/>
      <s:c r="Z21" s="5"/>
      <s:c r="AA21" s="5"/>
    </s:row>
    <s:row r="22" ht="16.5" customHeight="1">
      <s:c r="B22" s="360" t="s">
        <s:v>26</s:v>
      </s:c>
      <s:c r="C22" s="360"/>
      <s:c r="D22" s="360"/>
      <s:c r="E22" s="360"/>
      <s:c r="F22" s="360"/>
      <s:c r="G22" s="360"/>
      <s:c r="H22" s="360"/>
      <s:c r="I22" s="360"/>
      <s:c r="J22" s="360"/>
      <s:c r="K22" s="360"/>
      <s:c r="L22" s="360"/>
      <s:c r="M22" s="360"/>
      <s:c r="N22" s="360"/>
      <s:c r="O22" s="360"/>
      <s:c r="P22" s="360"/>
      <s:c r="Q22" s="360"/>
      <s:c r="R22" s="360"/>
      <s:c r="S22" s="361" t="s">
        <s:v>46</s:v>
      </s:c>
      <s:c r="T22" s="360" t="s">
        <s:v>27</s:v>
      </s:c>
      <s:c r="U22" s="360"/>
      <s:c r="V22" s="360"/>
      <s:c r="W22" s="360"/>
      <s:c r="X22" s="360"/>
      <s:c r="Y22" s="360"/>
      <s:c r="Z22" s="360"/>
      <s:c r="AA22" s="360"/>
    </s:row>
    <s:row r="23" ht="42">
      <s:c r="B23" s="361" t="s">
        <s:v>29</s:v>
      </s:c>
      <s:c r="C23" s="361" t="s">
        <s:v>30</s:v>
      </s:c>
      <s:c r="D23" s="361" t="s">
        <s:v>31</s:v>
      </s:c>
      <s:c r="E23" s="361" t="s">
        <s:v>32</s:v>
      </s:c>
      <s:c r="F23" s="361" t="s">
        <s:v>33</s:v>
      </s:c>
      <s:c r="G23" s="361" t="s">
        <s:v>34</s:v>
      </s:c>
      <s:c r="H23" s="361" t="s">
        <s:v>35</s:v>
      </s:c>
      <s:c r="I23" s="361" t="s">
        <s:v>24</s:v>
      </s:c>
      <s:c r="J23" s="361" t="s">
        <s:v>36</s:v>
      </s:c>
      <s:c r="K23" s="362" t="s">
        <s:v>37</s:v>
      </s:c>
      <s:c r="L23" s="105" t="s">
        <s:v>38</s:v>
      </s:c>
      <s:c r="M23" s="362" t="s">
        <s:v>39</s:v>
      </s:c>
      <s:c r="N23" s="105" t="s">
        <s:v>40</s:v>
      </s:c>
      <s:c r="O23" s="362" t="s">
        <s:v>41</s:v>
      </s:c>
      <s:c r="P23" s="105" t="s">
        <s:v>42</s:v>
      </s:c>
      <s:c r="Q23" s="105" t="s">
        <s:v>43</s:v>
      </s:c>
      <s:c r="R23" s="361" t="s">
        <s:v>45</s:v>
      </s:c>
      <s:c r="S23" s="361"/>
      <s:c r="T23" s="361" t="s">
        <s:v>47</s:v>
      </s:c>
      <s:c r="U23" s="361" t="s">
        <s:v>48</s:v>
      </s:c>
      <s:c r="V23" s="361" t="s">
        <s:v>49</s:v>
      </s:c>
      <s:c r="W23" s="361" t="s">
        <s:v>50</s:v>
      </s:c>
      <s:c r="X23" s="361" t="s">
        <s:v>51</s:v>
      </s:c>
      <s:c r="Y23" s="361" t="s">
        <s:v>52</s:v>
      </s:c>
      <s:c r="Z23" s="363" t="s">
        <s:v>53</s:v>
      </s:c>
      <s:c r="AA23" s="363" t="s">
        <s:v>54</s:v>
      </s:c>
      <s:c r="AB23" s="214"/>
    </s:row>
    <s:row r="24">
      <s:c r="A24" s="364"/>
      <s:c r="B24" s="365">
        <s:v>1</s:v>
      </s:c>
      <s:c r="C24" s="366">
        <s:v>2</s:v>
      </s:c>
      <s:c r="D24" s="367">
        <s:v>3</s:v>
      </s:c>
      <s:c r="E24" s="367" t="s">
        <s:v>103</s:v>
      </s:c>
      <s:c r="F24" s="366">
        <s:v>5</s:v>
      </s:c>
      <s:c r="G24" s="367">
        <s:v>6</s:v>
      </s:c>
      <s:c r="H24" s="366">
        <s:v>7</s:v>
      </s:c>
      <s:c r="I24" s="367">
        <s:v>8</s:v>
      </s:c>
      <s:c r="J24" s="367">
        <s:v>9</s:v>
      </s:c>
      <s:c r="K24" s="112">
        <s:v>10</s:v>
      </s:c>
      <s:c r="L24" s="112">
        <s:v>11</s:v>
      </s:c>
      <s:c r="M24" s="112">
        <s:v>12</s:v>
      </s:c>
      <s:c r="N24" s="112">
        <s:v>13</s:v>
      </s:c>
      <s:c r="O24" s="112">
        <s:v>14</s:v>
      </s:c>
      <s:c r="P24" s="112">
        <s:v>15</s:v>
      </s:c>
      <s:c r="Q24" s="112"/>
      <s:c r="R24" s="367">
        <s:v>16</s:v>
      </s:c>
      <s:c r="S24" s="361"/>
      <s:c r="T24" s="368">
        <s:v>1</s:v>
      </s:c>
      <s:c r="U24" s="368">
        <s:v>2</s:v>
      </s:c>
      <s:c r="V24" s="368">
        <s:v>3</s:v>
      </s:c>
      <s:c r="W24" s="368">
        <s:v>4</s:v>
      </s:c>
      <s:c r="X24" s="368">
        <s:v>5</s:v>
      </s:c>
      <s:c r="Y24" s="368">
        <s:v>6</s:v>
      </s:c>
      <s:c r="Z24" s="368">
        <s:v>10</s:v>
      </s:c>
      <s:c r="AA24" s="368">
        <s:v>11</s:v>
      </s:c>
    </s:row>
    <s:row r="25" s="118" customFormat="1">
      <s:c r="A25" s="175">
        <s:v>1</s:v>
      </s:c>
      <s:c r="B25" s="153">
        <s:v>46028</s:v>
      </s:c>
      <s:c r="C25" s="138" t="s">
        <s:v>63</s:v>
      </s:c>
      <s:c r="D25" s="920">
        <s:f>23422+15882+4993+4494</s:f>
        <s:v>48791</s:v>
      </s:c>
      <s:c r="E25" s="151">
        <s:v>7</s:v>
      </s:c>
      <s:c r="F25" s="141">
        <s:f>IF(AND(E25&lt;&gt;"",E25&lt;&gt;0),D25/E25,"")</s:f>
        <s:v>6970.1428571428569</s:v>
      </s:c>
      <s:c r="G25" s="151">
        <s:v>4</s:v>
      </s:c>
      <s:c r="H25" s="141">
        <s:f>IF(AND(G25&lt;&gt;"",G25&lt;&gt;0),D25/G25,"")</s:f>
        <s:v>12197.75</s:v>
      </s:c>
      <s:c r="I25" s="151">
        <s:v>36</s:v>
      </s:c>
      <s:c r="J25" s="142">
        <s:f>IF(AND(G25&lt;&gt;"",G25&lt;&gt;0),E25/G25,"")</s:f>
        <s:v>1.75</s:v>
      </s:c>
      <s:c r="K25" s="140"/>
      <s:c r="L25" s="140"/>
      <s:c r="M25" s="140">
        <s:v>14590</s:v>
      </s:c>
      <s:c r="N25" s="140"/>
      <s:c r="O25" s="140"/>
      <s:c r="P25" s="140"/>
      <s:c r="Q25" s="140"/>
      <s:c r="R25" s="921">
        <s:f>IF(AND(I25&lt;&gt;"",I25&lt;&gt;0),G25/I25,"")</s:f>
        <s:v>0.1111111111111111</s:v>
      </s:c>
      <s:c r="S25" s="129">
        <s:f>D25/T25</s:f>
        <s:v>4.2765356040431941</s:v>
      </s:c>
      <s:c r="T25" s="130">
        <s:f>$I$8*Z25*AA25/SUMPRODUCT($AA$25:$AA$57,$Z$25:$Z$57)</s:f>
        <s:v>11409.001237794255</s:v>
      </s:c>
      <s:c r="U25" s="131">
        <s:f>$I$9*Z25*AA25/SUMPRODUCT($AA$25:$AA$57,$Z$25:$Z$57)</s:f>
        <s:v>1.7286365511809478</s:v>
      </s:c>
      <s:c r="V25" s="131">
        <s:f>IF($I$12="","",U25/$I$12)</s:f>
        <s:v>1.01684503010644</s:v>
      </s:c>
      <s:c r="W25" s="130">
        <s:f>IF(AA25&lt;&gt;"",IF(D25&lt;&gt;"",D25,($I$8-SUM($W24:W$25))*Z25*AA25/SUMPRODUCT($AA25:$AA$57,$Z25:$Z$57)),"")</s:f>
        <s:v>48791</s:v>
      </s:c>
      <s:c r="X25" s="131">
        <s:f>IF(AA25&lt;&gt;"",IF(E25&lt;&gt;"",E25,($I$9-SUM($X24:X$25))*Z25*AA25/SUMPRODUCT($AA25:$AA$57,$Z25:$Z$57)),"")</s:f>
        <s:v>7</s:v>
      </s:c>
      <s:c r="Y25" s="131">
        <s:f>IF(AA25&lt;&gt;"",IF($I$12&lt;&gt;"",IF(G25&lt;&gt;"",G25,($I$9/$I$12-SUM($Y24:Y$25))*Z25*AA25/SUMPRODUCT($AA25:$AA$57,$Z25:$Z$57)),""),"")</s:f>
        <s:v>4</s:v>
      </s:c>
      <s:c r="Z25" s="447">
        <s:v>1</s:v>
      </s:c>
      <s:c r="AA25" s="447">
        <s:v>1</s:v>
      </s:c>
      <s:c r="AB25" s="134"/>
      <s:c r="AC25" s="134"/>
      <s:c r="AD25" s="922"/>
      <s:c r="AE25" s="133"/>
      <s:c r="AF25" s="133"/>
      <s:c r="AG25" s="133"/>
      <s:c r="AH25" s="133"/>
      <s:c r="AI25" s="133"/>
      <s:c r="AJ25" s="133"/>
      <s:c r="AK25" s="133"/>
    </s:row>
    <s:row r="26" s="118" customFormat="1">
      <s:c r="A26" s="158">
        <s:v>2</s:v>
      </s:c>
      <s:c r="B26" s="153">
        <s:v>46029</s:v>
      </s:c>
      <s:c r="C26" s="923" t="s">
        <s:v>65</s:v>
      </s:c>
      <s:c r="D26" s="920">
        <s:v>0</s:v>
      </s:c>
      <s:c r="E26" s="151">
        <s:v>0</s:v>
      </s:c>
      <s:c r="F26" s="924" t="str">
        <s:f>IF(AND(E26&lt;&gt;"",E26&lt;&gt;0),D26/E26,"")</s:f>
        <s:v/>
      </s:c>
      <s:c r="G26" s="151">
        <s:v>0</s:v>
      </s:c>
      <s:c r="H26" s="924" t="str">
        <s:f>IF(AND(G26&lt;&gt;"",G26&lt;&gt;0),D26/G26,"")</s:f>
        <s:v/>
      </s:c>
      <s:c r="I26" s="151">
        <s:v>17</s:v>
      </s:c>
      <s:c r="J26" s="142" t="str">
        <s:f>IF(AND(G26&lt;&gt;"",G26&lt;&gt;0),E26/G26,"")</s:f>
        <s:v/>
      </s:c>
      <s:c r="K26" s="140"/>
      <s:c r="L26" s="140"/>
      <s:c r="M26" s="140"/>
      <s:c r="N26" s="140"/>
      <s:c r="O26" s="140"/>
      <s:c r="P26" s="140"/>
      <s:c r="Q26" s="140"/>
      <s:c r="R26" s="921">
        <s:f>IF(AND(I26&lt;&gt;"",I26&lt;&gt;0),G26/I26,"")</s:f>
        <s:v>0</s:v>
      </s:c>
      <s:c r="S26" s="129">
        <s:f>D26/T26</s:f>
        <s:v>0</s:v>
      </s:c>
      <s:c r="T26" s="130">
        <s:f>$I$8*Z26*AA26/SUMPRODUCT($AA$25:$AA$57,$Z$25:$Z$57)</s:f>
        <s:v>8303.2839601205105</s:v>
      </s:c>
      <s:c r="U26" s="131">
        <s:f>$I$9*Z26*AA26/SUMPRODUCT($AA$25:$AA$57,$Z$25:$Z$57)</s:f>
        <s:v>1.2580733272909865</s:v>
      </s:c>
      <s:c r="V26" s="131">
        <s:f>IF($I$12="","",U26/$I$12)</s:f>
        <s:v>0.74004313370058028</s:v>
      </s:c>
      <s:c r="W26" s="130">
        <s:f>IF(AA26&lt;&gt;"",IF(D26&lt;&gt;"",D26,($I$8-SUM($W$25:W25))*Z26*AA26/SUMPRODUCT($AA26:$AA$57,$Z26:$Z$57)),"")</s:f>
        <s:v>0</s:v>
      </s:c>
      <s:c r="X26" s="131">
        <s:f>IF(AA26&lt;&gt;"",IF(E26&lt;&gt;"",E26,($I$9-SUM($X$25:X25))*Z26*AA26/SUMPRODUCT($AA26:$AA$57,$Z26:$Z$57)),"")</s:f>
        <s:v>0</s:v>
      </s:c>
      <s:c r="Y26" s="131">
        <s:f>IF(AA26&lt;&gt;"",IF($I$12&lt;&gt;"",IF(G26&lt;&gt;"",G26,($I$9/$I$12-SUM($Y$25:Y25))*Z26*AA26/SUMPRODUCT($AA26:$AA$57,$Z26:$Z$57)),""),"")</s:f>
        <s:v>0</s:v>
      </s:c>
      <s:c r="Z26" s="132">
        <s:v>0.85310233682514103</s:v>
      </s:c>
      <s:c r="AA26" s="132">
        <s:v>0.85310233682514103</s:v>
      </s:c>
      <s:c r="AB26" s="134"/>
      <s:c r="AC26" s="925"/>
      <s:c r="AD26" s="133"/>
      <s:c r="AE26" s="133"/>
      <s:c r="AF26" s="133"/>
      <s:c r="AG26" s="133"/>
      <s:c r="AH26" s="133"/>
      <s:c r="AI26" s="133"/>
      <s:c r="AJ26" s="133"/>
      <s:c r="AK26" s="133"/>
      <s:c r="AL26" s="133"/>
      <s:c r="AM26" s="133"/>
      <s:c r="AN26" s="133"/>
    </s:row>
    <s:row r="27" s="118" customFormat="1">
      <s:c r="A27" s="175">
        <s:v>3</s:v>
      </s:c>
      <s:c r="B27" s="153">
        <s:v>46030</s:v>
      </s:c>
      <s:c r="C27" s="138" t="s">
        <s:v>55</s:v>
      </s:c>
      <s:c r="D27" s="920">
        <s:v>3593</s:v>
      </s:c>
      <s:c r="E27" s="151">
        <s:v>1</s:v>
      </s:c>
      <s:c r="F27" s="141">
        <s:f>IF(AND(E27&lt;&gt;"",E27&lt;&gt;0),D27/E27,"")</s:f>
        <s:v>3593</s:v>
      </s:c>
      <s:c r="G27" s="151">
        <s:v>1</s:v>
      </s:c>
      <s:c r="H27" s="141">
        <s:f>IF(AND(G27&lt;&gt;"",G27&lt;&gt;0),D27/G27,"")</s:f>
        <s:v>3593</s:v>
      </s:c>
      <s:c r="I27" s="151">
        <s:v>22</s:v>
      </s:c>
      <s:c r="J27" s="142">
        <s:f>IF(AND(G27&lt;&gt;"",G27&lt;&gt;0),E27/G27,"")</s:f>
        <s:v>1</s:v>
      </s:c>
      <s:c r="K27" s="140"/>
      <s:c r="L27" s="140"/>
      <s:c r="M27" s="140"/>
      <s:c r="N27" s="140"/>
      <s:c r="O27" s="140"/>
      <s:c r="P27" s="140"/>
      <s:c r="Q27" s="140"/>
      <s:c r="R27" s="921">
        <s:f>IF(AND(I27&lt;&gt;"",I27&lt;&gt;0),G27/I27,"")</s:f>
        <s:v>0.045454545454545456</s:v>
      </s:c>
      <s:c r="S27" s="129">
        <s:f>D27/T27</s:f>
        <s:v>0.25413778469373322</s:v>
      </s:c>
      <s:c r="T27" s="926">
        <s:v>14138</s:v>
      </s:c>
      <s:c r="U27" s="927">
        <s:v>4</s:v>
      </s:c>
      <s:c r="V27" s="927">
        <s:v>2</s:v>
      </s:c>
      <s:c r="W27" s="926">
        <s:v>16611</s:v>
      </s:c>
      <s:c r="X27" s="927">
        <s:v>3</s:v>
      </s:c>
      <s:c r="Y27" s="927">
        <s:v>3</s:v>
      </s:c>
      <s:c r="Z27" s="928">
        <s:v>0.93999999999999995</s:v>
      </s:c>
      <s:c r="AA27" s="928">
        <s:v>0.93999999999999995</s:v>
      </s:c>
      <s:c r="AB27" s="134"/>
      <s:c r="AC27" s="134"/>
      <s:c r="AD27" s="133"/>
      <s:c r="AE27" s="133"/>
      <s:c r="AF27" s="133"/>
      <s:c r="AG27" s="133"/>
      <s:c r="AH27" s="133"/>
      <s:c r="AI27" s="133"/>
      <s:c r="AJ27" s="133"/>
      <s:c r="AK27" s="133"/>
      <s:c r="AL27" s="133"/>
      <s:c r="AM27" s="133"/>
      <s:c r="AN27" s="133"/>
      <s:c r="AO27" s="133"/>
      <s:c r="AP27" s="133"/>
      <s:c r="AQ27" s="133"/>
      <s:c r="AR27" s="133"/>
      <s:c r="AS27" s="133"/>
      <s:c r="AT27" s="133"/>
      <s:c r="AU27" s="133"/>
      <s:c r="AV27" s="133"/>
      <s:c r="AW27" s="133"/>
      <s:c r="AX27" s="133"/>
      <s:c r="AY27" s="133"/>
      <s:c r="AZ27" s="133"/>
      <s:c r="BA27" s="133"/>
      <s:c r="BB27" s="133"/>
      <s:c r="BC27" s="133"/>
      <s:c r="BD27" s="133"/>
      <s:c r="BE27" s="133"/>
      <s:c r="BF27" s="133"/>
      <s:c r="BG27" s="133"/>
      <s:c r="BH27" s="133"/>
      <s:c r="BI27" s="133"/>
      <s:c r="BJ27" s="133"/>
      <s:c r="BK27" s="133"/>
      <s:c r="BL27" s="133"/>
      <s:c r="BM27" s="133"/>
      <s:c r="BN27" s="133"/>
      <s:c r="BO27" s="133"/>
      <s:c r="BP27" s="133"/>
      <s:c r="BQ27" s="133"/>
      <s:c r="BR27" s="133"/>
      <s:c r="BS27" s="133"/>
      <s:c r="BT27" s="133"/>
      <s:c r="BU27" s="133"/>
      <s:c r="BV27" s="133"/>
      <s:c r="BW27" s="133"/>
      <s:c r="BX27" s="133"/>
      <s:c r="BY27" s="133"/>
      <s:c r="BZ27" s="133"/>
      <s:c r="CA27" s="133"/>
      <s:c r="CB27" s="133"/>
      <s:c r="CC27" s="133"/>
      <s:c r="CD27" s="133"/>
      <s:c r="CE27" s="133"/>
      <s:c r="CF27" s="133"/>
      <s:c r="CG27" s="133"/>
      <s:c r="CH27" s="133"/>
      <s:c r="CI27" s="133"/>
      <s:c r="CJ27" s="133"/>
      <s:c r="CK27" s="133"/>
      <s:c r="CL27" s="133"/>
      <s:c r="CM27" s="133"/>
      <s:c r="CN27" s="133"/>
      <s:c r="CO27" s="133"/>
      <s:c r="CP27" s="133"/>
      <s:c r="CQ27" s="133"/>
      <s:c r="CR27" s="133"/>
      <s:c r="CS27" s="133"/>
      <s:c r="CT27" s="133"/>
      <s:c r="CU27" s="133"/>
      <s:c r="CV27" s="133"/>
      <s:c r="CW27" s="133"/>
      <s:c r="CX27" s="133"/>
      <s:c r="CY27" s="133"/>
      <s:c r="CZ27" s="133"/>
      <s:c r="DA27" s="133"/>
      <s:c r="DB27" s="133"/>
      <s:c r="DC27" s="133"/>
      <s:c r="DD27" s="133"/>
      <s:c r="DE27" s="133"/>
      <s:c r="DF27" s="133"/>
      <s:c r="DG27" s="133"/>
      <s:c r="DH27" s="133"/>
      <s:c r="DI27" s="133"/>
      <s:c r="DJ27" s="133"/>
      <s:c r="DK27" s="133"/>
      <s:c r="DL27" s="133"/>
      <s:c r="DM27" s="133"/>
      <s:c r="DN27" s="133"/>
      <s:c r="DO27" s="133"/>
      <s:c r="DP27" s="133"/>
      <s:c r="DQ27" s="133"/>
      <s:c r="DR27" s="133"/>
      <s:c r="DS27" s="133"/>
      <s:c r="DT27" s="133"/>
      <s:c r="DU27" s="133"/>
      <s:c r="DV27" s="133"/>
      <s:c r="DW27" s="133"/>
      <s:c r="DX27" s="133"/>
      <s:c r="DY27" s="133"/>
      <s:c r="DZ27" s="133"/>
      <s:c r="EA27" s="133"/>
      <s:c r="EB27" s="133"/>
      <s:c r="EC27" s="133"/>
      <s:c r="ED27" s="133"/>
      <s:c r="EE27" s="133"/>
      <s:c r="EF27" s="133"/>
      <s:c r="EG27" s="133"/>
      <s:c r="EH27" s="133"/>
      <s:c r="EI27" s="133"/>
      <s:c r="EJ27" s="133"/>
      <s:c r="EK27" s="133"/>
      <s:c r="EL27" s="133"/>
      <s:c r="EM27" s="133"/>
      <s:c r="EN27" s="133"/>
      <s:c r="EO27" s="133"/>
      <s:c r="EP27" s="133"/>
      <s:c r="EQ27" s="133"/>
      <s:c r="ER27" s="133"/>
      <s:c r="ES27" s="133"/>
      <s:c r="ET27" s="133"/>
      <s:c r="EU27" s="133"/>
      <s:c r="EV27" s="133"/>
      <s:c r="EW27" s="133"/>
      <s:c r="EX27" s="133"/>
      <s:c r="EY27" s="133"/>
      <s:c r="EZ27" s="133"/>
      <s:c r="FA27" s="133"/>
      <s:c r="FB27" s="133"/>
      <s:c r="FC27" s="133"/>
      <s:c r="FD27" s="133"/>
      <s:c r="FE27" s="133"/>
      <s:c r="FF27" s="133"/>
      <s:c r="FG27" s="133"/>
      <s:c r="FH27" s="133"/>
      <s:c r="FI27" s="133"/>
      <s:c r="FJ27" s="133"/>
      <s:c r="FK27" s="133"/>
      <s:c r="FL27" s="133"/>
      <s:c r="FM27" s="133"/>
      <s:c r="FN27" s="133"/>
      <s:c r="FO27" s="133"/>
      <s:c r="FP27" s="133"/>
      <s:c r="FQ27" s="133"/>
      <s:c r="FR27" s="133"/>
      <s:c r="FS27" s="133"/>
      <s:c r="FT27" s="133"/>
      <s:c r="FU27" s="133"/>
      <s:c r="FV27" s="133"/>
      <s:c r="FW27" s="133"/>
      <s:c r="FX27" s="133"/>
      <s:c r="FY27" s="133"/>
      <s:c r="FZ27" s="133"/>
      <s:c r="GA27" s="133"/>
      <s:c r="GB27" s="133"/>
      <s:c r="GC27" s="133"/>
      <s:c r="GD27" s="133"/>
      <s:c r="GE27" s="133"/>
      <s:c r="GF27" s="133"/>
      <s:c r="GG27" s="133"/>
      <s:c r="GH27" s="133"/>
      <s:c r="GI27" s="133"/>
      <s:c r="GJ27" s="133"/>
      <s:c r="GK27" s="133"/>
      <s:c r="GL27" s="133"/>
      <s:c r="GM27" s="133"/>
      <s:c r="GN27" s="133"/>
      <s:c r="GO27" s="133"/>
      <s:c r="GP27" s="133"/>
      <s:c r="GQ27" s="133"/>
      <s:c r="GR27" s="133"/>
      <s:c r="GS27" s="133"/>
      <s:c r="GT27" s="133"/>
      <s:c r="GU27" s="133"/>
      <s:c r="GV27" s="133"/>
      <s:c r="GW27" s="133"/>
      <s:c r="GX27" s="133"/>
      <s:c r="GY27" s="133"/>
      <s:c r="GZ27" s="133"/>
      <s:c r="HA27" s="133"/>
      <s:c r="HB27" s="133"/>
      <s:c r="HC27" s="133"/>
      <s:c r="HD27" s="133"/>
      <s:c r="HE27" s="133"/>
      <s:c r="HF27" s="133"/>
      <s:c r="HG27" s="133"/>
      <s:c r="HH27" s="133"/>
      <s:c r="HI27" s="133"/>
      <s:c r="HJ27" s="133"/>
      <s:c r="HK27" s="133"/>
      <s:c r="HL27" s="133"/>
      <s:c r="HM27" s="133"/>
      <s:c r="HN27" s="133"/>
      <s:c r="HO27" s="133"/>
      <s:c r="HP27" s="133"/>
      <s:c r="HQ27" s="133"/>
      <s:c r="HR27" s="133"/>
      <s:c r="HS27" s="133"/>
      <s:c r="HT27" s="133"/>
      <s:c r="HU27" s="133"/>
      <s:c r="HV27" s="133"/>
      <s:c r="HW27" s="133"/>
      <s:c r="HX27" s="133"/>
      <s:c r="HY27" s="133"/>
      <s:c r="HZ27" s="133"/>
      <s:c r="IA27" s="133"/>
      <s:c r="IB27" s="133"/>
      <s:c r="IC27" s="133"/>
      <s:c r="ID27" s="133"/>
      <s:c r="IE27" s="133"/>
      <s:c r="IF27" s="133"/>
      <s:c r="IG27" s="133"/>
      <s:c r="IH27" s="133"/>
      <s:c r="II27" s="133"/>
      <s:c r="IJ27" s="133"/>
      <s:c r="IK27" s="133"/>
      <s:c r="IL27" s="133"/>
      <s:c r="IM27" s="133"/>
      <s:c r="IN27" s="133"/>
      <s:c r="IO27" s="133"/>
      <s:c r="IP27" s="133"/>
      <s:c r="IQ27" s="133"/>
      <s:c r="IR27" s="133"/>
      <s:c r="IS27" s="133"/>
      <s:c r="IT27" s="133"/>
      <s:c r="IU27" s="133"/>
      <s:c r="IV27" s="133"/>
      <s:c r="IW27" s="133"/>
      <s:c r="IX27" s="133"/>
      <s:c r="IY27" s="133"/>
    </s:row>
    <s:row r="28" s="135" customFormat="1">
      <s:c r="A28" s="158">
        <s:v>4</s:v>
      </s:c>
      <s:c r="B28" s="153">
        <s:v>46031</s:v>
      </s:c>
      <s:c r="C28" s="923" t="s">
        <s:v>57</s:v>
      </s:c>
      <s:c r="D28" s="920">
        <s:f>4393+12184</s:f>
        <s:v>16577</s:v>
      </s:c>
      <s:c r="E28" s="151">
        <s:v>3</s:v>
      </s:c>
      <s:c r="F28" s="924">
        <s:f>IF(AND(E28&lt;&gt;"",E28&lt;&gt;0),D28/E28,"")</s:f>
        <s:v>5525.666666666667</s:v>
      </s:c>
      <s:c r="G28" s="151">
        <s:v>2</s:v>
      </s:c>
      <s:c r="H28" s="924">
        <s:f>IF(AND(G28&lt;&gt;"",G28&lt;&gt;0),D28/G28,"")</s:f>
        <s:v>8288.5</s:v>
      </s:c>
      <s:c r="I28" s="151">
        <s:v>25</s:v>
      </s:c>
      <s:c r="J28" s="142">
        <s:f>IF(AND(G28&lt;&gt;"",G28&lt;&gt;0),E28/G28,"")</s:f>
        <s:v>1.5</s:v>
      </s:c>
      <s:c r="K28" s="140"/>
      <s:c r="L28" s="140"/>
      <s:c r="M28" s="140"/>
      <s:c r="N28" s="140"/>
      <s:c r="O28" s="140"/>
      <s:c r="P28" s="140"/>
      <s:c r="Q28" s="140"/>
      <s:c r="R28" s="128">
        <s:f>IF(AND(I28&lt;&gt;"",I28&lt;&gt;0),G28/I28,"")</s:f>
        <s:v>0.080000000000000002</s:v>
      </s:c>
      <s:c r="S28" s="144">
        <s:f>D28/T28</s:f>
        <s:v>1.2980996792923662</s:v>
      </s:c>
      <s:c r="T28" s="145">
        <s:f>$I$8*Z28*AA28/SUMPRODUCT($AA$25:$AA$57,$Z$25:$Z$57)</s:f>
        <s:v>12770.205758803229</s:v>
      </s:c>
      <s:c r="U28" s="146">
        <s:f>$I$9*Z28*AA28/SUMPRODUCT($AA$25:$AA$57,$Z$25:$Z$57)</s:f>
        <s:v>1.934879660424732</s:v>
      </s:c>
      <s:c r="V28" s="146">
        <s:f>IF($I$12="","",U28/$I$12)</s:f>
        <s:v>1.1381645061321954</s:v>
      </s:c>
      <s:c r="W28" s="145">
        <s:f>IF(AA28&lt;&gt;"",IF(D28&lt;&gt;"",D28,($I$8-SUM($W$25:W27))*Z28*AA28/SUMPRODUCT($AA28:$AA$57,$Z28:$Z$57)),"")</s:f>
        <s:v>16577</s:v>
      </s:c>
      <s:c r="X28" s="146">
        <s:f>IF(AA28&lt;&gt;"",IF(E28&lt;&gt;"",E28,($I$9-SUM($X$25:X27))*Z28*AA28/SUMPRODUCT($AA28:$AA$57,$Z28:$Z$57)),"")</s:f>
        <s:v>3</s:v>
      </s:c>
      <s:c r="Y28" s="146">
        <s:f>IF(AA28&lt;&gt;"",IF($I$12&lt;&gt;"",IF(G28&lt;&gt;"",G28,($I$9/$I$12-SUM($Y$25:Y27))*Z28*AA28/SUMPRODUCT($AA28:$AA$57,$Z28:$Z$57)),""),"")</s:f>
        <s:v>2</s:v>
      </s:c>
      <s:c r="Z28" s="147">
        <s:v>1.05797433831278</s:v>
      </s:c>
      <s:c r="AA28" s="147">
        <s:v>1.05797433831278</s:v>
      </s:c>
      <s:c r="AB28" s="148"/>
      <s:c r="AC28" s="148"/>
      <s:c r="AD28" s="149"/>
      <s:c r="AE28" s="149"/>
      <s:c r="AF28" s="149"/>
      <s:c r="AG28" s="149"/>
      <s:c r="AH28" s="149"/>
      <s:c r="AI28" s="149"/>
      <s:c r="AJ28" s="149"/>
      <s:c r="AK28" s="149"/>
      <s:c r="AL28" s="149"/>
      <s:c r="AM28" s="149"/>
      <s:c r="AN28" s="149"/>
    </s:row>
    <s:row r="29" s="135" customFormat="1">
      <s:c r="A29" s="175">
        <s:v>5</s:v>
      </s:c>
      <s:c r="B29" s="153">
        <s:v>46032</s:v>
      </s:c>
      <s:c r="C29" s="138" t="s">
        <s:v>58</s:v>
      </s:c>
      <s:c r="D29" s="920">
        <s:f>11962+7503</s:f>
        <s:v>19465</s:v>
      </s:c>
      <s:c r="E29" s="151">
        <s:v>3</s:v>
      </s:c>
      <s:c r="F29" s="141">
        <s:f>IF(AND(E29&lt;&gt;"",E29&lt;&gt;0),D29/E29,"")</s:f>
        <s:v>6488.333333333333</s:v>
      </s:c>
      <s:c r="G29" s="151">
        <s:v>2</s:v>
      </s:c>
      <s:c r="H29" s="141">
        <s:f>IF(AND(G29&lt;&gt;"",G29&lt;&gt;0),D29/G29,"")</s:f>
        <s:v>9732.5</s:v>
      </s:c>
      <s:c r="I29" s="151">
        <s:v>32</s:v>
      </s:c>
      <s:c r="J29" s="142">
        <s:f>IF(AND(G29&lt;&gt;"",G29&lt;&gt;0),E29/G29,"")</s:f>
        <s:v>1.5</s:v>
      </s:c>
      <s:c r="K29" s="140"/>
      <s:c r="L29" s="140">
        <s:v>7503</s:v>
      </s:c>
      <s:c r="M29" s="140"/>
      <s:c r="N29" s="140"/>
      <s:c r="O29" s="140"/>
      <s:c r="P29" s="140"/>
      <s:c r="Q29" s="140"/>
      <s:c r="R29" s="128">
        <s:f>IF(AND(I29&lt;&gt;"",I29&lt;&gt;0),G29/I29,"")</s:f>
        <s:v>0.0625</s:v>
      </s:c>
      <s:c r="S29" s="144">
        <s:f>D29/T29</s:f>
        <s:v>1.7061090269250634</s:v>
      </s:c>
      <s:c r="T29" s="145">
        <s:f>$I$8*Z29*AA29/SUMPRODUCT($AA$25:$AA$57,$Z$25:$Z$57)</s:f>
        <s:v>11409.001237794255</s:v>
      </s:c>
      <s:c r="U29" s="146">
        <s:f>$I$9*Z29*AA29/SUMPRODUCT($AA$25:$AA$57,$Z$25:$Z$57)</s:f>
        <s:v>1.7286365511809478</s:v>
      </s:c>
      <s:c r="V29" s="146">
        <s:f>IF($I$12="","",U29/$I$12)</s:f>
        <s:v>1.01684503010644</s:v>
      </s:c>
      <s:c r="W29" s="145">
        <s:f>IF(AA29&lt;&gt;"",IF(D29&lt;&gt;"",D29,($I$8-SUM($W$25:W28))*Z29*AA29/SUMPRODUCT($AA29:$AA$57,$Z29:$Z$57)),"")</s:f>
        <s:v>19465</s:v>
      </s:c>
      <s:c r="X29" s="146">
        <s:f>IF(AA29&lt;&gt;"",IF(E29&lt;&gt;"",E29,($I$9-SUM($X$25:X28))*Z29*AA29/SUMPRODUCT($AA29:$AA$57,$Z29:$Z$57)),"")</s:f>
        <s:v>3</s:v>
      </s:c>
      <s:c r="Y29" s="146">
        <s:f>IF(AA29&lt;&gt;"",IF($I$12&lt;&gt;"",IF(G29&lt;&gt;"",G29,($I$9/$I$12-SUM($Y$25:Y28))*Z29*AA29/SUMPRODUCT($AA29:$AA$57,$Z29:$Z$57)),""),"")</s:f>
        <s:v>2</s:v>
      </s:c>
      <s:c r="Z29" s="929">
        <s:v>1</s:v>
      </s:c>
      <s:c r="AA29" s="929">
        <s:v>1</s:v>
      </s:c>
      <s:c r="AB29" s="148"/>
      <s:c r="AC29" s="148"/>
      <s:c r="AD29" s="149"/>
      <s:c r="AE29" s="149"/>
      <s:c r="AF29" s="149"/>
      <s:c r="AG29" s="149"/>
      <s:c r="AH29" s="149"/>
      <s:c r="AI29" s="149"/>
      <s:c r="AJ29" s="149"/>
      <s:c r="AK29" s="149"/>
    </s:row>
    <s:row r="30" s="118" customFormat="1">
      <s:c r="A30" s="930">
        <s:v>6</s:v>
      </s:c>
      <s:c r="B30" s="120"/>
      <s:c r="C30" s="931"/>
      <s:c r="D30" s="441"/>
      <s:c r="E30" s="442"/>
      <s:c r="F30" s="932" t="str">
        <s:f>IF(AND(E30&lt;&gt;"",E30&lt;&gt;0),D30/E30,"")</s:f>
        <s:v/>
      </s:c>
      <s:c r="G30" s="442"/>
      <s:c r="H30" s="932" t="str">
        <s:f>IF(AND(G30&lt;&gt;"",G30&lt;&gt;0),D30/G30,"")</s:f>
        <s:v/>
      </s:c>
      <s:c r="I30" s="442"/>
      <s:c r="J30" s="125" t="str">
        <s:f>IF(AND(G30&lt;&gt;"",G30&lt;&gt;0),E30/G30,"")</s:f>
        <s:v/>
      </s:c>
      <s:c r="K30" s="126"/>
      <s:c r="L30" s="126"/>
      <s:c r="M30" s="126"/>
      <s:c r="N30" s="126"/>
      <s:c r="O30" s="126"/>
      <s:c r="P30" s="126"/>
      <s:c r="Q30" s="126"/>
      <s:c r="R30" s="921" t="str">
        <s:f>IF(AND(I30&lt;&gt;"",I30&lt;&gt;0),G30/I30,"")</s:f>
        <s:v/>
      </s:c>
      <s:c r="S30" s="129">
        <s:f>D30/T30</s:f>
        <s:v>0</s:v>
      </s:c>
      <s:c r="T30" s="130">
        <s:f>$I$8*Z30*AA30/SUMPRODUCT($AA$25:$AA$57,$Z$25:$Z$57)</s:f>
        <s:v>11409.001237794255</s:v>
      </s:c>
      <s:c r="U30" s="131">
        <s:f>$I$9*Z30*AA30/SUMPRODUCT($AA$25:$AA$57,$Z$25:$Z$57)</s:f>
        <s:v>1.7286365511809478</s:v>
      </s:c>
      <s:c r="V30" s="131">
        <s:f>IF($I$12="","",U30/$I$12)</s:f>
        <s:v>1.01684503010644</s:v>
      </s:c>
      <s:c r="W30" s="130">
        <s:f>IF(AA30&lt;&gt;"",IF(D30&lt;&gt;"",D30,($I$8-SUM($W$25:W29))*Z30*AA30/SUMPRODUCT($AA30:$AA$57,$Z30:$Z$57)),"")</s:f>
        <s:v>9270.6447372639541</s:v>
      </s:c>
      <s:c r="X30" s="131">
        <s:f>IF(AA30&lt;&gt;"",IF(E30&lt;&gt;"",E30,($I$9-SUM($X$25:X29))*Z30*AA30/SUMPRODUCT($AA30:$AA$57,$Z30:$Z$57)),"")</s:f>
        <s:v>1.3762784136449617</s:v>
      </s:c>
      <s:c r="Y30" s="131">
        <s:f>IF(AA30&lt;&gt;"",IF($I$12&lt;&gt;"",IF(G30&lt;&gt;"",G30,($I$9/$I$12-SUM($Y$25:Y29))*Z30*AA30/SUMPRODUCT($AA30:$AA$57,$Z30:$Z$57)),""),"")</s:f>
        <s:v>0.73803340707255294</s:v>
      </s:c>
      <s:c r="Z30" s="447">
        <s:v>1</s:v>
      </s:c>
      <s:c r="AA30" s="447">
        <s:v>1</s:v>
      </s:c>
      <s:c r="AB30" s="134"/>
      <s:c r="AC30" s="134"/>
      <s:c r="AD30" s="922"/>
      <s:c r="AE30" s="133"/>
      <s:c r="AF30" s="133"/>
      <s:c r="AG30" s="133"/>
      <s:c r="AH30" s="133"/>
      <s:c r="AI30" s="133"/>
      <s:c r="AJ30" s="133"/>
      <s:c r="AK30" s="133"/>
    </s:row>
    <s:row r="31" s="118" customFormat="1">
      <s:c r="A31" s="930">
        <s:v>7</s:v>
      </s:c>
      <s:c r="B31" s="120"/>
      <s:c r="C31" s="121"/>
      <s:c r="D31" s="441"/>
      <s:c r="E31" s="442"/>
      <s:c r="F31" s="124" t="str">
        <s:f>IF(AND(E31&lt;&gt;"",E31&lt;&gt;0),D31/E31,"")</s:f>
        <s:v/>
      </s:c>
      <s:c r="G31" s="442"/>
      <s:c r="H31" s="124" t="str">
        <s:f>IF(AND(G31&lt;&gt;"",G31&lt;&gt;0),D31/G31,"")</s:f>
        <s:v/>
      </s:c>
      <s:c r="I31" s="442"/>
      <s:c r="J31" s="125" t="str">
        <s:f>IF(AND(G31&lt;&gt;"",G31&lt;&gt;0),E31/G31,"")</s:f>
        <s:v/>
      </s:c>
      <s:c r="K31" s="933"/>
      <s:c r="L31" s="933"/>
      <s:c r="M31" s="933"/>
      <s:c r="N31" s="933"/>
      <s:c r="O31" s="126"/>
      <s:c r="P31" s="126"/>
      <s:c r="Q31" s="126"/>
      <s:c r="R31" s="921" t="str">
        <s:f>IF(AND(I31&lt;&gt;"",I31&lt;&gt;0),G31/I31,"")</s:f>
        <s:v/>
      </s:c>
      <s:c r="S31" s="129">
        <s:f>D31/T31</s:f>
        <s:v>0</s:v>
      </s:c>
      <s:c r="T31" s="130">
        <s:f>$I$8*Z31*AA31/SUMPRODUCT($AA$25:$AA$57,$Z$25:$Z$57)</s:f>
        <s:v>11409.001237794255</s:v>
      </s:c>
      <s:c r="U31" s="131">
        <s:f>$I$9*Z31*AA31/SUMPRODUCT($AA$25:$AA$57,$Z$25:$Z$57)</s:f>
        <s:v>1.7286365511809478</s:v>
      </s:c>
      <s:c r="V31" s="131">
        <s:f>IF($I$12="","",U31/$I$12)</s:f>
        <s:v>1.01684503010644</s:v>
      </s:c>
      <s:c r="W31" s="130">
        <s:f>IF(AA31&lt;&gt;"",IF(D31&lt;&gt;"",D31,($I$8-SUM($W$25:W30))*Z31*AA31/SUMPRODUCT($AA31:$AA$57,$Z31:$Z$57)),"")</s:f>
        <s:v>9270.6447372639523</s:v>
      </s:c>
      <s:c r="X31" s="131">
        <s:f>IF(AA31&lt;&gt;"",IF(E31&lt;&gt;"",E31,($I$9-SUM($X$25:X30))*Z31*AA31/SUMPRODUCT($AA31:$AA$57,$Z31:$Z$57)),"")</s:f>
        <s:v>1.3762784136449617</s:v>
      </s:c>
      <s:c r="Y31" s="131">
        <s:f>IF(AA31&lt;&gt;"",IF($I$12&lt;&gt;"",IF(G31&lt;&gt;"",G31,($I$9/$I$12-SUM($Y$25:Y30))*Z31*AA31/SUMPRODUCT($AA31:$AA$57,$Z31:$Z$57)),""),"")</s:f>
        <s:v>0.73803340707255294</s:v>
      </s:c>
      <s:c r="Z31" s="447">
        <s:v>1</s:v>
      </s:c>
      <s:c r="AA31" s="447">
        <s:v>1</s:v>
      </s:c>
      <s:c r="AB31" s="134"/>
      <s:c r="AC31" s="134"/>
      <s:c r="AD31" s="922"/>
      <s:c r="AE31" s="133"/>
      <s:c r="AF31" s="133"/>
      <s:c r="AG31" s="133"/>
      <s:c r="AH31" s="133"/>
      <s:c r="AI31" s="133"/>
      <s:c r="AJ31" s="133"/>
      <s:c r="AK31" s="133"/>
    </s:row>
    <s:row r="32" s="118" customFormat="1">
      <s:c r="A32" s="930">
        <s:v>8</s:v>
      </s:c>
      <s:c r="B32" s="120"/>
      <s:c r="C32" s="931"/>
      <s:c r="D32" s="441"/>
      <s:c r="E32" s="442"/>
      <s:c r="F32" s="932" t="str">
        <s:f>IF(AND(E32&lt;&gt;"",E32&lt;&gt;0),D32/E32,"")</s:f>
        <s:v/>
      </s:c>
      <s:c r="G32" s="442"/>
      <s:c r="H32" s="932" t="str">
        <s:f>IF(AND(G32&lt;&gt;"",G32&lt;&gt;0),D32/G32,"")</s:f>
        <s:v/>
      </s:c>
      <s:c r="I32" s="442"/>
      <s:c r="J32" s="934" t="str">
        <s:f>IF(AND(G32&lt;&gt;"",G32&lt;&gt;0),E32/G32,"")</s:f>
        <s:v/>
      </s:c>
      <s:c r="K32" s="935"/>
      <s:c r="L32" s="935"/>
      <s:c r="M32" s="935"/>
      <s:c r="N32" s="935"/>
      <s:c r="O32" s="123"/>
      <s:c r="P32" s="124"/>
      <s:c r="Q32" s="124"/>
      <s:c r="R32" s="936" t="str">
        <s:f>IF(AND(I32&lt;&gt;"",I32&lt;&gt;0),G32/I32,"")</s:f>
        <s:v/>
      </s:c>
      <s:c r="S32" s="129">
        <s:f>D32/T32</s:f>
        <s:v>0</s:v>
      </s:c>
      <s:c r="T32" s="130">
        <s:f>$I$8*Z32*AA32/SUMPRODUCT($AA$25:$AA$57,$Z$25:$Z$57)</s:f>
        <s:v>11409.001237794255</s:v>
      </s:c>
      <s:c r="U32" s="131">
        <s:f>$I$9*Z32*AA32/SUMPRODUCT($AA$25:$AA$57,$Z$25:$Z$57)</s:f>
        <s:v>1.7286365511809478</s:v>
      </s:c>
      <s:c r="V32" s="131">
        <s:f>IF($I$12="","",U32/$I$12)</s:f>
        <s:v>1.01684503010644</s:v>
      </s:c>
      <s:c r="W32" s="130">
        <s:f>IF(AA32&lt;&gt;"",IF(D32&lt;&gt;"",D32,($I$8-SUM($W$25:W31))*Z32*AA32/SUMPRODUCT($AA32:$AA$57,$Z32:$Z$57)),"")</s:f>
        <s:v>9270.6447372639541</s:v>
      </s:c>
      <s:c r="X32" s="131">
        <s:f>IF(AA32&lt;&gt;"",IF(E32&lt;&gt;"",E32,($I$9-SUM($X$25:X31))*Z32*AA32/SUMPRODUCT($AA32:$AA$57,$Z32:$Z$57)),"")</s:f>
        <s:v>1.3762784136449617</s:v>
      </s:c>
      <s:c r="Y32" s="131">
        <s:f>IF(AA32&lt;&gt;"",IF($I$12&lt;&gt;"",IF(G32&lt;&gt;"",G32,($I$9/$I$12-SUM($Y$25:Y31))*Z32*AA32/SUMPRODUCT($AA32:$AA$57,$Z32:$Z$57)),""),"")</s:f>
        <s:v>0.73803340707255294</s:v>
      </s:c>
      <s:c r="Z32" s="447">
        <s:v>1</s:v>
      </s:c>
      <s:c r="AA32" s="447">
        <s:v>1</s:v>
      </s:c>
      <s:c r="AB32" s="134"/>
      <s:c r="AC32" s="134"/>
      <s:c r="AD32" s="133"/>
      <s:c r="AE32" s="133"/>
      <s:c r="AF32" s="133"/>
      <s:c r="AG32" s="133"/>
      <s:c r="AH32" s="133"/>
      <s:c r="AI32" s="133"/>
      <s:c r="AJ32" s="133"/>
      <s:c r="AK32" s="133"/>
    </s:row>
    <s:row r="33" s="135" customFormat="1">
      <s:c r="A33" s="930"/>
      <s:c r="B33" s="120"/>
      <s:c r="C33" s="121"/>
      <s:c r="D33" s="441"/>
      <s:c r="E33" s="937"/>
      <s:c r="F33" s="124" t="str">
        <s:f>IF(AND(E33&lt;&gt;"",E33&lt;&gt;0),D33/E33,"")</s:f>
        <s:v/>
      </s:c>
      <s:c r="G33" s="442"/>
      <s:c r="H33" s="124" t="str">
        <s:f>IF(AND(G33&lt;&gt;"",G33&lt;&gt;0),D33/G33,"")</s:f>
        <s:v/>
      </s:c>
      <s:c r="I33" s="442"/>
      <s:c r="J33" s="934" t="str">
        <s:f>IF(AND(G33&lt;&gt;"",G33&lt;&gt;0),E33/G33,"")</s:f>
        <s:v/>
      </s:c>
      <s:c r="K33" s="935"/>
      <s:c r="L33" s="935"/>
      <s:c r="M33" s="935"/>
      <s:c r="N33" s="935"/>
      <s:c r="O33" s="123"/>
      <s:c r="P33" s="124"/>
      <s:c r="Q33" s="124"/>
      <s:c r="R33" s="938" t="str">
        <s:f>IF(AND(I33&lt;&gt;"",I33&lt;&gt;0),G33/I33,"")</s:f>
        <s:v/>
      </s:c>
      <s:c r="S33" s="939">
        <s:f>D33/T33</s:f>
        <s:v>0</s:v>
      </s:c>
      <s:c r="T33" s="145">
        <s:f>$I$8*Z33*AA33/SUMPRODUCT($AA$25:$AA$57,$Z$25:$Z$57)</s:f>
        <s:v>11409.001237794255</s:v>
      </s:c>
      <s:c r="U33" s="940">
        <s:f>$I$9*Z33*AA33/SUMPRODUCT($AA$25:$AA$57,$Z$25:$Z$57)</s:f>
        <s:v>1.7286365511809478</s:v>
      </s:c>
      <s:c r="V33" s="146">
        <s:f>IF($I$12="","",U33/$I$12)</s:f>
        <s:v>1.01684503010644</s:v>
      </s:c>
      <s:c r="W33" s="145">
        <s:f>IF(AA33&lt;&gt;"",IF(D33&lt;&gt;"",D33,($I$8-SUM($W$25:W32))*Z33*AA33/SUMPRODUCT($AA33:$AA$57,$Z33:$Z$57)),"")</s:f>
        <s:v>9270.6447372639559</s:v>
      </s:c>
      <s:c r="X33" s="146">
        <s:f>IF(AA33&lt;&gt;"",IF(E33&lt;&gt;"",E33,($I$9-SUM($X$25:X32))*Z33*AA33/SUMPRODUCT($AA33:$AA$57,$Z33:$Z$57)),"")</s:f>
        <s:v>1.3762784136449622</s:v>
      </s:c>
      <s:c r="Y33" s="940">
        <s:f>IF(AA33&lt;&gt;"",IF($I$12&lt;&gt;"",IF(G33&lt;&gt;"",G33,($I$9/$I$12-SUM($Y$25:Y32))*Z33*AA33/SUMPRODUCT($AA33:$AA$57,$Z33:$Z$57)),""),"")</s:f>
        <s:v>0.73803340707255305</s:v>
      </s:c>
      <s:c r="Z33" s="929">
        <s:v>1</s:v>
      </s:c>
      <s:c r="AA33" s="929">
        <s:v>1</s:v>
      </s:c>
      <s:c r="AB33" s="148"/>
      <s:c r="AC33" s="148"/>
      <s:c r="AD33" s="149"/>
      <s:c r="AE33" s="149"/>
      <s:c r="AF33" s="149"/>
      <s:c r="AG33" s="149"/>
      <s:c r="AH33" s="149"/>
      <s:c r="AI33" s="149"/>
      <s:c r="AJ33" s="149"/>
      <s:c r="AK33" s="149"/>
    </s:row>
    <s:row r="34" s="135" customFormat="1">
      <s:c r="A34" s="930"/>
      <s:c r="B34" s="120"/>
      <s:c r="C34" s="121"/>
      <s:c r="D34" s="125"/>
      <s:c r="E34" s="124"/>
      <s:c r="F34" s="124" t="str">
        <s:f>IF(AND(E34&lt;&gt;"",E34&lt;&gt;0),D34/E34,"")</s:f>
        <s:v/>
      </s:c>
      <s:c r="G34" s="124"/>
      <s:c r="H34" s="124" t="str">
        <s:f>IF(AND(G34&lt;&gt;"",G34&lt;&gt;0),D34/G34,"")</s:f>
        <s:v/>
      </s:c>
      <s:c r="I34" s="124"/>
      <s:c r="J34" s="934" t="str">
        <s:f>IF(AND(G34&lt;&gt;"",G34&lt;&gt;0),E34/G34,"")</s:f>
        <s:v/>
      </s:c>
      <s:c r="K34" s="935"/>
      <s:c r="L34" s="935"/>
      <s:c r="M34" s="935"/>
      <s:c r="N34" s="935"/>
      <s:c r="O34" s="932"/>
      <s:c r="P34" s="124"/>
      <s:c r="Q34" s="124"/>
      <s:c r="R34" s="941" t="str">
        <s:f>IF(AND(I34&lt;&gt;"",I34&lt;&gt;0),G34/I34,"")</s:f>
        <s:v/>
      </s:c>
      <s:c r="S34" s="144">
        <s:f>D34/T34</s:f>
        <s:v>0</s:v>
      </s:c>
      <s:c r="T34" s="942">
        <s:f>$I$8*Z34*AA34/SUMPRODUCT($AA$25:$AA$57,$Z$25:$Z$57)</s:f>
        <s:v>11409.001237794255</s:v>
      </s:c>
      <s:c r="U34" s="146">
        <s:f>$I$9*Z34*AA34/SUMPRODUCT($AA$25:$AA$57,$Z$25:$Z$57)</s:f>
        <s:v>1.7286365511809478</s:v>
      </s:c>
      <s:c r="V34" s="940">
        <s:f>IF($I$12="","",U34/$I$12)</s:f>
        <s:v>1.01684503010644</s:v>
      </s:c>
      <s:c r="W34" s="145">
        <s:f>IF(AA34&lt;&gt;"",IF(D34&lt;&gt;"",D34,($I$8-SUM($W$25:W33))*Z34*AA34/SUMPRODUCT($AA34:$AA$57,$Z34:$Z$57)),"")</s:f>
        <s:v>9270.6447372639559</s:v>
      </s:c>
      <s:c r="X34" s="940">
        <s:f>IF(AA34&lt;&gt;"",IF(E34&lt;&gt;"",E34,($I$9-SUM($X$25:X33))*Z34*AA34/SUMPRODUCT($AA34:$AA$57,$Z34:$Z$57)),"")</s:f>
        <s:v>1.3762784136449622</s:v>
      </s:c>
      <s:c r="Y34" s="146">
        <s:f>IF(AA34&lt;&gt;"",IF($I$12&lt;&gt;"",IF(G34&lt;&gt;"",G34,($I$9/$I$12-SUM($Y$25:Y33))*Z34*AA34/SUMPRODUCT($AA34:$AA$57,$Z34:$Z$57)),""),"")</s:f>
        <s:v>0.73803340707255305</s:v>
      </s:c>
      <s:c r="Z34" s="929">
        <s:v>1</s:v>
      </s:c>
      <s:c r="AA34" s="929">
        <s:v>1</s:v>
      </s:c>
      <s:c r="AB34" s="148"/>
      <s:c r="AC34" s="148"/>
      <s:c r="AD34" s="197"/>
      <s:c r="AE34" s="149"/>
      <s:c r="AF34" s="149"/>
      <s:c r="AG34" s="149"/>
      <s:c r="AH34" s="149"/>
      <s:c r="AI34" s="149"/>
      <s:c r="AJ34" s="149"/>
      <s:c r="AK34" s="149"/>
      <s:c r="AL34" s="149"/>
      <s:c r="AM34" s="149"/>
      <s:c r="AN34" s="149"/>
      <s:c r="AO34" s="149"/>
      <s:c r="AP34" s="149"/>
      <s:c r="AQ34" s="149"/>
      <s:c r="AR34" s="149"/>
      <s:c r="AS34" s="149"/>
      <s:c r="AT34" s="149"/>
      <s:c r="AU34" s="149"/>
      <s:c r="AV34" s="149"/>
      <s:c r="AW34" s="149"/>
      <s:c r="AX34" s="149"/>
      <s:c r="AY34" s="149"/>
      <s:c r="AZ34" s="149"/>
      <s:c r="BA34" s="149"/>
      <s:c r="BB34" s="149"/>
      <s:c r="BC34" s="149"/>
      <s:c r="BD34" s="149"/>
      <s:c r="BE34" s="149"/>
      <s:c r="BF34" s="149"/>
      <s:c r="BG34" s="149"/>
      <s:c r="BH34" s="149"/>
      <s:c r="BI34" s="149"/>
      <s:c r="BJ34" s="149"/>
      <s:c r="BK34" s="149"/>
      <s:c r="BL34" s="149"/>
      <s:c r="BM34" s="149"/>
      <s:c r="BN34" s="149"/>
      <s:c r="BO34" s="149"/>
      <s:c r="BP34" s="149"/>
      <s:c r="BQ34" s="149"/>
      <s:c r="BR34" s="149"/>
      <s:c r="BS34" s="149"/>
      <s:c r="BT34" s="149"/>
      <s:c r="BU34" s="149"/>
      <s:c r="BV34" s="149"/>
      <s:c r="BW34" s="149"/>
      <s:c r="BX34" s="149"/>
      <s:c r="BY34" s="149"/>
      <s:c r="BZ34" s="149"/>
      <s:c r="CA34" s="149"/>
      <s:c r="CB34" s="149"/>
      <s:c r="CC34" s="149"/>
      <s:c r="CD34" s="149"/>
      <s:c r="CE34" s="149"/>
      <s:c r="CF34" s="149"/>
      <s:c r="CG34" s="149"/>
      <s:c r="CH34" s="149"/>
      <s:c r="CI34" s="149"/>
      <s:c r="CJ34" s="149"/>
      <s:c r="CK34" s="149"/>
      <s:c r="CL34" s="149"/>
      <s:c r="CM34" s="149"/>
      <s:c r="CN34" s="149"/>
      <s:c r="CO34" s="149"/>
      <s:c r="CP34" s="149"/>
      <s:c r="CQ34" s="149"/>
      <s:c r="CR34" s="149"/>
      <s:c r="CS34" s="149"/>
      <s:c r="CT34" s="149"/>
      <s:c r="CU34" s="149"/>
      <s:c r="CV34" s="149"/>
      <s:c r="CW34" s="149"/>
      <s:c r="CX34" s="149"/>
      <s:c r="CY34" s="149"/>
      <s:c r="CZ34" s="149"/>
      <s:c r="DA34" s="149"/>
      <s:c r="DB34" s="149"/>
      <s:c r="DC34" s="149"/>
      <s:c r="DD34" s="149"/>
      <s:c r="DE34" s="149"/>
      <s:c r="DF34" s="149"/>
      <s:c r="DG34" s="149"/>
      <s:c r="DH34" s="149"/>
      <s:c r="DI34" s="149"/>
      <s:c r="DJ34" s="149"/>
      <s:c r="DK34" s="149"/>
      <s:c r="DL34" s="149"/>
      <s:c r="DM34" s="149"/>
      <s:c r="DN34" s="149"/>
      <s:c r="DO34" s="149"/>
      <s:c r="DP34" s="149"/>
      <s:c r="DQ34" s="149"/>
      <s:c r="DR34" s="149"/>
      <s:c r="DS34" s="149"/>
      <s:c r="DT34" s="149"/>
      <s:c r="DU34" s="149"/>
      <s:c r="DV34" s="149"/>
      <s:c r="DW34" s="149"/>
      <s:c r="DX34" s="149"/>
      <s:c r="DY34" s="149"/>
      <s:c r="DZ34" s="149"/>
      <s:c r="EA34" s="149"/>
      <s:c r="EB34" s="149"/>
      <s:c r="EC34" s="149"/>
      <s:c r="ED34" s="149"/>
      <s:c r="EE34" s="149"/>
      <s:c r="EF34" s="149"/>
      <s:c r="EG34" s="149"/>
      <s:c r="EH34" s="149"/>
      <s:c r="EI34" s="149"/>
      <s:c r="EJ34" s="149"/>
      <s:c r="EK34" s="149"/>
      <s:c r="EL34" s="149"/>
      <s:c r="EM34" s="149"/>
      <s:c r="EN34" s="149"/>
      <s:c r="EO34" s="149"/>
      <s:c r="EP34" s="149"/>
      <s:c r="EQ34" s="149"/>
      <s:c r="ER34" s="149"/>
      <s:c r="ES34" s="149"/>
      <s:c r="ET34" s="149"/>
      <s:c r="EU34" s="149"/>
      <s:c r="EV34" s="149"/>
      <s:c r="EW34" s="149"/>
      <s:c r="EX34" s="149"/>
      <s:c r="EY34" s="149"/>
      <s:c r="EZ34" s="149"/>
      <s:c r="FA34" s="149"/>
      <s:c r="FB34" s="149"/>
      <s:c r="FC34" s="149"/>
      <s:c r="FD34" s="149"/>
      <s:c r="FE34" s="149"/>
      <s:c r="FF34" s="149"/>
      <s:c r="FG34" s="149"/>
      <s:c r="FH34" s="149"/>
      <s:c r="FI34" s="149"/>
      <s:c r="FJ34" s="149"/>
      <s:c r="FK34" s="149"/>
      <s:c r="FL34" s="149"/>
      <s:c r="FM34" s="149"/>
      <s:c r="FN34" s="149"/>
      <s:c r="FO34" s="149"/>
      <s:c r="FP34" s="149"/>
      <s:c r="FQ34" s="149"/>
      <s:c r="FR34" s="149"/>
      <s:c r="FS34" s="149"/>
      <s:c r="FT34" s="149"/>
      <s:c r="FU34" s="149"/>
      <s:c r="FV34" s="149"/>
      <s:c r="FW34" s="149"/>
      <s:c r="FX34" s="149"/>
      <s:c r="FY34" s="149"/>
      <s:c r="FZ34" s="149"/>
      <s:c r="GA34" s="149"/>
      <s:c r="GB34" s="149"/>
      <s:c r="GC34" s="149"/>
      <s:c r="GD34" s="149"/>
      <s:c r="GE34" s="149"/>
      <s:c r="GF34" s="149"/>
      <s:c r="GG34" s="149"/>
      <s:c r="GH34" s="149"/>
      <s:c r="GI34" s="149"/>
      <s:c r="GJ34" s="149"/>
      <s:c r="GK34" s="149"/>
      <s:c r="GL34" s="149"/>
      <s:c r="GM34" s="149"/>
      <s:c r="GN34" s="149"/>
      <s:c r="GO34" s="149"/>
      <s:c r="GP34" s="149"/>
      <s:c r="GQ34" s="149"/>
      <s:c r="GR34" s="149"/>
      <s:c r="GS34" s="149"/>
      <s:c r="GT34" s="149"/>
      <s:c r="GU34" s="149"/>
      <s:c r="GV34" s="149"/>
      <s:c r="GW34" s="149"/>
      <s:c r="GX34" s="149"/>
      <s:c r="GY34" s="149"/>
      <s:c r="GZ34" s="149"/>
      <s:c r="HA34" s="149"/>
      <s:c r="HB34" s="149"/>
      <s:c r="HC34" s="149"/>
      <s:c r="HD34" s="149"/>
      <s:c r="HE34" s="149"/>
      <s:c r="HF34" s="149"/>
      <s:c r="HG34" s="149"/>
      <s:c r="HH34" s="149"/>
      <s:c r="HI34" s="149"/>
      <s:c r="HJ34" s="149"/>
      <s:c r="HK34" s="149"/>
      <s:c r="HL34" s="149"/>
      <s:c r="HM34" s="149"/>
      <s:c r="HN34" s="149"/>
      <s:c r="HO34" s="149"/>
      <s:c r="HP34" s="149"/>
      <s:c r="HQ34" s="149"/>
      <s:c r="HR34" s="149"/>
      <s:c r="HS34" s="149"/>
      <s:c r="HT34" s="149"/>
      <s:c r="HU34" s="149"/>
      <s:c r="HV34" s="149"/>
      <s:c r="HW34" s="149"/>
      <s:c r="HX34" s="149"/>
      <s:c r="HY34" s="149"/>
      <s:c r="HZ34" s="149"/>
      <s:c r="IA34" s="149"/>
      <s:c r="IB34" s="149"/>
      <s:c r="IC34" s="149"/>
      <s:c r="ID34" s="149"/>
      <s:c r="IE34" s="149"/>
      <s:c r="IF34" s="149"/>
      <s:c r="IG34" s="149"/>
      <s:c r="IH34" s="149"/>
      <s:c r="II34" s="149"/>
      <s:c r="IJ34" s="149"/>
      <s:c r="IK34" s="149"/>
      <s:c r="IL34" s="149"/>
      <s:c r="IM34" s="149"/>
      <s:c r="IN34" s="149"/>
      <s:c r="IO34" s="149"/>
      <s:c r="IP34" s="149"/>
      <s:c r="IQ34" s="149"/>
      <s:c r="IR34" s="149"/>
      <s:c r="IS34" s="149"/>
      <s:c r="IT34" s="149"/>
      <s:c r="IU34" s="149"/>
      <s:c r="IV34" s="149"/>
      <s:c r="IW34" s="149"/>
      <s:c r="IX34" s="149"/>
      <s:c r="IY34" s="149"/>
    </s:row>
    <s:row r="35" s="118" customFormat="1">
      <s:c r="A35" s="930"/>
      <s:c r="B35" s="120"/>
      <s:c r="C35" s="931"/>
      <s:c r="D35" s="441"/>
      <s:c r="E35" s="442"/>
      <s:c r="F35" s="932" t="str">
        <s:f>IF(AND(E35&lt;&gt;"",E35&lt;&gt;0),D35/E35,"")</s:f>
        <s:v/>
      </s:c>
      <s:c r="G35" s="442"/>
      <s:c r="H35" s="932" t="str">
        <s:f>IF(AND(G35&lt;&gt;"",G35&lt;&gt;0),D35/G35,"")</s:f>
        <s:v/>
      </s:c>
      <s:c r="I35" s="442"/>
      <s:c r="J35" s="934" t="str">
        <s:f>IF(AND(G35&lt;&gt;"",G35&lt;&gt;0),E35/G35,"")</s:f>
        <s:v/>
      </s:c>
      <s:c r="K35" s="935"/>
      <s:c r="L35" s="935"/>
      <s:c r="M35" s="935"/>
      <s:c r="N35" s="935"/>
      <s:c r="O35" s="123"/>
      <s:c r="P35" s="124"/>
      <s:c r="Q35" s="124"/>
      <s:c r="R35" s="936" t="str">
        <s:f>IF(AND(I35&lt;&gt;"",I35&lt;&gt;0),G35/I35,"")</s:f>
        <s:v/>
      </s:c>
      <s:c r="S35" s="943">
        <s:f>D35/T35</s:f>
        <s:v>0</s:v>
      </s:c>
      <s:c r="T35" s="130">
        <s:f>$I$8*Z35*AA35/SUMPRODUCT($AA$25:$AA$57,$Z$25:$Z$57)</s:f>
        <s:v>11409.001237794255</s:v>
      </s:c>
      <s:c r="U35" s="944">
        <s:f>$I$9*Z35*AA35/SUMPRODUCT($AA$25:$AA$57,$Z$25:$Z$57)</s:f>
        <s:v>1.7286365511809478</s:v>
      </s:c>
      <s:c r="V35" s="131">
        <s:f>IF($I$12="","",U35/$I$12)</s:f>
        <s:v>1.01684503010644</s:v>
      </s:c>
      <s:c r="W35" s="130">
        <s:f>IF(AA35&lt;&gt;"",IF(D35&lt;&gt;"",D35,($I$8-SUM($W$25:W34))*Z35*AA35/SUMPRODUCT($AA35:$AA$57,$Z35:$Z$57)),"")</s:f>
        <s:v>9270.6447372639559</s:v>
      </s:c>
      <s:c r="X35" s="131">
        <s:f>IF(AA35&lt;&gt;"",IF(E35&lt;&gt;"",E35,($I$9-SUM($X$25:X34))*Z35*AA35/SUMPRODUCT($AA35:$AA$57,$Z35:$Z$57)),"")</s:f>
        <s:v>1.3762784136449622</s:v>
      </s:c>
      <s:c r="Y35" s="131">
        <s:f>IF(AA35&lt;&gt;"",IF($I$12&lt;&gt;"",IF(G35&lt;&gt;"",G35,($I$9/$I$12-SUM($Y$25:Y34))*Z35*AA35/SUMPRODUCT($AA35:$AA$57,$Z35:$Z$57)),""),"")</s:f>
        <s:v>0.73803340707255305</s:v>
      </s:c>
      <s:c r="Z35" s="447">
        <s:v>1</s:v>
      </s:c>
      <s:c r="AA35" s="447">
        <s:v>1</s:v>
      </s:c>
      <s:c r="AB35" s="134"/>
      <s:c r="AC35" s="134"/>
      <s:c r="AD35" s="922"/>
      <s:c r="AE35" s="133"/>
      <s:c r="AF35" s="133"/>
      <s:c r="AG35" s="133"/>
      <s:c r="AH35" s="133"/>
      <s:c r="AI35" s="133"/>
      <s:c r="AJ35" s="133"/>
      <s:c r="AK35" s="133"/>
    </s:row>
    <s:row r="36" s="118" customFormat="1">
      <s:c r="A36" s="945"/>
      <s:c r="B36" s="120"/>
      <s:c r="C36" s="121"/>
      <s:c r="D36" s="441"/>
      <s:c r="E36" s="442"/>
      <s:c r="F36" s="124" t="str">
        <s:f>IF(AND(E36&lt;&gt;"",E36&lt;&gt;0),D36/E36,"")</s:f>
        <s:v/>
      </s:c>
      <s:c r="G36" s="442"/>
      <s:c r="H36" s="124" t="str">
        <s:f>IF(AND(G36&lt;&gt;"",G36&lt;&gt;0),D36/G36,"")</s:f>
        <s:v/>
      </s:c>
      <s:c r="I36" s="442"/>
      <s:c r="J36" s="934" t="str">
        <s:f>IF(AND(G36&lt;&gt;"",G36&lt;&gt;0),E36/G36,"")</s:f>
        <s:v/>
      </s:c>
      <s:c r="K36" s="946"/>
      <s:c r="L36" s="946"/>
      <s:c r="M36" s="946"/>
      <s:c r="N36" s="946"/>
      <s:c r="O36" s="947"/>
      <s:c r="P36" s="948"/>
      <s:c r="Q36" s="948"/>
      <s:c r="R36" s="921" t="str">
        <s:f>IF(AND(I36&lt;&gt;"",I36&lt;&gt;0),G36/I36,"")</s:f>
        <s:v/>
      </s:c>
      <s:c r="S36" s="129">
        <s:f>D36/T36</s:f>
        <s:v>0</s:v>
      </s:c>
      <s:c r="T36" s="130">
        <s:f>$I$8*Z36*AA36/SUMPRODUCT($AA$25:$AA$57,$Z$25:$Z$57)</s:f>
        <s:v>11409.001237794255</s:v>
      </s:c>
      <s:c r="U36" s="131">
        <s:f>$I$9*Z36*AA36/SUMPRODUCT($AA$25:$AA$57,$Z$25:$Z$57)</s:f>
        <s:v>1.7286365511809478</s:v>
      </s:c>
      <s:c r="V36" s="131">
        <s:f>IF($I$12="","",U36/$I$12)</s:f>
        <s:v>1.01684503010644</s:v>
      </s:c>
      <s:c r="W36" s="130">
        <s:f>IF(AA36&lt;&gt;"",IF(D36&lt;&gt;"",D36,($I$8-SUM($W$25:W35))*Z36*AA36/SUMPRODUCT($AA36:$AA$57,$Z36:$Z$57)),"")</s:f>
        <s:v>9270.6447372639559</s:v>
      </s:c>
      <s:c r="X36" s="131">
        <s:f>IF(AA36&lt;&gt;"",IF(E36&lt;&gt;"",E36,($I$9-SUM($X$25:X35))*Z36*AA36/SUMPRODUCT($AA36:$AA$57,$Z36:$Z$57)),"")</s:f>
        <s:v>1.3762784136449626</s:v>
      </s:c>
      <s:c r="Y36" s="131">
        <s:f>IF(AA36&lt;&gt;"",IF($I$12&lt;&gt;"",IF(G36&lt;&gt;"",G36,($I$9/$I$12-SUM($Y$25:Y35))*Z36*AA36/SUMPRODUCT($AA36:$AA$57,$Z36:$Z$57)),""),"")</s:f>
        <s:v>0.73803340707255327</s:v>
      </s:c>
      <s:c r="Z36" s="447">
        <s:v>1</s:v>
      </s:c>
      <s:c r="AA36" s="447">
        <s:v>1</s:v>
      </s:c>
      <s:c r="AB36" s="134"/>
      <s:c r="AC36" s="134"/>
      <s:c r="AD36" s="922"/>
      <s:c r="AE36" s="133"/>
      <s:c r="AF36" s="133"/>
      <s:c r="AG36" s="133"/>
      <s:c r="AH36" s="133"/>
      <s:c r="AI36" s="133"/>
      <s:c r="AJ36" s="133"/>
      <s:c r="AK36" s="133"/>
    </s:row>
    <s:row r="37" s="135" customFormat="1">
      <s:c r="A37" s="945"/>
      <s:c r="B37" s="120"/>
      <s:c r="C37" s="931"/>
      <s:c r="D37" s="125"/>
      <s:c r="E37" s="124"/>
      <s:c r="F37" s="124" t="str">
        <s:f>IF(AND(E37&lt;&gt;"",E37&lt;&gt;0),D37/E37,"")</s:f>
        <s:v/>
      </s:c>
      <s:c r="G37" s="124"/>
      <s:c r="H37" s="124" t="str">
        <s:f>IF(AND(G37&lt;&gt;"",G37&lt;&gt;0),D37/G37,"")</s:f>
        <s:v/>
      </s:c>
      <s:c r="I37" s="124"/>
      <s:c r="J37" s="125" t="str">
        <s:f>IF(AND(G37&lt;&gt;"",G37&lt;&gt;0),E37/G37,"")</s:f>
        <s:v/>
      </s:c>
      <s:c r="K37" s="124"/>
      <s:c r="L37" s="124"/>
      <s:c r="M37" s="124"/>
      <s:c r="N37" s="124"/>
      <s:c r="O37" s="124"/>
      <s:c r="P37" s="124"/>
      <s:c r="Q37" s="124"/>
      <s:c r="R37" s="128" t="str">
        <s:f>IF(AND(I37&lt;&gt;"",I37&lt;&gt;0),G37/I37,"")</s:f>
        <s:v/>
      </s:c>
      <s:c r="S37" s="939">
        <s:f>D37/T37</s:f>
        <s:v>0</s:v>
      </s:c>
      <s:c r="T37" s="145">
        <s:f>$I$8*Z37*AA37/SUMPRODUCT($AA$25:$AA$57,$Z$25:$Z$57)</s:f>
        <s:v>11409.001237794255</s:v>
      </s:c>
      <s:c r="U37" s="940">
        <s:f>$I$9*Z37*AA37/SUMPRODUCT($AA$25:$AA$57,$Z$25:$Z$57)</s:f>
        <s:v>1.7286365511809478</s:v>
      </s:c>
      <s:c r="V37" s="146">
        <s:f>IF($I$12="","",U37/$I$12)</s:f>
        <s:v>1.01684503010644</s:v>
      </s:c>
      <s:c r="W37" s="145">
        <s:f>IF(AA37&lt;&gt;"",IF(D37&lt;&gt;"",D37,($I$8-SUM($W$25:W36))*Z37*AA37/SUMPRODUCT($AA37:$AA$57,$Z37:$Z$57)),"")</s:f>
        <s:v>9270.6447372639541</s:v>
      </s:c>
      <s:c r="X37" s="146">
        <s:f>IF(AA37&lt;&gt;"",IF(E37&lt;&gt;"",E37,($I$9-SUM($X$25:X36))*Z37*AA37/SUMPRODUCT($AA37:$AA$57,$Z37:$Z$57)),"")</s:f>
        <s:v>1.3762784136449624</s:v>
      </s:c>
      <s:c r="Y37" s="146">
        <s:f>IF(AA37&lt;&gt;"",IF($I$12&lt;&gt;"",IF(G37&lt;&gt;"",G37,($I$9/$I$12-SUM($Y$25:Y36))*Z37*AA37/SUMPRODUCT($AA37:$AA$57,$Z37:$Z$57)),""),"")</s:f>
        <s:v>0.73803340707255316</s:v>
      </s:c>
      <s:c r="Z37" s="929">
        <s:v>1</s:v>
      </s:c>
      <s:c r="AA37" s="929">
        <s:v>1</s:v>
      </s:c>
      <s:c r="AB37" s="148"/>
      <s:c r="AC37" s="148"/>
      <s:c r="AD37" s="197"/>
      <s:c r="AE37" s="149"/>
      <s:c r="AF37" s="149"/>
      <s:c r="AG37" s="149"/>
      <s:c r="AH37" s="149"/>
      <s:c r="AI37" s="149"/>
      <s:c r="AJ37" s="149"/>
      <s:c r="AK37" s="149"/>
      <s:c r="AL37" s="149"/>
      <s:c r="AM37" s="149"/>
      <s:c r="AN37" s="149"/>
      <s:c r="AO37" s="149"/>
      <s:c r="AP37" s="149"/>
      <s:c r="AQ37" s="149"/>
      <s:c r="AR37" s="149"/>
      <s:c r="AS37" s="149"/>
      <s:c r="AT37" s="149"/>
      <s:c r="AU37" s="149"/>
      <s:c r="AV37" s="149"/>
      <s:c r="AW37" s="149"/>
      <s:c r="AX37" s="149"/>
      <s:c r="AY37" s="149"/>
      <s:c r="AZ37" s="149"/>
      <s:c r="BA37" s="149"/>
      <s:c r="BB37" s="149"/>
      <s:c r="BC37" s="149"/>
      <s:c r="BD37" s="149"/>
      <s:c r="BE37" s="149"/>
      <s:c r="BF37" s="149"/>
      <s:c r="BG37" s="149"/>
      <s:c r="BH37" s="149"/>
      <s:c r="BI37" s="149"/>
      <s:c r="BJ37" s="149"/>
      <s:c r="BK37" s="149"/>
      <s:c r="BL37" s="149"/>
      <s:c r="BM37" s="149"/>
      <s:c r="BN37" s="149"/>
      <s:c r="BO37" s="149"/>
      <s:c r="BP37" s="149"/>
      <s:c r="BQ37" s="149"/>
      <s:c r="BR37" s="149"/>
      <s:c r="BS37" s="149"/>
      <s:c r="BT37" s="149"/>
      <s:c r="BU37" s="149"/>
      <s:c r="BV37" s="149"/>
      <s:c r="BW37" s="149"/>
      <s:c r="BX37" s="149"/>
      <s:c r="BY37" s="149"/>
      <s:c r="BZ37" s="149"/>
      <s:c r="CA37" s="149"/>
      <s:c r="CB37" s="149"/>
      <s:c r="CC37" s="149"/>
      <s:c r="CD37" s="149"/>
      <s:c r="CE37" s="149"/>
      <s:c r="CF37" s="149"/>
      <s:c r="CG37" s="149"/>
      <s:c r="CH37" s="149"/>
      <s:c r="CI37" s="149"/>
      <s:c r="CJ37" s="149"/>
      <s:c r="CK37" s="149"/>
      <s:c r="CL37" s="149"/>
      <s:c r="CM37" s="149"/>
      <s:c r="CN37" s="149"/>
      <s:c r="CO37" s="149"/>
      <s:c r="CP37" s="149"/>
      <s:c r="CQ37" s="149"/>
      <s:c r="CR37" s="149"/>
      <s:c r="CS37" s="149"/>
      <s:c r="CT37" s="149"/>
      <s:c r="CU37" s="149"/>
      <s:c r="CV37" s="149"/>
      <s:c r="CW37" s="149"/>
      <s:c r="CX37" s="149"/>
      <s:c r="CY37" s="149"/>
      <s:c r="CZ37" s="149"/>
      <s:c r="DA37" s="149"/>
      <s:c r="DB37" s="149"/>
      <s:c r="DC37" s="149"/>
      <s:c r="DD37" s="149"/>
      <s:c r="DE37" s="149"/>
      <s:c r="DF37" s="149"/>
      <s:c r="DG37" s="149"/>
      <s:c r="DH37" s="149"/>
      <s:c r="DI37" s="149"/>
      <s:c r="DJ37" s="149"/>
      <s:c r="DK37" s="149"/>
      <s:c r="DL37" s="149"/>
      <s:c r="DM37" s="149"/>
      <s:c r="DN37" s="149"/>
      <s:c r="DO37" s="149"/>
      <s:c r="DP37" s="149"/>
      <s:c r="DQ37" s="149"/>
      <s:c r="DR37" s="149"/>
      <s:c r="DS37" s="149"/>
      <s:c r="DT37" s="149"/>
      <s:c r="DU37" s="149"/>
      <s:c r="DV37" s="149"/>
      <s:c r="DW37" s="149"/>
      <s:c r="DX37" s="149"/>
      <s:c r="DY37" s="149"/>
      <s:c r="DZ37" s="149"/>
      <s:c r="EA37" s="149"/>
      <s:c r="EB37" s="149"/>
      <s:c r="EC37" s="149"/>
      <s:c r="ED37" s="149"/>
      <s:c r="EE37" s="149"/>
      <s:c r="EF37" s="149"/>
      <s:c r="EG37" s="149"/>
      <s:c r="EH37" s="149"/>
      <s:c r="EI37" s="149"/>
      <s:c r="EJ37" s="149"/>
      <s:c r="EK37" s="149"/>
      <s:c r="EL37" s="149"/>
      <s:c r="EM37" s="149"/>
      <s:c r="EN37" s="149"/>
      <s:c r="EO37" s="149"/>
      <s:c r="EP37" s="149"/>
      <s:c r="EQ37" s="149"/>
      <s:c r="ER37" s="149"/>
      <s:c r="ES37" s="149"/>
      <s:c r="ET37" s="149"/>
      <s:c r="EU37" s="149"/>
      <s:c r="EV37" s="149"/>
      <s:c r="EW37" s="149"/>
      <s:c r="EX37" s="149"/>
      <s:c r="EY37" s="149"/>
      <s:c r="EZ37" s="149"/>
      <s:c r="FA37" s="149"/>
      <s:c r="FB37" s="149"/>
      <s:c r="FC37" s="149"/>
      <s:c r="FD37" s="149"/>
      <s:c r="FE37" s="149"/>
      <s:c r="FF37" s="149"/>
      <s:c r="FG37" s="149"/>
      <s:c r="FH37" s="149"/>
      <s:c r="FI37" s="149"/>
      <s:c r="FJ37" s="149"/>
      <s:c r="FK37" s="149"/>
      <s:c r="FL37" s="149"/>
      <s:c r="FM37" s="149"/>
      <s:c r="FN37" s="149"/>
      <s:c r="FO37" s="149"/>
      <s:c r="FP37" s="149"/>
      <s:c r="FQ37" s="149"/>
      <s:c r="FR37" s="149"/>
      <s:c r="FS37" s="149"/>
      <s:c r="FT37" s="149"/>
      <s:c r="FU37" s="149"/>
      <s:c r="FV37" s="149"/>
      <s:c r="FW37" s="149"/>
      <s:c r="FX37" s="149"/>
      <s:c r="FY37" s="149"/>
      <s:c r="FZ37" s="149"/>
      <s:c r="GA37" s="149"/>
      <s:c r="GB37" s="149"/>
      <s:c r="GC37" s="149"/>
      <s:c r="GD37" s="149"/>
      <s:c r="GE37" s="149"/>
      <s:c r="GF37" s="149"/>
      <s:c r="GG37" s="149"/>
      <s:c r="GH37" s="149"/>
      <s:c r="GI37" s="149"/>
      <s:c r="GJ37" s="149"/>
      <s:c r="GK37" s="149"/>
      <s:c r="GL37" s="149"/>
      <s:c r="GM37" s="149"/>
      <s:c r="GN37" s="149"/>
      <s:c r="GO37" s="149"/>
      <s:c r="GP37" s="149"/>
      <s:c r="GQ37" s="149"/>
      <s:c r="GR37" s="149"/>
      <s:c r="GS37" s="149"/>
      <s:c r="GT37" s="149"/>
      <s:c r="GU37" s="149"/>
      <s:c r="GV37" s="149"/>
      <s:c r="GW37" s="149"/>
      <s:c r="GX37" s="149"/>
      <s:c r="GY37" s="149"/>
      <s:c r="GZ37" s="149"/>
      <s:c r="HA37" s="149"/>
      <s:c r="HB37" s="149"/>
      <s:c r="HC37" s="149"/>
      <s:c r="HD37" s="149"/>
      <s:c r="HE37" s="149"/>
      <s:c r="HF37" s="149"/>
      <s:c r="HG37" s="149"/>
      <s:c r="HH37" s="149"/>
      <s:c r="HI37" s="149"/>
      <s:c r="HJ37" s="149"/>
      <s:c r="HK37" s="149"/>
      <s:c r="HL37" s="149"/>
      <s:c r="HM37" s="149"/>
      <s:c r="HN37" s="149"/>
      <s:c r="HO37" s="149"/>
      <s:c r="HP37" s="149"/>
      <s:c r="HQ37" s="149"/>
      <s:c r="HR37" s="149"/>
      <s:c r="HS37" s="149"/>
      <s:c r="HT37" s="149"/>
      <s:c r="HU37" s="149"/>
      <s:c r="HV37" s="149"/>
      <s:c r="HW37" s="149"/>
      <s:c r="HX37" s="149"/>
      <s:c r="HY37" s="149"/>
      <s:c r="HZ37" s="149"/>
      <s:c r="IA37" s="149"/>
      <s:c r="IB37" s="149"/>
      <s:c r="IC37" s="149"/>
      <s:c r="ID37" s="149"/>
      <s:c r="IE37" s="149"/>
      <s:c r="IF37" s="149"/>
      <s:c r="IG37" s="149"/>
      <s:c r="IH37" s="149"/>
      <s:c r="II37" s="149"/>
      <s:c r="IJ37" s="149"/>
      <s:c r="IK37" s="149"/>
      <s:c r="IL37" s="149"/>
      <s:c r="IM37" s="149"/>
      <s:c r="IN37" s="149"/>
      <s:c r="IO37" s="149"/>
      <s:c r="IP37" s="149"/>
      <s:c r="IQ37" s="149"/>
      <s:c r="IR37" s="149"/>
      <s:c r="IS37" s="149"/>
      <s:c r="IT37" s="149"/>
      <s:c r="IU37" s="149"/>
      <s:c r="IV37" s="149"/>
      <s:c r="IW37" s="149"/>
      <s:c r="IX37" s="149"/>
      <s:c r="IY37" s="149"/>
    </s:row>
    <s:row r="38" s="135" customFormat="1">
      <s:c r="A38" s="945"/>
      <s:c r="B38" s="120"/>
      <s:c r="C38" s="440"/>
      <s:c r="D38" s="125"/>
      <s:c r="E38" s="124"/>
      <s:c r="F38" s="124" t="str">
        <s:f>IF(AND(E38&lt;&gt;"",E38&lt;&gt;0),D38/E38,"")</s:f>
        <s:v/>
      </s:c>
      <s:c r="G38" s="124"/>
      <s:c r="H38" s="124" t="str">
        <s:f>IF(AND(G38&lt;&gt;"",G38&lt;&gt;0),D38/G38,"")</s:f>
        <s:v/>
      </s:c>
      <s:c r="I38" s="124"/>
      <s:c r="J38" s="125" t="str">
        <s:f>IF(AND(G38&lt;&gt;"",G38&lt;&gt;0),E38/G38,"")</s:f>
        <s:v/>
      </s:c>
      <s:c r="K38" s="124"/>
      <s:c r="L38" s="124"/>
      <s:c r="M38" s="124"/>
      <s:c r="N38" s="124"/>
      <s:c r="O38" s="124"/>
      <s:c r="P38" s="124"/>
      <s:c r="Q38" s="124"/>
      <s:c r="R38" s="949" t="str">
        <s:f>IF(AND(I38&lt;&gt;"",I38&lt;&gt;0),G38/I38,"")</s:f>
        <s:v/>
      </s:c>
      <s:c r="S38" s="950">
        <s:f>D38/T38</s:f>
        <s:v>0</s:v>
      </s:c>
      <s:c r="T38" s="145">
        <s:f>$I$8*Z38*AA38/SUMPRODUCT($AA$25:$AA$47,$Z$25:$Z$47)</s:f>
        <s:v>12545.676409947006</s:v>
      </s:c>
      <s:c r="U38" s="146">
        <s:f>$I$9*Z38*AA38/SUMPRODUCT($AA$25:$AA$47,$Z$25:$Z$47)</s:f>
        <s:v>1.9008600621131828</s:v>
      </s:c>
      <s:c r="V38" s="146">
        <s:f>IF($I$12="","",U38/$I$12)</s:f>
        <s:v>1.118152977713637</s:v>
      </s:c>
      <s:c r="W38" s="145">
        <s:f>IF(AA38&lt;&gt;"",IF(D38&lt;&gt;"",D38,($I$8-SUM($W$25:W37))*Z38*AA38/SUMPRODUCT($AA38:$AA$57,$Z38:$Z$57)),"")</s:f>
        <s:v>9270.6447372639541</s:v>
      </s:c>
      <s:c r="X38" s="146">
        <s:f>IF(AA38&lt;&gt;"",IF(E38&lt;&gt;"",E38,($I$9-SUM($X$25:X37))*Z38*AA38/SUMPRODUCT($AA38:$AA$57,$Z38:$Z$57)),"")</s:f>
        <s:v>1.3762784136449626</s:v>
      </s:c>
      <s:c r="Y38" s="146">
        <s:f>IF(AA38&lt;&gt;"",IF($I$12&lt;&gt;"",IF(G38&lt;&gt;"",G38,($I$9/$I$12-SUM($Y$25:Y37))*Z38*AA38/SUMPRODUCT($AA38:$AA$57,$Z38:$Z$57)),""),"")</s:f>
        <s:v>0.73803340707255316</s:v>
      </s:c>
      <s:c r="Z38" s="929">
        <s:v>1</s:v>
      </s:c>
      <s:c r="AA38" s="929">
        <s:v>1</s:v>
      </s:c>
      <s:c r="AB38" s="951"/>
      <s:c r="AC38" s="951"/>
    </s:row>
    <s:row r="39" s="135" customFormat="1">
      <s:c r="A39" s="945"/>
      <s:c r="B39" s="120"/>
      <s:c r="C39" s="440"/>
      <s:c r="D39" s="125"/>
      <s:c r="E39" s="124"/>
      <s:c r="F39" s="124" t="str">
        <s:f>IF(AND(E39&lt;&gt;"",E39&lt;&gt;0),D39/E39,"")</s:f>
        <s:v/>
      </s:c>
      <s:c r="G39" s="124"/>
      <s:c r="H39" s="124" t="str">
        <s:f>IF(AND(G39&lt;&gt;"",G39&lt;&gt;0),D39/G39,"")</s:f>
        <s:v/>
      </s:c>
      <s:c r="I39" s="124"/>
      <s:c r="J39" s="125" t="str">
        <s:f>IF(AND(G39&lt;&gt;"",G39&lt;&gt;0),E39/G39,"")</s:f>
        <s:v/>
      </s:c>
      <s:c r="K39" s="124"/>
      <s:c r="L39" s="124"/>
      <s:c r="M39" s="124"/>
      <s:c r="N39" s="124"/>
      <s:c r="O39" s="124"/>
      <s:c r="P39" s="124"/>
      <s:c r="Q39" s="124"/>
      <s:c r="R39" s="949" t="str">
        <s:f>IF(AND(I39&lt;&gt;"",I39&lt;&gt;0),G39/I39,"")</s:f>
        <s:v/>
      </s:c>
      <s:c r="S39" s="950">
        <s:f>D39/T39</s:f>
        <s:v>0</s:v>
      </s:c>
      <s:c r="T39" s="145">
        <s:f>$I$8*Z39*AA39/SUMPRODUCT($AA$25:$AA$47,$Z$25:$Z$47)</s:f>
        <s:v>12545.676409947006</s:v>
      </s:c>
      <s:c r="U39" s="146">
        <s:f>$I$9*Z39*AA39/SUMPRODUCT($AA$25:$AA$47,$Z$25:$Z$47)</s:f>
        <s:v>1.9008600621131828</s:v>
      </s:c>
      <s:c r="V39" s="146">
        <s:f>IF($I$12="","",U39/$I$12)</s:f>
        <s:v>1.118152977713637</s:v>
      </s:c>
      <s:c r="W39" s="145">
        <s:f>IF(AA39&lt;&gt;"",IF(D39&lt;&gt;"",D39,($I$8-SUM($W$25:W38))*Z39*AA39/SUMPRODUCT($AA39:$AA$57,$Z39:$Z$57)),"")</s:f>
        <s:v>9270.6447372639523</s:v>
      </s:c>
      <s:c r="X39" s="146">
        <s:f>IF(AA39&lt;&gt;"",IF(E39&lt;&gt;"",E39,($I$9-SUM($X$25:X38))*Z39*AA39/SUMPRODUCT($AA39:$AA$57,$Z39:$Z$57)),"")</s:f>
        <s:v>1.3762784136449626</s:v>
      </s:c>
      <s:c r="Y39" s="146">
        <s:f>IF(AA39&lt;&gt;"",IF($I$12&lt;&gt;"",IF(G39&lt;&gt;"",G39,($I$9/$I$12-SUM($Y$25:Y38))*Z39*AA39/SUMPRODUCT($AA39:$AA$57,$Z39:$Z$57)),""),"")</s:f>
        <s:v>0.73803340707255316</s:v>
      </s:c>
      <s:c r="Z39" s="929">
        <s:v>1</s:v>
      </s:c>
      <s:c r="AA39" s="929">
        <s:v>1</s:v>
      </s:c>
      <s:c r="AB39" s="951"/>
      <s:c r="AC39" s="951"/>
      <s:c r="AD39" s="952"/>
    </s:row>
    <s:row r="40" s="135" customFormat="1">
      <s:c r="A40" s="945"/>
      <s:c r="B40" s="120"/>
      <s:c r="C40" s="440"/>
      <s:c r="D40" s="125"/>
      <s:c r="E40" s="124"/>
      <s:c r="F40" s="124" t="str">
        <s:f>IF(AND(E40&lt;&gt;"",E40&lt;&gt;0),D40/E40,"")</s:f>
        <s:v/>
      </s:c>
      <s:c r="G40" s="124"/>
      <s:c r="H40" s="124" t="str">
        <s:f>IF(AND(G40&lt;&gt;"",G40&lt;&gt;0),D40/G40,"")</s:f>
        <s:v/>
      </s:c>
      <s:c r="I40" s="124"/>
      <s:c r="J40" s="125" t="str">
        <s:f>IF(AND(G40&lt;&gt;"",G40&lt;&gt;0),E40/G40,"")</s:f>
        <s:v/>
      </s:c>
      <s:c r="K40" s="124"/>
      <s:c r="L40" s="124"/>
      <s:c r="M40" s="124"/>
      <s:c r="N40" s="124"/>
      <s:c r="O40" s="124"/>
      <s:c r="P40" s="124"/>
      <s:c r="Q40" s="124"/>
      <s:c r="R40" s="949" t="str">
        <s:f>IF(AND(I40&lt;&gt;"",I40&lt;&gt;0),G40/I40,"")</s:f>
        <s:v/>
      </s:c>
      <s:c r="S40" s="950">
        <s:f>D40/T40</s:f>
        <s:v>0</s:v>
      </s:c>
      <s:c r="T40" s="145">
        <s:f>$I$8*Z40*AA40/SUMPRODUCT($AA$25:$AA$47,$Z$25:$Z$47)</s:f>
        <s:v>12545.676409947006</s:v>
      </s:c>
      <s:c r="U40" s="146">
        <s:f>$I$9*Z40*AA40/SUMPRODUCT($AA$25:$AA$47,$Z$25:$Z$47)</s:f>
        <s:v>1.9008600621131828</s:v>
      </s:c>
      <s:c r="V40" s="146">
        <s:f>IF($I$12="","",U40/$I$12)</s:f>
        <s:v>1.118152977713637</s:v>
      </s:c>
      <s:c r="W40" s="145">
        <s:f>IF(AA40&lt;&gt;"",IF(D40&lt;&gt;"",D40,($I$8-SUM($W$25:W39))*Z40*AA40/SUMPRODUCT($AA40:$AA$57,$Z40:$Z$57)),"")</s:f>
        <s:v>9270.6447372639523</s:v>
      </s:c>
      <s:c r="X40" s="146">
        <s:f>IF(AA40&lt;&gt;"",IF(E40&lt;&gt;"",E40,($I$9-SUM($X$25:X39))*Z40*AA40/SUMPRODUCT($AA40:$AA$57,$Z40:$Z$57)),"")</s:f>
        <s:v>1.3762784136449628</s:v>
      </s:c>
      <s:c r="Y40" s="146">
        <s:f>IF(AA40&lt;&gt;"",IF($I$12&lt;&gt;"",IF(G40&lt;&gt;"",G40,($I$9/$I$12-SUM($Y$25:Y39))*Z40*AA40/SUMPRODUCT($AA40:$AA$57,$Z40:$Z$57)),""),"")</s:f>
        <s:v>0.73803340707255316</s:v>
      </s:c>
      <s:c r="Z40" s="929">
        <s:v>1</s:v>
      </s:c>
      <s:c r="AA40" s="929">
        <s:v>1</s:v>
      </s:c>
      <s:c r="AB40" s="951"/>
      <s:c r="AC40" s="951"/>
      <s:c r="AD40" s="952"/>
    </s:row>
    <s:row r="41" s="135" customFormat="1">
      <s:c r="A41" s="945"/>
      <s:c r="B41" s="120"/>
      <s:c r="C41" s="440"/>
      <s:c r="D41" s="125"/>
      <s:c r="E41" s="124"/>
      <s:c r="F41" s="124" t="str">
        <s:f>IF(AND(E41&lt;&gt;"",E41&lt;&gt;0),D41/E41,"")</s:f>
        <s:v/>
      </s:c>
      <s:c r="G41" s="124"/>
      <s:c r="H41" s="124" t="str">
        <s:f>IF(AND(G41&lt;&gt;"",G41&lt;&gt;0),D41/G41,"")</s:f>
        <s:v/>
      </s:c>
      <s:c r="I41" s="124"/>
      <s:c r="J41" s="125" t="str">
        <s:f>IF(AND(G41&lt;&gt;"",G41&lt;&gt;0),E41/G41,"")</s:f>
        <s:v/>
      </s:c>
      <s:c r="K41" s="126"/>
      <s:c r="L41" s="126"/>
      <s:c r="M41" s="126"/>
      <s:c r="N41" s="126"/>
      <s:c r="O41" s="126"/>
      <s:c r="P41" s="123"/>
      <s:c r="Q41" s="123"/>
      <s:c r="R41" s="128" t="str">
        <s:f>IF(AND(I41&lt;&gt;"",I41&lt;&gt;0),G41/I41,"")</s:f>
        <s:v/>
      </s:c>
      <s:c r="S41" s="144">
        <s:f>D41/T41</s:f>
        <s:v>0</s:v>
      </s:c>
      <s:c r="T41" s="145">
        <s:f>$I$8*Z41*AA41/SUMPRODUCT($AA$25:$AA$55,$Z$25:$Z$55)</s:f>
        <s:v>11409.001237794255</s:v>
      </s:c>
      <s:c r="U41" s="146">
        <s:f>$I$9*Z41*AA41/SUMPRODUCT($AA$25:$AA$55,$Z$25:$Z$55)</s:f>
        <s:v>1.7286365511809478</s:v>
      </s:c>
      <s:c r="V41" s="146">
        <s:f>IF($I$12="","",U41/$I$12)</s:f>
        <s:v>1.01684503010644</s:v>
      </s:c>
      <s:c r="W41" s="145">
        <s:f>IF(AA41&lt;&gt;"",IF(D41&lt;&gt;"",D41,($I$8-SUM($W$25:W40))*Z41*AA41/SUMPRODUCT($AA41:$AA$55,$Z41:$Z$55)),"")</s:f>
        <s:v>9270.6447372639504</s:v>
      </s:c>
      <s:c r="X41" s="146">
        <s:f>IF(AA41&lt;&gt;"",IF(E41&lt;&gt;"",E41,($I$9-SUM($X$25:X40))*Z41*AA41/SUMPRODUCT($AA41:$AA$55,$Z41:$Z$55)),"")</s:f>
        <s:v>1.3762784136449631</s:v>
      </s:c>
      <s:c r="Y41" s="146">
        <s:f>IF(AA41&lt;&gt;"",IF($I$12&lt;&gt;"",IF(G41&lt;&gt;"",G41,($I$9/$I$12-SUM($Y$25:Y40))*Z41*AA41/SUMPRODUCT($AA41:$AA$55,$Z41:$Z$55)),""),"")</s:f>
        <s:v>0.73803340707255316</s:v>
      </s:c>
      <s:c r="Z41" s="147">
        <s:v>1</s:v>
      </s:c>
      <s:c r="AA41" s="147">
        <s:v>1</s:v>
      </s:c>
      <s:c r="AB41" s="148"/>
      <s:c r="AC41" s="148"/>
      <s:c r="AD41" s="197"/>
      <s:c r="AE41" s="149"/>
      <s:c r="AF41" s="149"/>
      <s:c r="AG41" s="149"/>
      <s:c r="AH41" s="149"/>
      <s:c r="AI41" s="149"/>
      <s:c r="AJ41" s="149"/>
      <s:c r="AK41" s="149"/>
      <s:c r="AL41" s="149"/>
      <s:c r="AM41" s="149"/>
      <s:c r="AN41" s="149"/>
      <s:c r="AO41" s="149"/>
      <s:c r="AP41" s="149"/>
      <s:c r="AQ41" s="149"/>
      <s:c r="AR41" s="149"/>
      <s:c r="AS41" s="149"/>
      <s:c r="AT41" s="149"/>
      <s:c r="AU41" s="149"/>
      <s:c r="AV41" s="149"/>
      <s:c r="AW41" s="149"/>
      <s:c r="AX41" s="149"/>
      <s:c r="AY41" s="149"/>
      <s:c r="AZ41" s="149"/>
      <s:c r="BA41" s="149"/>
      <s:c r="BB41" s="149"/>
      <s:c r="BC41" s="149"/>
      <s:c r="BD41" s="149"/>
      <s:c r="BE41" s="149"/>
      <s:c r="BF41" s="149"/>
      <s:c r="BG41" s="149"/>
      <s:c r="BH41" s="149"/>
      <s:c r="BI41" s="149"/>
      <s:c r="BJ41" s="149"/>
      <s:c r="BK41" s="149"/>
      <s:c r="BL41" s="149"/>
      <s:c r="BM41" s="149"/>
      <s:c r="BN41" s="149"/>
      <s:c r="BO41" s="149"/>
      <s:c r="BP41" s="149"/>
      <s:c r="BQ41" s="149"/>
      <s:c r="BR41" s="149"/>
      <s:c r="BS41" s="149"/>
      <s:c r="BT41" s="149"/>
      <s:c r="BU41" s="149"/>
      <s:c r="BV41" s="149"/>
      <s:c r="BW41" s="149"/>
      <s:c r="BX41" s="149"/>
      <s:c r="BY41" s="149"/>
      <s:c r="BZ41" s="149"/>
      <s:c r="CA41" s="149"/>
      <s:c r="CB41" s="149"/>
      <s:c r="CC41" s="149"/>
      <s:c r="CD41" s="149"/>
      <s:c r="CE41" s="149"/>
      <s:c r="CF41" s="149"/>
      <s:c r="CG41" s="149"/>
      <s:c r="CH41" s="149"/>
      <s:c r="CI41" s="149"/>
      <s:c r="CJ41" s="149"/>
      <s:c r="CK41" s="149"/>
      <s:c r="CL41" s="149"/>
      <s:c r="CM41" s="149"/>
      <s:c r="CN41" s="149"/>
      <s:c r="CO41" s="149"/>
      <s:c r="CP41" s="149"/>
      <s:c r="CQ41" s="149"/>
      <s:c r="CR41" s="149"/>
      <s:c r="CS41" s="149"/>
      <s:c r="CT41" s="149"/>
      <s:c r="CU41" s="149"/>
      <s:c r="CV41" s="149"/>
      <s:c r="CW41" s="149"/>
      <s:c r="CX41" s="149"/>
      <s:c r="CY41" s="149"/>
      <s:c r="CZ41" s="149"/>
      <s:c r="DA41" s="149"/>
      <s:c r="DB41" s="149"/>
      <s:c r="DC41" s="149"/>
      <s:c r="DD41" s="149"/>
      <s:c r="DE41" s="149"/>
      <s:c r="DF41" s="149"/>
      <s:c r="DG41" s="149"/>
      <s:c r="DH41" s="149"/>
      <s:c r="DI41" s="149"/>
      <s:c r="DJ41" s="149"/>
      <s:c r="DK41" s="149"/>
      <s:c r="DL41" s="149"/>
      <s:c r="DM41" s="149"/>
      <s:c r="DN41" s="149"/>
      <s:c r="DO41" s="149"/>
      <s:c r="DP41" s="149"/>
      <s:c r="DQ41" s="149"/>
      <s:c r="DR41" s="149"/>
      <s:c r="DS41" s="149"/>
      <s:c r="DT41" s="149"/>
      <s:c r="DU41" s="149"/>
      <s:c r="DV41" s="149"/>
      <s:c r="DW41" s="149"/>
      <s:c r="DX41" s="149"/>
      <s:c r="DY41" s="149"/>
      <s:c r="DZ41" s="149"/>
      <s:c r="EA41" s="149"/>
      <s:c r="EB41" s="149"/>
      <s:c r="EC41" s="149"/>
      <s:c r="ED41" s="149"/>
      <s:c r="EE41" s="149"/>
      <s:c r="EF41" s="149"/>
      <s:c r="EG41" s="149"/>
      <s:c r="EH41" s="149"/>
      <s:c r="EI41" s="149"/>
      <s:c r="EJ41" s="149"/>
      <s:c r="EK41" s="149"/>
      <s:c r="EL41" s="149"/>
      <s:c r="EM41" s="149"/>
      <s:c r="EN41" s="149"/>
      <s:c r="EO41" s="149"/>
      <s:c r="EP41" s="149"/>
      <s:c r="EQ41" s="149"/>
      <s:c r="ER41" s="149"/>
      <s:c r="ES41" s="149"/>
      <s:c r="ET41" s="149"/>
      <s:c r="EU41" s="149"/>
      <s:c r="EV41" s="149"/>
      <s:c r="EW41" s="149"/>
      <s:c r="EX41" s="149"/>
      <s:c r="EY41" s="149"/>
      <s:c r="EZ41" s="149"/>
      <s:c r="FA41" s="149"/>
      <s:c r="FB41" s="149"/>
      <s:c r="FC41" s="149"/>
      <s:c r="FD41" s="149"/>
      <s:c r="FE41" s="149"/>
      <s:c r="FF41" s="149"/>
      <s:c r="FG41" s="149"/>
      <s:c r="FH41" s="149"/>
      <s:c r="FI41" s="149"/>
      <s:c r="FJ41" s="149"/>
      <s:c r="FK41" s="149"/>
      <s:c r="FL41" s="149"/>
      <s:c r="FM41" s="149"/>
      <s:c r="FN41" s="149"/>
      <s:c r="FO41" s="149"/>
      <s:c r="FP41" s="149"/>
      <s:c r="FQ41" s="149"/>
      <s:c r="FR41" s="149"/>
      <s:c r="FS41" s="149"/>
      <s:c r="FT41" s="149"/>
      <s:c r="FU41" s="149"/>
      <s:c r="FV41" s="149"/>
      <s:c r="FW41" s="149"/>
      <s:c r="FX41" s="149"/>
      <s:c r="FY41" s="149"/>
      <s:c r="FZ41" s="149"/>
      <s:c r="GA41" s="149"/>
      <s:c r="GB41" s="149"/>
      <s:c r="GC41" s="149"/>
      <s:c r="GD41" s="149"/>
      <s:c r="GE41" s="149"/>
      <s:c r="GF41" s="149"/>
      <s:c r="GG41" s="149"/>
      <s:c r="GH41" s="149"/>
      <s:c r="GI41" s="149"/>
      <s:c r="GJ41" s="149"/>
      <s:c r="GK41" s="149"/>
      <s:c r="GL41" s="149"/>
      <s:c r="GM41" s="149"/>
      <s:c r="GN41" s="149"/>
      <s:c r="GO41" s="149"/>
      <s:c r="GP41" s="149"/>
      <s:c r="GQ41" s="149"/>
      <s:c r="GR41" s="149"/>
      <s:c r="GS41" s="149"/>
      <s:c r="GT41" s="149"/>
      <s:c r="GU41" s="149"/>
      <s:c r="GV41" s="149"/>
      <s:c r="GW41" s="149"/>
      <s:c r="GX41" s="149"/>
      <s:c r="GY41" s="149"/>
      <s:c r="GZ41" s="149"/>
      <s:c r="HA41" s="149"/>
      <s:c r="HB41" s="149"/>
      <s:c r="HC41" s="149"/>
      <s:c r="HD41" s="149"/>
      <s:c r="HE41" s="149"/>
      <s:c r="HF41" s="149"/>
      <s:c r="HG41" s="149"/>
      <s:c r="HH41" s="149"/>
      <s:c r="HI41" s="149"/>
      <s:c r="HJ41" s="149"/>
      <s:c r="HK41" s="149"/>
      <s:c r="HL41" s="149"/>
      <s:c r="HM41" s="149"/>
      <s:c r="HN41" s="149"/>
      <s:c r="HO41" s="149"/>
      <s:c r="HP41" s="149"/>
      <s:c r="HQ41" s="149"/>
      <s:c r="HR41" s="149"/>
      <s:c r="HS41" s="149"/>
      <s:c r="HT41" s="149"/>
      <s:c r="HU41" s="149"/>
      <s:c r="HV41" s="149"/>
      <s:c r="HW41" s="149"/>
      <s:c r="HX41" s="149"/>
      <s:c r="HY41" s="149"/>
      <s:c r="HZ41" s="149"/>
      <s:c r="IA41" s="149"/>
      <s:c r="IB41" s="149"/>
      <s:c r="IC41" s="149"/>
      <s:c r="ID41" s="149"/>
      <s:c r="IE41" s="149"/>
      <s:c r="IF41" s="149"/>
      <s:c r="IG41" s="149"/>
      <s:c r="IH41" s="149"/>
      <s:c r="II41" s="149"/>
      <s:c r="IJ41" s="149"/>
      <s:c r="IK41" s="149"/>
      <s:c r="IL41" s="149"/>
      <s:c r="IM41" s="149"/>
      <s:c r="IN41" s="149"/>
      <s:c r="IO41" s="149"/>
      <s:c r="IP41" s="149"/>
      <s:c r="IQ41" s="149"/>
      <s:c r="IR41" s="149"/>
      <s:c r="IS41" s="149"/>
      <s:c r="IT41" s="149"/>
      <s:c r="IU41" s="149"/>
      <s:c r="IV41" s="149"/>
      <s:c r="IW41" s="149"/>
      <s:c r="IX41" s="149"/>
      <s:c r="IY41" s="149"/>
    </s:row>
    <s:row r="42" s="135" customFormat="1">
      <s:c r="A42" s="945"/>
      <s:c r="B42" s="120"/>
      <s:c r="C42" s="953"/>
      <s:c r="D42" s="125"/>
      <s:c r="E42" s="124"/>
      <s:c r="F42" s="124" t="str">
        <s:f>IF(AND(E42&lt;&gt;"",E42&lt;&gt;0),D42/E42,"")</s:f>
        <s:v/>
      </s:c>
      <s:c r="G42" s="124"/>
      <s:c r="H42" s="124" t="str">
        <s:f>IF(AND(G42&lt;&gt;"",G42&lt;&gt;0),D42/G42,"")</s:f>
        <s:v/>
      </s:c>
      <s:c r="I42" s="124"/>
      <s:c r="J42" s="125" t="str">
        <s:f>IF(AND(G42&lt;&gt;"",G42&lt;&gt;0),E42/G42,"")</s:f>
        <s:v/>
      </s:c>
      <s:c r="K42" s="126"/>
      <s:c r="L42" s="126"/>
      <s:c r="M42" s="126"/>
      <s:c r="N42" s="126"/>
      <s:c r="O42" s="126"/>
      <s:c r="P42" s="123"/>
      <s:c r="Q42" s="123"/>
      <s:c r="R42" s="128" t="str">
        <s:f>IF(AND(I42&lt;&gt;"",I42&lt;&gt;0),G42/I42,"")</s:f>
        <s:v/>
      </s:c>
      <s:c r="S42" s="144">
        <s:f>D42/T42</s:f>
        <s:v>0</s:v>
      </s:c>
      <s:c r="T42" s="145">
        <s:f>$I$8*Z42*AA42/SUMPRODUCT($AA$25:$AA$55,$Z$25:$Z$55)</s:f>
        <s:v>11409.001237794255</s:v>
      </s:c>
      <s:c r="U42" s="146">
        <s:f>$I$9*Z42*AA42/SUMPRODUCT($AA$25:$AA$55,$Z$25:$Z$55)</s:f>
        <s:v>1.7286365511809478</s:v>
      </s:c>
      <s:c r="V42" s="146">
        <s:f>IF($I$12="","",U42/$I$12)</s:f>
        <s:v>1.01684503010644</s:v>
      </s:c>
      <s:c r="W42" s="145">
        <s:f>IF(AA42&lt;&gt;"",IF(D42&lt;&gt;"",D42,($I$8-SUM($W$25:W41))*Z42*AA42/SUMPRODUCT($AA42:$AA$55,$Z42:$Z$55)),"")</s:f>
        <s:v>9270.6447372639504</s:v>
      </s:c>
      <s:c r="X42" s="146">
        <s:f>IF(AA42&lt;&gt;"",IF(E42&lt;&gt;"",E42,($I$9-SUM($X$25:X41))*Z42*AA42/SUMPRODUCT($AA42:$AA$55,$Z42:$Z$55)),"")</s:f>
        <s:v>1.3762784136449631</s:v>
      </s:c>
      <s:c r="Y42" s="146">
        <s:f>IF(AA42&lt;&gt;"",IF($I$12&lt;&gt;"",IF(G42&lt;&gt;"",G42,($I$9/$I$12-SUM($Y$25:Y41))*Z42*AA42/SUMPRODUCT($AA42:$AA$55,$Z42:$Z$55)),""),"")</s:f>
        <s:v>0.73803340707255305</s:v>
      </s:c>
      <s:c r="Z42" s="147">
        <s:v>1</s:v>
      </s:c>
      <s:c r="AA42" s="147">
        <s:v>1</s:v>
      </s:c>
      <s:c r="AB42" s="148"/>
      <s:c r="AC42" s="148"/>
      <s:c r="AD42" s="197"/>
      <s:c r="AE42" s="149"/>
      <s:c r="AF42" s="149"/>
      <s:c r="AG42" s="149"/>
      <s:c r="AH42" s="149"/>
      <s:c r="AI42" s="149"/>
      <s:c r="AJ42" s="149"/>
      <s:c r="AK42" s="149"/>
      <s:c r="AL42" s="149"/>
      <s:c r="AM42" s="149"/>
      <s:c r="AN42" s="149"/>
    </s:row>
    <s:row r="43" s="135" customFormat="1">
      <s:c r="A43" s="945"/>
      <s:c r="B43" s="120"/>
      <s:c r="C43" s="440"/>
      <s:c r="D43" s="125"/>
      <s:c r="E43" s="124"/>
      <s:c r="F43" s="124" t="str">
        <s:f>IF(AND(E43&lt;&gt;"",E43&lt;&gt;0),D43/E43,"")</s:f>
        <s:v/>
      </s:c>
      <s:c r="G43" s="124"/>
      <s:c r="H43" s="124" t="str">
        <s:f>IF(AND(G43&lt;&gt;"",G43&lt;&gt;0),D43/G43,"")</s:f>
        <s:v/>
      </s:c>
      <s:c r="I43" s="124"/>
      <s:c r="J43" s="125" t="str">
        <s:f>IF(AND(G43&lt;&gt;"",G43&lt;&gt;0),E43/G43,"")</s:f>
        <s:v/>
      </s:c>
      <s:c r="K43" s="126"/>
      <s:c r="L43" s="126"/>
      <s:c r="M43" s="126"/>
      <s:c r="N43" s="126"/>
      <s:c r="O43" s="126"/>
      <s:c r="P43" s="123"/>
      <s:c r="Q43" s="954"/>
      <s:c r="R43" s="128" t="str">
        <s:f>IF(AND(I43&lt;&gt;"",I43&lt;&gt;0),G43/I43,"")</s:f>
        <s:v/>
      </s:c>
      <s:c r="S43" s="144">
        <s:f>D43/T43</s:f>
        <s:v>0</s:v>
      </s:c>
      <s:c r="T43" s="145">
        <s:f>$I$8*Z43*AA43/SUMPRODUCT($AA$25:$AA$55,$Z$25:$Z$55)</s:f>
        <s:v>11409.001237794255</s:v>
      </s:c>
      <s:c r="U43" s="146">
        <s:f>$I$9*Z43*AA43/SUMPRODUCT($AA$25:$AA$55,$Z$25:$Z$55)</s:f>
        <s:v>1.7286365511809478</s:v>
      </s:c>
      <s:c r="V43" s="146">
        <s:f>IF($I$12="","",U43/$I$12)</s:f>
        <s:v>1.01684503010644</s:v>
      </s:c>
      <s:c r="W43" s="145">
        <s:f>IF(AA43&lt;&gt;"",IF(D43&lt;&gt;"",D43,($I$8-SUM($W$25:W42))*Z43*AA43/SUMPRODUCT($AA43:$AA$55,$Z43:$Z$55)),"")</s:f>
        <s:v>9270.6447372639504</s:v>
      </s:c>
      <s:c r="X43" s="146">
        <s:f>IF(AA43&lt;&gt;"",IF(E43&lt;&gt;"",E43,($I$9-SUM($X$25:X42))*Z43*AA43/SUMPRODUCT($AA43:$AA$55,$Z43:$Z$55)),"")</s:f>
        <s:v>1.3762784136449633</s:v>
      </s:c>
      <s:c r="Y43" s="146">
        <s:f>IF(AA43&lt;&gt;"",IF($I$12&lt;&gt;"",IF(G43&lt;&gt;"",G43,($I$9/$I$12-SUM($Y$25:Y42))*Z43*AA43/SUMPRODUCT($AA43:$AA$55,$Z43:$Z$55)),""),"")</s:f>
        <s:v>0.73803340707255294</s:v>
      </s:c>
      <s:c r="Z43" s="147">
        <s:v>1</s:v>
      </s:c>
      <s:c r="AA43" s="147">
        <s:v>1</s:v>
      </s:c>
      <s:c r="AB43" s="148"/>
      <s:c r="AC43" s="148"/>
      <s:c r="AD43" s="197"/>
      <s:c r="AE43" s="149"/>
      <s:c r="AF43" s="149"/>
      <s:c r="AG43" s="149"/>
      <s:c r="AH43" s="149"/>
      <s:c r="AI43" s="149"/>
      <s:c r="AJ43" s="149"/>
      <s:c r="AK43" s="149"/>
      <s:c r="AL43" s="149"/>
      <s:c r="AM43" s="149"/>
      <s:c r="AN43" s="149"/>
    </s:row>
    <s:row r="44" s="135" customFormat="1">
      <s:c r="A44" s="945"/>
      <s:c r="B44" s="120"/>
      <s:c r="C44" s="953"/>
      <s:c r="D44" s="125"/>
      <s:c r="E44" s="124"/>
      <s:c r="F44" s="124" t="str">
        <s:f>IF(AND(E44&lt;&gt;"",E44&lt;&gt;0),D44/E44,"")</s:f>
        <s:v/>
      </s:c>
      <s:c r="G44" s="124"/>
      <s:c r="H44" s="124" t="str">
        <s:f>IF(AND(G44&lt;&gt;"",G44&lt;&gt;0),D44/G44,"")</s:f>
        <s:v/>
      </s:c>
      <s:c r="I44" s="124"/>
      <s:c r="J44" s="125" t="str">
        <s:f>IF(AND(G44&lt;&gt;"",G44&lt;&gt;0),E44/G44,"")</s:f>
        <s:v/>
      </s:c>
      <s:c r="K44" s="126"/>
      <s:c r="L44" s="126"/>
      <s:c r="M44" s="126"/>
      <s:c r="N44" s="126"/>
      <s:c r="O44" s="126"/>
      <s:c r="P44" s="123"/>
      <s:c r="Q44" s="123"/>
      <s:c r="R44" s="128" t="str">
        <s:f>IF(AND(I44&lt;&gt;"",I44&lt;&gt;0),G44/I44,"")</s:f>
        <s:v/>
      </s:c>
      <s:c r="S44" s="144">
        <s:f>D44/T44</s:f>
        <s:v>0</s:v>
      </s:c>
      <s:c r="T44" s="145">
        <s:f>$I$8*Z44*AA44/SUMPRODUCT($AA$25:$AA$55,$Z$25:$Z$55)</s:f>
        <s:v>16428.961782423728</s:v>
      </s:c>
      <s:c r="U44" s="146">
        <s:f>$I$9*Z44*AA44/SUMPRODUCT($AA$25:$AA$55,$Z$25:$Z$55)</s:f>
        <s:v>2.4892366337005649</s:v>
      </s:c>
      <s:c r="V44" s="146">
        <s:f>IF($I$12="","",U44/$I$12)</s:f>
        <s:v>1.4642568433532734</s:v>
      </s:c>
      <s:c r="W44" s="145">
        <s:f>IF(AA44&lt;&gt;"",IF(D44&lt;&gt;"",D44,($I$8-SUM($W$25:W43))*Z44*AA44/SUMPRODUCT($AA44:$AA$55,$Z44:$Z$55)),"")</s:f>
        <s:v>13349.728421660093</s:v>
      </s:c>
      <s:c r="X44" s="146">
        <s:f>IF(AA44&lt;&gt;"",IF(E44&lt;&gt;"",E44,($I$9-SUM($X$25:X43))*Z44*AA44/SUMPRODUCT($AA44:$AA$55,$Z44:$Z$55)),"")</s:f>
        <s:v>1.9818409156487471</s:v>
      </s:c>
      <s:c r="Y44" s="146">
        <s:f>IF(AA44&lt;&gt;"",IF($I$12&lt;&gt;"",IF(G44&lt;&gt;"",G44,($I$9/$I$12-SUM($Y$25:Y43))*Z44*AA44/SUMPRODUCT($AA44:$AA$55,$Z44:$Z$55)),""),"")</s:f>
        <s:v>1.0627681061844763</s:v>
      </s:c>
      <s:c r="Z44" s="147">
        <s:v>1.2</s:v>
      </s:c>
      <s:c r="AA44" s="147">
        <s:v>1.2</s:v>
      </s:c>
      <s:c r="AB44" s="148"/>
      <s:c r="AC44" s="148"/>
      <s:c r="AD44" s="197"/>
      <s:c r="AE44" s="149"/>
      <s:c r="AF44" s="149"/>
      <s:c r="AG44" s="149"/>
      <s:c r="AH44" s="149"/>
      <s:c r="AI44" s="149"/>
      <s:c r="AJ44" s="149"/>
      <s:c r="AK44" s="149"/>
      <s:c r="AL44" s="149"/>
      <s:c r="AM44" s="149"/>
      <s:c r="AN44" s="149"/>
    </s:row>
    <s:row r="45" s="135" customFormat="1">
      <s:c r="A45" s="945"/>
      <s:c r="B45" s="120"/>
      <s:c r="C45" s="440"/>
      <s:c r="D45" s="125"/>
      <s:c r="E45" s="124"/>
      <s:c r="F45" s="124" t="str">
        <s:f>IF(AND(E45&lt;&gt;"",E45&lt;&gt;0),D45/E45,"")</s:f>
        <s:v/>
      </s:c>
      <s:c r="G45" s="124"/>
      <s:c r="H45" s="124" t="str">
        <s:f>IF(AND(G45&lt;&gt;"",G45&lt;&gt;0),D45/G45,"")</s:f>
        <s:v/>
      </s:c>
      <s:c r="I45" s="124"/>
      <s:c r="J45" s="125" t="str">
        <s:f>IF(AND(G45&lt;&gt;"",G45&lt;&gt;0),E45/G45,"")</s:f>
        <s:v/>
      </s:c>
      <s:c r="K45" s="126"/>
      <s:c r="L45" s="126"/>
      <s:c r="M45" s="126"/>
      <s:c r="N45" s="126"/>
      <s:c r="O45" s="126"/>
      <s:c r="P45" s="123"/>
      <s:c r="Q45" s="123"/>
      <s:c r="R45" s="128" t="str">
        <s:f>IF(AND(I45&lt;&gt;"",I45&lt;&gt;0),G45/I45,"")</s:f>
        <s:v/>
      </s:c>
      <s:c r="S45" s="144">
        <s:f>D45/T45</s:f>
        <s:v>0</s:v>
      </s:c>
      <s:c r="T45" s="145">
        <s:f>$I$8*Z45*AA45/SUMPRODUCT($AA$25:$AA$55,$Z$25:$Z$55)</s:f>
        <s:v>16428.961782423728</s:v>
      </s:c>
      <s:c r="U45" s="146">
        <s:f>$I$9*Z45*AA45/SUMPRODUCT($AA$25:$AA$55,$Z$25:$Z$55)</s:f>
        <s:v>2.4892366337005649</s:v>
      </s:c>
      <s:c r="V45" s="146">
        <s:f>IF($I$12="","",U45/$I$12)</s:f>
        <s:v>1.4642568433532734</s:v>
      </s:c>
      <s:c r="W45" s="145">
        <s:f>IF(AA45&lt;&gt;"",IF(D45&lt;&gt;"",D45,($I$8-SUM($W$25:W44))*Z45*AA45/SUMPRODUCT($AA45:$AA$55,$Z45:$Z$55)),"")</s:f>
        <s:v>13349.728421660091</s:v>
      </s:c>
      <s:c r="X45" s="146">
        <s:f>IF(AA45&lt;&gt;"",IF(E45&lt;&gt;"",E45,($I$9-SUM($X$25:X44))*Z45*AA45/SUMPRODUCT($AA45:$AA$55,$Z45:$Z$55)),"")</s:f>
        <s:v>1.9818409156487473</s:v>
      </s:c>
      <s:c r="Y45" s="146">
        <s:f>IF(AA45&lt;&gt;"",IF($I$12&lt;&gt;"",IF(G45&lt;&gt;"",G45,($I$9/$I$12-SUM($Y$25:Y44))*Z45*AA45/SUMPRODUCT($AA45:$AA$55,$Z45:$Z$55)),""),"")</s:f>
        <s:v>1.0627681061844765</s:v>
      </s:c>
      <s:c r="Z45" s="147">
        <s:v>1.2</s:v>
      </s:c>
      <s:c r="AA45" s="147">
        <s:v>1.2</s:v>
      </s:c>
      <s:c r="AB45" s="148"/>
      <s:c r="AC45" s="148"/>
      <s:c r="AD45" s="197"/>
      <s:c r="AE45" s="149"/>
      <s:c r="AF45" s="149"/>
      <s:c r="AG45" s="149"/>
      <s:c r="AH45" s="149"/>
      <s:c r="AI45" s="149"/>
      <s:c r="AJ45" s="149"/>
      <s:c r="AK45" s="149"/>
      <s:c r="AL45" s="149"/>
      <s:c r="AM45" s="149"/>
      <s:c r="AN45" s="149"/>
    </s:row>
    <s:row r="46" s="135" customFormat="1">
      <s:c r="A46" s="945"/>
      <s:c r="B46" s="120"/>
      <s:c r="C46" s="953"/>
      <s:c r="D46" s="125"/>
      <s:c r="E46" s="124"/>
      <s:c r="F46" s="124" t="str">
        <s:f>IF(AND(E46&lt;&gt;"",E46&lt;&gt;0),D46/E46,"")</s:f>
        <s:v/>
      </s:c>
      <s:c r="G46" s="124"/>
      <s:c r="H46" s="124" t="str">
        <s:f>IF(AND(G46&lt;&gt;"",G46&lt;&gt;0),D46/G46,"")</s:f>
        <s:v/>
      </s:c>
      <s:c r="I46" s="124"/>
      <s:c r="J46" s="125" t="str">
        <s:f>IF(AND(G46&lt;&gt;"",G46&lt;&gt;0),E46/G46,"")</s:f>
        <s:v/>
      </s:c>
      <s:c r="K46" s="126"/>
      <s:c r="L46" s="126"/>
      <s:c r="M46" s="126"/>
      <s:c r="N46" s="126"/>
      <s:c r="O46" s="126"/>
      <s:c r="P46" s="123"/>
      <s:c r="Q46" s="123"/>
      <s:c r="R46" s="128" t="str">
        <s:f>IF(AND(I46&lt;&gt;"",I46&lt;&gt;0),G46/I46,"")</s:f>
        <s:v/>
      </s:c>
      <s:c r="S46" s="144">
        <s:f>D46/T46</s:f>
        <s:v>0</s:v>
      </s:c>
      <s:c r="T46" s="145">
        <s:f>$I$8*Z46*AA46/SUMPRODUCT($AA$25:$AA$55,$Z$25:$Z$55)</s:f>
        <s:v>16428.961782423728</s:v>
      </s:c>
      <s:c r="U46" s="146">
        <s:f>$I$9*Z46*AA46/SUMPRODUCT($AA$25:$AA$55,$Z$25:$Z$55)</s:f>
        <s:v>2.4892366337005649</s:v>
      </s:c>
      <s:c r="V46" s="146">
        <s:f>IF($I$12="","",U46/$I$12)</s:f>
        <s:v>1.4642568433532734</s:v>
      </s:c>
      <s:c r="W46" s="145">
        <s:f>IF(AA46&lt;&gt;"",IF(D46&lt;&gt;"",D46,($I$8-SUM($W$25:W45))*Z46*AA46/SUMPRODUCT($AA46:$AA$55,$Z46:$Z$55)),"")</s:f>
        <s:v>13349.728421660095</s:v>
      </s:c>
      <s:c r="X46" s="146">
        <s:f>IF(AA46&lt;&gt;"",IF(E46&lt;&gt;"",E46,($I$9-SUM($X$25:X45))*Z46*AA46/SUMPRODUCT($AA46:$AA$55,$Z46:$Z$55)),"")</s:f>
        <s:v>1.9818409156487471</s:v>
      </s:c>
      <s:c r="Y46" s="146">
        <s:f>IF(AA46&lt;&gt;"",IF($I$12&lt;&gt;"",IF(G46&lt;&gt;"",G46,($I$9/$I$12-SUM($Y$25:Y45))*Z46*AA46/SUMPRODUCT($AA46:$AA$55,$Z46:$Z$55)),""),"")</s:f>
        <s:v>1.0627681061844769</s:v>
      </s:c>
      <s:c r="Z46" s="147">
        <s:v>1.2</s:v>
      </s:c>
      <s:c r="AA46" s="147">
        <s:v>1.2</s:v>
      </s:c>
      <s:c r="AB46" s="148"/>
      <s:c r="AC46" s="148"/>
      <s:c r="AD46" s="197"/>
      <s:c r="AE46" s="149"/>
      <s:c r="AF46" s="149"/>
      <s:c r="AG46" s="149"/>
      <s:c r="AH46" s="149"/>
      <s:c r="AI46" s="149"/>
      <s:c r="AJ46" s="149"/>
      <s:c r="AK46" s="149"/>
      <s:c r="AL46" s="149"/>
      <s:c r="AM46" s="149"/>
      <s:c r="AN46" s="149"/>
      <s:c r="AO46" s="149"/>
      <s:c r="AP46" s="149"/>
      <s:c r="AQ46" s="149"/>
      <s:c r="AR46" s="149"/>
      <s:c r="AS46" s="149"/>
      <s:c r="AT46" s="149"/>
      <s:c r="AU46" s="149"/>
      <s:c r="AV46" s="149"/>
      <s:c r="AW46" s="149"/>
      <s:c r="AX46" s="149"/>
      <s:c r="AY46" s="149"/>
      <s:c r="AZ46" s="149"/>
      <s:c r="BA46" s="149"/>
      <s:c r="BB46" s="149"/>
      <s:c r="BC46" s="149"/>
      <s:c r="BD46" s="149"/>
      <s:c r="BE46" s="149"/>
      <s:c r="BF46" s="149"/>
      <s:c r="BG46" s="149"/>
      <s:c r="BH46" s="149"/>
      <s:c r="BI46" s="149"/>
      <s:c r="BJ46" s="149"/>
      <s:c r="BK46" s="149"/>
      <s:c r="BL46" s="149"/>
      <s:c r="BM46" s="149"/>
      <s:c r="BN46" s="149"/>
      <s:c r="BO46" s="149"/>
      <s:c r="BP46" s="149"/>
      <s:c r="BQ46" s="149"/>
      <s:c r="BR46" s="149"/>
      <s:c r="BS46" s="149"/>
      <s:c r="BT46" s="149"/>
      <s:c r="BU46" s="149"/>
      <s:c r="BV46" s="149"/>
      <s:c r="BW46" s="149"/>
      <s:c r="BX46" s="149"/>
      <s:c r="BY46" s="149"/>
      <s:c r="BZ46" s="149"/>
      <s:c r="CA46" s="149"/>
      <s:c r="CB46" s="149"/>
      <s:c r="CC46" s="149"/>
      <s:c r="CD46" s="149"/>
      <s:c r="CE46" s="149"/>
      <s:c r="CF46" s="149"/>
      <s:c r="CG46" s="149"/>
      <s:c r="CH46" s="149"/>
      <s:c r="CI46" s="149"/>
      <s:c r="CJ46" s="149"/>
      <s:c r="CK46" s="149"/>
      <s:c r="CL46" s="149"/>
      <s:c r="CM46" s="149"/>
      <s:c r="CN46" s="149"/>
      <s:c r="CO46" s="149"/>
      <s:c r="CP46" s="149"/>
      <s:c r="CQ46" s="149"/>
      <s:c r="CR46" s="149"/>
      <s:c r="CS46" s="149"/>
      <s:c r="CT46" s="149"/>
      <s:c r="CU46" s="149"/>
      <s:c r="CV46" s="149"/>
      <s:c r="CW46" s="149"/>
      <s:c r="CX46" s="149"/>
      <s:c r="CY46" s="149"/>
      <s:c r="CZ46" s="149"/>
      <s:c r="DA46" s="149"/>
      <s:c r="DB46" s="149"/>
      <s:c r="DC46" s="149"/>
      <s:c r="DD46" s="149"/>
      <s:c r="DE46" s="149"/>
      <s:c r="DF46" s="149"/>
      <s:c r="DG46" s="149"/>
      <s:c r="DH46" s="149"/>
      <s:c r="DI46" s="149"/>
      <s:c r="DJ46" s="149"/>
      <s:c r="DK46" s="149"/>
      <s:c r="DL46" s="149"/>
      <s:c r="DM46" s="149"/>
      <s:c r="DN46" s="149"/>
      <s:c r="DO46" s="149"/>
      <s:c r="DP46" s="149"/>
      <s:c r="DQ46" s="149"/>
      <s:c r="DR46" s="149"/>
      <s:c r="DS46" s="149"/>
      <s:c r="DT46" s="149"/>
      <s:c r="DU46" s="149"/>
      <s:c r="DV46" s="149"/>
      <s:c r="DW46" s="149"/>
      <s:c r="DX46" s="149"/>
      <s:c r="DY46" s="149"/>
      <s:c r="DZ46" s="149"/>
      <s:c r="EA46" s="149"/>
      <s:c r="EB46" s="149"/>
      <s:c r="EC46" s="149"/>
      <s:c r="ED46" s="149"/>
      <s:c r="EE46" s="149"/>
      <s:c r="EF46" s="149"/>
      <s:c r="EG46" s="149"/>
      <s:c r="EH46" s="149"/>
      <s:c r="EI46" s="149"/>
      <s:c r="EJ46" s="149"/>
      <s:c r="EK46" s="149"/>
      <s:c r="EL46" s="149"/>
      <s:c r="EM46" s="149"/>
      <s:c r="EN46" s="149"/>
      <s:c r="EO46" s="149"/>
      <s:c r="EP46" s="149"/>
      <s:c r="EQ46" s="149"/>
      <s:c r="ER46" s="149"/>
      <s:c r="ES46" s="149"/>
      <s:c r="ET46" s="149"/>
      <s:c r="EU46" s="149"/>
      <s:c r="EV46" s="149"/>
      <s:c r="EW46" s="149"/>
      <s:c r="EX46" s="149"/>
      <s:c r="EY46" s="149"/>
      <s:c r="EZ46" s="149"/>
      <s:c r="FA46" s="149"/>
      <s:c r="FB46" s="149"/>
      <s:c r="FC46" s="149"/>
      <s:c r="FD46" s="149"/>
      <s:c r="FE46" s="149"/>
      <s:c r="FF46" s="149"/>
      <s:c r="FG46" s="149"/>
      <s:c r="FH46" s="149"/>
      <s:c r="FI46" s="149"/>
      <s:c r="FJ46" s="149"/>
      <s:c r="FK46" s="149"/>
      <s:c r="FL46" s="149"/>
      <s:c r="FM46" s="149"/>
      <s:c r="FN46" s="149"/>
      <s:c r="FO46" s="149"/>
      <s:c r="FP46" s="149"/>
      <s:c r="FQ46" s="149"/>
      <s:c r="FR46" s="149"/>
      <s:c r="FS46" s="149"/>
      <s:c r="FT46" s="149"/>
      <s:c r="FU46" s="149"/>
      <s:c r="FV46" s="149"/>
      <s:c r="FW46" s="149"/>
      <s:c r="FX46" s="149"/>
      <s:c r="FY46" s="149"/>
      <s:c r="FZ46" s="149"/>
      <s:c r="GA46" s="149"/>
      <s:c r="GB46" s="149"/>
      <s:c r="GC46" s="149"/>
      <s:c r="GD46" s="149"/>
      <s:c r="GE46" s="149"/>
      <s:c r="GF46" s="149"/>
      <s:c r="GG46" s="149"/>
      <s:c r="GH46" s="149"/>
      <s:c r="GI46" s="149"/>
      <s:c r="GJ46" s="149"/>
      <s:c r="GK46" s="149"/>
      <s:c r="GL46" s="149"/>
      <s:c r="GM46" s="149"/>
      <s:c r="GN46" s="149"/>
      <s:c r="GO46" s="149"/>
      <s:c r="GP46" s="149"/>
      <s:c r="GQ46" s="149"/>
      <s:c r="GR46" s="149"/>
      <s:c r="GS46" s="149"/>
      <s:c r="GT46" s="149"/>
      <s:c r="GU46" s="149"/>
      <s:c r="GV46" s="149"/>
      <s:c r="GW46" s="149"/>
      <s:c r="GX46" s="149"/>
      <s:c r="GY46" s="149"/>
      <s:c r="GZ46" s="149"/>
      <s:c r="HA46" s="149"/>
      <s:c r="HB46" s="149"/>
      <s:c r="HC46" s="149"/>
      <s:c r="HD46" s="149"/>
      <s:c r="HE46" s="149"/>
      <s:c r="HF46" s="149"/>
      <s:c r="HG46" s="149"/>
      <s:c r="HH46" s="149"/>
      <s:c r="HI46" s="149"/>
      <s:c r="HJ46" s="149"/>
      <s:c r="HK46" s="149"/>
      <s:c r="HL46" s="149"/>
      <s:c r="HM46" s="149"/>
      <s:c r="HN46" s="149"/>
      <s:c r="HO46" s="149"/>
      <s:c r="HP46" s="149"/>
      <s:c r="HQ46" s="149"/>
      <s:c r="HR46" s="149"/>
      <s:c r="HS46" s="149"/>
      <s:c r="HT46" s="149"/>
      <s:c r="HU46" s="149"/>
      <s:c r="HV46" s="149"/>
      <s:c r="HW46" s="149"/>
      <s:c r="HX46" s="149"/>
      <s:c r="HY46" s="149"/>
      <s:c r="HZ46" s="149"/>
      <s:c r="IA46" s="149"/>
      <s:c r="IB46" s="149"/>
      <s:c r="IC46" s="149"/>
      <s:c r="ID46" s="149"/>
      <s:c r="IE46" s="149"/>
      <s:c r="IF46" s="149"/>
      <s:c r="IG46" s="149"/>
      <s:c r="IH46" s="149"/>
      <s:c r="II46" s="149"/>
      <s:c r="IJ46" s="149"/>
      <s:c r="IK46" s="149"/>
      <s:c r="IL46" s="149"/>
      <s:c r="IM46" s="149"/>
      <s:c r="IN46" s="149"/>
      <s:c r="IO46" s="149"/>
      <s:c r="IP46" s="149"/>
      <s:c r="IQ46" s="149"/>
      <s:c r="IR46" s="149"/>
      <s:c r="IS46" s="149"/>
      <s:c r="IT46" s="149"/>
      <s:c r="IU46" s="149"/>
      <s:c r="IV46" s="149"/>
      <s:c r="IW46" s="149"/>
      <s:c r="IX46" s="149"/>
      <s:c r="IY46" s="149"/>
    </s:row>
    <s:row r="47" s="135" customFormat="1">
      <s:c r="A47" s="945"/>
      <s:c r="B47" s="120"/>
      <s:c r="C47" s="440"/>
      <s:c r="D47" s="125"/>
      <s:c r="E47" s="124"/>
      <s:c r="F47" s="124" t="str">
        <s:f>IF(AND(E47&lt;&gt;"",E47&lt;&gt;0),D47/E47,"")</s:f>
        <s:v/>
      </s:c>
      <s:c r="G47" s="124"/>
      <s:c r="H47" s="124" t="str">
        <s:f>IF(AND(G47&lt;&gt;"",G47&lt;&gt;0),D47/G47,"")</s:f>
        <s:v/>
      </s:c>
      <s:c r="I47" s="124"/>
      <s:c r="J47" s="125" t="str">
        <s:f>IF(AND(G47&lt;&gt;"",G47&lt;&gt;0),E47/G47,"")</s:f>
        <s:v/>
      </s:c>
      <s:c r="K47" s="126"/>
      <s:c r="L47" s="126"/>
      <s:c r="M47" s="126"/>
      <s:c r="N47" s="126"/>
      <s:c r="O47" s="126"/>
      <s:c r="P47" s="123"/>
      <s:c r="Q47" s="123"/>
      <s:c r="R47" s="128" t="str">
        <s:f>IF(AND(I47&lt;&gt;"",I47&lt;&gt;0),G47/I47,"")</s:f>
        <s:v/>
      </s:c>
      <s:c r="S47" s="144">
        <s:f>D47/T47</s:f>
        <s:v>0</s:v>
      </s:c>
      <s:c r="T47" s="145">
        <s:f>$I$8*Z47*AA47/SUMPRODUCT($AA$25:$AA$55,$Z$25:$Z$55)</s:f>
        <s:v>16428.961782423728</s:v>
      </s:c>
      <s:c r="U47" s="146">
        <s:f>$I$9*Z47*AA47/SUMPRODUCT($AA$25:$AA$55,$Z$25:$Z$55)</s:f>
        <s:v>2.4892366337005649</s:v>
      </s:c>
      <s:c r="V47" s="146">
        <s:f>IF($I$12="","",U47/$I$12)</s:f>
        <s:v>1.4642568433532734</s:v>
      </s:c>
      <s:c r="W47" s="145">
        <s:f>IF(AA47&lt;&gt;"",IF(D47&lt;&gt;"",D47,($I$8-SUM($W$25:W46))*Z47*AA47/SUMPRODUCT($AA47:$AA$55,$Z47:$Z$55)),"")</s:f>
        <s:v>13349.728421660089</s:v>
      </s:c>
      <s:c r="X47" s="146">
        <s:f>IF(AA47&lt;&gt;"",IF(E47&lt;&gt;"",E47,($I$9-SUM($X$25:X46))*Z47*AA47/SUMPRODUCT($AA47:$AA$55,$Z47:$Z$55)),"")</s:f>
        <s:v>1.981840915648748</s:v>
      </s:c>
      <s:c r="Y47" s="146">
        <s:f>IF(AA47&lt;&gt;"",IF($I$12&lt;&gt;"",IF(G47&lt;&gt;"",G47,($I$9/$I$12-SUM($Y$25:Y46))*Z47*AA47/SUMPRODUCT($AA47:$AA$55,$Z47:$Z$55)),""),"")</s:f>
        <s:v>1.0627681061844765</s:v>
      </s:c>
      <s:c r="Z47" s="147">
        <s:v>1.2</s:v>
      </s:c>
      <s:c r="AA47" s="147">
        <s:v>1.2</s:v>
      </s:c>
      <s:c r="AB47" s="148"/>
      <s:c r="AC47" s="148"/>
      <s:c r="AD47" s="197"/>
      <s:c r="AE47" s="149"/>
      <s:c r="AF47" s="149"/>
      <s:c r="AG47" s="149"/>
      <s:c r="AH47" s="149"/>
      <s:c r="AI47" s="149"/>
      <s:c r="AJ47" s="149"/>
      <s:c r="AK47" s="149"/>
      <s:c r="AL47" s="149"/>
      <s:c r="AM47" s="149"/>
      <s:c r="AN47" s="149"/>
      <s:c r="AO47" s="149"/>
      <s:c r="AP47" s="149"/>
      <s:c r="AQ47" s="149"/>
      <s:c r="AR47" s="149"/>
      <s:c r="AS47" s="149"/>
      <s:c r="AT47" s="149"/>
      <s:c r="AU47" s="149"/>
      <s:c r="AV47" s="149"/>
      <s:c r="AW47" s="149"/>
      <s:c r="AX47" s="149"/>
      <s:c r="AY47" s="149"/>
      <s:c r="AZ47" s="149"/>
      <s:c r="BA47" s="149"/>
      <s:c r="BB47" s="149"/>
      <s:c r="BC47" s="149"/>
      <s:c r="BD47" s="149"/>
      <s:c r="BE47" s="149"/>
      <s:c r="BF47" s="149"/>
      <s:c r="BG47" s="149"/>
      <s:c r="BH47" s="149"/>
      <s:c r="BI47" s="149"/>
      <s:c r="BJ47" s="149"/>
      <s:c r="BK47" s="149"/>
      <s:c r="BL47" s="149"/>
      <s:c r="BM47" s="149"/>
      <s:c r="BN47" s="149"/>
      <s:c r="BO47" s="149"/>
      <s:c r="BP47" s="149"/>
      <s:c r="BQ47" s="149"/>
      <s:c r="BR47" s="149"/>
      <s:c r="BS47" s="149"/>
      <s:c r="BT47" s="149"/>
      <s:c r="BU47" s="149"/>
      <s:c r="BV47" s="149"/>
      <s:c r="BW47" s="149"/>
      <s:c r="BX47" s="149"/>
      <s:c r="BY47" s="149"/>
      <s:c r="BZ47" s="149"/>
      <s:c r="CA47" s="149"/>
      <s:c r="CB47" s="149"/>
      <s:c r="CC47" s="149"/>
      <s:c r="CD47" s="149"/>
      <s:c r="CE47" s="149"/>
      <s:c r="CF47" s="149"/>
      <s:c r="CG47" s="149"/>
      <s:c r="CH47" s="149"/>
      <s:c r="CI47" s="149"/>
      <s:c r="CJ47" s="149"/>
      <s:c r="CK47" s="149"/>
      <s:c r="CL47" s="149"/>
      <s:c r="CM47" s="149"/>
      <s:c r="CN47" s="149"/>
      <s:c r="CO47" s="149"/>
      <s:c r="CP47" s="149"/>
      <s:c r="CQ47" s="149"/>
      <s:c r="CR47" s="149"/>
      <s:c r="CS47" s="149"/>
      <s:c r="CT47" s="149"/>
      <s:c r="CU47" s="149"/>
      <s:c r="CV47" s="149"/>
      <s:c r="CW47" s="149"/>
      <s:c r="CX47" s="149"/>
      <s:c r="CY47" s="149"/>
      <s:c r="CZ47" s="149"/>
      <s:c r="DA47" s="149"/>
      <s:c r="DB47" s="149"/>
      <s:c r="DC47" s="149"/>
      <s:c r="DD47" s="149"/>
      <s:c r="DE47" s="149"/>
      <s:c r="DF47" s="149"/>
      <s:c r="DG47" s="149"/>
      <s:c r="DH47" s="149"/>
      <s:c r="DI47" s="149"/>
      <s:c r="DJ47" s="149"/>
      <s:c r="DK47" s="149"/>
      <s:c r="DL47" s="149"/>
      <s:c r="DM47" s="149"/>
      <s:c r="DN47" s="149"/>
      <s:c r="DO47" s="149"/>
      <s:c r="DP47" s="149"/>
      <s:c r="DQ47" s="149"/>
      <s:c r="DR47" s="149"/>
      <s:c r="DS47" s="149"/>
      <s:c r="DT47" s="149"/>
      <s:c r="DU47" s="149"/>
      <s:c r="DV47" s="149"/>
      <s:c r="DW47" s="149"/>
      <s:c r="DX47" s="149"/>
      <s:c r="DY47" s="149"/>
      <s:c r="DZ47" s="149"/>
      <s:c r="EA47" s="149"/>
      <s:c r="EB47" s="149"/>
      <s:c r="EC47" s="149"/>
      <s:c r="ED47" s="149"/>
      <s:c r="EE47" s="149"/>
      <s:c r="EF47" s="149"/>
      <s:c r="EG47" s="149"/>
      <s:c r="EH47" s="149"/>
      <s:c r="EI47" s="149"/>
      <s:c r="EJ47" s="149"/>
      <s:c r="EK47" s="149"/>
      <s:c r="EL47" s="149"/>
      <s:c r="EM47" s="149"/>
      <s:c r="EN47" s="149"/>
      <s:c r="EO47" s="149"/>
      <s:c r="EP47" s="149"/>
      <s:c r="EQ47" s="149"/>
      <s:c r="ER47" s="149"/>
      <s:c r="ES47" s="149"/>
      <s:c r="ET47" s="149"/>
      <s:c r="EU47" s="149"/>
      <s:c r="EV47" s="149"/>
      <s:c r="EW47" s="149"/>
      <s:c r="EX47" s="149"/>
      <s:c r="EY47" s="149"/>
      <s:c r="EZ47" s="149"/>
      <s:c r="FA47" s="149"/>
      <s:c r="FB47" s="149"/>
      <s:c r="FC47" s="149"/>
      <s:c r="FD47" s="149"/>
      <s:c r="FE47" s="149"/>
      <s:c r="FF47" s="149"/>
      <s:c r="FG47" s="149"/>
      <s:c r="FH47" s="149"/>
      <s:c r="FI47" s="149"/>
      <s:c r="FJ47" s="149"/>
      <s:c r="FK47" s="149"/>
      <s:c r="FL47" s="149"/>
      <s:c r="FM47" s="149"/>
      <s:c r="FN47" s="149"/>
      <s:c r="FO47" s="149"/>
      <s:c r="FP47" s="149"/>
      <s:c r="FQ47" s="149"/>
      <s:c r="FR47" s="149"/>
      <s:c r="FS47" s="149"/>
      <s:c r="FT47" s="149"/>
      <s:c r="FU47" s="149"/>
      <s:c r="FV47" s="149"/>
      <s:c r="FW47" s="149"/>
      <s:c r="FX47" s="149"/>
      <s:c r="FY47" s="149"/>
      <s:c r="FZ47" s="149"/>
      <s:c r="GA47" s="149"/>
      <s:c r="GB47" s="149"/>
      <s:c r="GC47" s="149"/>
      <s:c r="GD47" s="149"/>
      <s:c r="GE47" s="149"/>
      <s:c r="GF47" s="149"/>
      <s:c r="GG47" s="149"/>
      <s:c r="GH47" s="149"/>
      <s:c r="GI47" s="149"/>
      <s:c r="GJ47" s="149"/>
      <s:c r="GK47" s="149"/>
      <s:c r="GL47" s="149"/>
      <s:c r="GM47" s="149"/>
      <s:c r="GN47" s="149"/>
      <s:c r="GO47" s="149"/>
      <s:c r="GP47" s="149"/>
      <s:c r="GQ47" s="149"/>
      <s:c r="GR47" s="149"/>
      <s:c r="GS47" s="149"/>
      <s:c r="GT47" s="149"/>
      <s:c r="GU47" s="149"/>
      <s:c r="GV47" s="149"/>
      <s:c r="GW47" s="149"/>
      <s:c r="GX47" s="149"/>
      <s:c r="GY47" s="149"/>
      <s:c r="GZ47" s="149"/>
      <s:c r="HA47" s="149"/>
      <s:c r="HB47" s="149"/>
      <s:c r="HC47" s="149"/>
      <s:c r="HD47" s="149"/>
      <s:c r="HE47" s="149"/>
      <s:c r="HF47" s="149"/>
      <s:c r="HG47" s="149"/>
      <s:c r="HH47" s="149"/>
      <s:c r="HI47" s="149"/>
      <s:c r="HJ47" s="149"/>
      <s:c r="HK47" s="149"/>
      <s:c r="HL47" s="149"/>
      <s:c r="HM47" s="149"/>
      <s:c r="HN47" s="149"/>
      <s:c r="HO47" s="149"/>
      <s:c r="HP47" s="149"/>
      <s:c r="HQ47" s="149"/>
      <s:c r="HR47" s="149"/>
      <s:c r="HS47" s="149"/>
      <s:c r="HT47" s="149"/>
      <s:c r="HU47" s="149"/>
      <s:c r="HV47" s="149"/>
      <s:c r="HW47" s="149"/>
      <s:c r="HX47" s="149"/>
      <s:c r="HY47" s="149"/>
      <s:c r="HZ47" s="149"/>
      <s:c r="IA47" s="149"/>
      <s:c r="IB47" s="149"/>
      <s:c r="IC47" s="149"/>
      <s:c r="ID47" s="149"/>
      <s:c r="IE47" s="149"/>
      <s:c r="IF47" s="149"/>
      <s:c r="IG47" s="149"/>
      <s:c r="IH47" s="149"/>
      <s:c r="II47" s="149"/>
      <s:c r="IJ47" s="149"/>
      <s:c r="IK47" s="149"/>
      <s:c r="IL47" s="149"/>
      <s:c r="IM47" s="149"/>
      <s:c r="IN47" s="149"/>
      <s:c r="IO47" s="149"/>
      <s:c r="IP47" s="149"/>
      <s:c r="IQ47" s="149"/>
      <s:c r="IR47" s="149"/>
      <s:c r="IS47" s="149"/>
      <s:c r="IT47" s="149"/>
      <s:c r="IU47" s="149"/>
      <s:c r="IV47" s="149"/>
      <s:c r="IW47" s="149"/>
      <s:c r="IX47" s="149"/>
      <s:c r="IY47" s="149"/>
    </s:row>
    <s:row r="48" s="135" customFormat="1" ht="15" customHeight="1">
      <s:c r="A48" s="945"/>
      <s:c r="B48" s="120"/>
      <s:c r="C48" s="953"/>
      <s:c r="D48" s="125"/>
      <s:c r="E48" s="124"/>
      <s:c r="F48" s="124" t="str">
        <s:f>IF(AND(E48&lt;&gt;"",E48&lt;&gt;0),D48/E48,"")</s:f>
        <s:v/>
      </s:c>
      <s:c r="G48" s="124"/>
      <s:c r="H48" s="124" t="str">
        <s:f>IF(AND(G48&lt;&gt;"",G48&lt;&gt;0),D48/G48,"")</s:f>
        <s:v/>
      </s:c>
      <s:c r="I48" s="124"/>
      <s:c r="J48" s="125" t="str">
        <s:f>IF(AND(G48&lt;&gt;"",G48&lt;&gt;0),E48/G48,"")</s:f>
        <s:v/>
      </s:c>
      <s:c r="K48" s="126"/>
      <s:c r="L48" s="126"/>
      <s:c r="M48" s="126"/>
      <s:c r="N48" s="126"/>
      <s:c r="O48" s="126"/>
      <s:c r="P48" s="123"/>
      <s:c r="Q48" s="123"/>
      <s:c r="R48" s="128" t="str">
        <s:f>IF(AND(I48&lt;&gt;"",I48&lt;&gt;0),G48/I48,"")</s:f>
        <s:v/>
      </s:c>
      <s:c r="S48" s="144">
        <s:f>D48/T48</s:f>
        <s:v>0</s:v>
      </s:c>
      <s:c r="T48" s="145">
        <s:f>$I$8*Z48*AA48/SUMPRODUCT($AA$25:$AA$55,$Z$25:$Z$55)</s:f>
        <s:v>16428.961782423728</s:v>
      </s:c>
      <s:c r="U48" s="146">
        <s:f>$I$9*Z48*AA48/SUMPRODUCT($AA$25:$AA$55,$Z$25:$Z$55)</s:f>
        <s:v>2.4892366337005649</s:v>
      </s:c>
      <s:c r="V48" s="146">
        <s:f>IF($I$12="","",U48/$I$12)</s:f>
        <s:v>1.4642568433532734</s:v>
      </s:c>
      <s:c r="W48" s="145">
        <s:f>IF(AA48&lt;&gt;"",IF(D48&lt;&gt;"",D48,($I$8-SUM($W$25:W47))*Z48*AA48/SUMPRODUCT($AA48:$AA$55,$Z48:$Z$55)),"")</s:f>
        <s:v>13349.728421660095</s:v>
      </s:c>
      <s:c r="X48" s="146">
        <s:f>IF(AA48&lt;&gt;"",IF(E48&lt;&gt;"",E48,($I$9-SUM($X$25:X47))*Z48*AA48/SUMPRODUCT($AA48:$AA$55,$Z48:$Z$55)),"")</s:f>
        <s:v>1.9818409156487493</s:v>
      </s:c>
      <s:c r="Y48" s="146">
        <s:f>IF(AA48&lt;&gt;"",IF($I$12&lt;&gt;"",IF(G48&lt;&gt;"",G48,($I$9/$I$12-SUM($Y$25:Y47))*Z48*AA48/SUMPRODUCT($AA48:$AA$55,$Z48:$Z$55)),""),"")</s:f>
        <s:v>1.0627681061844754</s:v>
      </s:c>
      <s:c r="Z48" s="147">
        <s:v>1.2</s:v>
      </s:c>
      <s:c r="AA48" s="147">
        <s:v>1.2</s:v>
      </s:c>
      <s:c r="AB48" s="148"/>
      <s:c r="AC48" s="148"/>
      <s:c r="AD48" s="197"/>
      <s:c r="AE48" s="149"/>
      <s:c r="AF48" s="149"/>
      <s:c r="AG48" s="149"/>
      <s:c r="AH48" s="149"/>
      <s:c r="AI48" s="149"/>
      <s:c r="AJ48" s="149"/>
      <s:c r="AK48" s="149"/>
      <s:c r="AL48" s="149"/>
      <s:c r="AM48" s="149"/>
      <s:c r="AN48" s="149"/>
      <s:c r="AO48" s="149"/>
      <s:c r="AP48" s="149"/>
      <s:c r="AQ48" s="149"/>
      <s:c r="AR48" s="149"/>
      <s:c r="AS48" s="149"/>
      <s:c r="AT48" s="149"/>
      <s:c r="AU48" s="149"/>
      <s:c r="AV48" s="149"/>
      <s:c r="AW48" s="149"/>
      <s:c r="AX48" s="149"/>
      <s:c r="AY48" s="149"/>
      <s:c r="AZ48" s="149"/>
      <s:c r="BA48" s="149"/>
      <s:c r="BB48" s="149"/>
      <s:c r="BC48" s="149"/>
      <s:c r="BD48" s="149"/>
      <s:c r="BE48" s="149"/>
      <s:c r="BF48" s="149"/>
      <s:c r="BG48" s="149"/>
      <s:c r="BH48" s="149"/>
      <s:c r="BI48" s="149"/>
      <s:c r="BJ48" s="149"/>
      <s:c r="BK48" s="149"/>
      <s:c r="BL48" s="149"/>
      <s:c r="BM48" s="149"/>
      <s:c r="BN48" s="149"/>
      <s:c r="BO48" s="149"/>
      <s:c r="BP48" s="149"/>
      <s:c r="BQ48" s="149"/>
      <s:c r="BR48" s="149"/>
      <s:c r="BS48" s="149"/>
      <s:c r="BT48" s="149"/>
      <s:c r="BU48" s="149"/>
      <s:c r="BV48" s="149"/>
      <s:c r="BW48" s="149"/>
      <s:c r="BX48" s="149"/>
      <s:c r="BY48" s="149"/>
      <s:c r="BZ48" s="149"/>
      <s:c r="CA48" s="149"/>
      <s:c r="CB48" s="149"/>
      <s:c r="CC48" s="149"/>
      <s:c r="CD48" s="149"/>
      <s:c r="CE48" s="149"/>
      <s:c r="CF48" s="149"/>
      <s:c r="CG48" s="149"/>
      <s:c r="CH48" s="149"/>
      <s:c r="CI48" s="149"/>
      <s:c r="CJ48" s="149"/>
      <s:c r="CK48" s="149"/>
      <s:c r="CL48" s="149"/>
      <s:c r="CM48" s="149"/>
      <s:c r="CN48" s="149"/>
      <s:c r="CO48" s="149"/>
      <s:c r="CP48" s="149"/>
      <s:c r="CQ48" s="149"/>
      <s:c r="CR48" s="149"/>
      <s:c r="CS48" s="149"/>
      <s:c r="CT48" s="149"/>
      <s:c r="CU48" s="149"/>
      <s:c r="CV48" s="149"/>
      <s:c r="CW48" s="149"/>
      <s:c r="CX48" s="149"/>
      <s:c r="CY48" s="149"/>
      <s:c r="CZ48" s="149"/>
      <s:c r="DA48" s="149"/>
      <s:c r="DB48" s="149"/>
      <s:c r="DC48" s="149"/>
      <s:c r="DD48" s="149"/>
      <s:c r="DE48" s="149"/>
      <s:c r="DF48" s="149"/>
      <s:c r="DG48" s="149"/>
      <s:c r="DH48" s="149"/>
      <s:c r="DI48" s="149"/>
      <s:c r="DJ48" s="149"/>
      <s:c r="DK48" s="149"/>
      <s:c r="DL48" s="149"/>
      <s:c r="DM48" s="149"/>
      <s:c r="DN48" s="149"/>
      <s:c r="DO48" s="149"/>
      <s:c r="DP48" s="149"/>
      <s:c r="DQ48" s="149"/>
      <s:c r="DR48" s="149"/>
      <s:c r="DS48" s="149"/>
      <s:c r="DT48" s="149"/>
      <s:c r="DU48" s="149"/>
      <s:c r="DV48" s="149"/>
      <s:c r="DW48" s="149"/>
      <s:c r="DX48" s="149"/>
      <s:c r="DY48" s="149"/>
      <s:c r="DZ48" s="149"/>
      <s:c r="EA48" s="149"/>
      <s:c r="EB48" s="149"/>
      <s:c r="EC48" s="149"/>
      <s:c r="ED48" s="149"/>
      <s:c r="EE48" s="149"/>
      <s:c r="EF48" s="149"/>
      <s:c r="EG48" s="149"/>
      <s:c r="EH48" s="149"/>
      <s:c r="EI48" s="149"/>
      <s:c r="EJ48" s="149"/>
      <s:c r="EK48" s="149"/>
      <s:c r="EL48" s="149"/>
      <s:c r="EM48" s="149"/>
      <s:c r="EN48" s="149"/>
      <s:c r="EO48" s="149"/>
      <s:c r="EP48" s="149"/>
      <s:c r="EQ48" s="149"/>
      <s:c r="ER48" s="149"/>
      <s:c r="ES48" s="149"/>
      <s:c r="ET48" s="149"/>
      <s:c r="EU48" s="149"/>
      <s:c r="EV48" s="149"/>
      <s:c r="EW48" s="149"/>
      <s:c r="EX48" s="149"/>
      <s:c r="EY48" s="149"/>
      <s:c r="EZ48" s="149"/>
      <s:c r="FA48" s="149"/>
      <s:c r="FB48" s="149"/>
      <s:c r="FC48" s="149"/>
      <s:c r="FD48" s="149"/>
      <s:c r="FE48" s="149"/>
      <s:c r="FF48" s="149"/>
      <s:c r="FG48" s="149"/>
      <s:c r="FH48" s="149"/>
      <s:c r="FI48" s="149"/>
      <s:c r="FJ48" s="149"/>
      <s:c r="FK48" s="149"/>
      <s:c r="FL48" s="149"/>
      <s:c r="FM48" s="149"/>
      <s:c r="FN48" s="149"/>
      <s:c r="FO48" s="149"/>
      <s:c r="FP48" s="149"/>
      <s:c r="FQ48" s="149"/>
      <s:c r="FR48" s="149"/>
      <s:c r="FS48" s="149"/>
      <s:c r="FT48" s="149"/>
      <s:c r="FU48" s="149"/>
      <s:c r="FV48" s="149"/>
      <s:c r="FW48" s="149"/>
      <s:c r="FX48" s="149"/>
      <s:c r="FY48" s="149"/>
      <s:c r="FZ48" s="149"/>
      <s:c r="GA48" s="149"/>
      <s:c r="GB48" s="149"/>
      <s:c r="GC48" s="149"/>
      <s:c r="GD48" s="149"/>
      <s:c r="GE48" s="149"/>
      <s:c r="GF48" s="149"/>
      <s:c r="GG48" s="149"/>
      <s:c r="GH48" s="149"/>
      <s:c r="GI48" s="149"/>
      <s:c r="GJ48" s="149"/>
      <s:c r="GK48" s="149"/>
      <s:c r="GL48" s="149"/>
      <s:c r="GM48" s="149"/>
      <s:c r="GN48" s="149"/>
      <s:c r="GO48" s="149"/>
      <s:c r="GP48" s="149"/>
      <s:c r="GQ48" s="149"/>
      <s:c r="GR48" s="149"/>
      <s:c r="GS48" s="149"/>
      <s:c r="GT48" s="149"/>
      <s:c r="GU48" s="149"/>
      <s:c r="GV48" s="149"/>
      <s:c r="GW48" s="149"/>
      <s:c r="GX48" s="149"/>
      <s:c r="GY48" s="149"/>
      <s:c r="GZ48" s="149"/>
      <s:c r="HA48" s="149"/>
      <s:c r="HB48" s="149"/>
      <s:c r="HC48" s="149"/>
      <s:c r="HD48" s="149"/>
      <s:c r="HE48" s="149"/>
      <s:c r="HF48" s="149"/>
      <s:c r="HG48" s="149"/>
      <s:c r="HH48" s="149"/>
      <s:c r="HI48" s="149"/>
      <s:c r="HJ48" s="149"/>
      <s:c r="HK48" s="149"/>
      <s:c r="HL48" s="149"/>
      <s:c r="HM48" s="149"/>
      <s:c r="HN48" s="149"/>
      <s:c r="HO48" s="149"/>
      <s:c r="HP48" s="149"/>
      <s:c r="HQ48" s="149"/>
      <s:c r="HR48" s="149"/>
      <s:c r="HS48" s="149"/>
      <s:c r="HT48" s="149"/>
      <s:c r="HU48" s="149"/>
      <s:c r="HV48" s="149"/>
      <s:c r="HW48" s="149"/>
      <s:c r="HX48" s="149"/>
      <s:c r="HY48" s="149"/>
      <s:c r="HZ48" s="149"/>
      <s:c r="IA48" s="149"/>
      <s:c r="IB48" s="149"/>
      <s:c r="IC48" s="149"/>
      <s:c r="ID48" s="149"/>
      <s:c r="IE48" s="149"/>
      <s:c r="IF48" s="149"/>
      <s:c r="IG48" s="149"/>
      <s:c r="IH48" s="149"/>
      <s:c r="II48" s="149"/>
      <s:c r="IJ48" s="149"/>
      <s:c r="IK48" s="149"/>
      <s:c r="IL48" s="149"/>
      <s:c r="IM48" s="149"/>
      <s:c r="IN48" s="149"/>
      <s:c r="IO48" s="149"/>
      <s:c r="IP48" s="149"/>
      <s:c r="IQ48" s="149"/>
      <s:c r="IR48" s="149"/>
      <s:c r="IS48" s="149"/>
      <s:c r="IT48" s="149"/>
      <s:c r="IU48" s="149"/>
      <s:c r="IV48" s="149"/>
      <s:c r="IW48" s="149"/>
      <s:c r="IX48" s="149"/>
      <s:c r="IY48" s="149"/>
    </s:row>
    <s:row r="49" s="135" customFormat="1" ht="15" customHeight="1">
      <s:c r="A49" s="945"/>
      <s:c r="B49" s="120"/>
      <s:c r="C49" s="440"/>
      <s:c r="D49" s="125"/>
      <s:c r="E49" s="124"/>
      <s:c r="F49" s="124" t="str">
        <s:f>IF(AND(E49&lt;&gt;"",E49&lt;&gt;0),D49/E49,"")</s:f>
        <s:v/>
      </s:c>
      <s:c r="G49" s="124"/>
      <s:c r="H49" s="124" t="str">
        <s:f>IF(AND(G49&lt;&gt;"",G49&lt;&gt;0),D49/G49,"")</s:f>
        <s:v/>
      </s:c>
      <s:c r="I49" s="124"/>
      <s:c r="J49" s="125" t="str">
        <s:f>IF(AND(G49&lt;&gt;"",G49&lt;&gt;0),E49/G49,"")</s:f>
        <s:v/>
      </s:c>
      <s:c r="K49" s="126"/>
      <s:c r="L49" s="126"/>
      <s:c r="M49" s="126"/>
      <s:c r="N49" s="126"/>
      <s:c r="O49" s="126"/>
      <s:c r="P49" s="123"/>
      <s:c r="Q49" s="123"/>
      <s:c r="R49" s="128" t="str">
        <s:f>IF(AND(I49&lt;&gt;"",I49&lt;&gt;0),G49/I49,"")</s:f>
        <s:v/>
      </s:c>
      <s:c r="S49" s="144">
        <s:f>D49/T49</s:f>
        <s:v>0</s:v>
      </s:c>
      <s:c r="T49" s="145">
        <s:f>$I$8*Z49*AA49/SUMPRODUCT($AA$25:$AA$55,$Z$25:$Z$55)</s:f>
        <s:v>11409.001237794255</s:v>
      </s:c>
      <s:c r="U49" s="146">
        <s:f>$I$9*Z49*AA49/SUMPRODUCT($AA$25:$AA$55,$Z$25:$Z$55)</s:f>
        <s:v>1.7286365511809478</s:v>
      </s:c>
      <s:c r="V49" s="146">
        <s:f>IF($I$12="","",U49/$I$12)</s:f>
        <s:v>1.01684503010644</s:v>
      </s:c>
      <s:c r="W49" s="145">
        <s:f>IF(AA49&lt;&gt;"",IF(D49&lt;&gt;"",D49,($I$8-SUM($W$25:W48))*Z49*AA49/SUMPRODUCT($AA49:$AA$55,$Z49:$Z$55)),"")</s:f>
        <s:v>9270.6447372639668</s:v>
      </s:c>
      <s:c r="X49" s="146">
        <s:f>IF(AA49&lt;&gt;"",IF(E49&lt;&gt;"",E49,($I$9-SUM($X$25:X48))*Z49*AA49/SUMPRODUCT($AA49:$AA$55,$Z49:$Z$55)),"")</s:f>
        <s:v>1.3762784136449682</s:v>
      </s:c>
      <s:c r="Y49" s="146">
        <s:f>IF(AA49&lt;&gt;"",IF($I$12&lt;&gt;"",IF(G49&lt;&gt;"",G49,($I$9/$I$12-SUM($Y$25:Y48))*Z49*AA49/SUMPRODUCT($AA49:$AA$55,$Z49:$Z$55)),""),"")</s:f>
        <s:v>0.73803340707255316</s:v>
      </s:c>
      <s:c r="Z49" s="147">
        <s:v>1</s:v>
      </s:c>
      <s:c r="AA49" s="147">
        <s:v>1</s:v>
      </s:c>
      <s:c r="AB49" s="148"/>
      <s:c r="AC49" s="148"/>
      <s:c r="AD49" s="149"/>
      <s:c r="AE49" s="149"/>
      <s:c r="AF49" s="149"/>
      <s:c r="AG49" s="149"/>
      <s:c r="AH49" s="149"/>
      <s:c r="AI49" s="149"/>
      <s:c r="AJ49" s="149"/>
      <s:c r="AK49" s="149"/>
      <s:c r="AL49" s="149"/>
      <s:c r="AM49" s="149"/>
      <s:c r="AN49" s="149"/>
    </s:row>
    <s:row r="50" ht="15" customHeight="1">
      <s:c r="B50" s="418" t="s">
        <s:v>85</s:v>
      </s:c>
      <s:c r="C50" s="418"/>
      <s:c r="D50" s="393">
        <s:f>SUM(D25:D49)</s:f>
        <s:v>88426</s:v>
      </s:c>
      <s:c r="E50" s="393">
        <s:f>SUM(E25:E49)</s:f>
        <s:v>14</s:v>
      </s:c>
      <s:c r="F50" s="393">
        <s:f>IF(AND(E50&lt;&gt;"",E50&lt;&gt;0),D50/E50,"")</s:f>
        <s:v>6316.1428571428569</s:v>
      </s:c>
      <s:c r="G50" s="393">
        <s:f>SUM(G25:G49)</s:f>
        <s:v>9</s:v>
      </s:c>
      <s:c r="H50" s="393">
        <s:f>IF(AND(G50&lt;&gt;"",G50&lt;&gt;0),D50/G50,"")</s:f>
        <s:v>9825.1111111111113</s:v>
      </s:c>
      <s:c r="I50" s="393">
        <s:f>SUM(I25:I49)*0.8</s:f>
        <s:v>105.60000000000001</s:v>
      </s:c>
      <s:c r="J50" s="394">
        <s:f>IF(AND(G50&lt;&gt;"",G50&lt;&gt;0),E50/G50,"")</s:f>
        <s:v>1.5555555555555556</s:v>
      </s:c>
      <s:c r="K50" s="393">
        <s:f>SUM(K25:K49)</s:f>
        <s:v>0</s:v>
      </s:c>
      <s:c r="L50" s="393">
        <s:f>SUM(L25:L49)</s:f>
        <s:v>7503</s:v>
      </s:c>
      <s:c r="M50" s="393">
        <s:f>SUM(M25:M49)</s:f>
        <s:v>14590</s:v>
      </s:c>
      <s:c r="N50" s="393">
        <s:f>SUM(N25:N49)</s:f>
        <s:v>0</s:v>
      </s:c>
      <s:c r="O50" s="393">
        <s:f>SUM(O25:O49)</s:f>
        <s:v>0</s:v>
      </s:c>
      <s:c r="P50" s="393">
        <s:f>SUM(P25:P49)</s:f>
        <s:v>0</s:v>
      </s:c>
      <s:c r="Q50" s="393">
        <s:f>SUM(Q25:Q49)</s:f>
        <s:v>0</s:v>
      </s:c>
      <s:c r="R50" s="202">
        <s:f>IF(AND(I50&lt;&gt;"",I50&lt;&gt;0),G50/I50,"")</s:f>
        <s:v>0.085227272727272721</s:v>
      </s:c>
      <s:c r="S50" s="395">
        <s:f>D50/T50</s:f>
        <s:v>0.28096779353240986</s:v>
      </s:c>
      <s:c r="T50" s="396">
        <s:f>SUM(T25:T49)</s:f>
        <s:v>314719.34519000305</s:v>
      </s:c>
      <s:c r="U50" s="396">
        <s:f>SUM(U25:U49)</s:f>
        <s:v>49.542628059091356</s:v>
      </s:c>
      <s:c r="V50" s="396">
        <s:f>SUM(V25:V49)</s:f>
        <s:v>28.789781211230206</s:v>
      </s:c>
      <s:c r="W50" s="396">
        <s:f>SUM(W25:W49)</s:f>
        <s:v>307252.3131672598</s:v>
      </s:c>
      <s:c r="X50" s="396">
        <s:f>SUM(X25:X49)</s:f>
        <s:v>46.553380782918154</s:v>
      </s:c>
      <s:c r="Y50" s="396">
        <s:f>SUM(Y25:Y49)</s:f>
        <s:v>27.384341637010678</s:v>
      </s:c>
      <s:c r="Z50" s="397"/>
      <s:c r="AA50" s="397"/>
    </s:row>
    <s:row r="51">
      <s:c r="B51" s="205"/>
      <s:c r="C51" s="206"/>
      <s:c r="D51" s="207">
        <s:f>SUMIF(D25:D49,"",T25:T49)+D50</s:f>
        <s:v>345115.85299549066</s:v>
      </s:c>
      <s:c r="E51" s="208"/>
      <s:c r="F51" s="206"/>
      <s:c r="G51" s="206"/>
      <s:c r="H51" s="209"/>
      <s:c r="I51" s="210"/>
      <s:c r="J51" s="209"/>
      <s:c r="O51" s="211"/>
      <s:c r="P51" s="208"/>
      <s:c r="Q51" s="208"/>
      <s:c r="R51" s="211"/>
      <s:c r="S51" s="211"/>
      <s:c r="T51" s="211"/>
      <s:c r="U51" s="212"/>
    </s:row>
    <s:row r="52">
      <s:c r="D52" s="214"/>
    </s:row>
    <s:row r="54">
      <s:c r="D54" s="214"/>
    </s:row>
    <s:row r="55">
      <s:c r="D55" s="214"/>
    </s:row>
  </s:sheetData>
  <s:mergeCells count="28">
    <s:mergeCell ref="B1:C1"/>
    <s:mergeCell ref="U1:X4"/>
    <s:mergeCell ref="B2:C2"/>
    <s:mergeCell ref="J2:T2"/>
    <s:mergeCell ref="J3:R4"/>
    <s:mergeCell ref="C4:D4"/>
    <s:mergeCell ref="J5:R5"/>
    <s:mergeCell ref="F6:R6"/>
    <s:mergeCell ref="F7:H7"/>
    <s:mergeCell ref="P7:R7"/>
    <s:mergeCell ref="F8:H8"/>
    <s:mergeCell ref="F9:H9"/>
    <s:mergeCell ref="F10:H10"/>
    <s:mergeCell ref="F11:H11"/>
    <s:mergeCell ref="F12:H12"/>
    <s:mergeCell ref="F13:H13"/>
    <s:mergeCell ref="F14:H14"/>
    <s:mergeCell ref="F15:H15"/>
    <s:mergeCell ref="F16:H16"/>
    <s:mergeCell ref="S16:S17"/>
    <s:mergeCell ref="F17:H17"/>
    <s:mergeCell ref="F18:H18"/>
    <s:mergeCell ref="F19:H19"/>
    <s:mergeCell ref="F20:H20"/>
    <s:mergeCell ref="B22:R22"/>
    <s:mergeCell ref="S22:S24"/>
    <s:mergeCell ref="T22:AA22"/>
    <s:mergeCell ref="B50:C50"/>
  </s:mergeCells>
  <s:conditionalFormatting sqref="S37">
    <s:cfRule type="cellIs" dxfId="4" priority="427" operator="between">
      <s:formula>0.9001</s:formula>
      <s:formula>0.9999</s:formula>
    </s:cfRule>
  </s:conditionalFormatting>
  <s:conditionalFormatting sqref="S37">
    <s:cfRule type="cellIs" dxfId="2" priority="426" operator="lessThan">
      <s:formula>0.9</s:formula>
    </s:cfRule>
  </s:conditionalFormatting>
  <s:conditionalFormatting sqref="S37">
    <s:cfRule type="cellIs" dxfId="3" priority="423" operator="between">
      <s:formula>0.85</s:formula>
      <s:formula>1</s:formula>
    </s:cfRule>
  </s:conditionalFormatting>
  <s:conditionalFormatting sqref="R37">
    <s:cfRule type="cellIs" dxfId="4" priority="421" operator="between">
      <s:formula>0.2</s:formula>
      <s:formula>0.25</s:formula>
    </s:cfRule>
  </s:conditionalFormatting>
  <s:conditionalFormatting sqref="S33:S35">
    <s:cfRule type="cellIs" dxfId="4" priority="416" operator="between">
      <s:formula>0.9001</s:formula>
      <s:formula>0.9999</s:formula>
    </s:cfRule>
  </s:conditionalFormatting>
  <s:conditionalFormatting sqref="S33:S35">
    <s:cfRule type="cellIs" dxfId="2" priority="414" operator="lessThan">
      <s:formula>0.9</s:formula>
    </s:cfRule>
  </s:conditionalFormatting>
  <s:conditionalFormatting sqref="S33:S35">
    <s:cfRule type="cellIs" dxfId="3" priority="408" operator="between">
      <s:formula>0.85</s:formula>
      <s:formula>1</s:formula>
    </s:cfRule>
  </s:conditionalFormatting>
  <s:conditionalFormatting sqref="R33:R35">
    <s:cfRule type="cellIs" dxfId="4" priority="404" operator="between">
      <s:formula>0.2</s:formula>
      <s:formula>0.25</s:formula>
    </s:cfRule>
  </s:conditionalFormatting>
  <s:conditionalFormatting sqref="P10:Q10">
    <s:cfRule type="cellIs" dxfId="0" priority="373" operator="lessThan">
      <s:formula>0</s:formula>
    </s:cfRule>
  </s:conditionalFormatting>
  <s:conditionalFormatting sqref="J16">
    <s:cfRule type="cellIs" dxfId="1" priority="372" operator="greaterThan">
      <s:formula>0</s:formula>
    </s:cfRule>
  </s:conditionalFormatting>
  <s:conditionalFormatting sqref="J16">
    <s:cfRule type="cellIs" dxfId="2" priority="371" operator="lessThan">
      <s:formula>0</s:formula>
    </s:cfRule>
  </s:conditionalFormatting>
  <s:conditionalFormatting sqref="R37:R40">
    <s:cfRule type="cellIs" dxfId="1" priority="153" operator="greaterThanOrEqual">
      <s:formula>0.25</s:formula>
    </s:cfRule>
  </s:conditionalFormatting>
  <s:conditionalFormatting sqref="R38:R40">
    <s:cfRule type="cellIs" dxfId="4" priority="152" operator="between">
      <s:formula>0.2</s:formula>
      <s:formula>0.25</s:formula>
    </s:cfRule>
  </s:conditionalFormatting>
  <s:conditionalFormatting sqref="S32:S40">
    <s:cfRule type="cellIs" dxfId="0" priority="140" operator="between">
      <s:formula>0.01</s:formula>
      <s:formula>0.99</s:formula>
    </s:cfRule>
  </s:conditionalFormatting>
  <s:conditionalFormatting sqref="S36">
    <s:cfRule type="cellIs" dxfId="3" priority="139" operator="between">
      <s:formula>0.85</s:formula>
      <s:formula>1</s:formula>
    </s:cfRule>
  </s:conditionalFormatting>
  <s:conditionalFormatting sqref="S35:S36">
    <s:cfRule type="cellIs" dxfId="2" priority="136" operator="lessThan">
      <s:formula>0.9</s:formula>
    </s:cfRule>
  </s:conditionalFormatting>
  <s:conditionalFormatting sqref="S35:S36">
    <s:cfRule type="cellIs" dxfId="4" priority="135" operator="between">
      <s:formula>0.9001</s:formula>
      <s:formula>0.9999</s:formula>
    </s:cfRule>
  </s:conditionalFormatting>
  <s:conditionalFormatting sqref="M9:M15">
    <s:cfRule type="cellIs" dxfId="1" priority="46" operator="greaterThan">
      <s:formula>1</s:formula>
    </s:cfRule>
  </s:conditionalFormatting>
  <s:conditionalFormatting sqref="M9:M15">
    <s:cfRule type="cellIs" dxfId="2" priority="45" operator="lessThan">
      <s:formula>1</s:formula>
    </s:cfRule>
  </s:conditionalFormatting>
  <s:conditionalFormatting sqref="K15">
    <s:cfRule type="cellIs" dxfId="1" priority="44" operator="greaterThan">
      <s:formula>1</s:formula>
    </s:cfRule>
  </s:conditionalFormatting>
  <s:conditionalFormatting sqref="K15">
    <s:cfRule type="cellIs" dxfId="2" priority="43" operator="lessThan">
      <s:formula>1</s:formula>
    </s:cfRule>
  </s:conditionalFormatting>
  <s:conditionalFormatting sqref="K10:K12">
    <s:cfRule type="cellIs" dxfId="1" priority="42" operator="greaterThan">
      <s:formula>1</s:formula>
    </s:cfRule>
  </s:conditionalFormatting>
  <s:conditionalFormatting sqref="K10:K12">
    <s:cfRule type="cellIs" dxfId="2" priority="41" operator="lessThan">
      <s:formula>1</s:formula>
    </s:cfRule>
  </s:conditionalFormatting>
  <s:conditionalFormatting sqref="R25:R40">
    <s:cfRule type="cellIs" dxfId="2" priority="29" operator="lessThan">
      <s:formula>0.2</s:formula>
    </s:cfRule>
  </s:conditionalFormatting>
  <s:conditionalFormatting sqref="R25:R36">
    <s:cfRule type="cellIs" dxfId="1" priority="28" operator="greaterThanOrEqual">
      <s:formula>0.25</s:formula>
    </s:cfRule>
  </s:conditionalFormatting>
  <s:conditionalFormatting sqref="R25:R36">
    <s:cfRule type="cellIs" dxfId="4" priority="27" operator="between">
      <s:formula>0.2</s:formula>
      <s:formula>0.25</s:formula>
    </s:cfRule>
  </s:conditionalFormatting>
  <s:conditionalFormatting sqref="S25:S31">
    <s:cfRule type="cellIs" dxfId="0" priority="26" operator="between">
      <s:formula>0.01</s:formula>
      <s:formula>0.99</s:formula>
    </s:cfRule>
  </s:conditionalFormatting>
  <s:conditionalFormatting sqref="S25:S32">
    <s:cfRule type="cellIs" dxfId="3" priority="25" operator="between">
      <s:formula>0.85</s:formula>
      <s:formula>1</s:formula>
    </s:cfRule>
  </s:conditionalFormatting>
  <s:conditionalFormatting sqref="S25:S32">
    <s:cfRule type="cellIs" dxfId="2" priority="22" operator="lessThan">
      <s:formula>0.9</s:formula>
    </s:cfRule>
  </s:conditionalFormatting>
  <s:conditionalFormatting sqref="S25:S32">
    <s:cfRule type="cellIs" dxfId="4" priority="21" operator="between">
      <s:formula>0.9001</s:formula>
      <s:formula>0.9999</s:formula>
    </s:cfRule>
  </s:conditionalFormatting>
  <s:conditionalFormatting sqref="K20">
    <s:cfRule type="cellIs" dxfId="1" priority="18" operator="greaterThan">
      <s:formula>1</s:formula>
    </s:cfRule>
  </s:conditionalFormatting>
  <s:conditionalFormatting sqref="K20">
    <s:cfRule type="cellIs" dxfId="2" priority="17" operator="lessThan">
      <s:formula>1</s:formula>
    </s:cfRule>
  </s:conditionalFormatting>
  <s:conditionalFormatting sqref="S41:S49">
    <s:cfRule type="cellIs" dxfId="0" priority="15" operator="between">
      <s:formula>0.01</s:formula>
      <s:formula>0.99</s:formula>
    </s:cfRule>
  </s:conditionalFormatting>
  <s:conditionalFormatting sqref="S38:S49">
    <s:cfRule type="cellIs" dxfId="3" priority="14" operator="between">
      <s:formula>0.85</s:formula>
      <s:formula>1</s:formula>
    </s:cfRule>
  </s:conditionalFormatting>
  <s:conditionalFormatting sqref="S25:S49">
    <s:cfRule type="cellIs" dxfId="1" priority="13" operator="greaterThan">
      <s:formula>100</s:formula>
    </s:cfRule>
  </s:conditionalFormatting>
  <s:conditionalFormatting sqref="S25:S49">
    <s:cfRule type="cellIs" dxfId="1" priority="12" operator="greaterThan">
      <s:formula>1</s:formula>
    </s:cfRule>
  </s:conditionalFormatting>
  <s:conditionalFormatting sqref="S38:S49">
    <s:cfRule type="cellIs" dxfId="2" priority="11" operator="lessThan">
      <s:formula>0.9</s:formula>
    </s:cfRule>
  </s:conditionalFormatting>
  <s:conditionalFormatting sqref="S38:S49">
    <s:cfRule type="cellIs" dxfId="4" priority="10" operator="between">
      <s:formula>0.9001</s:formula>
      <s:formula>0.9999</s:formula>
    </s:cfRule>
  </s:conditionalFormatting>
  <s:conditionalFormatting sqref="R41:R49">
    <s:cfRule type="cellIs" dxfId="2" priority="16" operator="lessThan">
      <s:formula>$I$20</s:formula>
    </s:cfRule>
  </s:conditionalFormatting>
  <s:conditionalFormatting sqref="R41:R49">
    <s:cfRule type="cellIs" dxfId="1" priority="7" operator="greaterThan">
      <s:formula>$I$20</s:formula>
    </s:cfRule>
  </s:conditionalFormatting>
  <s:conditionalFormatting sqref="R41:R49">
    <s:cfRule type="cellIs" dxfId="2" priority="6" operator="lessThan">
      <s:formula>$I$20</s:formula>
    </s:cfRule>
  </s:conditionalFormatting>
  <s:conditionalFormatting sqref="J33:J37">
    <s:cfRule type="cellIs" dxfId="2" priority="5" operator="lessThan">
      <s:formula>$I$12</s:formula>
    </s:cfRule>
  </s:conditionalFormatting>
  <s:conditionalFormatting sqref="J25:J40">
    <s:cfRule type="cellIs" dxfId="1" priority="4" operator="greaterThan">
      <s:formula>$I$12</s:formula>
    </s:cfRule>
  </s:conditionalFormatting>
  <s:conditionalFormatting sqref="J25:J36">
    <s:cfRule type="cellIs" dxfId="2" priority="3" operator="lessThan">
      <s:formula>$I$12</s:formula>
    </s:cfRule>
  </s:conditionalFormatting>
  <s:conditionalFormatting sqref="J41:J49">
    <s:cfRule type="cellIs" dxfId="1" priority="2" operator="greaterThan">
      <s:formula>$I$12</s:formula>
    </s:cfRule>
  </s:conditionalFormatting>
  <s:conditionalFormatting sqref="J38:J49">
    <s:cfRule type="cellIs" dxfId="2" priority="1" operator="lessThan">
      <s:formula>$I$12</s:formula>
    </s:cfRule>
  </s:conditionalFormatting>
  <s:dataValidations count="1">
    <s:dataValidation type="decimal" sqref="I8:J13 L10:L11 I14" vyd:viewType="arrow" mc:Ignorable="vyd">
      <s:formula1>0</s:formula1>
      <s:formula2>1000000000000000</s:formula2>
    </s:dataValidation>
  </s:dataValidations>
  <s:printOptions headings="0" gridLines="1"/>
  <s:pageMargins left="0.7" right="0.7" top="0.75" bottom="0.75" header="0.512" footer="0.512"/>
  <s:pageSetup paperSize="9" scale="100" firstPageNumber="0" fitToWidth="1" fitToHeight="0" pageOrder="downThenOver" orientation="landscape" usePrinterDefaults="1" blackAndWhite="0" draft="0" cellComments="none" useFirstPageNumber="0" errors="displayed" horizontalDpi="300" verticalDpi="300" copies="1"/>
  <s:headerFooter/>
  <s:drawing r:id="rId1"/>
  <s:extLst>
    <s:ext uri="{CCE6A557-97BC-4b89-ADB6-D9C93CAAB3DF}">
      <x14:dataValidations disablePrompts="0" count="0"/>
    </s:ext>
  </s:extLst>
</s:worksheet>
</file>

<file path=docProps/app.xml><?xml version="1.0" encoding="utf-8"?>
<ep:Properties xmlns:ep="http://schemas.openxmlformats.org/officeDocument/2006/extended-properties">
  <ep:Application>R7-Office/2024.1.1.375</ep:Application>
  <ep:DocSecurity>0</ep:DocSecurity>
  <ep:HyperlinksChanged>false</ep:HyperlinksChanged>
  <ep:LinksUpToDate>false</ep:LinksUpToDate>
  <ep:ScaleCrop>false</ep:ScaleCrop>
  <ep:SharedDoc>false</ep:SharedDoc>
  <ep:Template/>
</ep:Properties>
</file>

<file path=docProps/core.xml><?xml version="1.0" encoding="utf-8"?>
<cp:coreProperties xmlns:cp="http://schemas.openxmlformats.org/package/2006/metadata/core-properties" xmlns:xsi="http://www.w3.org/2001/XMLSchema-instance" xmlns:dc="http://purl.org/dc/elements/1.1/" xmlns:dcterms="http://purl.org/dc/terms/">
  <dc:title/>
  <dc:subject/>
  <dc:creator/>
  <dc:description/>
  <dc:language>en-US</dc:language>
  <cp:lastModifiedBy>Glame Centrum</cp:lastModifiedBy>
  <cp:revision>999</cp:revision>
  <dcterms:created xsi:type="dcterms:W3CDTF">2022-04-02T12:09:31Z</dcterms:created>
  <dcterms:modified xsi:type="dcterms:W3CDTF">2026-02-07T15:17:24Z</dcterms:modified>
</cp:coreProperties>
</file>