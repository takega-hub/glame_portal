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lenadacenko/Yandex.Disk-glamejewelry.localized/Glame API/Ежедневно/Текущий месяц/Центрум/Для АМ/Ежемесячные Отчеты/12.2025/"/>
    </mc:Choice>
  </mc:AlternateContent>
  <xr:revisionPtr revIDLastSave="0" documentId="13_ncr:1_{C2B37B3A-3A44-0E42-9879-625868807E38}" xr6:coauthVersionLast="47" xr6:coauthVersionMax="47" xr10:uidLastSave="{00000000-0000-0000-0000-000000000000}"/>
  <bookViews>
    <workbookView xWindow="0" yWindow="660" windowWidth="25600" windowHeight="15980" firstSheet="6" activeTab="10" xr2:uid="{00000000-000D-0000-FFFF-FFFF00000000}"/>
  </bookViews>
  <sheets>
    <sheet name="Центрум" sheetId="1" r:id="rId1"/>
    <sheet name="Конкурс" sheetId="2" r:id="rId2"/>
    <sheet name="Сводная" sheetId="3" r:id="rId3"/>
    <sheet name="Справочник магазинов" sheetId="4" state="hidden" r:id="rId4"/>
    <sheet name="План на день" sheetId="5" r:id="rId5"/>
    <sheet name="Козлова В. Э." sheetId="6" r:id="rId6"/>
    <sheet name="Корж А. А." sheetId="7" r:id="rId7"/>
    <sheet name="Свидовская С. А." sheetId="8" r:id="rId8"/>
    <sheet name="Стекольщикова А. А." sheetId="9" r:id="rId9"/>
    <sheet name="Доп сотрудник" sheetId="10" r:id="rId10"/>
    <sheet name="Вед-ть УМ" sheetId="11" r:id="rId11"/>
    <sheet name="Вед-ть Козлова" sheetId="12" r:id="rId12"/>
    <sheet name="Вед-ть Свидовская" sheetId="13" r:id="rId13"/>
    <sheet name="Вед-ть Корж" sheetId="14" r:id="rId14"/>
    <sheet name="Вед-ть Доп сотрудник" sheetId="15" r:id="rId15"/>
    <sheet name="График" sheetId="16" r:id="rId16"/>
  </sheets>
  <definedNames>
    <definedName name="маг">NA()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11" l="1"/>
  <c r="H8" i="15"/>
  <c r="K4" i="12"/>
  <c r="AN29" i="16"/>
  <c r="AH29" i="16"/>
  <c r="AG29" i="16"/>
  <c r="AF29" i="16"/>
  <c r="AE29" i="16"/>
  <c r="AD29" i="16"/>
  <c r="AC29" i="16"/>
  <c r="AB29" i="16"/>
  <c r="AA29" i="16"/>
  <c r="Z29" i="16"/>
  <c r="Y29" i="16"/>
  <c r="X29" i="16"/>
  <c r="W29" i="16"/>
  <c r="V29" i="16"/>
  <c r="U29" i="16"/>
  <c r="T29" i="16"/>
  <c r="S29" i="16"/>
  <c r="R29" i="16"/>
  <c r="Q29" i="16"/>
  <c r="P29" i="16"/>
  <c r="O29" i="16"/>
  <c r="N29" i="16"/>
  <c r="M29" i="16"/>
  <c r="L29" i="16"/>
  <c r="K29" i="16"/>
  <c r="J29" i="16"/>
  <c r="I29" i="16"/>
  <c r="H29" i="16"/>
  <c r="G29" i="16"/>
  <c r="F29" i="16"/>
  <c r="E29" i="16"/>
  <c r="D29" i="16"/>
  <c r="AM28" i="16"/>
  <c r="AM29" i="16" s="1"/>
  <c r="AL28" i="16"/>
  <c r="AL29" i="16" s="1"/>
  <c r="AK28" i="16"/>
  <c r="AJ28" i="16"/>
  <c r="AI28" i="16"/>
  <c r="AK27" i="16"/>
  <c r="AJ27" i="16"/>
  <c r="AI27" i="16"/>
  <c r="B17" i="13" s="1"/>
  <c r="AK26" i="16"/>
  <c r="AJ26" i="16"/>
  <c r="AI26" i="16"/>
  <c r="AK25" i="16"/>
  <c r="AK29" i="16" s="1"/>
  <c r="AJ25" i="16"/>
  <c r="AI25" i="16"/>
  <c r="B17" i="14" s="1"/>
  <c r="AJ24" i="16"/>
  <c r="AJ29" i="16" s="1"/>
  <c r="AI24" i="16"/>
  <c r="B17" i="15" s="1"/>
  <c r="AI23" i="16"/>
  <c r="AI22" i="16"/>
  <c r="AI21" i="16"/>
  <c r="AI20" i="16"/>
  <c r="AI19" i="16"/>
  <c r="AI18" i="16"/>
  <c r="AI17" i="16"/>
  <c r="AI16" i="16"/>
  <c r="AI15" i="16"/>
  <c r="AI14" i="16"/>
  <c r="AI13" i="16"/>
  <c r="AI12" i="16"/>
  <c r="AI11" i="16"/>
  <c r="I25" i="15"/>
  <c r="E17" i="15"/>
  <c r="K25" i="15" s="1"/>
  <c r="M13" i="15"/>
  <c r="J4" i="15" s="1"/>
  <c r="L4" i="15"/>
  <c r="A4" i="15"/>
  <c r="B25" i="15" s="1"/>
  <c r="D2" i="15"/>
  <c r="A2" i="15"/>
  <c r="A1" i="15"/>
  <c r="C26" i="14"/>
  <c r="J26" i="14" s="1"/>
  <c r="I17" i="14"/>
  <c r="G17" i="14"/>
  <c r="E17" i="14"/>
  <c r="K26" i="14" s="1"/>
  <c r="L4" i="14"/>
  <c r="F4" i="14"/>
  <c r="D4" i="14"/>
  <c r="A4" i="14"/>
  <c r="B26" i="14" s="1"/>
  <c r="I26" i="14" s="1"/>
  <c r="D2" i="14"/>
  <c r="A2" i="14"/>
  <c r="C17" i="14" s="1"/>
  <c r="A1" i="14"/>
  <c r="L25" i="13"/>
  <c r="I25" i="13"/>
  <c r="C25" i="13"/>
  <c r="J25" i="13" s="1"/>
  <c r="I17" i="13"/>
  <c r="E17" i="13"/>
  <c r="L4" i="13"/>
  <c r="F4" i="13"/>
  <c r="D4" i="13"/>
  <c r="A4" i="13"/>
  <c r="B25" i="13" s="1"/>
  <c r="D2" i="13"/>
  <c r="A2" i="13"/>
  <c r="C17" i="13" s="1"/>
  <c r="A1" i="13"/>
  <c r="K27" i="12"/>
  <c r="N27" i="12" s="1"/>
  <c r="J27" i="12"/>
  <c r="G27" i="12"/>
  <c r="C27" i="12"/>
  <c r="K26" i="12"/>
  <c r="C26" i="12"/>
  <c r="J26" i="12" s="1"/>
  <c r="I18" i="12"/>
  <c r="G18" i="12"/>
  <c r="I17" i="12"/>
  <c r="G17" i="12"/>
  <c r="E17" i="12"/>
  <c r="B17" i="12"/>
  <c r="L4" i="12"/>
  <c r="M4" i="12" s="1"/>
  <c r="F4" i="12"/>
  <c r="D4" i="12"/>
  <c r="A4" i="12"/>
  <c r="D2" i="12"/>
  <c r="A2" i="12"/>
  <c r="C17" i="12" s="1"/>
  <c r="A1" i="12"/>
  <c r="J25" i="11"/>
  <c r="E17" i="11"/>
  <c r="B17" i="11"/>
  <c r="M13" i="11"/>
  <c r="J4" i="11" s="1"/>
  <c r="L4" i="11"/>
  <c r="D4" i="11"/>
  <c r="A4" i="11"/>
  <c r="B25" i="11" s="1"/>
  <c r="I25" i="11" s="1"/>
  <c r="D2" i="11"/>
  <c r="A2" i="11"/>
  <c r="C25" i="11" s="1"/>
  <c r="A1" i="11"/>
  <c r="Q48" i="10"/>
  <c r="O48" i="10"/>
  <c r="N48" i="10"/>
  <c r="M48" i="10"/>
  <c r="L48" i="10"/>
  <c r="K48" i="10"/>
  <c r="I48" i="10"/>
  <c r="R48" i="10" s="1"/>
  <c r="J20" i="10" s="1"/>
  <c r="G48" i="10"/>
  <c r="E48" i="10"/>
  <c r="Y47" i="10"/>
  <c r="X47" i="10"/>
  <c r="W47" i="10"/>
  <c r="R47" i="10"/>
  <c r="J47" i="10"/>
  <c r="H47" i="10"/>
  <c r="F47" i="10"/>
  <c r="Y46" i="10"/>
  <c r="X46" i="10"/>
  <c r="W46" i="10"/>
  <c r="R46" i="10"/>
  <c r="J46" i="10"/>
  <c r="H46" i="10"/>
  <c r="F46" i="10"/>
  <c r="Y45" i="10"/>
  <c r="X45" i="10"/>
  <c r="W45" i="10"/>
  <c r="R45" i="10"/>
  <c r="J45" i="10"/>
  <c r="H45" i="10"/>
  <c r="F45" i="10"/>
  <c r="Y44" i="10"/>
  <c r="X44" i="10"/>
  <c r="W44" i="10"/>
  <c r="R44" i="10"/>
  <c r="J44" i="10"/>
  <c r="H44" i="10"/>
  <c r="F44" i="10"/>
  <c r="Y43" i="10"/>
  <c r="X43" i="10"/>
  <c r="W43" i="10"/>
  <c r="R43" i="10"/>
  <c r="J43" i="10"/>
  <c r="H43" i="10"/>
  <c r="F43" i="10"/>
  <c r="Y42" i="10"/>
  <c r="X42" i="10"/>
  <c r="W42" i="10"/>
  <c r="R42" i="10"/>
  <c r="J42" i="10"/>
  <c r="H42" i="10"/>
  <c r="F42" i="10"/>
  <c r="Y41" i="10"/>
  <c r="X41" i="10"/>
  <c r="W41" i="10"/>
  <c r="R41" i="10"/>
  <c r="J41" i="10"/>
  <c r="H41" i="10"/>
  <c r="F41" i="10"/>
  <c r="Y40" i="10"/>
  <c r="X40" i="10"/>
  <c r="W40" i="10"/>
  <c r="R40" i="10"/>
  <c r="K40" i="10"/>
  <c r="J40" i="10"/>
  <c r="H40" i="10"/>
  <c r="F40" i="10"/>
  <c r="D40" i="10"/>
  <c r="Y39" i="10"/>
  <c r="X39" i="10"/>
  <c r="R39" i="10"/>
  <c r="J39" i="10"/>
  <c r="D39" i="10"/>
  <c r="Y38" i="10"/>
  <c r="X38" i="10"/>
  <c r="W38" i="10"/>
  <c r="R38" i="10"/>
  <c r="J38" i="10"/>
  <c r="H38" i="10"/>
  <c r="F38" i="10"/>
  <c r="X37" i="10"/>
  <c r="R37" i="10"/>
  <c r="J37" i="10"/>
  <c r="H37" i="10"/>
  <c r="D37" i="10"/>
  <c r="W37" i="10" s="1"/>
  <c r="Y36" i="10"/>
  <c r="W36" i="10"/>
  <c r="R36" i="10"/>
  <c r="J36" i="10"/>
  <c r="H36" i="10"/>
  <c r="E36" i="10"/>
  <c r="F36" i="10" s="1"/>
  <c r="D36" i="10"/>
  <c r="Y35" i="10"/>
  <c r="X35" i="10"/>
  <c r="R35" i="10"/>
  <c r="J35" i="10"/>
  <c r="D35" i="10"/>
  <c r="Y34" i="10"/>
  <c r="X34" i="10"/>
  <c r="W34" i="10"/>
  <c r="R34" i="10"/>
  <c r="J34" i="10"/>
  <c r="H34" i="10"/>
  <c r="F34" i="10"/>
  <c r="X33" i="10"/>
  <c r="R33" i="10"/>
  <c r="J33" i="10"/>
  <c r="H33" i="10"/>
  <c r="D33" i="10"/>
  <c r="W33" i="10" s="1"/>
  <c r="Y32" i="10"/>
  <c r="X32" i="10"/>
  <c r="W32" i="10"/>
  <c r="R32" i="10"/>
  <c r="J32" i="10"/>
  <c r="H32" i="10"/>
  <c r="F32" i="10"/>
  <c r="Y31" i="10"/>
  <c r="X31" i="10"/>
  <c r="W31" i="10"/>
  <c r="R31" i="10"/>
  <c r="J31" i="10"/>
  <c r="H31" i="10"/>
  <c r="F31" i="10"/>
  <c r="Y30" i="10"/>
  <c r="X30" i="10"/>
  <c r="W30" i="10"/>
  <c r="R30" i="10"/>
  <c r="J30" i="10"/>
  <c r="H30" i="10"/>
  <c r="F30" i="10"/>
  <c r="Y29" i="10"/>
  <c r="X29" i="10"/>
  <c r="W29" i="10"/>
  <c r="R29" i="10"/>
  <c r="J29" i="10"/>
  <c r="H29" i="10"/>
  <c r="F29" i="10"/>
  <c r="X28" i="10"/>
  <c r="W28" i="10"/>
  <c r="R28" i="10"/>
  <c r="J28" i="10"/>
  <c r="H28" i="10"/>
  <c r="F28" i="10"/>
  <c r="Y27" i="10"/>
  <c r="X27" i="10"/>
  <c r="W27" i="10"/>
  <c r="R27" i="10"/>
  <c r="N27" i="10"/>
  <c r="J27" i="10"/>
  <c r="H27" i="10"/>
  <c r="F27" i="10"/>
  <c r="Y26" i="10"/>
  <c r="X26" i="10"/>
  <c r="W26" i="10"/>
  <c r="R26" i="10"/>
  <c r="J26" i="10"/>
  <c r="H26" i="10"/>
  <c r="F26" i="10"/>
  <c r="Y25" i="10"/>
  <c r="X25" i="10"/>
  <c r="W25" i="10"/>
  <c r="R25" i="10"/>
  <c r="J25" i="10"/>
  <c r="H25" i="10"/>
  <c r="F25" i="10"/>
  <c r="I20" i="10"/>
  <c r="S19" i="10"/>
  <c r="J19" i="10"/>
  <c r="P18" i="10"/>
  <c r="Q18" i="10" s="1"/>
  <c r="N18" i="10"/>
  <c r="L18" i="10"/>
  <c r="M18" i="10" s="1"/>
  <c r="K18" i="10"/>
  <c r="K14" i="10"/>
  <c r="I14" i="10"/>
  <c r="J13" i="10"/>
  <c r="I12" i="10"/>
  <c r="I11" i="10"/>
  <c r="O10" i="10"/>
  <c r="I10" i="10"/>
  <c r="O9" i="10"/>
  <c r="J9" i="10"/>
  <c r="J3" i="10"/>
  <c r="B1" i="10"/>
  <c r="R50" i="9"/>
  <c r="Q50" i="9"/>
  <c r="P50" i="9"/>
  <c r="J19" i="9" s="1"/>
  <c r="N50" i="9"/>
  <c r="M50" i="9"/>
  <c r="L50" i="9"/>
  <c r="K50" i="9"/>
  <c r="I50" i="9"/>
  <c r="G50" i="9"/>
  <c r="Y49" i="9"/>
  <c r="X49" i="9"/>
  <c r="R49" i="9"/>
  <c r="J49" i="9"/>
  <c r="H49" i="9"/>
  <c r="D49" i="9"/>
  <c r="X48" i="9"/>
  <c r="W48" i="9"/>
  <c r="R48" i="9"/>
  <c r="K48" i="9"/>
  <c r="J48" i="9"/>
  <c r="F48" i="9"/>
  <c r="D48" i="9"/>
  <c r="Y47" i="9"/>
  <c r="X47" i="9"/>
  <c r="W47" i="9"/>
  <c r="R47" i="9"/>
  <c r="J47" i="9"/>
  <c r="F47" i="9"/>
  <c r="D47" i="9"/>
  <c r="H47" i="9" s="1"/>
  <c r="X46" i="9"/>
  <c r="R46" i="9"/>
  <c r="J46" i="9"/>
  <c r="D46" i="9"/>
  <c r="Y45" i="9"/>
  <c r="X45" i="9"/>
  <c r="W45" i="9"/>
  <c r="R45" i="9"/>
  <c r="J45" i="9"/>
  <c r="F45" i="9"/>
  <c r="D45" i="9"/>
  <c r="H45" i="9" s="1"/>
  <c r="X44" i="9"/>
  <c r="W44" i="9"/>
  <c r="R44" i="9"/>
  <c r="J44" i="9"/>
  <c r="H44" i="9"/>
  <c r="F44" i="9"/>
  <c r="Y43" i="9"/>
  <c r="X43" i="9"/>
  <c r="R43" i="9"/>
  <c r="J43" i="9"/>
  <c r="H43" i="9"/>
  <c r="D43" i="9"/>
  <c r="W42" i="9"/>
  <c r="R42" i="9"/>
  <c r="F42" i="9"/>
  <c r="E42" i="9"/>
  <c r="D42" i="9"/>
  <c r="Y41" i="9"/>
  <c r="X41" i="9"/>
  <c r="W41" i="9"/>
  <c r="R41" i="9"/>
  <c r="J41" i="9"/>
  <c r="F41" i="9"/>
  <c r="D41" i="9"/>
  <c r="H41" i="9" s="1"/>
  <c r="X40" i="9"/>
  <c r="W40" i="9"/>
  <c r="R40" i="9"/>
  <c r="J40" i="9"/>
  <c r="H40" i="9"/>
  <c r="F40" i="9"/>
  <c r="Y39" i="9"/>
  <c r="X39" i="9"/>
  <c r="R39" i="9"/>
  <c r="O39" i="9"/>
  <c r="O50" i="9" s="1"/>
  <c r="J39" i="9"/>
  <c r="F39" i="9"/>
  <c r="E39" i="9"/>
  <c r="D39" i="9"/>
  <c r="W39" i="9" s="1"/>
  <c r="Y38" i="9"/>
  <c r="X38" i="9"/>
  <c r="W38" i="9"/>
  <c r="R38" i="9"/>
  <c r="J38" i="9"/>
  <c r="H38" i="9"/>
  <c r="F38" i="9"/>
  <c r="Y37" i="9"/>
  <c r="X37" i="9"/>
  <c r="W37" i="9"/>
  <c r="R37" i="9"/>
  <c r="J37" i="9"/>
  <c r="H37" i="9"/>
  <c r="F37" i="9"/>
  <c r="X36" i="9"/>
  <c r="W36" i="9"/>
  <c r="R36" i="9"/>
  <c r="J36" i="9"/>
  <c r="H36" i="9"/>
  <c r="F36" i="9"/>
  <c r="Y35" i="9"/>
  <c r="X35" i="9"/>
  <c r="W35" i="9"/>
  <c r="R35" i="9"/>
  <c r="J35" i="9"/>
  <c r="H35" i="9"/>
  <c r="F35" i="9"/>
  <c r="X34" i="9"/>
  <c r="W34" i="9"/>
  <c r="R34" i="9"/>
  <c r="J34" i="9"/>
  <c r="H34" i="9"/>
  <c r="F34" i="9"/>
  <c r="X33" i="9"/>
  <c r="W33" i="9"/>
  <c r="R33" i="9"/>
  <c r="J33" i="9"/>
  <c r="H33" i="9"/>
  <c r="F33" i="9"/>
  <c r="Y32" i="9"/>
  <c r="X32" i="9"/>
  <c r="W32" i="9"/>
  <c r="R32" i="9"/>
  <c r="J32" i="9"/>
  <c r="H32" i="9"/>
  <c r="F32" i="9"/>
  <c r="Y31" i="9"/>
  <c r="X31" i="9"/>
  <c r="W31" i="9"/>
  <c r="R31" i="9"/>
  <c r="J31" i="9"/>
  <c r="H31" i="9"/>
  <c r="F31" i="9"/>
  <c r="Y30" i="9"/>
  <c r="X30" i="9"/>
  <c r="W30" i="9"/>
  <c r="R30" i="9"/>
  <c r="J30" i="9"/>
  <c r="H30" i="9"/>
  <c r="F30" i="9"/>
  <c r="Y29" i="9"/>
  <c r="X29" i="9"/>
  <c r="W29" i="9"/>
  <c r="R29" i="9"/>
  <c r="J29" i="9"/>
  <c r="H29" i="9"/>
  <c r="F29" i="9"/>
  <c r="X28" i="9"/>
  <c r="W28" i="9"/>
  <c r="R28" i="9"/>
  <c r="J28" i="9"/>
  <c r="H28" i="9"/>
  <c r="F28" i="9"/>
  <c r="S27" i="9"/>
  <c r="R27" i="9"/>
  <c r="J27" i="9"/>
  <c r="H27" i="9"/>
  <c r="F27" i="9"/>
  <c r="X26" i="9"/>
  <c r="W26" i="9"/>
  <c r="R26" i="9"/>
  <c r="J26" i="9"/>
  <c r="H26" i="9"/>
  <c r="F26" i="9"/>
  <c r="Y25" i="9"/>
  <c r="X25" i="9"/>
  <c r="W25" i="9"/>
  <c r="R25" i="9"/>
  <c r="J25" i="9"/>
  <c r="H25" i="9"/>
  <c r="F25" i="9"/>
  <c r="J20" i="9"/>
  <c r="I20" i="9"/>
  <c r="S19" i="9"/>
  <c r="N18" i="9"/>
  <c r="L18" i="9"/>
  <c r="M18" i="9" s="1"/>
  <c r="K18" i="9"/>
  <c r="J17" i="9"/>
  <c r="I17" i="9"/>
  <c r="K14" i="9"/>
  <c r="I14" i="9"/>
  <c r="J13" i="9"/>
  <c r="I12" i="9"/>
  <c r="I11" i="9"/>
  <c r="O10" i="9"/>
  <c r="O9" i="9"/>
  <c r="J3" i="9"/>
  <c r="B1" i="9"/>
  <c r="Q48" i="8"/>
  <c r="J20" i="8" s="1"/>
  <c r="P48" i="8"/>
  <c r="I48" i="8"/>
  <c r="G48" i="8"/>
  <c r="X47" i="8"/>
  <c r="W47" i="8"/>
  <c r="V47" i="8"/>
  <c r="Q47" i="8"/>
  <c r="J47" i="8"/>
  <c r="H47" i="8"/>
  <c r="F47" i="8"/>
  <c r="X46" i="8"/>
  <c r="W46" i="8"/>
  <c r="V46" i="8"/>
  <c r="Q46" i="8"/>
  <c r="J46" i="8"/>
  <c r="H46" i="8"/>
  <c r="F46" i="8"/>
  <c r="W45" i="8"/>
  <c r="Q45" i="8"/>
  <c r="J45" i="8"/>
  <c r="D45" i="8"/>
  <c r="X44" i="8"/>
  <c r="W44" i="8"/>
  <c r="Q44" i="8"/>
  <c r="J44" i="8"/>
  <c r="H44" i="8"/>
  <c r="D44" i="8"/>
  <c r="W43" i="8"/>
  <c r="Q43" i="8"/>
  <c r="J43" i="8"/>
  <c r="D43" i="8"/>
  <c r="X42" i="8"/>
  <c r="W42" i="8"/>
  <c r="Q42" i="8"/>
  <c r="J42" i="8"/>
  <c r="D42" i="8"/>
  <c r="W41" i="8"/>
  <c r="V41" i="8"/>
  <c r="Q41" i="8"/>
  <c r="H41" i="8"/>
  <c r="F41" i="8"/>
  <c r="W40" i="8"/>
  <c r="V40" i="8"/>
  <c r="Q40" i="8"/>
  <c r="D40" i="8"/>
  <c r="Q39" i="8"/>
  <c r="H39" i="8"/>
  <c r="E39" i="8"/>
  <c r="D39" i="8"/>
  <c r="W38" i="8"/>
  <c r="V38" i="8"/>
  <c r="Q38" i="8"/>
  <c r="J38" i="8"/>
  <c r="H38" i="8"/>
  <c r="F38" i="8"/>
  <c r="X37" i="8"/>
  <c r="W37" i="8"/>
  <c r="Q37" i="8"/>
  <c r="J37" i="8"/>
  <c r="H37" i="8"/>
  <c r="E37" i="8"/>
  <c r="F37" i="8" s="1"/>
  <c r="D37" i="8"/>
  <c r="W36" i="8"/>
  <c r="V36" i="8"/>
  <c r="Q36" i="8"/>
  <c r="J36" i="8"/>
  <c r="H36" i="8"/>
  <c r="F36" i="8"/>
  <c r="W35" i="8"/>
  <c r="V35" i="8"/>
  <c r="Q35" i="8"/>
  <c r="J35" i="8"/>
  <c r="H35" i="8"/>
  <c r="F35" i="8"/>
  <c r="X34" i="8"/>
  <c r="W34" i="8"/>
  <c r="V34" i="8"/>
  <c r="Q34" i="8"/>
  <c r="J34" i="8"/>
  <c r="H34" i="8"/>
  <c r="F34" i="8"/>
  <c r="W33" i="8"/>
  <c r="V33" i="8"/>
  <c r="Q33" i="8"/>
  <c r="J33" i="8"/>
  <c r="H33" i="8"/>
  <c r="F33" i="8"/>
  <c r="X32" i="8"/>
  <c r="W32" i="8"/>
  <c r="V32" i="8"/>
  <c r="Q32" i="8"/>
  <c r="K32" i="8"/>
  <c r="K48" i="8" s="1"/>
  <c r="J32" i="8"/>
  <c r="H32" i="8"/>
  <c r="F32" i="8"/>
  <c r="W31" i="8"/>
  <c r="V31" i="8"/>
  <c r="Q31" i="8"/>
  <c r="J31" i="8"/>
  <c r="H31" i="8"/>
  <c r="F31" i="8"/>
  <c r="X30" i="8"/>
  <c r="W30" i="8"/>
  <c r="V30" i="8"/>
  <c r="Q30" i="8"/>
  <c r="J30" i="8"/>
  <c r="H30" i="8"/>
  <c r="F30" i="8"/>
  <c r="X29" i="8"/>
  <c r="W29" i="8"/>
  <c r="V29" i="8"/>
  <c r="Q29" i="8"/>
  <c r="J29" i="8"/>
  <c r="H29" i="8"/>
  <c r="F29" i="8"/>
  <c r="W28" i="8"/>
  <c r="V28" i="8"/>
  <c r="Q28" i="8"/>
  <c r="J28" i="8"/>
  <c r="H28" i="8"/>
  <c r="F28" i="8"/>
  <c r="R27" i="8"/>
  <c r="Q27" i="8"/>
  <c r="O27" i="8"/>
  <c r="J27" i="8"/>
  <c r="H27" i="8"/>
  <c r="F27" i="8"/>
  <c r="W26" i="8"/>
  <c r="V26" i="8"/>
  <c r="Q26" i="8"/>
  <c r="J26" i="8"/>
  <c r="H26" i="8"/>
  <c r="F26" i="8"/>
  <c r="W25" i="8"/>
  <c r="V25" i="8"/>
  <c r="Q25" i="8"/>
  <c r="M25" i="8"/>
  <c r="J25" i="8"/>
  <c r="H25" i="8"/>
  <c r="F25" i="8"/>
  <c r="K20" i="8"/>
  <c r="I20" i="8"/>
  <c r="S19" i="8"/>
  <c r="Q19" i="8"/>
  <c r="P19" i="8"/>
  <c r="N19" i="8"/>
  <c r="L19" i="8"/>
  <c r="M19" i="8" s="1"/>
  <c r="K19" i="8"/>
  <c r="N18" i="8"/>
  <c r="L18" i="8"/>
  <c r="K18" i="8"/>
  <c r="J17" i="8"/>
  <c r="I17" i="8"/>
  <c r="I14" i="8"/>
  <c r="J13" i="8"/>
  <c r="I12" i="8"/>
  <c r="I11" i="8"/>
  <c r="O10" i="8"/>
  <c r="O9" i="8"/>
  <c r="J3" i="8"/>
  <c r="B1" i="8"/>
  <c r="P48" i="7"/>
  <c r="J19" i="7" s="1"/>
  <c r="N19" i="7" s="1"/>
  <c r="O48" i="7"/>
  <c r="K48" i="7"/>
  <c r="I48" i="7"/>
  <c r="G48" i="7"/>
  <c r="E48" i="7"/>
  <c r="X47" i="7"/>
  <c r="W47" i="7"/>
  <c r="V47" i="7"/>
  <c r="Q47" i="7"/>
  <c r="J47" i="7"/>
  <c r="H47" i="7"/>
  <c r="F47" i="7"/>
  <c r="X46" i="7"/>
  <c r="W46" i="7"/>
  <c r="V46" i="7"/>
  <c r="Q46" i="7"/>
  <c r="J46" i="7"/>
  <c r="H46" i="7"/>
  <c r="F46" i="7"/>
  <c r="W45" i="7"/>
  <c r="V45" i="7"/>
  <c r="Q45" i="7"/>
  <c r="J45" i="7"/>
  <c r="H45" i="7"/>
  <c r="F45" i="7"/>
  <c r="D45" i="7"/>
  <c r="W44" i="7"/>
  <c r="V44" i="7"/>
  <c r="Q44" i="7"/>
  <c r="J44" i="7"/>
  <c r="H44" i="7"/>
  <c r="F44" i="7"/>
  <c r="D44" i="7"/>
  <c r="W43" i="7"/>
  <c r="V43" i="7"/>
  <c r="Q43" i="7"/>
  <c r="J43" i="7"/>
  <c r="H43" i="7"/>
  <c r="F43" i="7"/>
  <c r="D43" i="7"/>
  <c r="W42" i="7"/>
  <c r="V42" i="7"/>
  <c r="Q42" i="7"/>
  <c r="J42" i="7"/>
  <c r="H42" i="7"/>
  <c r="F42" i="7"/>
  <c r="W41" i="7"/>
  <c r="Q41" i="7"/>
  <c r="J41" i="7"/>
  <c r="F41" i="7"/>
  <c r="D41" i="7"/>
  <c r="W40" i="7"/>
  <c r="V40" i="7"/>
  <c r="Q40" i="7"/>
  <c r="J40" i="7"/>
  <c r="H40" i="7"/>
  <c r="F40" i="7"/>
  <c r="W39" i="7"/>
  <c r="V39" i="7"/>
  <c r="Q39" i="7"/>
  <c r="J39" i="7"/>
  <c r="H39" i="7"/>
  <c r="F39" i="7"/>
  <c r="W38" i="7"/>
  <c r="Q38" i="7"/>
  <c r="J38" i="7"/>
  <c r="D38" i="7"/>
  <c r="W37" i="7"/>
  <c r="V37" i="7"/>
  <c r="Q37" i="7"/>
  <c r="J37" i="7"/>
  <c r="H37" i="7"/>
  <c r="F37" i="7"/>
  <c r="W36" i="7"/>
  <c r="V36" i="7"/>
  <c r="Q36" i="7"/>
  <c r="J36" i="7"/>
  <c r="H36" i="7"/>
  <c r="F36" i="7"/>
  <c r="W35" i="7"/>
  <c r="V35" i="7"/>
  <c r="Q35" i="7"/>
  <c r="J35" i="7"/>
  <c r="H35" i="7"/>
  <c r="F35" i="7"/>
  <c r="W34" i="7"/>
  <c r="V34" i="7"/>
  <c r="Q34" i="7"/>
  <c r="J34" i="7"/>
  <c r="H34" i="7"/>
  <c r="F34" i="7"/>
  <c r="W33" i="7"/>
  <c r="V33" i="7"/>
  <c r="Q33" i="7"/>
  <c r="J33" i="7"/>
  <c r="H33" i="7"/>
  <c r="F33" i="7"/>
  <c r="W32" i="7"/>
  <c r="V32" i="7"/>
  <c r="Q32" i="7"/>
  <c r="J32" i="7"/>
  <c r="H32" i="7"/>
  <c r="F32" i="7"/>
  <c r="W31" i="7"/>
  <c r="W48" i="7" s="1"/>
  <c r="V31" i="7"/>
  <c r="Q31" i="7"/>
  <c r="J31" i="7"/>
  <c r="H31" i="7"/>
  <c r="F31" i="7"/>
  <c r="W30" i="7"/>
  <c r="V30" i="7"/>
  <c r="Q30" i="7"/>
  <c r="J30" i="7"/>
  <c r="H30" i="7"/>
  <c r="F30" i="7"/>
  <c r="W29" i="7"/>
  <c r="V29" i="7"/>
  <c r="Q29" i="7"/>
  <c r="J29" i="7"/>
  <c r="H29" i="7"/>
  <c r="F29" i="7"/>
  <c r="W28" i="7"/>
  <c r="V28" i="7"/>
  <c r="Q28" i="7"/>
  <c r="J28" i="7"/>
  <c r="H28" i="7"/>
  <c r="F28" i="7"/>
  <c r="R27" i="7"/>
  <c r="Q27" i="7"/>
  <c r="J27" i="7"/>
  <c r="H27" i="7"/>
  <c r="F27" i="7"/>
  <c r="W26" i="7"/>
  <c r="V26" i="7"/>
  <c r="Q26" i="7"/>
  <c r="M26" i="7"/>
  <c r="J26" i="7"/>
  <c r="H26" i="7"/>
  <c r="F26" i="7"/>
  <c r="W25" i="7"/>
  <c r="V25" i="7"/>
  <c r="Q25" i="7"/>
  <c r="J25" i="7"/>
  <c r="H25" i="7"/>
  <c r="F25" i="7"/>
  <c r="I20" i="7"/>
  <c r="S19" i="7"/>
  <c r="L19" i="7"/>
  <c r="P19" i="7" s="1"/>
  <c r="Q19" i="7" s="1"/>
  <c r="K19" i="7"/>
  <c r="N18" i="7"/>
  <c r="L18" i="7"/>
  <c r="K18" i="7"/>
  <c r="I17" i="7"/>
  <c r="I14" i="7"/>
  <c r="J13" i="7"/>
  <c r="I12" i="7"/>
  <c r="I11" i="7"/>
  <c r="O10" i="7"/>
  <c r="O9" i="7"/>
  <c r="J3" i="7"/>
  <c r="B1" i="7"/>
  <c r="R49" i="6"/>
  <c r="J20" i="6" s="1"/>
  <c r="K20" i="6" s="1"/>
  <c r="Q49" i="6"/>
  <c r="P49" i="6"/>
  <c r="O49" i="6"/>
  <c r="K49" i="6"/>
  <c r="I49" i="6"/>
  <c r="G49" i="6"/>
  <c r="Y48" i="6"/>
  <c r="X48" i="6"/>
  <c r="W48" i="6"/>
  <c r="R48" i="6"/>
  <c r="J48" i="6"/>
  <c r="H48" i="6"/>
  <c r="F48" i="6"/>
  <c r="Y47" i="6"/>
  <c r="X47" i="6"/>
  <c r="W47" i="6"/>
  <c r="R47" i="6"/>
  <c r="J47" i="6"/>
  <c r="H47" i="6"/>
  <c r="F47" i="6"/>
  <c r="Y46" i="6"/>
  <c r="X46" i="6"/>
  <c r="W46" i="6"/>
  <c r="R46" i="6"/>
  <c r="J46" i="6"/>
  <c r="H46" i="6"/>
  <c r="F46" i="6"/>
  <c r="X45" i="6"/>
  <c r="R45" i="6"/>
  <c r="J45" i="6"/>
  <c r="D45" i="6"/>
  <c r="X44" i="6"/>
  <c r="R44" i="6"/>
  <c r="J44" i="6"/>
  <c r="D44" i="6"/>
  <c r="H44" i="6" s="1"/>
  <c r="Y43" i="6"/>
  <c r="X43" i="6"/>
  <c r="W43" i="6"/>
  <c r="R43" i="6"/>
  <c r="J43" i="6"/>
  <c r="H43" i="6"/>
  <c r="F43" i="6"/>
  <c r="D43" i="6"/>
  <c r="X42" i="6"/>
  <c r="R42" i="6"/>
  <c r="J42" i="6"/>
  <c r="F42" i="6"/>
  <c r="D42" i="6"/>
  <c r="H42" i="6" s="1"/>
  <c r="R41" i="6"/>
  <c r="E41" i="6"/>
  <c r="D41" i="6"/>
  <c r="X40" i="6"/>
  <c r="R40" i="6"/>
  <c r="J40" i="6"/>
  <c r="F40" i="6"/>
  <c r="D40" i="6"/>
  <c r="W39" i="6"/>
  <c r="R39" i="6"/>
  <c r="J39" i="6"/>
  <c r="H39" i="6"/>
  <c r="E39" i="6"/>
  <c r="X39" i="6" s="1"/>
  <c r="D39" i="6"/>
  <c r="X38" i="6"/>
  <c r="W38" i="6"/>
  <c r="R38" i="6"/>
  <c r="J38" i="6"/>
  <c r="H38" i="6"/>
  <c r="E38" i="6"/>
  <c r="D38" i="6"/>
  <c r="X37" i="6"/>
  <c r="W37" i="6"/>
  <c r="R37" i="6"/>
  <c r="J37" i="6"/>
  <c r="H37" i="6"/>
  <c r="F37" i="6"/>
  <c r="X36" i="6"/>
  <c r="W36" i="6"/>
  <c r="R36" i="6"/>
  <c r="J36" i="6"/>
  <c r="F36" i="6"/>
  <c r="D36" i="6"/>
  <c r="X35" i="6"/>
  <c r="W35" i="6"/>
  <c r="R35" i="6"/>
  <c r="J35" i="6"/>
  <c r="H35" i="6"/>
  <c r="F35" i="6"/>
  <c r="X34" i="6"/>
  <c r="W34" i="6"/>
  <c r="R34" i="6"/>
  <c r="J34" i="6"/>
  <c r="H34" i="6"/>
  <c r="F34" i="6"/>
  <c r="X33" i="6"/>
  <c r="W33" i="6"/>
  <c r="R33" i="6"/>
  <c r="J33" i="6"/>
  <c r="H33" i="6"/>
  <c r="F33" i="6"/>
  <c r="X32" i="6"/>
  <c r="W32" i="6"/>
  <c r="R32" i="6"/>
  <c r="J32" i="6"/>
  <c r="H32" i="6"/>
  <c r="F32" i="6"/>
  <c r="X31" i="6"/>
  <c r="W31" i="6"/>
  <c r="R31" i="6"/>
  <c r="J31" i="6"/>
  <c r="H31" i="6"/>
  <c r="F31" i="6"/>
  <c r="Y30" i="6"/>
  <c r="X30" i="6"/>
  <c r="W30" i="6"/>
  <c r="R30" i="6"/>
  <c r="J30" i="6"/>
  <c r="H30" i="6"/>
  <c r="F30" i="6"/>
  <c r="Y29" i="6"/>
  <c r="X29" i="6"/>
  <c r="W29" i="6"/>
  <c r="R29" i="6"/>
  <c r="J29" i="6"/>
  <c r="H29" i="6"/>
  <c r="F29" i="6"/>
  <c r="X28" i="6"/>
  <c r="W28" i="6"/>
  <c r="R28" i="6"/>
  <c r="J28" i="6"/>
  <c r="H28" i="6"/>
  <c r="F28" i="6"/>
  <c r="S27" i="6"/>
  <c r="R27" i="6"/>
  <c r="J27" i="6"/>
  <c r="H27" i="6"/>
  <c r="F27" i="6"/>
  <c r="X26" i="6"/>
  <c r="W26" i="6"/>
  <c r="R26" i="6"/>
  <c r="J26" i="6"/>
  <c r="H26" i="6"/>
  <c r="F26" i="6"/>
  <c r="X25" i="6"/>
  <c r="W25" i="6"/>
  <c r="R25" i="6"/>
  <c r="J25" i="6"/>
  <c r="H25" i="6"/>
  <c r="F25" i="6"/>
  <c r="I20" i="6"/>
  <c r="S19" i="6"/>
  <c r="N19" i="6"/>
  <c r="M19" i="6"/>
  <c r="J19" i="6"/>
  <c r="L19" i="6" s="1"/>
  <c r="P19" i="6" s="1"/>
  <c r="Q19" i="6" s="1"/>
  <c r="N18" i="6"/>
  <c r="M18" i="6"/>
  <c r="L18" i="6"/>
  <c r="P18" i="6" s="1"/>
  <c r="Q18" i="6" s="1"/>
  <c r="K18" i="6"/>
  <c r="J17" i="6"/>
  <c r="I17" i="6"/>
  <c r="K14" i="6"/>
  <c r="I14" i="6"/>
  <c r="J13" i="6"/>
  <c r="I12" i="6"/>
  <c r="Y36" i="6" s="1"/>
  <c r="I11" i="6"/>
  <c r="O10" i="6"/>
  <c r="O9" i="6"/>
  <c r="J3" i="6"/>
  <c r="B1" i="6"/>
  <c r="D7" i="5"/>
  <c r="D5" i="5"/>
  <c r="D4" i="5"/>
  <c r="D3" i="5"/>
  <c r="D1" i="5"/>
  <c r="D2" i="5" s="1"/>
  <c r="D6" i="5" s="1"/>
  <c r="Q10" i="3"/>
  <c r="P10" i="3"/>
  <c r="N10" i="3"/>
  <c r="M10" i="3"/>
  <c r="K10" i="3"/>
  <c r="H10" i="3"/>
  <c r="E10" i="3"/>
  <c r="D10" i="3"/>
  <c r="Q9" i="3"/>
  <c r="N9" i="3"/>
  <c r="K9" i="3"/>
  <c r="H9" i="3"/>
  <c r="P2" i="3"/>
  <c r="M2" i="3"/>
  <c r="J2" i="3"/>
  <c r="G2" i="3"/>
  <c r="D2" i="3"/>
  <c r="L17" i="2"/>
  <c r="L16" i="2"/>
  <c r="L15" i="2"/>
  <c r="L14" i="2"/>
  <c r="L13" i="2"/>
  <c r="D61" i="1"/>
  <c r="D60" i="1"/>
  <c r="D59" i="1"/>
  <c r="D62" i="1" s="1"/>
  <c r="F4" i="15" s="1"/>
  <c r="P56" i="1"/>
  <c r="I56" i="1"/>
  <c r="R56" i="1" s="1"/>
  <c r="G56" i="1"/>
  <c r="E56" i="1"/>
  <c r="D56" i="1"/>
  <c r="Y55" i="1"/>
  <c r="X55" i="1"/>
  <c r="W55" i="1"/>
  <c r="T55" i="1"/>
  <c r="S55" i="1" s="1"/>
  <c r="R55" i="1"/>
  <c r="J55" i="1"/>
  <c r="H55" i="1"/>
  <c r="F55" i="1"/>
  <c r="Y54" i="1"/>
  <c r="X54" i="1"/>
  <c r="W54" i="1"/>
  <c r="T54" i="1"/>
  <c r="S54" i="1" s="1"/>
  <c r="R54" i="1"/>
  <c r="Q54" i="1"/>
  <c r="K54" i="1"/>
  <c r="J54" i="1"/>
  <c r="H54" i="1"/>
  <c r="F54" i="1"/>
  <c r="Y53" i="1"/>
  <c r="X53" i="1"/>
  <c r="R53" i="1"/>
  <c r="J53" i="1"/>
  <c r="H53" i="1"/>
  <c r="D53" i="1"/>
  <c r="W53" i="1" s="1"/>
  <c r="Y52" i="1"/>
  <c r="X52" i="1"/>
  <c r="W52" i="1"/>
  <c r="T52" i="1"/>
  <c r="S52" i="1" s="1"/>
  <c r="R52" i="1"/>
  <c r="Q52" i="1"/>
  <c r="M52" i="1"/>
  <c r="K52" i="1"/>
  <c r="J52" i="1"/>
  <c r="H52" i="1"/>
  <c r="F52" i="1"/>
  <c r="Y51" i="1"/>
  <c r="X51" i="1"/>
  <c r="W51" i="1"/>
  <c r="T51" i="1"/>
  <c r="S51" i="1" s="1"/>
  <c r="R51" i="1"/>
  <c r="J51" i="1"/>
  <c r="H51" i="1"/>
  <c r="F51" i="1"/>
  <c r="Y50" i="1"/>
  <c r="X50" i="1"/>
  <c r="W50" i="1"/>
  <c r="R50" i="1"/>
  <c r="Q50" i="1"/>
  <c r="O50" i="1"/>
  <c r="K50" i="1"/>
  <c r="J50" i="1"/>
  <c r="H50" i="1"/>
  <c r="F50" i="1"/>
  <c r="Y49" i="1"/>
  <c r="X49" i="1"/>
  <c r="W49" i="1"/>
  <c r="T49" i="1"/>
  <c r="S49" i="1" s="1"/>
  <c r="R49" i="1"/>
  <c r="J49" i="1"/>
  <c r="H49" i="1"/>
  <c r="F49" i="1"/>
  <c r="Y48" i="1"/>
  <c r="X48" i="1"/>
  <c r="W48" i="1"/>
  <c r="R48" i="1"/>
  <c r="J48" i="1"/>
  <c r="H48" i="1"/>
  <c r="F48" i="1"/>
  <c r="Y47" i="1"/>
  <c r="X47" i="1"/>
  <c r="W47" i="1"/>
  <c r="T47" i="1"/>
  <c r="S47" i="1" s="1"/>
  <c r="R47" i="1"/>
  <c r="O47" i="1"/>
  <c r="J47" i="1"/>
  <c r="H47" i="1"/>
  <c r="F47" i="1"/>
  <c r="Y46" i="1"/>
  <c r="X46" i="1"/>
  <c r="W46" i="1"/>
  <c r="R46" i="1"/>
  <c r="Q46" i="1"/>
  <c r="J46" i="1"/>
  <c r="H46" i="1"/>
  <c r="F46" i="1"/>
  <c r="Y45" i="1"/>
  <c r="X45" i="1"/>
  <c r="W45" i="1"/>
  <c r="T45" i="1"/>
  <c r="S45" i="1" s="1"/>
  <c r="R45" i="1"/>
  <c r="J45" i="1"/>
  <c r="H45" i="1"/>
  <c r="F45" i="1"/>
  <c r="Y44" i="1"/>
  <c r="X44" i="1"/>
  <c r="W44" i="1"/>
  <c r="T44" i="1"/>
  <c r="S44" i="1" s="1"/>
  <c r="R44" i="1"/>
  <c r="O44" i="1"/>
  <c r="M44" i="1"/>
  <c r="L44" i="1"/>
  <c r="L56" i="1" s="1"/>
  <c r="K44" i="1"/>
  <c r="J44" i="1"/>
  <c r="H44" i="1"/>
  <c r="F44" i="1"/>
  <c r="Y43" i="1"/>
  <c r="X43" i="1"/>
  <c r="W43" i="1"/>
  <c r="T43" i="1"/>
  <c r="S43" i="1" s="1"/>
  <c r="R43" i="1"/>
  <c r="O43" i="1"/>
  <c r="N43" i="1"/>
  <c r="K43" i="1"/>
  <c r="J43" i="1"/>
  <c r="H43" i="1"/>
  <c r="F43" i="1"/>
  <c r="Y42" i="1"/>
  <c r="X42" i="1"/>
  <c r="W42" i="1"/>
  <c r="T42" i="1"/>
  <c r="S42" i="1" s="1"/>
  <c r="R42" i="1"/>
  <c r="J42" i="1"/>
  <c r="H42" i="1"/>
  <c r="F42" i="1"/>
  <c r="Y41" i="1"/>
  <c r="X41" i="1"/>
  <c r="W41" i="1"/>
  <c r="T41" i="1"/>
  <c r="S41" i="1" s="1"/>
  <c r="R41" i="1"/>
  <c r="J41" i="1"/>
  <c r="H41" i="1"/>
  <c r="F41" i="1"/>
  <c r="Y40" i="1"/>
  <c r="X40" i="1"/>
  <c r="W40" i="1"/>
  <c r="T40" i="1"/>
  <c r="S40" i="1" s="1"/>
  <c r="R40" i="1"/>
  <c r="J40" i="1"/>
  <c r="H40" i="1"/>
  <c r="F40" i="1"/>
  <c r="Y39" i="1"/>
  <c r="X39" i="1"/>
  <c r="W39" i="1"/>
  <c r="T39" i="1"/>
  <c r="S39" i="1"/>
  <c r="R39" i="1"/>
  <c r="J39" i="1"/>
  <c r="H39" i="1"/>
  <c r="F39" i="1"/>
  <c r="Y38" i="1"/>
  <c r="X38" i="1"/>
  <c r="W38" i="1"/>
  <c r="R38" i="1"/>
  <c r="J38" i="1"/>
  <c r="H38" i="1"/>
  <c r="F38" i="1"/>
  <c r="Y37" i="1"/>
  <c r="X37" i="1"/>
  <c r="W37" i="1"/>
  <c r="R37" i="1"/>
  <c r="K37" i="1"/>
  <c r="J37" i="1"/>
  <c r="H37" i="1"/>
  <c r="F37" i="1"/>
  <c r="Y36" i="1"/>
  <c r="X36" i="1"/>
  <c r="W36" i="1"/>
  <c r="T36" i="1"/>
  <c r="S36" i="1" s="1"/>
  <c r="R36" i="1"/>
  <c r="J36" i="1"/>
  <c r="H36" i="1"/>
  <c r="F36" i="1"/>
  <c r="Y35" i="1"/>
  <c r="X35" i="1"/>
  <c r="W35" i="1"/>
  <c r="T35" i="1"/>
  <c r="S35" i="1" s="1"/>
  <c r="R35" i="1"/>
  <c r="J35" i="1"/>
  <c r="H35" i="1"/>
  <c r="F35" i="1"/>
  <c r="Y34" i="1"/>
  <c r="X34" i="1"/>
  <c r="W34" i="1"/>
  <c r="T34" i="1"/>
  <c r="S34" i="1" s="1"/>
  <c r="R34" i="1"/>
  <c r="J34" i="1"/>
  <c r="H34" i="1"/>
  <c r="F34" i="1"/>
  <c r="Y33" i="1"/>
  <c r="X33" i="1"/>
  <c r="W33" i="1"/>
  <c r="R33" i="1"/>
  <c r="J33" i="1"/>
  <c r="H33" i="1"/>
  <c r="F33" i="1"/>
  <c r="Y32" i="1"/>
  <c r="X32" i="1"/>
  <c r="W32" i="1"/>
  <c r="R32" i="1"/>
  <c r="J32" i="1"/>
  <c r="H32" i="1"/>
  <c r="F32" i="1"/>
  <c r="Y31" i="1"/>
  <c r="X31" i="1"/>
  <c r="W31" i="1"/>
  <c r="T31" i="1"/>
  <c r="S31" i="1" s="1"/>
  <c r="R31" i="1"/>
  <c r="N31" i="1"/>
  <c r="J31" i="1"/>
  <c r="H31" i="1"/>
  <c r="F31" i="1"/>
  <c r="Y30" i="1"/>
  <c r="X30" i="1"/>
  <c r="W30" i="1"/>
  <c r="T30" i="1"/>
  <c r="S30" i="1" s="1"/>
  <c r="R30" i="1"/>
  <c r="O30" i="1"/>
  <c r="O56" i="1" s="1"/>
  <c r="J30" i="1"/>
  <c r="H30" i="1"/>
  <c r="F30" i="1"/>
  <c r="Y29" i="1"/>
  <c r="X29" i="1"/>
  <c r="W29" i="1"/>
  <c r="T29" i="1"/>
  <c r="S29" i="1" s="1"/>
  <c r="R29" i="1"/>
  <c r="M29" i="1"/>
  <c r="J29" i="1"/>
  <c r="H29" i="1"/>
  <c r="F29" i="1"/>
  <c r="Y28" i="1"/>
  <c r="X28" i="1"/>
  <c r="W28" i="1"/>
  <c r="T28" i="1"/>
  <c r="S28" i="1" s="1"/>
  <c r="R28" i="1"/>
  <c r="M28" i="1"/>
  <c r="K28" i="1"/>
  <c r="J28" i="1"/>
  <c r="H28" i="1"/>
  <c r="F28" i="1"/>
  <c r="Y27" i="1"/>
  <c r="X27" i="1"/>
  <c r="W27" i="1"/>
  <c r="T27" i="1"/>
  <c r="S27" i="1" s="1"/>
  <c r="R27" i="1"/>
  <c r="N27" i="1"/>
  <c r="N56" i="1" s="1"/>
  <c r="J27" i="1"/>
  <c r="H27" i="1"/>
  <c r="F27" i="1"/>
  <c r="Y26" i="1"/>
  <c r="X26" i="1"/>
  <c r="X56" i="1" s="1"/>
  <c r="W26" i="1"/>
  <c r="R26" i="1"/>
  <c r="M26" i="1"/>
  <c r="M56" i="1" s="1"/>
  <c r="J26" i="1"/>
  <c r="H26" i="1"/>
  <c r="F26" i="1"/>
  <c r="Y25" i="1"/>
  <c r="Y56" i="1" s="1"/>
  <c r="X25" i="1"/>
  <c r="W25" i="1"/>
  <c r="W56" i="1" s="1"/>
  <c r="T25" i="1"/>
  <c r="R25" i="1"/>
  <c r="J25" i="1"/>
  <c r="H25" i="1"/>
  <c r="F25" i="1"/>
  <c r="R20" i="1"/>
  <c r="P20" i="1"/>
  <c r="N20" i="1"/>
  <c r="L20" i="1"/>
  <c r="K20" i="1"/>
  <c r="J20" i="1"/>
  <c r="M20" i="1" s="1"/>
  <c r="V19" i="1"/>
  <c r="P19" i="1"/>
  <c r="R19" i="1" s="1"/>
  <c r="N19" i="1"/>
  <c r="L19" i="1"/>
  <c r="M19" i="1" s="1"/>
  <c r="K19" i="1"/>
  <c r="N18" i="1"/>
  <c r="M18" i="1"/>
  <c r="L18" i="1"/>
  <c r="P18" i="1" s="1"/>
  <c r="R18" i="1" s="1"/>
  <c r="K18" i="1"/>
  <c r="J17" i="1"/>
  <c r="K17" i="1" s="1"/>
  <c r="I15" i="1"/>
  <c r="K14" i="1"/>
  <c r="J13" i="1"/>
  <c r="I13" i="1"/>
  <c r="I10" i="1"/>
  <c r="I8" i="1"/>
  <c r="T48" i="1" s="1"/>
  <c r="S48" i="1" s="1"/>
  <c r="B1" i="1"/>
  <c r="D57" i="1" l="1"/>
  <c r="J8" i="1"/>
  <c r="J56" i="1"/>
  <c r="J12" i="1" s="1"/>
  <c r="J9" i="1"/>
  <c r="W45" i="6"/>
  <c r="F56" i="1"/>
  <c r="J11" i="1" s="1"/>
  <c r="F45" i="6"/>
  <c r="K20" i="9"/>
  <c r="B27" i="12"/>
  <c r="I27" i="12" s="1"/>
  <c r="B26" i="12"/>
  <c r="I26" i="12" s="1"/>
  <c r="H41" i="6"/>
  <c r="W41" i="6"/>
  <c r="W49" i="6" s="1"/>
  <c r="H45" i="6"/>
  <c r="X41" i="7"/>
  <c r="X31" i="7"/>
  <c r="X40" i="7"/>
  <c r="X35" i="7"/>
  <c r="X30" i="7"/>
  <c r="X42" i="7"/>
  <c r="X37" i="7"/>
  <c r="X39" i="7"/>
  <c r="X38" i="7"/>
  <c r="X36" i="7"/>
  <c r="X28" i="7"/>
  <c r="X45" i="7"/>
  <c r="X34" i="7"/>
  <c r="X33" i="7"/>
  <c r="X25" i="7"/>
  <c r="X32" i="7"/>
  <c r="X29" i="7"/>
  <c r="X26" i="7"/>
  <c r="I15" i="9"/>
  <c r="I15" i="7"/>
  <c r="I15" i="10"/>
  <c r="I15" i="8"/>
  <c r="K56" i="1"/>
  <c r="L17" i="1"/>
  <c r="H56" i="1"/>
  <c r="J10" i="1" s="1"/>
  <c r="J41" i="6"/>
  <c r="X41" i="6"/>
  <c r="X49" i="6" s="1"/>
  <c r="F41" i="6"/>
  <c r="Q48" i="7"/>
  <c r="J20" i="7" s="1"/>
  <c r="J17" i="7"/>
  <c r="F46" i="9"/>
  <c r="H46" i="9"/>
  <c r="W46" i="9"/>
  <c r="S25" i="1"/>
  <c r="K17" i="6"/>
  <c r="W40" i="6"/>
  <c r="H43" i="8"/>
  <c r="V43" i="8"/>
  <c r="F43" i="8"/>
  <c r="I58" i="1"/>
  <c r="Y40" i="6"/>
  <c r="Y34" i="6"/>
  <c r="Y44" i="6"/>
  <c r="Y39" i="6"/>
  <c r="Y35" i="6"/>
  <c r="Y26" i="6"/>
  <c r="Y41" i="6"/>
  <c r="Y37" i="6"/>
  <c r="Y31" i="6"/>
  <c r="Y28" i="6"/>
  <c r="Y25" i="6"/>
  <c r="Y42" i="6"/>
  <c r="Y38" i="6"/>
  <c r="Y33" i="6"/>
  <c r="Y32" i="6"/>
  <c r="L17" i="6"/>
  <c r="P17" i="6" s="1"/>
  <c r="Q17" i="6" s="1"/>
  <c r="E9" i="3"/>
  <c r="K13" i="1"/>
  <c r="D9" i="3" s="1"/>
  <c r="I15" i="6"/>
  <c r="D49" i="6"/>
  <c r="H49" i="6" s="1"/>
  <c r="J10" i="6" s="1"/>
  <c r="H36" i="6"/>
  <c r="H40" i="6"/>
  <c r="Y45" i="6"/>
  <c r="M18" i="7"/>
  <c r="P18" i="7"/>
  <c r="Q18" i="7" s="1"/>
  <c r="X43" i="7"/>
  <c r="X44" i="7"/>
  <c r="K14" i="8"/>
  <c r="G10" i="3" s="1"/>
  <c r="P18" i="8"/>
  <c r="Q18" i="8" s="1"/>
  <c r="M18" i="8"/>
  <c r="C4" i="1"/>
  <c r="E4" i="1" s="1"/>
  <c r="T26" i="1"/>
  <c r="T32" i="1"/>
  <c r="S32" i="1" s="1"/>
  <c r="T37" i="1"/>
  <c r="S37" i="1" s="1"/>
  <c r="T53" i="1"/>
  <c r="S53" i="1" s="1"/>
  <c r="I10" i="6"/>
  <c r="K14" i="7"/>
  <c r="J10" i="3" s="1"/>
  <c r="F39" i="8"/>
  <c r="W39" i="8"/>
  <c r="E48" i="8"/>
  <c r="J39" i="8"/>
  <c r="I9" i="1"/>
  <c r="E49" i="6"/>
  <c r="K17" i="7"/>
  <c r="M19" i="7"/>
  <c r="V38" i="7"/>
  <c r="V48" i="7" s="1"/>
  <c r="F38" i="7"/>
  <c r="D48" i="7"/>
  <c r="H35" i="10"/>
  <c r="W35" i="10"/>
  <c r="W48" i="10" s="1"/>
  <c r="F35" i="10"/>
  <c r="D48" i="10"/>
  <c r="D13" i="12"/>
  <c r="G4" i="12" s="1"/>
  <c r="K17" i="12"/>
  <c r="M13" i="12" s="1"/>
  <c r="J4" i="12" s="1"/>
  <c r="I8" i="10"/>
  <c r="I8" i="9"/>
  <c r="I8" i="7"/>
  <c r="I8" i="8"/>
  <c r="I8" i="6"/>
  <c r="T33" i="1"/>
  <c r="S33" i="1" s="1"/>
  <c r="T38" i="1"/>
  <c r="S38" i="1" s="1"/>
  <c r="T46" i="1"/>
  <c r="S46" i="1" s="1"/>
  <c r="T50" i="1"/>
  <c r="S50" i="1" s="1"/>
  <c r="F53" i="1"/>
  <c r="M17" i="6"/>
  <c r="F38" i="6"/>
  <c r="J49" i="6"/>
  <c r="J12" i="6" s="1"/>
  <c r="I10" i="7"/>
  <c r="H38" i="7"/>
  <c r="H41" i="7"/>
  <c r="V41" i="7"/>
  <c r="X43" i="8"/>
  <c r="X41" i="8"/>
  <c r="X40" i="8"/>
  <c r="X38" i="8"/>
  <c r="X36" i="8"/>
  <c r="X31" i="8"/>
  <c r="X45" i="8"/>
  <c r="X33" i="8"/>
  <c r="X28" i="8"/>
  <c r="X25" i="8"/>
  <c r="X39" i="8"/>
  <c r="X26" i="8"/>
  <c r="X35" i="8"/>
  <c r="V44" i="8"/>
  <c r="F44" i="8"/>
  <c r="W44" i="6"/>
  <c r="W48" i="8"/>
  <c r="K25" i="11"/>
  <c r="G17" i="11"/>
  <c r="D13" i="11" s="1"/>
  <c r="G4" i="11" s="1"/>
  <c r="K19" i="6"/>
  <c r="F39" i="6"/>
  <c r="F44" i="6"/>
  <c r="W42" i="6"/>
  <c r="M17" i="8"/>
  <c r="I10" i="8"/>
  <c r="L17" i="8"/>
  <c r="P17" i="8" s="1"/>
  <c r="Q17" i="8" s="1"/>
  <c r="K17" i="8"/>
  <c r="P18" i="9"/>
  <c r="Q18" i="9" s="1"/>
  <c r="K25" i="13"/>
  <c r="G17" i="13"/>
  <c r="V42" i="8"/>
  <c r="F42" i="8"/>
  <c r="H48" i="8"/>
  <c r="J10" i="8" s="1"/>
  <c r="K17" i="9"/>
  <c r="M17" i="9"/>
  <c r="J48" i="7"/>
  <c r="J12" i="7" s="1"/>
  <c r="K12" i="7" s="1"/>
  <c r="J8" i="3" s="1"/>
  <c r="H40" i="8"/>
  <c r="F40" i="8"/>
  <c r="H42" i="8"/>
  <c r="H48" i="9"/>
  <c r="N19" i="9"/>
  <c r="L19" i="9"/>
  <c r="K19" i="9"/>
  <c r="K20" i="10"/>
  <c r="AI29" i="16"/>
  <c r="J9" i="7"/>
  <c r="V45" i="8"/>
  <c r="V48" i="8" s="1"/>
  <c r="F45" i="8"/>
  <c r="H45" i="8"/>
  <c r="J17" i="10"/>
  <c r="C17" i="11"/>
  <c r="I17" i="11" s="1"/>
  <c r="C25" i="15"/>
  <c r="J25" i="15" s="1"/>
  <c r="C17" i="15"/>
  <c r="I17" i="15" s="1"/>
  <c r="G17" i="15"/>
  <c r="D13" i="15" s="1"/>
  <c r="G4" i="15" s="1"/>
  <c r="V37" i="8"/>
  <c r="V39" i="8"/>
  <c r="J48" i="10"/>
  <c r="J12" i="10" s="1"/>
  <c r="L26" i="12"/>
  <c r="L25" i="15"/>
  <c r="L25" i="11"/>
  <c r="I17" i="10"/>
  <c r="N17" i="9"/>
  <c r="L17" i="9"/>
  <c r="P17" i="9" s="1"/>
  <c r="Q17" i="9" s="1"/>
  <c r="X36" i="10"/>
  <c r="X48" i="10" s="1"/>
  <c r="H42" i="9"/>
  <c r="W43" i="9"/>
  <c r="W50" i="9" s="1"/>
  <c r="F43" i="9"/>
  <c r="W49" i="9"/>
  <c r="F49" i="9"/>
  <c r="D50" i="9"/>
  <c r="N19" i="10"/>
  <c r="L19" i="10"/>
  <c r="K19" i="10"/>
  <c r="L26" i="14"/>
  <c r="D48" i="8"/>
  <c r="J42" i="9"/>
  <c r="X42" i="9"/>
  <c r="X50" i="9" s="1"/>
  <c r="E50" i="9"/>
  <c r="H39" i="10"/>
  <c r="W39" i="10"/>
  <c r="F39" i="10"/>
  <c r="D13" i="14"/>
  <c r="G4" i="14" s="1"/>
  <c r="K17" i="14"/>
  <c r="M13" i="14" s="1"/>
  <c r="J4" i="14" s="1"/>
  <c r="I10" i="9"/>
  <c r="Y33" i="9"/>
  <c r="Y40" i="9"/>
  <c r="Y44" i="9"/>
  <c r="Y46" i="9"/>
  <c r="Y26" i="9"/>
  <c r="Y50" i="9" s="1"/>
  <c r="Y28" i="9"/>
  <c r="Y36" i="9"/>
  <c r="Y42" i="9"/>
  <c r="Y48" i="9"/>
  <c r="F33" i="10"/>
  <c r="F37" i="10"/>
  <c r="H48" i="10"/>
  <c r="J10" i="10" s="1"/>
  <c r="Y34" i="9"/>
  <c r="H39" i="9"/>
  <c r="Y28" i="10"/>
  <c r="Y48" i="10" s="1"/>
  <c r="Y33" i="10"/>
  <c r="Y37" i="10"/>
  <c r="N6" i="3" l="1"/>
  <c r="L10" i="6"/>
  <c r="P10" i="6" s="1"/>
  <c r="Q10" i="6" s="1"/>
  <c r="K5" i="3"/>
  <c r="L10" i="10"/>
  <c r="N10" i="10"/>
  <c r="J8" i="8"/>
  <c r="P19" i="9"/>
  <c r="Q19" i="9" s="1"/>
  <c r="M19" i="9"/>
  <c r="K10" i="10"/>
  <c r="S47" i="7"/>
  <c r="R47" i="7" s="1"/>
  <c r="S39" i="7"/>
  <c r="R39" i="7" s="1"/>
  <c r="S34" i="7"/>
  <c r="R34" i="7" s="1"/>
  <c r="S42" i="7"/>
  <c r="R42" i="7" s="1"/>
  <c r="S33" i="7"/>
  <c r="R33" i="7" s="1"/>
  <c r="S29" i="7"/>
  <c r="R29" i="7" s="1"/>
  <c r="S43" i="7"/>
  <c r="R43" i="7" s="1"/>
  <c r="S44" i="7"/>
  <c r="R44" i="7" s="1"/>
  <c r="S30" i="7"/>
  <c r="R30" i="7" s="1"/>
  <c r="S41" i="7"/>
  <c r="R41" i="7" s="1"/>
  <c r="E4" i="7"/>
  <c r="S40" i="7"/>
  <c r="R40" i="7" s="1"/>
  <c r="S38" i="7"/>
  <c r="R38" i="7" s="1"/>
  <c r="S37" i="7"/>
  <c r="R37" i="7" s="1"/>
  <c r="I9" i="7"/>
  <c r="C4" i="7"/>
  <c r="S36" i="7"/>
  <c r="R36" i="7" s="1"/>
  <c r="S26" i="7"/>
  <c r="R26" i="7" s="1"/>
  <c r="S35" i="7"/>
  <c r="R35" i="7" s="1"/>
  <c r="S32" i="7"/>
  <c r="R32" i="7" s="1"/>
  <c r="S31" i="7"/>
  <c r="R31" i="7" s="1"/>
  <c r="S28" i="7"/>
  <c r="R28" i="7" s="1"/>
  <c r="S25" i="7"/>
  <c r="S46" i="7"/>
  <c r="R46" i="7" s="1"/>
  <c r="S45" i="7"/>
  <c r="R45" i="7" s="1"/>
  <c r="K8" i="7"/>
  <c r="P17" i="1"/>
  <c r="R17" i="1" s="1"/>
  <c r="M17" i="1"/>
  <c r="E5" i="3"/>
  <c r="T46" i="9"/>
  <c r="S46" i="9" s="1"/>
  <c r="T44" i="9"/>
  <c r="S44" i="9" s="1"/>
  <c r="T40" i="9"/>
  <c r="S40" i="9" s="1"/>
  <c r="T33" i="9"/>
  <c r="S33" i="9" s="1"/>
  <c r="T35" i="9"/>
  <c r="S35" i="9" s="1"/>
  <c r="T25" i="9"/>
  <c r="T49" i="9"/>
  <c r="S49" i="9" s="1"/>
  <c r="T43" i="9"/>
  <c r="S43" i="9" s="1"/>
  <c r="T39" i="9"/>
  <c r="S39" i="9" s="1"/>
  <c r="T32" i="9"/>
  <c r="S32" i="9" s="1"/>
  <c r="T47" i="9"/>
  <c r="S47" i="9" s="1"/>
  <c r="T31" i="9"/>
  <c r="S31" i="9" s="1"/>
  <c r="T38" i="9"/>
  <c r="S38" i="9" s="1"/>
  <c r="T37" i="9"/>
  <c r="S37" i="9" s="1"/>
  <c r="T48" i="9"/>
  <c r="S48" i="9" s="1"/>
  <c r="T30" i="9"/>
  <c r="S30" i="9" s="1"/>
  <c r="T29" i="9"/>
  <c r="S29" i="9" s="1"/>
  <c r="I9" i="9"/>
  <c r="T45" i="9"/>
  <c r="S45" i="9" s="1"/>
  <c r="T28" i="9"/>
  <c r="S28" i="9" s="1"/>
  <c r="T26" i="9"/>
  <c r="S26" i="9" s="1"/>
  <c r="C4" i="9"/>
  <c r="E4" i="9" s="1"/>
  <c r="T42" i="9"/>
  <c r="S42" i="9" s="1"/>
  <c r="T41" i="9"/>
  <c r="S41" i="9" s="1"/>
  <c r="T34" i="9"/>
  <c r="S34" i="9" s="1"/>
  <c r="T36" i="9"/>
  <c r="S36" i="9" s="1"/>
  <c r="L8" i="1"/>
  <c r="L17" i="7"/>
  <c r="N17" i="7" s="1"/>
  <c r="L12" i="1"/>
  <c r="K12" i="1"/>
  <c r="D8" i="3" s="1"/>
  <c r="N12" i="1"/>
  <c r="E8" i="3"/>
  <c r="T43" i="10"/>
  <c r="S43" i="10" s="1"/>
  <c r="T27" i="10"/>
  <c r="S27" i="10" s="1"/>
  <c r="T45" i="10"/>
  <c r="S45" i="10" s="1"/>
  <c r="T38" i="10"/>
  <c r="S38" i="10" s="1"/>
  <c r="T34" i="10"/>
  <c r="S34" i="10" s="1"/>
  <c r="T29" i="10"/>
  <c r="S29" i="10" s="1"/>
  <c r="I9" i="10"/>
  <c r="T42" i="10"/>
  <c r="S42" i="10" s="1"/>
  <c r="T46" i="10"/>
  <c r="S46" i="10" s="1"/>
  <c r="T35" i="10"/>
  <c r="S35" i="10" s="1"/>
  <c r="B4" i="2" s="1"/>
  <c r="T26" i="10"/>
  <c r="S26" i="10" s="1"/>
  <c r="T44" i="10"/>
  <c r="S44" i="10" s="1"/>
  <c r="T40" i="10"/>
  <c r="S40" i="10" s="1"/>
  <c r="T32" i="10"/>
  <c r="S32" i="10" s="1"/>
  <c r="T31" i="10"/>
  <c r="S31" i="10" s="1"/>
  <c r="T33" i="10"/>
  <c r="S33" i="10" s="1"/>
  <c r="T25" i="10"/>
  <c r="T41" i="10"/>
  <c r="S41" i="10" s="1"/>
  <c r="T36" i="10"/>
  <c r="S36" i="10" s="1"/>
  <c r="T39" i="10"/>
  <c r="S39" i="10" s="1"/>
  <c r="C4" i="10"/>
  <c r="E4" i="10" s="1"/>
  <c r="T47" i="10"/>
  <c r="S47" i="10" s="1"/>
  <c r="T37" i="10"/>
  <c r="S37" i="10" s="1"/>
  <c r="T30" i="10"/>
  <c r="S30" i="10" s="1"/>
  <c r="T28" i="10"/>
  <c r="S28" i="10" s="1"/>
  <c r="T56" i="1"/>
  <c r="S56" i="1" s="1"/>
  <c r="K20" i="7"/>
  <c r="X48" i="7"/>
  <c r="N26" i="14"/>
  <c r="M21" i="14" s="1"/>
  <c r="I4" i="14" s="1"/>
  <c r="N25" i="13"/>
  <c r="M20" i="13" s="1"/>
  <c r="I4" i="13" s="1"/>
  <c r="N26" i="12"/>
  <c r="M21" i="12" s="1"/>
  <c r="I4" i="12" s="1"/>
  <c r="N25" i="15"/>
  <c r="M20" i="15" s="1"/>
  <c r="I4" i="15" s="1"/>
  <c r="N25" i="11"/>
  <c r="M20" i="11" s="1"/>
  <c r="I4" i="11" s="1"/>
  <c r="E4" i="3"/>
  <c r="K8" i="1"/>
  <c r="D4" i="3" s="1"/>
  <c r="J16" i="1"/>
  <c r="J15" i="1"/>
  <c r="N8" i="1"/>
  <c r="D49" i="7"/>
  <c r="J8" i="7"/>
  <c r="D58" i="1" s="1"/>
  <c r="E62" i="1" s="1"/>
  <c r="F4" i="11" s="1"/>
  <c r="H48" i="7"/>
  <c r="J10" i="7" s="1"/>
  <c r="J9" i="6"/>
  <c r="F49" i="6"/>
  <c r="J11" i="6" s="1"/>
  <c r="K10" i="6"/>
  <c r="M6" i="3" s="1"/>
  <c r="K17" i="10"/>
  <c r="M19" i="10"/>
  <c r="P19" i="10"/>
  <c r="Q19" i="10" s="1"/>
  <c r="L12" i="7"/>
  <c r="K8" i="3"/>
  <c r="F50" i="9"/>
  <c r="J11" i="9" s="1"/>
  <c r="J9" i="9"/>
  <c r="J50" i="9"/>
  <c r="J12" i="9" s="1"/>
  <c r="N17" i="8"/>
  <c r="U48" i="1"/>
  <c r="V48" i="1" s="1"/>
  <c r="U40" i="1"/>
  <c r="V40" i="1" s="1"/>
  <c r="U35" i="1"/>
  <c r="V35" i="1" s="1"/>
  <c r="U30" i="1"/>
  <c r="V30" i="1" s="1"/>
  <c r="U28" i="1"/>
  <c r="V28" i="1" s="1"/>
  <c r="U55" i="1"/>
  <c r="V55" i="1" s="1"/>
  <c r="U47" i="1"/>
  <c r="V47" i="1" s="1"/>
  <c r="U45" i="1"/>
  <c r="V45" i="1" s="1"/>
  <c r="U42" i="1"/>
  <c r="V42" i="1" s="1"/>
  <c r="U53" i="1"/>
  <c r="V53" i="1" s="1"/>
  <c r="U44" i="1"/>
  <c r="V44" i="1" s="1"/>
  <c r="U29" i="1"/>
  <c r="V29" i="1" s="1"/>
  <c r="U26" i="1"/>
  <c r="V26" i="1" s="1"/>
  <c r="U33" i="1"/>
  <c r="V33" i="1" s="1"/>
  <c r="U32" i="1"/>
  <c r="V32" i="1" s="1"/>
  <c r="U43" i="1"/>
  <c r="V43" i="1" s="1"/>
  <c r="U34" i="1"/>
  <c r="V34" i="1" s="1"/>
  <c r="U39" i="1"/>
  <c r="V39" i="1" s="1"/>
  <c r="U50" i="1"/>
  <c r="V50" i="1" s="1"/>
  <c r="U52" i="1"/>
  <c r="V52" i="1" s="1"/>
  <c r="U38" i="1"/>
  <c r="V38" i="1" s="1"/>
  <c r="U37" i="1"/>
  <c r="V37" i="1" s="1"/>
  <c r="U31" i="1"/>
  <c r="V31" i="1" s="1"/>
  <c r="U25" i="1"/>
  <c r="U46" i="1"/>
  <c r="V46" i="1" s="1"/>
  <c r="K9" i="1"/>
  <c r="D5" i="3" s="1"/>
  <c r="U41" i="1"/>
  <c r="V41" i="1" s="1"/>
  <c r="U27" i="1"/>
  <c r="V27" i="1" s="1"/>
  <c r="U49" i="1"/>
  <c r="V49" i="1" s="1"/>
  <c r="U36" i="1"/>
  <c r="V36" i="1" s="1"/>
  <c r="U54" i="1"/>
  <c r="V54" i="1" s="1"/>
  <c r="U51" i="1"/>
  <c r="V51" i="1" s="1"/>
  <c r="J8" i="9"/>
  <c r="D51" i="9"/>
  <c r="H50" i="9"/>
  <c r="J10" i="9" s="1"/>
  <c r="N12" i="10"/>
  <c r="L12" i="10"/>
  <c r="K12" i="10"/>
  <c r="X48" i="8"/>
  <c r="L12" i="6"/>
  <c r="N8" i="3"/>
  <c r="K12" i="6"/>
  <c r="M8" i="3" s="1"/>
  <c r="J8" i="6"/>
  <c r="K11" i="1"/>
  <c r="D7" i="3" s="1"/>
  <c r="E7" i="3"/>
  <c r="L17" i="10"/>
  <c r="P17" i="10" s="1"/>
  <c r="Q17" i="10" s="1"/>
  <c r="F48" i="7"/>
  <c r="J11" i="7" s="1"/>
  <c r="M10" i="8"/>
  <c r="I6" i="3" s="1"/>
  <c r="K10" i="8"/>
  <c r="G6" i="3" s="1"/>
  <c r="T45" i="6"/>
  <c r="S45" i="6" s="1"/>
  <c r="T43" i="6"/>
  <c r="S43" i="6" s="1"/>
  <c r="T41" i="6"/>
  <c r="S41" i="6" s="1"/>
  <c r="T33" i="6"/>
  <c r="S33" i="6" s="1"/>
  <c r="T30" i="6"/>
  <c r="S30" i="6" s="1"/>
  <c r="T40" i="6"/>
  <c r="S40" i="6" s="1"/>
  <c r="T38" i="6"/>
  <c r="S38" i="6" s="1"/>
  <c r="T36" i="6"/>
  <c r="S36" i="6" s="1"/>
  <c r="I9" i="6"/>
  <c r="T39" i="6"/>
  <c r="S39" i="6" s="1"/>
  <c r="B8" i="2" s="1"/>
  <c r="T35" i="6"/>
  <c r="S35" i="6" s="1"/>
  <c r="T28" i="6"/>
  <c r="S28" i="6" s="1"/>
  <c r="T46" i="6"/>
  <c r="S46" i="6" s="1"/>
  <c r="T44" i="6"/>
  <c r="S44" i="6" s="1"/>
  <c r="T42" i="6"/>
  <c r="S42" i="6" s="1"/>
  <c r="T34" i="6"/>
  <c r="S34" i="6" s="1"/>
  <c r="T31" i="6"/>
  <c r="S31" i="6" s="1"/>
  <c r="T29" i="6"/>
  <c r="S29" i="6" s="1"/>
  <c r="T48" i="6"/>
  <c r="S48" i="6" s="1"/>
  <c r="T47" i="6"/>
  <c r="S47" i="6" s="1"/>
  <c r="T37" i="6"/>
  <c r="S37" i="6" s="1"/>
  <c r="E4" i="6"/>
  <c r="T32" i="6"/>
  <c r="S32" i="6" s="1"/>
  <c r="T26" i="6"/>
  <c r="S26" i="6" s="1"/>
  <c r="T25" i="6"/>
  <c r="C4" i="6"/>
  <c r="J9" i="8"/>
  <c r="F48" i="8"/>
  <c r="J11" i="8" s="1"/>
  <c r="J48" i="8"/>
  <c r="J12" i="8" s="1"/>
  <c r="Y49" i="6"/>
  <c r="N17" i="6"/>
  <c r="N17" i="1"/>
  <c r="L10" i="8"/>
  <c r="P10" i="8" s="1"/>
  <c r="Q10" i="8" s="1"/>
  <c r="N10" i="8"/>
  <c r="H6" i="3"/>
  <c r="D13" i="13"/>
  <c r="G4" i="13" s="1"/>
  <c r="K17" i="13"/>
  <c r="M13" i="13" s="1"/>
  <c r="J4" i="13" s="1"/>
  <c r="S46" i="8"/>
  <c r="R46" i="8" s="1"/>
  <c r="S26" i="8"/>
  <c r="R26" i="8" s="1"/>
  <c r="S44" i="8"/>
  <c r="R44" i="8" s="1"/>
  <c r="S42" i="8"/>
  <c r="R42" i="8" s="1"/>
  <c r="S39" i="8"/>
  <c r="R39" i="8" s="1"/>
  <c r="B6" i="2" s="1"/>
  <c r="S37" i="8"/>
  <c r="R37" i="8" s="1"/>
  <c r="S35" i="8"/>
  <c r="R35" i="8" s="1"/>
  <c r="S30" i="8"/>
  <c r="R30" i="8" s="1"/>
  <c r="S47" i="8"/>
  <c r="R47" i="8" s="1"/>
  <c r="S32" i="8"/>
  <c r="R32" i="8" s="1"/>
  <c r="S45" i="8"/>
  <c r="R45" i="8" s="1"/>
  <c r="S40" i="8"/>
  <c r="R40" i="8" s="1"/>
  <c r="S38" i="8"/>
  <c r="R38" i="8" s="1"/>
  <c r="S36" i="8"/>
  <c r="R36" i="8" s="1"/>
  <c r="S31" i="8"/>
  <c r="R31" i="8" s="1"/>
  <c r="S28" i="8"/>
  <c r="R28" i="8" s="1"/>
  <c r="S33" i="8"/>
  <c r="R33" i="8" s="1"/>
  <c r="K8" i="8"/>
  <c r="S25" i="8"/>
  <c r="S43" i="8"/>
  <c r="R43" i="8" s="1"/>
  <c r="S29" i="8"/>
  <c r="R29" i="8" s="1"/>
  <c r="S34" i="8"/>
  <c r="R34" i="8" s="1"/>
  <c r="C4" i="8"/>
  <c r="E4" i="8" s="1"/>
  <c r="S41" i="8"/>
  <c r="I9" i="8"/>
  <c r="J8" i="10"/>
  <c r="F48" i="10"/>
  <c r="J11" i="10" s="1"/>
  <c r="S26" i="1"/>
  <c r="L14" i="1"/>
  <c r="K10" i="1"/>
  <c r="D6" i="3" s="1"/>
  <c r="L10" i="1"/>
  <c r="E6" i="3"/>
  <c r="U40" i="10" l="1"/>
  <c r="V40" i="10" s="1"/>
  <c r="U36" i="10"/>
  <c r="V36" i="10" s="1"/>
  <c r="U32" i="10"/>
  <c r="V32" i="10" s="1"/>
  <c r="K9" i="10"/>
  <c r="U42" i="10"/>
  <c r="V42" i="10" s="1"/>
  <c r="U47" i="10"/>
  <c r="V47" i="10" s="1"/>
  <c r="U31" i="10"/>
  <c r="V31" i="10" s="1"/>
  <c r="U26" i="10"/>
  <c r="V26" i="10" s="1"/>
  <c r="U45" i="10"/>
  <c r="V45" i="10" s="1"/>
  <c r="U44" i="10"/>
  <c r="V44" i="10" s="1"/>
  <c r="U34" i="10"/>
  <c r="V34" i="10" s="1"/>
  <c r="U37" i="10"/>
  <c r="V37" i="10" s="1"/>
  <c r="U25" i="10"/>
  <c r="U41" i="10"/>
  <c r="V41" i="10" s="1"/>
  <c r="U33" i="10"/>
  <c r="V33" i="10" s="1"/>
  <c r="U27" i="10"/>
  <c r="V27" i="10" s="1"/>
  <c r="U43" i="10"/>
  <c r="V43" i="10" s="1"/>
  <c r="U39" i="10"/>
  <c r="V39" i="10" s="1"/>
  <c r="U35" i="10"/>
  <c r="V35" i="10" s="1"/>
  <c r="U38" i="10"/>
  <c r="V38" i="10" s="1"/>
  <c r="U46" i="10"/>
  <c r="V46" i="10" s="1"/>
  <c r="U29" i="10"/>
  <c r="V29" i="10" s="1"/>
  <c r="U28" i="10"/>
  <c r="V28" i="10" s="1"/>
  <c r="U30" i="10"/>
  <c r="V30" i="10" s="1"/>
  <c r="I13" i="10"/>
  <c r="U38" i="9"/>
  <c r="V38" i="9" s="1"/>
  <c r="U30" i="9"/>
  <c r="V30" i="9" s="1"/>
  <c r="U49" i="9"/>
  <c r="V49" i="9" s="1"/>
  <c r="U43" i="9"/>
  <c r="V43" i="9" s="1"/>
  <c r="U39" i="9"/>
  <c r="V39" i="9" s="1"/>
  <c r="U32" i="9"/>
  <c r="V32" i="9" s="1"/>
  <c r="K9" i="9"/>
  <c r="P5" i="3" s="1"/>
  <c r="U47" i="9"/>
  <c r="V47" i="9" s="1"/>
  <c r="U45" i="9"/>
  <c r="V45" i="9" s="1"/>
  <c r="U41" i="9"/>
  <c r="V41" i="9" s="1"/>
  <c r="U37" i="9"/>
  <c r="V37" i="9" s="1"/>
  <c r="U29" i="9"/>
  <c r="V29" i="9" s="1"/>
  <c r="U31" i="9"/>
  <c r="V31" i="9" s="1"/>
  <c r="U46" i="9"/>
  <c r="V46" i="9" s="1"/>
  <c r="U26" i="9"/>
  <c r="V26" i="9" s="1"/>
  <c r="U40" i="9"/>
  <c r="V40" i="9" s="1"/>
  <c r="U33" i="9"/>
  <c r="V33" i="9" s="1"/>
  <c r="U28" i="9"/>
  <c r="V28" i="9" s="1"/>
  <c r="U25" i="9"/>
  <c r="U42" i="9"/>
  <c r="V42" i="9" s="1"/>
  <c r="U36" i="9"/>
  <c r="V36" i="9" s="1"/>
  <c r="U34" i="9"/>
  <c r="V34" i="9" s="1"/>
  <c r="U48" i="9"/>
  <c r="V48" i="9" s="1"/>
  <c r="U44" i="9"/>
  <c r="V44" i="9" s="1"/>
  <c r="U35" i="9"/>
  <c r="V35" i="9" s="1"/>
  <c r="I13" i="9"/>
  <c r="F26" i="12"/>
  <c r="G26" i="12" s="1"/>
  <c r="D21" i="12" s="1"/>
  <c r="H4" i="12" s="1"/>
  <c r="J15" i="6"/>
  <c r="J16" i="6"/>
  <c r="N4" i="3"/>
  <c r="N15" i="1"/>
  <c r="L15" i="1"/>
  <c r="E11" i="3"/>
  <c r="K15" i="1"/>
  <c r="D11" i="3" s="1"/>
  <c r="P14" i="1"/>
  <c r="R14" i="1" s="1"/>
  <c r="N14" i="1"/>
  <c r="U39" i="6"/>
  <c r="V39" i="6" s="1"/>
  <c r="U30" i="6"/>
  <c r="V30" i="6" s="1"/>
  <c r="U40" i="6"/>
  <c r="V40" i="6" s="1"/>
  <c r="U38" i="6"/>
  <c r="V38" i="6" s="1"/>
  <c r="U36" i="6"/>
  <c r="V36" i="6" s="1"/>
  <c r="U33" i="6"/>
  <c r="V33" i="6" s="1"/>
  <c r="U45" i="6"/>
  <c r="V45" i="6" s="1"/>
  <c r="U48" i="6"/>
  <c r="V48" i="6" s="1"/>
  <c r="U42" i="6"/>
  <c r="V42" i="6" s="1"/>
  <c r="U32" i="6"/>
  <c r="V32" i="6" s="1"/>
  <c r="U29" i="6"/>
  <c r="V29" i="6" s="1"/>
  <c r="U35" i="6"/>
  <c r="V35" i="6" s="1"/>
  <c r="U28" i="6"/>
  <c r="V28" i="6" s="1"/>
  <c r="U46" i="6"/>
  <c r="V46" i="6" s="1"/>
  <c r="U44" i="6"/>
  <c r="V44" i="6" s="1"/>
  <c r="U34" i="6"/>
  <c r="V34" i="6" s="1"/>
  <c r="U43" i="6"/>
  <c r="V43" i="6" s="1"/>
  <c r="U41" i="6"/>
  <c r="V41" i="6" s="1"/>
  <c r="U31" i="6"/>
  <c r="V31" i="6" s="1"/>
  <c r="U47" i="6"/>
  <c r="V47" i="6" s="1"/>
  <c r="K9" i="6"/>
  <c r="M5" i="3" s="1"/>
  <c r="U37" i="6"/>
  <c r="V37" i="6" s="1"/>
  <c r="U26" i="6"/>
  <c r="V26" i="6" s="1"/>
  <c r="U25" i="6"/>
  <c r="I13" i="6"/>
  <c r="N11" i="6"/>
  <c r="L11" i="6"/>
  <c r="N7" i="3"/>
  <c r="K11" i="6"/>
  <c r="M7" i="3" s="1"/>
  <c r="L10" i="9"/>
  <c r="Q6" i="3"/>
  <c r="N5" i="3"/>
  <c r="P10" i="10"/>
  <c r="Q10" i="10" s="1"/>
  <c r="M10" i="10"/>
  <c r="L14" i="6"/>
  <c r="T49" i="6"/>
  <c r="S49" i="6" s="1"/>
  <c r="S25" i="6"/>
  <c r="L8" i="6"/>
  <c r="T44" i="8"/>
  <c r="U44" i="8" s="1"/>
  <c r="T42" i="8"/>
  <c r="U42" i="8" s="1"/>
  <c r="T39" i="8"/>
  <c r="U39" i="8" s="1"/>
  <c r="T37" i="8"/>
  <c r="U37" i="8" s="1"/>
  <c r="T35" i="8"/>
  <c r="U35" i="8" s="1"/>
  <c r="T30" i="8"/>
  <c r="U30" i="8" s="1"/>
  <c r="T47" i="8"/>
  <c r="U47" i="8" s="1"/>
  <c r="T32" i="8"/>
  <c r="U32" i="8" s="1"/>
  <c r="T25" i="8"/>
  <c r="T33" i="8"/>
  <c r="U33" i="8" s="1"/>
  <c r="T28" i="8"/>
  <c r="U28" i="8" s="1"/>
  <c r="T38" i="8"/>
  <c r="U38" i="8" s="1"/>
  <c r="T46" i="8"/>
  <c r="U46" i="8" s="1"/>
  <c r="T45" i="8"/>
  <c r="U45" i="8" s="1"/>
  <c r="T31" i="8"/>
  <c r="U31" i="8" s="1"/>
  <c r="T43" i="8"/>
  <c r="U43" i="8" s="1"/>
  <c r="T36" i="8"/>
  <c r="U36" i="8" s="1"/>
  <c r="T29" i="8"/>
  <c r="U29" i="8" s="1"/>
  <c r="T34" i="8"/>
  <c r="U34" i="8" s="1"/>
  <c r="T40" i="8"/>
  <c r="U40" i="8" s="1"/>
  <c r="T26" i="8"/>
  <c r="U26" i="8" s="1"/>
  <c r="T41" i="8"/>
  <c r="U41" i="8" s="1"/>
  <c r="K9" i="8"/>
  <c r="G5" i="3" s="1"/>
  <c r="I13" i="8"/>
  <c r="P12" i="7"/>
  <c r="Q12" i="7" s="1"/>
  <c r="M12" i="7"/>
  <c r="L8" i="3" s="1"/>
  <c r="Q5" i="3"/>
  <c r="K11" i="10"/>
  <c r="P12" i="6"/>
  <c r="Q12" i="6" s="1"/>
  <c r="M12" i="6"/>
  <c r="O8" i="3" s="1"/>
  <c r="L11" i="9"/>
  <c r="N11" i="9"/>
  <c r="Q7" i="3"/>
  <c r="K11" i="9"/>
  <c r="P7" i="3" s="1"/>
  <c r="M17" i="10"/>
  <c r="N10" i="7"/>
  <c r="L10" i="7"/>
  <c r="K6" i="3"/>
  <c r="P12" i="1"/>
  <c r="R12" i="1" s="1"/>
  <c r="M12" i="1"/>
  <c r="F8" i="3" s="1"/>
  <c r="L12" i="8"/>
  <c r="N12" i="8" s="1"/>
  <c r="H8" i="3"/>
  <c r="K12" i="8"/>
  <c r="G8" i="3" s="1"/>
  <c r="K8" i="6"/>
  <c r="L11" i="7"/>
  <c r="K7" i="3"/>
  <c r="N11" i="7"/>
  <c r="K11" i="7"/>
  <c r="J7" i="3" s="1"/>
  <c r="N12" i="6"/>
  <c r="J15" i="9"/>
  <c r="J16" i="9"/>
  <c r="F25" i="11"/>
  <c r="G25" i="11" s="1"/>
  <c r="D20" i="11" s="1"/>
  <c r="H4" i="11" s="1"/>
  <c r="K4" i="11" s="1"/>
  <c r="M4" i="11" s="1"/>
  <c r="Q4" i="3"/>
  <c r="K10" i="7"/>
  <c r="J6" i="3" s="1"/>
  <c r="K8" i="9"/>
  <c r="S48" i="7"/>
  <c r="R48" i="7" s="1"/>
  <c r="R25" i="7"/>
  <c r="L14" i="7"/>
  <c r="L8" i="7"/>
  <c r="T40" i="7"/>
  <c r="U40" i="7" s="1"/>
  <c r="T35" i="7"/>
  <c r="U35" i="7" s="1"/>
  <c r="T41" i="7"/>
  <c r="U41" i="7" s="1"/>
  <c r="T31" i="7"/>
  <c r="U31" i="7" s="1"/>
  <c r="T37" i="7"/>
  <c r="U37" i="7" s="1"/>
  <c r="T32" i="7"/>
  <c r="U32" i="7" s="1"/>
  <c r="T43" i="7"/>
  <c r="U43" i="7" s="1"/>
  <c r="T30" i="7"/>
  <c r="U30" i="7" s="1"/>
  <c r="T46" i="7"/>
  <c r="U46" i="7" s="1"/>
  <c r="T39" i="7"/>
  <c r="U39" i="7" s="1"/>
  <c r="T42" i="7"/>
  <c r="U42" i="7" s="1"/>
  <c r="T38" i="7"/>
  <c r="U38" i="7" s="1"/>
  <c r="K9" i="7"/>
  <c r="J5" i="3" s="1"/>
  <c r="T36" i="7"/>
  <c r="U36" i="7" s="1"/>
  <c r="T29" i="7"/>
  <c r="U29" i="7" s="1"/>
  <c r="T44" i="7"/>
  <c r="U44" i="7" s="1"/>
  <c r="T26" i="7"/>
  <c r="U26" i="7" s="1"/>
  <c r="T34" i="7"/>
  <c r="U34" i="7" s="1"/>
  <c r="T33" i="7"/>
  <c r="U33" i="7" s="1"/>
  <c r="T28" i="7"/>
  <c r="U28" i="7" s="1"/>
  <c r="T25" i="7"/>
  <c r="T45" i="7"/>
  <c r="U45" i="7" s="1"/>
  <c r="T47" i="7"/>
  <c r="U47" i="7" s="1"/>
  <c r="I13" i="7"/>
  <c r="D12" i="3"/>
  <c r="L16" i="1"/>
  <c r="K16" i="1"/>
  <c r="N16" i="1"/>
  <c r="L20" i="7"/>
  <c r="J4" i="3"/>
  <c r="J15" i="10"/>
  <c r="J16" i="10"/>
  <c r="F25" i="15"/>
  <c r="G25" i="15" s="1"/>
  <c r="D20" i="15" s="1"/>
  <c r="H4" i="15" s="1"/>
  <c r="K4" i="15" s="1"/>
  <c r="M4" i="15" s="1"/>
  <c r="N8" i="10"/>
  <c r="L11" i="8"/>
  <c r="N11" i="8" s="1"/>
  <c r="H7" i="3"/>
  <c r="K11" i="8"/>
  <c r="G7" i="3" s="1"/>
  <c r="K8" i="10"/>
  <c r="L20" i="10" s="1"/>
  <c r="P17" i="7"/>
  <c r="Q17" i="7" s="1"/>
  <c r="M17" i="7"/>
  <c r="D49" i="10"/>
  <c r="H5" i="3"/>
  <c r="N17" i="10"/>
  <c r="N12" i="7"/>
  <c r="P8" i="1"/>
  <c r="R8" i="1" s="1"/>
  <c r="M8" i="1"/>
  <c r="F4" i="3" s="1"/>
  <c r="D49" i="8"/>
  <c r="N10" i="6"/>
  <c r="N12" i="9"/>
  <c r="L12" i="9"/>
  <c r="Q8" i="3"/>
  <c r="K12" i="9"/>
  <c r="P8" i="3" s="1"/>
  <c r="J15" i="7"/>
  <c r="F26" i="14"/>
  <c r="G26" i="14" s="1"/>
  <c r="D21" i="14" s="1"/>
  <c r="H4" i="14" s="1"/>
  <c r="K4" i="14" s="1"/>
  <c r="M4" i="14" s="1"/>
  <c r="N8" i="7"/>
  <c r="J12" i="3" s="1"/>
  <c r="J16" i="7"/>
  <c r="K4" i="3"/>
  <c r="S25" i="10"/>
  <c r="L14" i="10"/>
  <c r="T48" i="10"/>
  <c r="S48" i="10" s="1"/>
  <c r="L8" i="10"/>
  <c r="L14" i="9"/>
  <c r="S25" i="9"/>
  <c r="L8" i="9"/>
  <c r="T50" i="9"/>
  <c r="S50" i="9" s="1"/>
  <c r="P10" i="1"/>
  <c r="R10" i="1" s="1"/>
  <c r="M10" i="1"/>
  <c r="F6" i="3" s="1"/>
  <c r="L14" i="8"/>
  <c r="L8" i="8"/>
  <c r="S48" i="8"/>
  <c r="R48" i="8" s="1"/>
  <c r="R25" i="8"/>
  <c r="D50" i="6"/>
  <c r="N10" i="1"/>
  <c r="L20" i="8"/>
  <c r="G4" i="3"/>
  <c r="K10" i="9"/>
  <c r="P6" i="3" s="1"/>
  <c r="P12" i="10"/>
  <c r="Q12" i="10" s="1"/>
  <c r="M12" i="10"/>
  <c r="U56" i="1"/>
  <c r="V25" i="1"/>
  <c r="L9" i="1"/>
  <c r="M10" i="6"/>
  <c r="O6" i="3" s="1"/>
  <c r="N8" i="8"/>
  <c r="G12" i="3" s="1"/>
  <c r="F25" i="13"/>
  <c r="G25" i="13" s="1"/>
  <c r="D20" i="13" s="1"/>
  <c r="H4" i="13" s="1"/>
  <c r="K4" i="13" s="1"/>
  <c r="M4" i="13" s="1"/>
  <c r="H4" i="3"/>
  <c r="J16" i="8"/>
  <c r="J15" i="8"/>
  <c r="P20" i="8" l="1"/>
  <c r="Q20" i="8" s="1"/>
  <c r="M20" i="8"/>
  <c r="N20" i="8"/>
  <c r="M12" i="9"/>
  <c r="R8" i="3" s="1"/>
  <c r="P12" i="9"/>
  <c r="Q12" i="9" s="1"/>
  <c r="L15" i="9"/>
  <c r="Q11" i="3"/>
  <c r="K15" i="9"/>
  <c r="P11" i="3" s="1"/>
  <c r="P10" i="9"/>
  <c r="Q10" i="9" s="1"/>
  <c r="M10" i="9"/>
  <c r="R6" i="3" s="1"/>
  <c r="L15" i="6"/>
  <c r="N11" i="3"/>
  <c r="N15" i="6"/>
  <c r="K15" i="6"/>
  <c r="M11" i="3" s="1"/>
  <c r="P9" i="1"/>
  <c r="R9" i="1" s="1"/>
  <c r="L11" i="1"/>
  <c r="M9" i="1"/>
  <c r="F5" i="3" s="1"/>
  <c r="N9" i="1"/>
  <c r="N14" i="6"/>
  <c r="P14" i="6"/>
  <c r="Q14" i="6" s="1"/>
  <c r="U50" i="9"/>
  <c r="L9" i="9"/>
  <c r="V25" i="9"/>
  <c r="P11" i="8"/>
  <c r="Q11" i="8" s="1"/>
  <c r="M11" i="8"/>
  <c r="I7" i="3" s="1"/>
  <c r="T48" i="7"/>
  <c r="L9" i="7"/>
  <c r="U25" i="7"/>
  <c r="M8" i="9"/>
  <c r="R4" i="3" s="1"/>
  <c r="P8" i="9"/>
  <c r="Q8" i="9" s="1"/>
  <c r="K16" i="7"/>
  <c r="N16" i="7"/>
  <c r="L16" i="7"/>
  <c r="L20" i="9"/>
  <c r="P4" i="3"/>
  <c r="K13" i="9"/>
  <c r="P9" i="3" s="1"/>
  <c r="V56" i="1"/>
  <c r="L13" i="1"/>
  <c r="P11" i="6"/>
  <c r="Q11" i="6" s="1"/>
  <c r="M11" i="6"/>
  <c r="O7" i="3" s="1"/>
  <c r="P15" i="1"/>
  <c r="R15" i="1" s="1"/>
  <c r="M15" i="1"/>
  <c r="F11" i="3" s="1"/>
  <c r="V25" i="10"/>
  <c r="L9" i="10"/>
  <c r="U48" i="10"/>
  <c r="T48" i="8"/>
  <c r="L9" i="8"/>
  <c r="U25" i="8"/>
  <c r="P8" i="8"/>
  <c r="Q8" i="8" s="1"/>
  <c r="M8" i="8"/>
  <c r="I4" i="3" s="1"/>
  <c r="P11" i="7"/>
  <c r="Q11" i="7" s="1"/>
  <c r="M11" i="7"/>
  <c r="L7" i="3" s="1"/>
  <c r="K13" i="8"/>
  <c r="G9" i="3" s="1"/>
  <c r="K13" i="6"/>
  <c r="M9" i="3" s="1"/>
  <c r="P14" i="9"/>
  <c r="Q14" i="9" s="1"/>
  <c r="N14" i="9"/>
  <c r="K16" i="10"/>
  <c r="N16" i="10"/>
  <c r="L16" i="10"/>
  <c r="P11" i="9"/>
  <c r="Q11" i="9" s="1"/>
  <c r="M11" i="9"/>
  <c r="R7" i="3" s="1"/>
  <c r="P8" i="10"/>
  <c r="Q8" i="10" s="1"/>
  <c r="M8" i="10"/>
  <c r="N15" i="7"/>
  <c r="K11" i="3"/>
  <c r="L15" i="7"/>
  <c r="K15" i="7"/>
  <c r="J11" i="3" s="1"/>
  <c r="P20" i="10"/>
  <c r="Q20" i="10" s="1"/>
  <c r="N20" i="10"/>
  <c r="M20" i="10"/>
  <c r="L15" i="10"/>
  <c r="K15" i="10"/>
  <c r="K13" i="7"/>
  <c r="J9" i="3" s="1"/>
  <c r="P14" i="8"/>
  <c r="Q14" i="8" s="1"/>
  <c r="N14" i="8"/>
  <c r="P8" i="7"/>
  <c r="Q8" i="7" s="1"/>
  <c r="M8" i="7"/>
  <c r="L4" i="3" s="1"/>
  <c r="N16" i="9"/>
  <c r="L16" i="9"/>
  <c r="K16" i="9"/>
  <c r="L20" i="6"/>
  <c r="M4" i="3"/>
  <c r="P10" i="7"/>
  <c r="Q10" i="7" s="1"/>
  <c r="M10" i="7"/>
  <c r="L6" i="3" s="1"/>
  <c r="P8" i="6"/>
  <c r="Q8" i="6" s="1"/>
  <c r="M8" i="6"/>
  <c r="O4" i="3" s="1"/>
  <c r="U49" i="6"/>
  <c r="L9" i="6"/>
  <c r="V25" i="6"/>
  <c r="N16" i="6"/>
  <c r="L16" i="6"/>
  <c r="K16" i="6"/>
  <c r="K13" i="10"/>
  <c r="P16" i="1"/>
  <c r="R16" i="1" s="1"/>
  <c r="M16" i="1"/>
  <c r="P12" i="8"/>
  <c r="Q12" i="8" s="1"/>
  <c r="M12" i="8"/>
  <c r="I8" i="3" s="1"/>
  <c r="L15" i="8"/>
  <c r="N15" i="8" s="1"/>
  <c r="H11" i="3"/>
  <c r="K15" i="8"/>
  <c r="G11" i="3" s="1"/>
  <c r="N16" i="8"/>
  <c r="L16" i="8"/>
  <c r="K16" i="8"/>
  <c r="P14" i="10"/>
  <c r="Q14" i="10" s="1"/>
  <c r="N14" i="10"/>
  <c r="M14" i="10"/>
  <c r="P20" i="7"/>
  <c r="Q20" i="7" s="1"/>
  <c r="M20" i="7"/>
  <c r="N20" i="7"/>
  <c r="P14" i="7"/>
  <c r="Q14" i="7" s="1"/>
  <c r="N14" i="7"/>
  <c r="N8" i="9"/>
  <c r="P12" i="3" s="1"/>
  <c r="N10" i="9"/>
  <c r="N8" i="6"/>
  <c r="M12" i="3" s="1"/>
  <c r="V50" i="9" l="1"/>
  <c r="L13" i="9"/>
  <c r="L11" i="10"/>
  <c r="P9" i="10"/>
  <c r="Q9" i="10" s="1"/>
  <c r="M9" i="10"/>
  <c r="N9" i="10"/>
  <c r="P9" i="9"/>
  <c r="Q9" i="9" s="1"/>
  <c r="M9" i="9"/>
  <c r="R5" i="3" s="1"/>
  <c r="N9" i="9"/>
  <c r="P15" i="9"/>
  <c r="Q15" i="9" s="1"/>
  <c r="M15" i="9"/>
  <c r="R11" i="3" s="1"/>
  <c r="N15" i="9"/>
  <c r="P15" i="10"/>
  <c r="Q15" i="10" s="1"/>
  <c r="M15" i="10"/>
  <c r="P16" i="6"/>
  <c r="Q16" i="6" s="1"/>
  <c r="M16" i="6"/>
  <c r="P9" i="7"/>
  <c r="Q9" i="7" s="1"/>
  <c r="M9" i="7"/>
  <c r="L5" i="3" s="1"/>
  <c r="N9" i="7"/>
  <c r="P15" i="6"/>
  <c r="Q15" i="6" s="1"/>
  <c r="M15" i="6"/>
  <c r="O11" i="3" s="1"/>
  <c r="N15" i="10"/>
  <c r="L13" i="10"/>
  <c r="V48" i="10"/>
  <c r="P16" i="8"/>
  <c r="Q16" i="8" s="1"/>
  <c r="M16" i="8"/>
  <c r="V49" i="6"/>
  <c r="L13" i="6"/>
  <c r="P20" i="6"/>
  <c r="Q20" i="6" s="1"/>
  <c r="N20" i="6"/>
  <c r="M20" i="6"/>
  <c r="M16" i="10"/>
  <c r="P16" i="10"/>
  <c r="Q16" i="10" s="1"/>
  <c r="P9" i="8"/>
  <c r="Q9" i="8" s="1"/>
  <c r="M9" i="8"/>
  <c r="I5" i="3" s="1"/>
  <c r="N9" i="8"/>
  <c r="P16" i="7"/>
  <c r="Q16" i="7" s="1"/>
  <c r="M16" i="7"/>
  <c r="P15" i="8"/>
  <c r="Q15" i="8" s="1"/>
  <c r="M15" i="8"/>
  <c r="I11" i="3" s="1"/>
  <c r="U48" i="7"/>
  <c r="L13" i="7"/>
  <c r="L13" i="8"/>
  <c r="U48" i="8"/>
  <c r="P20" i="9"/>
  <c r="Q20" i="9" s="1"/>
  <c r="M20" i="9"/>
  <c r="N20" i="9"/>
  <c r="P9" i="6"/>
  <c r="Q9" i="6" s="1"/>
  <c r="N9" i="6"/>
  <c r="M9" i="6"/>
  <c r="O5" i="3" s="1"/>
  <c r="M16" i="9"/>
  <c r="P16" i="9"/>
  <c r="Q16" i="9" s="1"/>
  <c r="P15" i="7"/>
  <c r="Q15" i="7" s="1"/>
  <c r="M15" i="7"/>
  <c r="L11" i="3" s="1"/>
  <c r="M13" i="1"/>
  <c r="F9" i="3" s="1"/>
  <c r="P13" i="1"/>
  <c r="R13" i="1" s="1"/>
  <c r="N13" i="1"/>
  <c r="M11" i="1"/>
  <c r="F7" i="3" s="1"/>
  <c r="P11" i="1"/>
  <c r="R11" i="1" s="1"/>
  <c r="N11" i="1"/>
  <c r="P13" i="10" l="1"/>
  <c r="Q13" i="10" s="1"/>
  <c r="N13" i="10"/>
  <c r="M13" i="10"/>
  <c r="P11" i="10"/>
  <c r="Q11" i="10" s="1"/>
  <c r="M11" i="10"/>
  <c r="N11" i="10"/>
  <c r="P13" i="6"/>
  <c r="Q13" i="6" s="1"/>
  <c r="M13" i="6"/>
  <c r="O9" i="3" s="1"/>
  <c r="N13" i="6"/>
  <c r="P13" i="7"/>
  <c r="Q13" i="7" s="1"/>
  <c r="N13" i="7"/>
  <c r="M13" i="7"/>
  <c r="L9" i="3" s="1"/>
  <c r="P13" i="9"/>
  <c r="Q13" i="9" s="1"/>
  <c r="M13" i="9"/>
  <c r="R9" i="3" s="1"/>
  <c r="N13" i="9"/>
  <c r="P13" i="8"/>
  <c r="Q13" i="8" s="1"/>
  <c r="N13" i="8"/>
  <c r="M13" i="8"/>
  <c r="I9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tc={76C66995-3F4F-CF46-8CE4-EBF60D63EC1E}</author>
  </authors>
  <commentList>
    <comment ref="X27" authorId="0" shapeId="0" xr:uid="{76C66995-3F4F-CF46-8CE4-EBF60D63EC1E}">
      <text>
        <t xml:space="preserve"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Из-за болезни отпустила
</t>
      </text>
    </comment>
  </commentList>
</comments>
</file>

<file path=xl/sharedStrings.xml><?xml version="1.0" encoding="utf-8"?>
<sst xmlns="http://schemas.openxmlformats.org/spreadsheetml/2006/main" count="902" uniqueCount="164">
  <si>
    <t>(отчетная дата)</t>
  </si>
  <si>
    <t xml:space="preserve">                          ЕЖЕДНЕВНЫЙ ОТЧЕТ О ПРОДАЖАХ</t>
  </si>
  <si>
    <t>Осталось до выполнения плана!!!</t>
  </si>
  <si>
    <t>ТРК Центрум</t>
  </si>
  <si>
    <t>Целевые показатели</t>
  </si>
  <si>
    <t>Показатель</t>
  </si>
  <si>
    <t>План</t>
  </si>
  <si>
    <t>Факт</t>
  </si>
  <si>
    <t>% выполнения</t>
  </si>
  <si>
    <t>Прогноз выполнения</t>
  </si>
  <si>
    <t>% выполнения по прогнозу</t>
  </si>
  <si>
    <t>Отклонение</t>
  </si>
  <si>
    <t>Факт аналогичного месяца прошлого года</t>
  </si>
  <si>
    <t>Отклонение LFL</t>
  </si>
  <si>
    <t>Выручка</t>
  </si>
  <si>
    <t>Кол-во изделий</t>
  </si>
  <si>
    <t>Средний чек</t>
  </si>
  <si>
    <t>Средняя стоимость изделия</t>
  </si>
  <si>
    <t>Длина чека</t>
  </si>
  <si>
    <t>Кол-во чеков</t>
  </si>
  <si>
    <t>Кол-во смен</t>
  </si>
  <si>
    <t>Средние продажи в смену</t>
  </si>
  <si>
    <t>Отставание/Перевыполнение</t>
  </si>
  <si>
    <t>Подарочные сертификаты</t>
  </si>
  <si>
    <t>Трафик</t>
  </si>
  <si>
    <t>Конверсия</t>
  </si>
  <si>
    <t>Факт продаж за месяц</t>
  </si>
  <si>
    <t>Раcпределение плана по дням</t>
  </si>
  <si>
    <t>Сотрудник</t>
  </si>
  <si>
    <t>Дата</t>
  </si>
  <si>
    <t>День недели</t>
  </si>
  <si>
    <t>Выручка (руб)</t>
  </si>
  <si>
    <t>Кол-во единиц (шт.)</t>
  </si>
  <si>
    <t>Средняя стоимость изделия (руб.)</t>
  </si>
  <si>
    <t>Количество чеков  (шт.)</t>
  </si>
  <si>
    <t>Средняя сумма чека (руб.)</t>
  </si>
  <si>
    <t>Длина чека (шт.)</t>
  </si>
  <si>
    <t>UNOde50</t>
  </si>
  <si>
    <t>IS</t>
  </si>
  <si>
    <t>Agafi</t>
  </si>
  <si>
    <t>Kalliope</t>
  </si>
  <si>
    <t>Raganella</t>
  </si>
  <si>
    <t>CC/MP</t>
  </si>
  <si>
    <t>Eva Rites</t>
  </si>
  <si>
    <t>Конверсия (%)</t>
  </si>
  <si>
    <t>% выполнения дневного плана</t>
  </si>
  <si>
    <t>выручка, план</t>
  </si>
  <si>
    <t>кол-во ед, план</t>
  </si>
  <si>
    <t>Кол-во чеков, план</t>
  </si>
  <si>
    <t>выручка, скорректир.план</t>
  </si>
  <si>
    <t>кол-во ед, скорр. план</t>
  </si>
  <si>
    <t>кол-во чеков, скорр. план</t>
  </si>
  <si>
    <t>Коэфф. Дня Недели</t>
  </si>
  <si>
    <t>Специфика месяца</t>
  </si>
  <si>
    <t>Рогалевич, Козлова</t>
  </si>
  <si>
    <t>пн</t>
  </si>
  <si>
    <t>Рогалевич,Свидовская, Стекольщикова</t>
  </si>
  <si>
    <t>вт</t>
  </si>
  <si>
    <t>Рогалевич, Стекольщикова, Свидовская, Корж</t>
  </si>
  <si>
    <t>ср</t>
  </si>
  <si>
    <t>Рогалевич, Стекольщикова,Корж, Козлова</t>
  </si>
  <si>
    <t>чт</t>
  </si>
  <si>
    <t>Рогалевич, Стекольщикова, Козлова</t>
  </si>
  <si>
    <t>пт</t>
  </si>
  <si>
    <t>Рогалевич, Стекольщикова, Козлова, свидовская</t>
  </si>
  <si>
    <t>сб</t>
  </si>
  <si>
    <t>Рогалевич, Корж, Свидовская</t>
  </si>
  <si>
    <t>вс</t>
  </si>
  <si>
    <t>Свидовская, Корж</t>
  </si>
  <si>
    <t>Стекольщикова, Свидовская, Козлова</t>
  </si>
  <si>
    <t>Стекольщикова, Козлова, Корж</t>
  </si>
  <si>
    <t>Стекольщикова, Свидовская, Корж</t>
  </si>
  <si>
    <t>Свидовская, Корж, Козлова</t>
  </si>
  <si>
    <t>Свидовская, Козлова</t>
  </si>
  <si>
    <t>Стекольщикова, Корж, Свидовская</t>
  </si>
  <si>
    <t>Стекольщикова, Рогалевич, Козлова, Свидовская</t>
  </si>
  <si>
    <t>Стекольщикова, Рогалевич, Корж</t>
  </si>
  <si>
    <t>Рогалевич, Козлова, Свидовская</t>
  </si>
  <si>
    <t>Стекольщикова,Корж, Козлова</t>
  </si>
  <si>
    <t>Стекольщикова, Рогалевич, Корж, Козлова</t>
  </si>
  <si>
    <t>Стекольщикова, Рогалевич, Свидовская, Корж</t>
  </si>
  <si>
    <t>Стекольщикова, Рогалевич,Корж, Козлова</t>
  </si>
  <si>
    <t>Стекольщикова, Рогалевич, Корж, Свидовская</t>
  </si>
  <si>
    <t>Стекольщикова,Свидовская,Козлова, Корж</t>
  </si>
  <si>
    <t>итого</t>
  </si>
  <si>
    <t>Личный ежедневный КВП, %</t>
  </si>
  <si>
    <t>Сотруник</t>
  </si>
  <si>
    <t>Итого:</t>
  </si>
  <si>
    <t>Доп сотрудник</t>
  </si>
  <si>
    <t>Стекольщикова Алла</t>
  </si>
  <si>
    <t>Свидовская София</t>
  </si>
  <si>
    <t>Корж Анастасия</t>
  </si>
  <si>
    <t>Козлова Валерия</t>
  </si>
  <si>
    <t>Личный КВП, баллы</t>
  </si>
  <si>
    <t>Сводная по показателям</t>
  </si>
  <si>
    <t xml:space="preserve">Факт </t>
  </si>
  <si>
    <t>Прогноз</t>
  </si>
  <si>
    <t>Кол-во смен план/отработано</t>
  </si>
  <si>
    <t>МЕГА Белая Дача</t>
  </si>
  <si>
    <t>Гагаринский</t>
  </si>
  <si>
    <t>Марфино</t>
  </si>
  <si>
    <t>Конверсия план/факт</t>
  </si>
  <si>
    <t>в</t>
  </si>
  <si>
    <t>Андруневчина</t>
  </si>
  <si>
    <t>Выплачено на карту</t>
  </si>
  <si>
    <t>Выплачено наличными по платежной ведомости</t>
  </si>
  <si>
    <t>Дополнительные начисления, доплаты</t>
  </si>
  <si>
    <t>Оклад</t>
  </si>
  <si>
    <t>Бонусная часть от личных продаж</t>
  </si>
  <si>
    <t>Бонусная часть от общих продаж</t>
  </si>
  <si>
    <t>Базовый бонус за выполнение плана</t>
  </si>
  <si>
    <t>Вычеты</t>
  </si>
  <si>
    <t>Итого к выдаче с учетом авансов и вычетов</t>
  </si>
  <si>
    <t>Подпись</t>
  </si>
  <si>
    <t>Доп начисления</t>
  </si>
  <si>
    <t>Сумма</t>
  </si>
  <si>
    <t>Описание</t>
  </si>
  <si>
    <t>НДФЛ декабрь 2025</t>
  </si>
  <si>
    <t>Администартивный %</t>
  </si>
  <si>
    <t>Чек-лист декабрь 2025</t>
  </si>
  <si>
    <t>% наличного оборота &lt; 60%</t>
  </si>
  <si>
    <t>Оклад:</t>
  </si>
  <si>
    <t>Базовый бонус</t>
  </si>
  <si>
    <t>Дней</t>
  </si>
  <si>
    <t>Магазин</t>
  </si>
  <si>
    <t>Должность</t>
  </si>
  <si>
    <t>Зачислено часов</t>
  </si>
  <si>
    <t>Ставка за час, руб</t>
  </si>
  <si>
    <t>Начислено за день, руб</t>
  </si>
  <si>
    <t>КВП</t>
  </si>
  <si>
    <t>Начисленный ББ</t>
  </si>
  <si>
    <t>УМ</t>
  </si>
  <si>
    <t>БонуснаяЧасть</t>
  </si>
  <si>
    <t>Бонус от личных продаж по категории товара</t>
  </si>
  <si>
    <t>Бонус от общих продаж</t>
  </si>
  <si>
    <t>Процент от продажи</t>
  </si>
  <si>
    <t>Продано на сумму, руб</t>
  </si>
  <si>
    <t>Начисленный бонус от продаж, руб</t>
  </si>
  <si>
    <t>Кол-во отработанных личных часов</t>
  </si>
  <si>
    <t>Кол-во отработанных общих часов</t>
  </si>
  <si>
    <t>ПК</t>
  </si>
  <si>
    <t>ул. Евпаторийское шоссе, 8</t>
  </si>
  <si>
    <t>Декабрь, 2025</t>
  </si>
  <si>
    <t>г. Симферополь</t>
  </si>
  <si>
    <t>ул. Севастопольская, 62</t>
  </si>
  <si>
    <t>GL-0004</t>
  </si>
  <si>
    <t>10.00-21.00</t>
  </si>
  <si>
    <t>ФОТ</t>
  </si>
  <si>
    <t>Кол-во дней в месяц</t>
  </si>
  <si>
    <t>Премия Директора, грн.</t>
  </si>
  <si>
    <t>Часы</t>
  </si>
  <si>
    <t>Выходные</t>
  </si>
  <si>
    <t>Отпуск</t>
  </si>
  <si>
    <t>Больничный (официальный)</t>
  </si>
  <si>
    <t>Дни стажировки</t>
  </si>
  <si>
    <t>№</t>
  </si>
  <si>
    <t>ФИО</t>
  </si>
  <si>
    <t>Дни</t>
  </si>
  <si>
    <t>Рогалевич Ирина</t>
  </si>
  <si>
    <t>ДМ</t>
  </si>
  <si>
    <t>Итого магазин</t>
  </si>
  <si>
    <t xml:space="preserve">    </t>
  </si>
  <si>
    <t xml:space="preserve"> </t>
  </si>
  <si>
    <t>Вычет по инвентаризационной ведомости от 09.01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</si>
</sst>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-* #,##0.00_р_._-;\-* #,##0.00_р_._-;_-* \-??_р_._-;_-@_-"/>
    <numFmt numFmtId="165" formatCode="dddd&quot;, &quot;mmmm\ dd&quot;, &quot;yyyy"/>
    <numFmt numFmtId="166" formatCode="0.0%"/>
    <numFmt numFmtId="167" formatCode="#,##0.00\ &quot;₽&quot;"/>
    <numFmt numFmtId="168" formatCode="#,##0\ &quot;₽&quot;"/>
    <numFmt numFmtId="169" formatCode="#,##0.00\ _₽"/>
    <numFmt numFmtId="170" formatCode="0.0"/>
    <numFmt numFmtId="171" formatCode="mmmm\ yyyy;@"/>
  </numFmts>
  <fonts count="46">
    <font>
      <sz val="11"/>
      <color indexed="63"/>
      <name val="Calibri"/>
    </font>
    <font>
      <sz val="8"/>
      <name val="Arial"/>
      <family val="2"/>
    </font>
    <font>
      <sz val="11"/>
      <color indexed="63"/>
      <name val="Clinica Pro Regular"/>
    </font>
    <font>
      <sz val="11"/>
      <color indexed="63"/>
      <name val="Times New Roman"/>
      <family val="1"/>
    </font>
    <font>
      <b/>
      <sz val="8"/>
      <color rgb="FFCC66FF"/>
      <name val="Clinica Pro Regular"/>
    </font>
    <font>
      <sz val="11"/>
      <color rgb="FFCC66FF"/>
      <name val="Clinica Pro Regular"/>
    </font>
    <font>
      <sz val="8"/>
      <name val="Clinica Pro Regular"/>
    </font>
    <font>
      <sz val="28"/>
      <color rgb="FFCC66FF"/>
      <name val="Clinica Pro Regular"/>
    </font>
    <font>
      <sz val="8"/>
      <color rgb="FFCC66FF"/>
      <name val="Clinica Pro Regular"/>
    </font>
    <font>
      <b/>
      <sz val="11"/>
      <color rgb="FFCC66FF"/>
      <name val="Clinica Pro Regular"/>
    </font>
    <font>
      <b/>
      <sz val="12"/>
      <color rgb="FFCC66FF"/>
      <name val="Clinica Pro Regular"/>
    </font>
    <font>
      <b/>
      <sz val="8"/>
      <name val="Clinica Pro Regular"/>
    </font>
    <font>
      <sz val="11"/>
      <color rgb="FFFFC000"/>
      <name val="Clinica Pro Regular"/>
    </font>
    <font>
      <b/>
      <sz val="12"/>
      <name val="Clinica Pro Regular"/>
    </font>
    <font>
      <b/>
      <sz val="8"/>
      <color indexed="17"/>
      <name val="Clinica Pro Regular"/>
    </font>
    <font>
      <b/>
      <sz val="9"/>
      <name val="Clinica Pro Regular"/>
    </font>
    <font>
      <b/>
      <sz val="10"/>
      <name val="Clinica Pro Regular"/>
    </font>
    <font>
      <b/>
      <sz val="9"/>
      <color theme="1"/>
      <name val="Clinica Pro Regular"/>
    </font>
    <font>
      <sz val="9"/>
      <name val="Clinica Pro Regular"/>
    </font>
    <font>
      <b/>
      <sz val="8"/>
      <color theme="1"/>
      <name val="Clinica Pro Regular"/>
    </font>
    <font>
      <b/>
      <sz val="9"/>
      <color indexed="17"/>
      <name val="Clinica Pro Regular"/>
    </font>
    <font>
      <b/>
      <sz val="8"/>
      <color indexed="63"/>
      <name val="Clinica Pro Regular"/>
    </font>
    <font>
      <b/>
      <sz val="8"/>
      <color rgb="FF3B3838"/>
      <name val="Clinica Pro Regular"/>
    </font>
    <font>
      <sz val="9"/>
      <color indexed="63"/>
      <name val="Clinica Pro Regular"/>
    </font>
    <font>
      <b/>
      <sz val="8"/>
      <color rgb="FF1F4E79"/>
      <name val="Clinica Pro Regular"/>
    </font>
    <font>
      <sz val="11"/>
      <name val="Calibri"/>
      <family val="2"/>
    </font>
    <font>
      <sz val="8"/>
      <color indexed="63"/>
      <name val="Clinica Pro Regular"/>
    </font>
    <font>
      <sz val="12"/>
      <color theme="1"/>
      <name val="Clinica Pro Regular"/>
    </font>
    <font>
      <b/>
      <sz val="12"/>
      <color theme="1"/>
      <name val="Clinica Pro Regular"/>
    </font>
    <font>
      <sz val="10"/>
      <color theme="1"/>
      <name val="Clinica Pro Regular"/>
    </font>
    <font>
      <sz val="9"/>
      <color theme="1"/>
      <name val="Clinica Pro Regular"/>
    </font>
    <font>
      <sz val="8"/>
      <color theme="1"/>
      <name val="Clinica Pro Regular"/>
    </font>
    <font>
      <sz val="11"/>
      <name val="Clinica Pro Regular"/>
    </font>
    <font>
      <sz val="10"/>
      <name val="Clinica Pro Regular"/>
    </font>
    <font>
      <sz val="8"/>
      <color rgb="FF413003"/>
      <name val="Clinica Pro Regular"/>
    </font>
    <font>
      <b/>
      <sz val="8"/>
      <color rgb="FF413003"/>
      <name val="Clinica Pro Regular"/>
    </font>
    <font>
      <sz val="8"/>
      <color indexed="2"/>
      <name val="Clinica Pro Regular"/>
    </font>
    <font>
      <b/>
      <sz val="11"/>
      <color indexed="56"/>
      <name val="Arial"/>
      <family val="2"/>
    </font>
    <font>
      <b/>
      <sz val="11"/>
      <color indexed="56"/>
      <name val="Clinica Pro Regular"/>
    </font>
    <font>
      <b/>
      <sz val="14"/>
      <color indexed="56"/>
      <name val="Clinica Pro Regular"/>
    </font>
    <font>
      <b/>
      <sz val="12"/>
      <color indexed="18"/>
      <name val="Clinica Pro Regular"/>
    </font>
    <font>
      <sz val="10"/>
      <color indexed="56"/>
      <name val="Clinica Pro Regular"/>
    </font>
    <font>
      <b/>
      <sz val="10"/>
      <color indexed="16"/>
      <name val="Clinica Pro Regular"/>
    </font>
    <font>
      <b/>
      <sz val="10"/>
      <name val="Arial"/>
      <family val="2"/>
    </font>
    <font>
      <sz val="12"/>
      <name val="Clinica Pro Regular"/>
    </font>
    <font>
      <sz val="11"/>
      <color indexed="63"/>
      <name val="Calibri"/>
      <family val="2"/>
    </font>
  </fonts>
  <fills count="41">
    <fill>
      <patternFill patternType="none"/>
    </fill>
    <fill>
      <patternFill patternType="gray125"/>
    </fill>
    <fill>
      <patternFill patternType="solid">
        <fgColor rgb="FF66FFFF"/>
        <bgColor rgb="FF4ACCD3"/>
      </patternFill>
    </fill>
    <fill>
      <patternFill patternType="solid">
        <fgColor rgb="FFCCFF00"/>
        <bgColor indexed="5"/>
      </patternFill>
    </fill>
    <fill>
      <patternFill patternType="solid">
        <fgColor indexed="65"/>
        <bgColor indexed="26"/>
      </patternFill>
    </fill>
    <fill>
      <patternFill patternType="solid">
        <fgColor indexed="5"/>
        <bgColor indexed="26"/>
      </patternFill>
    </fill>
    <fill>
      <patternFill patternType="solid">
        <fgColor rgb="FF00CCCC"/>
        <bgColor rgb="FF4ACCD3"/>
      </patternFill>
    </fill>
    <fill>
      <patternFill patternType="solid">
        <fgColor rgb="FFD0CECE"/>
        <bgColor rgb="FFD0CECE"/>
      </patternFill>
    </fill>
    <fill>
      <patternFill patternType="solid">
        <fgColor rgb="FFD0CECE"/>
        <bgColor rgb="FF5B9BD5"/>
      </patternFill>
    </fill>
    <fill>
      <patternFill patternType="solid">
        <fgColor theme="0"/>
        <bgColor theme="0"/>
      </patternFill>
    </fill>
    <fill>
      <patternFill patternType="solid">
        <fgColor theme="2"/>
        <bgColor theme="2"/>
      </patternFill>
    </fill>
    <fill>
      <patternFill patternType="solid">
        <fgColor theme="2"/>
        <bgColor rgb="FF4ACCD3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6" tint="0.79998168889431442"/>
        <bgColor rgb="FF4ACCD3"/>
      </patternFill>
    </fill>
    <fill>
      <patternFill patternType="solid">
        <fgColor rgb="FFCCFF00"/>
        <bgColor rgb="FFCCFF00"/>
      </patternFill>
    </fill>
    <fill>
      <patternFill patternType="solid">
        <fgColor theme="2" tint="-9.9978637043366805E-2"/>
        <bgColor rgb="FF5B9BD5"/>
      </patternFill>
    </fill>
    <fill>
      <patternFill patternType="solid">
        <fgColor theme="2"/>
        <bgColor theme="0"/>
      </patternFill>
    </fill>
    <fill>
      <patternFill patternType="solid">
        <fgColor theme="0"/>
        <bgColor theme="2"/>
      </patternFill>
    </fill>
    <fill>
      <patternFill patternType="solid">
        <fgColor indexed="65"/>
      </patternFill>
    </fill>
    <fill>
      <patternFill patternType="solid">
        <fgColor rgb="FFE7E6E6"/>
        <bgColor rgb="FFE7E6E6"/>
      </patternFill>
    </fill>
    <fill>
      <patternFill patternType="solid">
        <fgColor rgb="FFF4ECC5"/>
        <bgColor rgb="FFF4ECC5"/>
      </patternFill>
    </fill>
    <fill>
      <patternFill patternType="solid">
        <fgColor rgb="FFFBF9EC"/>
        <bgColor rgb="FFFBF9EC"/>
      </patternFill>
    </fill>
    <fill>
      <patternFill patternType="solid">
        <fgColor rgb="FFFCFAEB"/>
        <bgColor rgb="FFFCFAEB"/>
      </patternFill>
    </fill>
    <fill>
      <patternFill patternType="solid">
        <fgColor theme="8" tint="0.59999389629810485"/>
        <bgColor rgb="FF3B3838"/>
      </patternFill>
    </fill>
    <fill>
      <patternFill patternType="solid">
        <fgColor rgb="FF92D050"/>
        <bgColor rgb="FFED7D31"/>
      </patternFill>
    </fill>
    <fill>
      <patternFill patternType="solid">
        <fgColor theme="8" tint="0.59999389629810485"/>
        <bgColor rgb="FFED7D31"/>
      </patternFill>
    </fill>
    <fill>
      <patternFill patternType="solid">
        <fgColor rgb="FFFFC000"/>
        <bgColor indexed="5"/>
      </patternFill>
    </fill>
    <fill>
      <patternFill patternType="solid">
        <fgColor theme="8" tint="0.39997558519241921"/>
        <bgColor rgb="FFED7D31"/>
      </patternFill>
    </fill>
    <fill>
      <patternFill patternType="solid">
        <fgColor theme="8" tint="0.79998168889431442"/>
        <bgColor rgb="FF3B3838"/>
      </patternFill>
    </fill>
    <fill>
      <patternFill patternType="solid">
        <fgColor theme="9" tint="0.79998168889431442"/>
        <bgColor indexed="7"/>
      </patternFill>
    </fill>
    <fill>
      <patternFill patternType="solid">
        <fgColor theme="2" tint="-9.9978637043366805E-2"/>
        <bgColor theme="2" tint="-9.9978637043366805E-2"/>
      </patternFill>
    </fill>
    <fill>
      <patternFill patternType="solid">
        <fgColor theme="2" tint="-0.499984740745262"/>
        <bgColor theme="2" tint="-0.499984740745262"/>
      </patternFill>
    </fill>
    <fill>
      <patternFill patternType="solid">
        <fgColor theme="0"/>
        <bgColor theme="7" tint="0.59999389629810485"/>
      </patternFill>
    </fill>
    <fill>
      <patternFill patternType="solid">
        <fgColor theme="2" tint="-9.9978637043366805E-2"/>
        <bgColor theme="0"/>
      </patternFill>
    </fill>
    <fill>
      <patternFill patternType="solid">
        <fgColor theme="9"/>
        <bgColor theme="9"/>
      </patternFill>
    </fill>
    <fill>
      <patternFill patternType="solid">
        <fgColor theme="2" tint="-9.9978637043366805E-2"/>
        <bgColor theme="7" tint="0.59999389629810485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0"/>
        <bgColor theme="4" tint="0.39997558519241921"/>
      </patternFill>
    </fill>
    <fill>
      <patternFill patternType="solid">
        <fgColor theme="2" tint="-9.9978637043366805E-2"/>
        <bgColor theme="4" tint="0.39997558519241921"/>
      </patternFill>
    </fill>
    <fill>
      <patternFill patternType="solid">
        <fgColor theme="8" tint="0.59999389629810485"/>
        <bgColor indexed="43"/>
      </patternFill>
    </fill>
    <fill>
      <patternFill patternType="solid">
        <fgColor theme="9" tint="0.79998168889431442"/>
        <bgColor indexed="64"/>
      </patternFill>
    </fill>
  </fills>
  <borders count="18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auto="1"/>
      </left>
      <right style="thin">
        <color theme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auto="1"/>
      </left>
      <right/>
      <top style="thin">
        <color theme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auto="1"/>
      </bottom>
      <diagonal/>
    </border>
    <border>
      <left style="thin">
        <color theme="1"/>
      </left>
      <right style="thin">
        <color theme="1"/>
      </right>
      <top/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auto="1"/>
      </top>
      <bottom/>
      <diagonal/>
    </border>
    <border>
      <left style="thin">
        <color theme="1"/>
      </left>
      <right style="thin">
        <color theme="1"/>
      </right>
      <top style="thin">
        <color auto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/>
      <top style="thin">
        <color theme="1"/>
      </top>
      <bottom style="thin">
        <color theme="1"/>
      </bottom>
      <diagonal/>
    </border>
    <border>
      <left/>
      <right style="thin">
        <color auto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rgb="FFCCC085"/>
      </bottom>
      <diagonal/>
    </border>
    <border>
      <left/>
      <right style="medium">
        <color auto="1"/>
      </right>
      <top/>
      <bottom style="thin">
        <color rgb="FFCCC085"/>
      </bottom>
      <diagonal/>
    </border>
    <border>
      <left/>
      <right style="thin">
        <color rgb="FFCCC085"/>
      </right>
      <top style="thin">
        <color auto="1"/>
      </top>
      <bottom style="thin">
        <color auto="1"/>
      </bottom>
      <diagonal/>
    </border>
    <border>
      <left style="thin">
        <color rgb="FFCCC085"/>
      </left>
      <right style="thin">
        <color rgb="FFCCC085"/>
      </right>
      <top style="thin">
        <color auto="1"/>
      </top>
      <bottom style="thin">
        <color auto="1"/>
      </bottom>
      <diagonal/>
    </border>
    <border>
      <left style="thin">
        <color rgb="FFCCC085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rgb="FFCCC085"/>
      </right>
      <top style="thin">
        <color rgb="FFCCC085"/>
      </top>
      <bottom style="thin">
        <color auto="1"/>
      </bottom>
      <diagonal/>
    </border>
    <border>
      <left style="thin">
        <color rgb="FFCCC085"/>
      </left>
      <right style="medium">
        <color auto="1"/>
      </right>
      <top style="thin">
        <color rgb="FFCCC085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rgb="FFCCC085"/>
      </top>
      <bottom style="thin">
        <color auto="1"/>
      </bottom>
      <diagonal/>
    </border>
    <border>
      <left style="medium">
        <color auto="1"/>
      </left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medium">
        <color auto="1"/>
      </right>
      <top/>
      <bottom style="thin">
        <color rgb="FFCCC085"/>
      </bottom>
      <diagonal/>
    </border>
    <border>
      <left style="medium">
        <color auto="1"/>
      </left>
      <right style="thin">
        <color rgb="FFCCC085"/>
      </right>
      <top/>
      <bottom style="thin">
        <color rgb="FFCCC085"/>
      </bottom>
      <diagonal/>
    </border>
    <border>
      <left style="medium">
        <color auto="1"/>
      </left>
      <right style="medium">
        <color auto="1"/>
      </right>
      <top/>
      <bottom style="thin">
        <color rgb="FFCCC085"/>
      </bottom>
      <diagonal/>
    </border>
    <border>
      <left style="medium">
        <color auto="1"/>
      </left>
      <right/>
      <top style="thin">
        <color rgb="FFCCC085"/>
      </top>
      <bottom/>
      <diagonal/>
    </border>
    <border>
      <left/>
      <right style="medium">
        <color auto="1"/>
      </right>
      <top style="thin">
        <color rgb="FFCCC085"/>
      </top>
      <bottom/>
      <diagonal/>
    </border>
    <border>
      <left/>
      <right/>
      <top/>
      <bottom style="thin">
        <color rgb="FFB3AC86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rgb="FFB3AC86"/>
      </right>
      <top/>
      <bottom/>
      <diagonal/>
    </border>
    <border>
      <left style="thin">
        <color rgb="FFB3AC86"/>
      </left>
      <right/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rgb="FFCCC085"/>
      </right>
      <top/>
      <bottom style="thin">
        <color auto="1"/>
      </bottom>
      <diagonal/>
    </border>
    <border>
      <left style="thin">
        <color rgb="FFCCC085"/>
      </left>
      <right style="thin">
        <color rgb="FFCCC085"/>
      </right>
      <top/>
      <bottom style="thin">
        <color auto="1"/>
      </bottom>
      <diagonal/>
    </border>
    <border>
      <left style="thin">
        <color rgb="FFCCC085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rgb="FFCCC085"/>
      </right>
      <top style="thin">
        <color auto="1"/>
      </top>
      <bottom style="thin">
        <color auto="1"/>
      </bottom>
      <diagonal/>
    </border>
    <border>
      <left style="thin">
        <color rgb="FFB3AC86"/>
      </left>
      <right style="thin">
        <color rgb="FFB3AC86"/>
      </right>
      <top style="thin">
        <color rgb="FFB3AC86"/>
      </top>
      <bottom style="thin">
        <color rgb="FFB3AC86"/>
      </bottom>
      <diagonal/>
    </border>
    <border>
      <left style="thin">
        <color rgb="FFB3AC86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rgb="FFCCC085"/>
      </right>
      <top/>
      <bottom style="thin">
        <color auto="1"/>
      </bottom>
      <diagonal/>
    </border>
    <border>
      <left style="thin">
        <color rgb="FFB3AC86"/>
      </left>
      <right style="thin">
        <color rgb="FFB3AC86"/>
      </right>
      <top/>
      <bottom/>
      <diagonal/>
    </border>
    <border>
      <left style="thin">
        <color rgb="FFB3AC86"/>
      </left>
      <right/>
      <top style="thin">
        <color rgb="FFB3AC86"/>
      </top>
      <bottom style="thin">
        <color rgb="FFB3AC86"/>
      </bottom>
      <diagonal/>
    </border>
    <border>
      <left/>
      <right style="thin">
        <color rgb="FFB3AC86"/>
      </right>
      <top style="thin">
        <color rgb="FFB3AC86"/>
      </top>
      <bottom style="thin">
        <color rgb="FFB3AC86"/>
      </bottom>
      <diagonal/>
    </border>
    <border>
      <left/>
      <right style="thin">
        <color rgb="FFB3AC86"/>
      </right>
      <top/>
      <bottom/>
      <diagonal/>
    </border>
    <border>
      <left/>
      <right/>
      <top style="thin">
        <color rgb="FFB3AC86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rgb="FFCCC085"/>
      </bottom>
      <diagonal/>
    </border>
    <border>
      <left/>
      <right/>
      <top style="thin">
        <color auto="1"/>
      </top>
      <bottom style="thin">
        <color rgb="FFCCC085"/>
      </bottom>
      <diagonal/>
    </border>
    <border>
      <left/>
      <right style="thin">
        <color rgb="FFCCC085"/>
      </right>
      <top style="thin">
        <color auto="1"/>
      </top>
      <bottom style="thin">
        <color rgb="FFCCC085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rgb="FFCCC085"/>
      </bottom>
      <diagonal/>
    </border>
    <border>
      <left style="medium">
        <color auto="1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 style="medium">
        <color auto="1"/>
      </right>
      <top style="thin">
        <color rgb="FFCCC085"/>
      </top>
      <bottom style="thin">
        <color rgb="FFCCC085"/>
      </bottom>
      <diagonal/>
    </border>
    <border>
      <left style="medium">
        <color auto="1"/>
      </left>
      <right style="medium">
        <color auto="1"/>
      </right>
      <top style="thin">
        <color rgb="FFCCC085"/>
      </top>
      <bottom style="thin">
        <color rgb="FFCCC085"/>
      </bottom>
      <diagonal/>
    </border>
    <border>
      <left style="medium">
        <color auto="1"/>
      </left>
      <right/>
      <top style="thin">
        <color rgb="FFCCC085"/>
      </top>
      <bottom style="thin">
        <color rgb="FFCCC085"/>
      </bottom>
      <diagonal/>
    </border>
    <border>
      <left/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medium">
        <color auto="1"/>
      </left>
      <right style="medium">
        <color auto="1"/>
      </right>
      <top style="thin">
        <color rgb="FFCCC085"/>
      </top>
      <bottom style="medium">
        <color auto="1"/>
      </bottom>
      <diagonal/>
    </border>
    <border>
      <left style="medium">
        <color indexed="16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indexed="16"/>
      </bottom>
      <diagonal/>
    </border>
    <border>
      <left/>
      <right/>
      <top style="medium">
        <color indexed="16"/>
      </top>
      <bottom/>
      <diagonal/>
    </border>
    <border>
      <left style="medium">
        <color auto="1"/>
      </left>
      <right style="medium">
        <color auto="1"/>
      </right>
      <top style="thin">
        <color indexed="16"/>
      </top>
      <bottom style="thin">
        <color indexed="16"/>
      </bottom>
      <diagonal/>
    </border>
    <border>
      <left style="medium">
        <color auto="1"/>
      </left>
      <right style="medium">
        <color auto="1"/>
      </right>
      <top style="thin">
        <color indexed="16"/>
      </top>
      <bottom style="medium">
        <color auto="1"/>
      </bottom>
      <diagonal/>
    </border>
    <border>
      <left style="medium">
        <color indexed="16"/>
      </left>
      <right/>
      <top style="medium">
        <color indexed="16"/>
      </top>
      <bottom style="medium">
        <color indexed="16"/>
      </bottom>
      <diagonal/>
    </border>
    <border>
      <left/>
      <right style="medium">
        <color indexed="16"/>
      </right>
      <top style="medium">
        <color indexed="16"/>
      </top>
      <bottom style="medium">
        <color indexed="16"/>
      </bottom>
      <diagonal/>
    </border>
    <border>
      <left/>
      <right/>
      <top style="medium">
        <color indexed="16"/>
      </top>
      <bottom style="medium">
        <color indexed="16"/>
      </bottom>
      <diagonal/>
    </border>
    <border>
      <left style="medium">
        <color indexed="16"/>
      </left>
      <right style="medium">
        <color indexed="16"/>
      </right>
      <top/>
      <bottom style="medium">
        <color indexed="16"/>
      </bottom>
      <diagonal/>
    </border>
    <border>
      <left style="medium">
        <color indexed="16"/>
      </left>
      <right style="medium">
        <color indexed="16"/>
      </right>
      <top style="medium">
        <color indexed="16"/>
      </top>
      <bottom/>
      <diagonal/>
    </border>
    <border>
      <left style="medium">
        <color indexed="16"/>
      </left>
      <right/>
      <top/>
      <bottom style="medium">
        <color indexed="16"/>
      </bottom>
      <diagonal/>
    </border>
    <border>
      <left style="medium">
        <color indexed="16"/>
      </left>
      <right style="medium">
        <color indexed="16"/>
      </right>
      <top style="medium">
        <color indexed="16"/>
      </top>
      <bottom style="medium">
        <color indexed="16"/>
      </bottom>
      <diagonal/>
    </border>
    <border>
      <left style="medium">
        <color indexed="16"/>
      </left>
      <right style="thin">
        <color indexed="16"/>
      </right>
      <top style="medium">
        <color indexed="16"/>
      </top>
      <bottom style="medium">
        <color indexed="16"/>
      </bottom>
      <diagonal/>
    </border>
    <border>
      <left style="thin">
        <color indexed="16"/>
      </left>
      <right style="thin">
        <color indexed="16"/>
      </right>
      <top style="medium">
        <color auto="1"/>
      </top>
      <bottom style="medium">
        <color auto="1"/>
      </bottom>
      <diagonal/>
    </border>
    <border>
      <left style="thin">
        <color indexed="16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indexed="16"/>
      </right>
      <top style="medium">
        <color auto="1"/>
      </top>
      <bottom style="medium">
        <color auto="1"/>
      </bottom>
      <diagonal/>
    </border>
    <border>
      <left style="thin">
        <color indexed="16"/>
      </left>
      <right style="thin">
        <color indexed="16"/>
      </right>
      <top style="medium">
        <color indexed="16"/>
      </top>
      <bottom style="medium">
        <color indexed="16"/>
      </bottom>
      <diagonal/>
    </border>
    <border>
      <left style="thin">
        <color indexed="16"/>
      </left>
      <right style="thin">
        <color indexed="16"/>
      </right>
      <top style="medium">
        <color indexed="16"/>
      </top>
      <bottom/>
      <diagonal/>
    </border>
    <border>
      <left style="medium">
        <color indexed="16"/>
      </left>
      <right style="thin">
        <color indexed="16"/>
      </right>
      <top/>
      <bottom/>
      <diagonal/>
    </border>
    <border>
      <left style="thin">
        <color indexed="16"/>
      </left>
      <right style="thin">
        <color indexed="16"/>
      </right>
      <top/>
      <bottom/>
      <diagonal/>
    </border>
    <border>
      <left style="thin">
        <color indexed="16"/>
      </left>
      <right style="thin">
        <color auto="1"/>
      </right>
      <top style="medium">
        <color auto="1"/>
      </top>
      <bottom/>
      <diagonal/>
    </border>
    <border>
      <left/>
      <right style="thin">
        <color indexed="16"/>
      </right>
      <top/>
      <bottom/>
      <diagonal/>
    </border>
    <border>
      <left style="medium">
        <color auto="1"/>
      </left>
      <right style="medium">
        <color indexed="16"/>
      </right>
      <top style="medium">
        <color auto="1"/>
      </top>
      <bottom style="medium">
        <color auto="1"/>
      </bottom>
      <diagonal/>
    </border>
    <border>
      <left style="medium">
        <color indexed="16"/>
      </left>
      <right style="medium">
        <color indexed="16"/>
      </right>
      <top style="medium">
        <color auto="1"/>
      </top>
      <bottom style="medium">
        <color auto="1"/>
      </bottom>
      <diagonal/>
    </border>
    <border>
      <left style="medium">
        <color indexed="16"/>
      </left>
      <right style="thin">
        <color indexed="16"/>
      </right>
      <top style="medium">
        <color auto="1"/>
      </top>
      <bottom style="medium">
        <color auto="1"/>
      </bottom>
      <diagonal/>
    </border>
    <border>
      <left style="thin">
        <color indexed="16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indexed="16"/>
      </right>
      <top/>
      <bottom style="medium">
        <color indexed="16"/>
      </bottom>
      <diagonal/>
    </border>
    <border>
      <left style="thin">
        <color indexed="16"/>
      </left>
      <right style="thin">
        <color indexed="16"/>
      </right>
      <top/>
      <bottom style="medium">
        <color indexed="16"/>
      </bottom>
      <diagonal/>
    </border>
    <border>
      <left style="thin">
        <color indexed="16"/>
      </left>
      <right style="thin">
        <color indexed="16"/>
      </right>
      <top/>
      <bottom style="thin">
        <color indexed="16"/>
      </bottom>
      <diagonal/>
    </border>
    <border>
      <left style="thin">
        <color indexed="16"/>
      </left>
      <right style="thin">
        <color auto="1"/>
      </right>
      <top/>
      <bottom style="thin">
        <color indexed="16"/>
      </bottom>
      <diagonal/>
    </border>
    <border>
      <left/>
      <right style="thin">
        <color indexed="16"/>
      </right>
      <top/>
      <bottom style="thin">
        <color indexed="16"/>
      </bottom>
      <diagonal/>
    </border>
    <border>
      <left style="thin">
        <color indexed="16"/>
      </left>
      <right/>
      <top/>
      <bottom style="thin">
        <color indexed="16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 style="thin">
        <color indexed="16"/>
      </bottom>
      <diagonal/>
    </border>
    <border>
      <left style="thin">
        <color indexed="16"/>
      </left>
      <right style="thin">
        <color auto="1"/>
      </right>
      <top style="thin">
        <color indexed="16"/>
      </top>
      <bottom style="thin">
        <color indexed="16"/>
      </bottom>
      <diagonal/>
    </border>
    <border>
      <left/>
      <right style="thin">
        <color indexed="16"/>
      </right>
      <top style="thin">
        <color indexed="16"/>
      </top>
      <bottom style="thin">
        <color indexed="16"/>
      </bottom>
      <diagonal/>
    </border>
    <border>
      <left style="thin">
        <color indexed="16"/>
      </left>
      <right/>
      <top style="thin">
        <color indexed="16"/>
      </top>
      <bottom style="thin">
        <color indexed="16"/>
      </bottom>
      <diagonal/>
    </border>
    <border>
      <left style="thin">
        <color indexed="16"/>
      </left>
      <right style="thin">
        <color indexed="16"/>
      </right>
      <top style="thin">
        <color indexed="16"/>
      </top>
      <bottom/>
      <diagonal/>
    </border>
    <border>
      <left style="medium">
        <color auto="1"/>
      </left>
      <right style="thin">
        <color indexed="16"/>
      </right>
      <top style="thin">
        <color indexed="16"/>
      </top>
      <bottom/>
      <diagonal/>
    </border>
    <border>
      <left style="thin">
        <color indexed="16"/>
      </left>
      <right style="thin">
        <color auto="1"/>
      </right>
      <top style="thin">
        <color indexed="16"/>
      </top>
      <bottom/>
      <diagonal/>
    </border>
    <border>
      <left style="thin">
        <color auto="1"/>
      </left>
      <right style="thin">
        <color theme="1"/>
      </right>
      <top/>
      <bottom/>
      <diagonal/>
    </border>
    <border>
      <left/>
      <right style="thin">
        <color indexed="16"/>
      </right>
      <top style="thin">
        <color indexed="16"/>
      </top>
      <bottom/>
      <diagonal/>
    </border>
    <border>
      <left style="medium">
        <color auto="1"/>
      </left>
      <right style="thin">
        <color indexed="16"/>
      </right>
      <top style="medium">
        <color auto="1"/>
      </top>
      <bottom style="medium">
        <color auto="1"/>
      </bottom>
      <diagonal/>
    </border>
  </borders>
  <cellStyleXfs count="4">
    <xf numFmtId="0" fontId="0" fillId="0" borderId="0"/>
    <xf numFmtId="9" fontId="45" fillId="0" borderId="0" applyBorder="0" applyProtection="0"/>
    <xf numFmtId="164" fontId="45" fillId="0" borderId="0" applyBorder="0" applyProtection="0"/>
    <xf numFmtId="0" fontId="1" fillId="0" borderId="0"/>
  </cellStyleXfs>
  <cellXfs count="946">
    <xf numFmtId="0" fontId="0" fillId="0" borderId="0" xfId="0"/>
    <xf numFmtId="0" fontId="2" fillId="0" borderId="0" xfId="0" applyFont="1"/>
    <xf numFmtId="0" fontId="3" fillId="0" borderId="0" xfId="0" applyFont="1"/>
    <xf numFmtId="0" fontId="5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9" fillId="2" borderId="0" xfId="0" applyFont="1" applyFill="1" applyAlignment="1">
      <alignment vertical="top"/>
    </xf>
    <xf numFmtId="0" fontId="9" fillId="2" borderId="0" xfId="0" applyFont="1" applyFill="1"/>
    <xf numFmtId="165" fontId="11" fillId="2" borderId="0" xfId="0" applyNumberFormat="1" applyFont="1" applyFill="1" applyAlignment="1">
      <alignment horizontal="center" vertical="center"/>
    </xf>
    <xf numFmtId="9" fontId="5" fillId="2" borderId="6" xfId="1" applyFont="1" applyFill="1" applyBorder="1" applyProtection="1"/>
    <xf numFmtId="0" fontId="6" fillId="2" borderId="0" xfId="0" applyFont="1" applyFill="1" applyAlignment="1">
      <alignment horizontal="center" vertical="top"/>
    </xf>
    <xf numFmtId="0" fontId="12" fillId="2" borderId="0" xfId="0" applyFont="1" applyFill="1"/>
    <xf numFmtId="166" fontId="6" fillId="2" borderId="0" xfId="1" applyNumberFormat="1" applyFont="1" applyFill="1" applyAlignment="1" applyProtection="1">
      <alignment vertical="center"/>
    </xf>
    <xf numFmtId="166" fontId="2" fillId="2" borderId="0" xfId="0" applyNumberFormat="1" applyFont="1" applyFill="1"/>
    <xf numFmtId="3" fontId="11" fillId="2" borderId="14" xfId="0" applyNumberFormat="1" applyFont="1" applyFill="1" applyBorder="1" applyAlignment="1">
      <alignment horizontal="center" vertical="center"/>
    </xf>
    <xf numFmtId="3" fontId="11" fillId="2" borderId="15" xfId="0" applyNumberFormat="1" applyFont="1" applyFill="1" applyBorder="1" applyAlignment="1">
      <alignment horizontal="center" vertical="center"/>
    </xf>
    <xf numFmtId="3" fontId="11" fillId="2" borderId="15" xfId="0" applyNumberFormat="1" applyFont="1" applyFill="1" applyBorder="1" applyAlignment="1">
      <alignment horizontal="center" vertical="center" wrapText="1"/>
    </xf>
    <xf numFmtId="0" fontId="14" fillId="2" borderId="15" xfId="0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center" vertical="center" wrapText="1"/>
    </xf>
    <xf numFmtId="0" fontId="11" fillId="2" borderId="16" xfId="0" applyFont="1" applyFill="1" applyBorder="1" applyAlignment="1">
      <alignment horizontal="center" vertical="center" wrapText="1"/>
    </xf>
    <xf numFmtId="3" fontId="15" fillId="0" borderId="18" xfId="0" applyNumberFormat="1" applyFont="1" applyBorder="1" applyAlignment="1">
      <alignment horizontal="center" vertical="center"/>
    </xf>
    <xf numFmtId="3" fontId="15" fillId="4" borderId="19" xfId="0" applyNumberFormat="1" applyFont="1" applyFill="1" applyBorder="1" applyAlignment="1">
      <alignment horizontal="center" vertical="center"/>
    </xf>
    <xf numFmtId="10" fontId="16" fillId="4" borderId="19" xfId="1" applyNumberFormat="1" applyFont="1" applyFill="1" applyBorder="1" applyAlignment="1" applyProtection="1">
      <alignment horizontal="center" vertical="center"/>
    </xf>
    <xf numFmtId="3" fontId="17" fillId="0" borderId="19" xfId="0" applyNumberFormat="1" applyFont="1" applyBorder="1" applyAlignment="1">
      <alignment horizontal="center" vertical="center"/>
    </xf>
    <xf numFmtId="10" fontId="14" fillId="0" borderId="20" xfId="1" applyNumberFormat="1" applyFont="1" applyBorder="1" applyAlignment="1" applyProtection="1">
      <alignment horizontal="center" vertical="center"/>
    </xf>
    <xf numFmtId="3" fontId="6" fillId="0" borderId="19" xfId="0" applyNumberFormat="1" applyFont="1" applyBorder="1" applyAlignment="1">
      <alignment horizontal="center" vertical="center"/>
    </xf>
    <xf numFmtId="3" fontId="6" fillId="3" borderId="21" xfId="0" applyNumberFormat="1" applyFont="1" applyFill="1" applyBorder="1" applyAlignment="1" applyProtection="1">
      <alignment horizontal="center" vertical="center"/>
      <protection locked="0"/>
    </xf>
    <xf numFmtId="3" fontId="6" fillId="0" borderId="20" xfId="0" applyNumberFormat="1" applyFont="1" applyBorder="1" applyAlignment="1">
      <alignment horizontal="center" vertical="center"/>
    </xf>
    <xf numFmtId="166" fontId="6" fillId="0" borderId="22" xfId="1" applyNumberFormat="1" applyFont="1" applyBorder="1" applyAlignment="1" applyProtection="1">
      <alignment horizontal="center" vertical="center"/>
    </xf>
    <xf numFmtId="3" fontId="18" fillId="4" borderId="24" xfId="0" applyNumberFormat="1" applyFont="1" applyFill="1" applyBorder="1" applyAlignment="1">
      <alignment horizontal="center" vertical="center"/>
    </xf>
    <xf numFmtId="3" fontId="6" fillId="4" borderId="25" xfId="0" applyNumberFormat="1" applyFont="1" applyFill="1" applyBorder="1" applyAlignment="1">
      <alignment horizontal="center" vertical="center"/>
    </xf>
    <xf numFmtId="10" fontId="6" fillId="4" borderId="25" xfId="1" applyNumberFormat="1" applyFont="1" applyFill="1" applyBorder="1" applyAlignment="1" applyProtection="1">
      <alignment horizontal="center" vertical="center"/>
    </xf>
    <xf numFmtId="3" fontId="17" fillId="0" borderId="25" xfId="0" applyNumberFormat="1" applyFont="1" applyBorder="1" applyAlignment="1">
      <alignment horizontal="center" vertical="center"/>
    </xf>
    <xf numFmtId="10" fontId="19" fillId="0" borderId="26" xfId="1" applyNumberFormat="1" applyFont="1" applyBorder="1" applyAlignment="1" applyProtection="1">
      <alignment horizontal="center" vertical="center"/>
    </xf>
    <xf numFmtId="3" fontId="6" fillId="0" borderId="25" xfId="0" applyNumberFormat="1" applyFont="1" applyBorder="1" applyAlignment="1">
      <alignment horizontal="center" vertical="center"/>
    </xf>
    <xf numFmtId="3" fontId="6" fillId="4" borderId="27" xfId="0" applyNumberFormat="1" applyFont="1" applyFill="1" applyBorder="1" applyAlignment="1" applyProtection="1">
      <alignment horizontal="center" vertical="center"/>
      <protection locked="0"/>
    </xf>
    <xf numFmtId="3" fontId="6" fillId="0" borderId="26" xfId="0" applyNumberFormat="1" applyFont="1" applyBorder="1" applyAlignment="1">
      <alignment horizontal="center" vertical="center"/>
    </xf>
    <xf numFmtId="166" fontId="6" fillId="0" borderId="28" xfId="1" applyNumberFormat="1" applyFont="1" applyBorder="1" applyAlignment="1" applyProtection="1">
      <alignment horizontal="center" vertical="center"/>
    </xf>
    <xf numFmtId="3" fontId="15" fillId="4" borderId="24" xfId="0" applyNumberFormat="1" applyFont="1" applyFill="1" applyBorder="1" applyAlignment="1">
      <alignment horizontal="center" vertical="center"/>
    </xf>
    <xf numFmtId="3" fontId="15" fillId="4" borderId="25" xfId="0" applyNumberFormat="1" applyFont="1" applyFill="1" applyBorder="1" applyAlignment="1">
      <alignment horizontal="center" vertical="center"/>
    </xf>
    <xf numFmtId="10" fontId="15" fillId="4" borderId="25" xfId="1" applyNumberFormat="1" applyFont="1" applyFill="1" applyBorder="1" applyAlignment="1" applyProtection="1">
      <alignment horizontal="center" vertical="center"/>
    </xf>
    <xf numFmtId="10" fontId="17" fillId="0" borderId="26" xfId="1" applyNumberFormat="1" applyFont="1" applyBorder="1" applyAlignment="1" applyProtection="1">
      <alignment horizontal="center" vertical="center"/>
    </xf>
    <xf numFmtId="3" fontId="15" fillId="0" borderId="25" xfId="0" applyNumberFormat="1" applyFont="1" applyBorder="1" applyAlignment="1">
      <alignment horizontal="center" vertical="center"/>
    </xf>
    <xf numFmtId="3" fontId="15" fillId="0" borderId="26" xfId="0" applyNumberFormat="1" applyFont="1" applyBorder="1" applyAlignment="1">
      <alignment horizontal="center" vertical="center"/>
    </xf>
    <xf numFmtId="166" fontId="15" fillId="0" borderId="28" xfId="1" applyNumberFormat="1" applyFont="1" applyBorder="1" applyAlignment="1" applyProtection="1">
      <alignment horizontal="center" vertical="center"/>
    </xf>
    <xf numFmtId="3" fontId="18" fillId="3" borderId="24" xfId="0" applyNumberFormat="1" applyFont="1" applyFill="1" applyBorder="1" applyAlignment="1">
      <alignment horizontal="center" vertical="center"/>
    </xf>
    <xf numFmtId="3" fontId="6" fillId="3" borderId="24" xfId="0" applyNumberFormat="1" applyFont="1" applyFill="1" applyBorder="1" applyAlignment="1">
      <alignment horizontal="center" vertical="center"/>
    </xf>
    <xf numFmtId="4" fontId="18" fillId="3" borderId="24" xfId="0" applyNumberFormat="1" applyFont="1" applyFill="1" applyBorder="1" applyAlignment="1">
      <alignment horizontal="center" vertical="center"/>
    </xf>
    <xf numFmtId="4" fontId="6" fillId="4" borderId="25" xfId="0" applyNumberFormat="1" applyFont="1" applyFill="1" applyBorder="1" applyAlignment="1">
      <alignment horizontal="center" vertical="center"/>
    </xf>
    <xf numFmtId="4" fontId="17" fillId="0" borderId="25" xfId="0" applyNumberFormat="1" applyFont="1" applyBorder="1" applyAlignment="1">
      <alignment horizontal="center" vertical="center"/>
    </xf>
    <xf numFmtId="4" fontId="6" fillId="0" borderId="25" xfId="0" applyNumberFormat="1" applyFont="1" applyBorder="1" applyAlignment="1">
      <alignment horizontal="center" vertical="center"/>
    </xf>
    <xf numFmtId="4" fontId="6" fillId="3" borderId="27" xfId="0" applyNumberFormat="1" applyFont="1" applyFill="1" applyBorder="1" applyAlignment="1" applyProtection="1">
      <alignment horizontal="center" vertical="center"/>
      <protection locked="0"/>
    </xf>
    <xf numFmtId="3" fontId="6" fillId="3" borderId="27" xfId="0" applyNumberFormat="1" applyFont="1" applyFill="1" applyBorder="1" applyAlignment="1" applyProtection="1">
      <alignment horizontal="center" vertical="center"/>
      <protection locked="0"/>
    </xf>
    <xf numFmtId="3" fontId="6" fillId="5" borderId="25" xfId="0" applyNumberFormat="1" applyFont="1" applyFill="1" applyBorder="1" applyAlignment="1">
      <alignment horizontal="center" vertical="center"/>
    </xf>
    <xf numFmtId="10" fontId="6" fillId="2" borderId="0" xfId="1" applyNumberFormat="1" applyFont="1" applyFill="1" applyAlignment="1" applyProtection="1">
      <alignment horizontal="center" vertical="center"/>
    </xf>
    <xf numFmtId="10" fontId="19" fillId="0" borderId="25" xfId="1" applyNumberFormat="1" applyFont="1" applyBorder="1" applyAlignment="1" applyProtection="1">
      <alignment horizontal="center" vertical="center"/>
    </xf>
    <xf numFmtId="3" fontId="6" fillId="3" borderId="25" xfId="0" applyNumberFormat="1" applyFont="1" applyFill="1" applyBorder="1" applyAlignment="1" applyProtection="1">
      <alignment horizontal="center" vertical="center"/>
      <protection locked="0"/>
    </xf>
    <xf numFmtId="3" fontId="20" fillId="0" borderId="25" xfId="0" applyNumberFormat="1" applyFont="1" applyBorder="1" applyAlignment="1">
      <alignment horizontal="center" vertical="center"/>
    </xf>
    <xf numFmtId="10" fontId="14" fillId="0" borderId="25" xfId="1" applyNumberFormat="1" applyFont="1" applyBorder="1" applyAlignment="1" applyProtection="1">
      <alignment horizontal="center" vertical="center"/>
    </xf>
    <xf numFmtId="3" fontId="6" fillId="4" borderId="25" xfId="0" applyNumberFormat="1" applyFont="1" applyFill="1" applyBorder="1" applyAlignment="1" applyProtection="1">
      <alignment horizontal="center" vertical="center"/>
      <protection locked="0"/>
    </xf>
    <xf numFmtId="3" fontId="6" fillId="6" borderId="25" xfId="1" applyNumberFormat="1" applyFont="1" applyFill="1" applyBorder="1" applyAlignment="1" applyProtection="1">
      <alignment horizontal="center" vertical="center"/>
    </xf>
    <xf numFmtId="3" fontId="18" fillId="4" borderId="30" xfId="0" applyNumberFormat="1" applyFont="1" applyFill="1" applyBorder="1" applyAlignment="1">
      <alignment horizontal="center" vertical="center"/>
    </xf>
    <xf numFmtId="3" fontId="6" fillId="4" borderId="29" xfId="0" applyNumberFormat="1" applyFont="1" applyFill="1" applyBorder="1" applyAlignment="1">
      <alignment horizontal="center" vertical="center"/>
    </xf>
    <xf numFmtId="3" fontId="20" fillId="0" borderId="29" xfId="0" applyNumberFormat="1" applyFont="1" applyBorder="1" applyAlignment="1">
      <alignment horizontal="center" vertical="center"/>
    </xf>
    <xf numFmtId="10" fontId="14" fillId="0" borderId="31" xfId="1" applyNumberFormat="1" applyFont="1" applyBorder="1" applyAlignment="1" applyProtection="1">
      <alignment horizontal="center" vertical="center"/>
    </xf>
    <xf numFmtId="3" fontId="6" fillId="3" borderId="32" xfId="0" applyNumberFormat="1" applyFont="1" applyFill="1" applyBorder="1" applyAlignment="1" applyProtection="1">
      <alignment horizontal="center" vertical="center"/>
      <protection locked="0"/>
    </xf>
    <xf numFmtId="10" fontId="15" fillId="3" borderId="34" xfId="1" applyNumberFormat="1" applyFont="1" applyFill="1" applyBorder="1" applyAlignment="1" applyProtection="1">
      <alignment horizontal="center" vertical="center"/>
    </xf>
    <xf numFmtId="10" fontId="15" fillId="4" borderId="35" xfId="1" applyNumberFormat="1" applyFont="1" applyFill="1" applyBorder="1" applyAlignment="1" applyProtection="1">
      <alignment horizontal="center" vertical="center"/>
    </xf>
    <xf numFmtId="166" fontId="20" fillId="0" borderId="35" xfId="1" applyNumberFormat="1" applyFont="1" applyBorder="1" applyAlignment="1" applyProtection="1">
      <alignment horizontal="center" vertical="center"/>
    </xf>
    <xf numFmtId="10" fontId="20" fillId="0" borderId="36" xfId="1" applyNumberFormat="1" applyFont="1" applyBorder="1" applyAlignment="1" applyProtection="1">
      <alignment horizontal="center" vertical="center"/>
    </xf>
    <xf numFmtId="166" fontId="18" fillId="0" borderId="35" xfId="1" applyNumberFormat="1" applyFont="1" applyBorder="1" applyAlignment="1" applyProtection="1">
      <alignment horizontal="center" vertical="center"/>
    </xf>
    <xf numFmtId="166" fontId="18" fillId="3" borderId="37" xfId="1" applyNumberFormat="1" applyFont="1" applyFill="1" applyBorder="1" applyAlignment="1" applyProtection="1">
      <alignment horizontal="center" vertical="center"/>
      <protection locked="0"/>
    </xf>
    <xf numFmtId="3" fontId="18" fillId="0" borderId="35" xfId="0" applyNumberFormat="1" applyFont="1" applyBorder="1" applyAlignment="1">
      <alignment horizontal="center" vertical="center"/>
    </xf>
    <xf numFmtId="3" fontId="18" fillId="0" borderId="36" xfId="0" applyNumberFormat="1" applyFont="1" applyBorder="1" applyAlignment="1">
      <alignment horizontal="center" vertical="center"/>
    </xf>
    <xf numFmtId="166" fontId="18" fillId="0" borderId="38" xfId="1" applyNumberFormat="1" applyFont="1" applyBorder="1" applyAlignment="1" applyProtection="1">
      <alignment horizontal="center" vertical="center"/>
    </xf>
    <xf numFmtId="0" fontId="13" fillId="7" borderId="30" xfId="0" applyFont="1" applyFill="1" applyBorder="1" applyAlignment="1">
      <alignment horizontal="center" vertical="center"/>
    </xf>
    <xf numFmtId="0" fontId="11" fillId="7" borderId="29" xfId="0" applyFont="1" applyFill="1" applyBorder="1" applyAlignment="1">
      <alignment horizontal="center" vertical="center" wrapText="1"/>
    </xf>
    <xf numFmtId="0" fontId="11" fillId="7" borderId="25" xfId="0" applyFont="1" applyFill="1" applyBorder="1" applyAlignment="1">
      <alignment horizontal="center" vertical="center" wrapText="1"/>
    </xf>
    <xf numFmtId="0" fontId="11" fillId="8" borderId="25" xfId="0" applyFont="1" applyFill="1" applyBorder="1" applyAlignment="1">
      <alignment horizontal="center" vertical="center" wrapText="1"/>
    </xf>
    <xf numFmtId="0" fontId="11" fillId="8" borderId="26" xfId="0" applyFont="1" applyFill="1" applyBorder="1" applyAlignment="1">
      <alignment horizontal="center" vertical="center" wrapText="1"/>
    </xf>
    <xf numFmtId="0" fontId="11" fillId="8" borderId="39" xfId="0" applyFont="1" applyFill="1" applyBorder="1" applyAlignment="1">
      <alignment horizontal="center" vertical="center" wrapText="1"/>
    </xf>
    <xf numFmtId="0" fontId="11" fillId="7" borderId="24" xfId="0" applyFont="1" applyFill="1" applyBorder="1" applyAlignment="1">
      <alignment horizontal="center" vertical="center" wrapText="1"/>
    </xf>
    <xf numFmtId="0" fontId="22" fillId="7" borderId="25" xfId="0" applyFont="1" applyFill="1" applyBorder="1" applyAlignment="1">
      <alignment horizontal="center" vertical="center" wrapText="1"/>
    </xf>
    <xf numFmtId="3" fontId="3" fillId="0" borderId="0" xfId="0" applyNumberFormat="1" applyFont="1"/>
    <xf numFmtId="0" fontId="6" fillId="7" borderId="25" xfId="0" applyFont="1" applyFill="1" applyBorder="1" applyAlignment="1">
      <alignment horizontal="center" vertical="top" wrapText="1"/>
    </xf>
    <xf numFmtId="0" fontId="6" fillId="7" borderId="26" xfId="0" applyFont="1" applyFill="1" applyBorder="1" applyAlignment="1">
      <alignment horizontal="center" vertical="top" wrapText="1"/>
    </xf>
    <xf numFmtId="0" fontId="6" fillId="7" borderId="40" xfId="0" applyFont="1" applyFill="1" applyBorder="1" applyAlignment="1">
      <alignment horizontal="center" vertical="top" wrapText="1"/>
    </xf>
    <xf numFmtId="0" fontId="6" fillId="7" borderId="0" xfId="0" applyFont="1" applyFill="1" applyAlignment="1">
      <alignment horizontal="center" vertical="top" wrapText="1"/>
    </xf>
    <xf numFmtId="0" fontId="11" fillId="7" borderId="19" xfId="0" applyFont="1" applyFill="1" applyBorder="1" applyAlignment="1">
      <alignment horizontal="center" vertical="center" wrapText="1"/>
    </xf>
    <xf numFmtId="0" fontId="11" fillId="7" borderId="25" xfId="0" applyFont="1" applyFill="1" applyBorder="1" applyAlignment="1">
      <alignment horizontal="center" vertical="top" wrapText="1"/>
    </xf>
    <xf numFmtId="0" fontId="0" fillId="9" borderId="0" xfId="0" applyFill="1"/>
    <xf numFmtId="0" fontId="23" fillId="9" borderId="25" xfId="0" applyFont="1" applyFill="1" applyBorder="1" applyAlignment="1">
      <alignment horizontal="center" vertical="center"/>
    </xf>
    <xf numFmtId="16" fontId="6" fillId="9" borderId="25" xfId="0" applyNumberFormat="1" applyFont="1" applyFill="1" applyBorder="1" applyAlignment="1">
      <alignment horizontal="center" vertical="top"/>
    </xf>
    <xf numFmtId="0" fontId="6" fillId="9" borderId="25" xfId="0" applyFont="1" applyFill="1" applyBorder="1" applyAlignment="1">
      <alignment horizontal="center" vertical="top"/>
    </xf>
    <xf numFmtId="4" fontId="6" fillId="9" borderId="24" xfId="0" applyNumberFormat="1" applyFont="1" applyFill="1" applyBorder="1" applyAlignment="1">
      <alignment horizontal="center" vertical="top"/>
    </xf>
    <xf numFmtId="3" fontId="6" fillId="9" borderId="24" xfId="0" applyNumberFormat="1" applyFont="1" applyFill="1" applyBorder="1" applyAlignment="1">
      <alignment horizontal="center" vertical="top"/>
    </xf>
    <xf numFmtId="3" fontId="6" fillId="9" borderId="25" xfId="0" applyNumberFormat="1" applyFont="1" applyFill="1" applyBorder="1" applyAlignment="1">
      <alignment horizontal="center" vertical="top"/>
    </xf>
    <xf numFmtId="4" fontId="6" fillId="9" borderId="25" xfId="0" applyNumberFormat="1" applyFont="1" applyFill="1" applyBorder="1" applyAlignment="1">
      <alignment horizontal="center" vertical="top"/>
    </xf>
    <xf numFmtId="3" fontId="6" fillId="9" borderId="41" xfId="0" applyNumberFormat="1" applyFont="1" applyFill="1" applyBorder="1" applyAlignment="1">
      <alignment horizontal="center" vertical="top"/>
    </xf>
    <xf numFmtId="10" fontId="6" fillId="10" borderId="25" xfId="0" applyNumberFormat="1" applyFont="1" applyFill="1" applyBorder="1" applyAlignment="1">
      <alignment horizontal="center" vertical="top"/>
    </xf>
    <xf numFmtId="9" fontId="2" fillId="9" borderId="25" xfId="0" applyNumberFormat="1" applyFont="1" applyFill="1" applyBorder="1" applyAlignment="1">
      <alignment horizontal="center" vertical="center"/>
    </xf>
    <xf numFmtId="3" fontId="24" fillId="9" borderId="25" xfId="0" applyNumberFormat="1" applyFont="1" applyFill="1" applyBorder="1" applyAlignment="1">
      <alignment horizontal="center"/>
    </xf>
    <xf numFmtId="3" fontId="6" fillId="9" borderId="25" xfId="0" applyNumberFormat="1" applyFont="1" applyFill="1" applyBorder="1" applyAlignment="1">
      <alignment horizontal="center"/>
    </xf>
    <xf numFmtId="2" fontId="6" fillId="9" borderId="25" xfId="0" applyNumberFormat="1" applyFont="1" applyFill="1" applyBorder="1" applyAlignment="1">
      <alignment horizontal="right"/>
    </xf>
    <xf numFmtId="0" fontId="3" fillId="9" borderId="0" xfId="0" applyFont="1" applyFill="1"/>
    <xf numFmtId="166" fontId="3" fillId="9" borderId="0" xfId="0" applyNumberFormat="1" applyFont="1" applyFill="1"/>
    <xf numFmtId="0" fontId="0" fillId="9" borderId="0" xfId="0" applyFill="1" applyAlignment="1">
      <alignment horizontal="center" vertical="center"/>
    </xf>
    <xf numFmtId="4" fontId="6" fillId="9" borderId="41" xfId="0" applyNumberFormat="1" applyFont="1" applyFill="1" applyBorder="1" applyAlignment="1">
      <alignment horizontal="center" vertical="top"/>
    </xf>
    <xf numFmtId="3" fontId="6" fillId="9" borderId="19" xfId="0" applyNumberFormat="1" applyFont="1" applyFill="1" applyBorder="1" applyAlignment="1">
      <alignment horizontal="center" vertical="top"/>
    </xf>
    <xf numFmtId="166" fontId="3" fillId="9" borderId="0" xfId="0" applyNumberFormat="1" applyFont="1" applyFill="1" applyAlignment="1">
      <alignment vertical="center"/>
    </xf>
    <xf numFmtId="0" fontId="25" fillId="10" borderId="0" xfId="0" applyFont="1" applyFill="1"/>
    <xf numFmtId="0" fontId="23" fillId="10" borderId="25" xfId="0" applyFont="1" applyFill="1" applyBorder="1" applyAlignment="1">
      <alignment horizontal="center" vertical="center"/>
    </xf>
    <xf numFmtId="16" fontId="6" fillId="10" borderId="25" xfId="0" applyNumberFormat="1" applyFont="1" applyFill="1" applyBorder="1" applyAlignment="1">
      <alignment horizontal="center" vertical="top"/>
    </xf>
    <xf numFmtId="0" fontId="6" fillId="10" borderId="25" xfId="0" applyFont="1" applyFill="1" applyBorder="1" applyAlignment="1">
      <alignment horizontal="center" vertical="top"/>
    </xf>
    <xf numFmtId="4" fontId="6" fillId="10" borderId="41" xfId="0" applyNumberFormat="1" applyFont="1" applyFill="1" applyBorder="1" applyAlignment="1">
      <alignment horizontal="center" vertical="top"/>
    </xf>
    <xf numFmtId="3" fontId="6" fillId="10" borderId="41" xfId="0" applyNumberFormat="1" applyFont="1" applyFill="1" applyBorder="1" applyAlignment="1">
      <alignment horizontal="center" vertical="top"/>
    </xf>
    <xf numFmtId="3" fontId="6" fillId="10" borderId="25" xfId="0" applyNumberFormat="1" applyFont="1" applyFill="1" applyBorder="1" applyAlignment="1">
      <alignment horizontal="center" vertical="top"/>
    </xf>
    <xf numFmtId="4" fontId="6" fillId="10" borderId="25" xfId="0" applyNumberFormat="1" applyFont="1" applyFill="1" applyBorder="1" applyAlignment="1">
      <alignment horizontal="center" vertical="top"/>
    </xf>
    <xf numFmtId="3" fontId="6" fillId="10" borderId="24" xfId="0" applyNumberFormat="1" applyFont="1" applyFill="1" applyBorder="1" applyAlignment="1">
      <alignment horizontal="center" vertical="top"/>
    </xf>
    <xf numFmtId="9" fontId="2" fillId="10" borderId="25" xfId="0" applyNumberFormat="1" applyFont="1" applyFill="1" applyBorder="1" applyAlignment="1">
      <alignment horizontal="center" vertical="center"/>
    </xf>
    <xf numFmtId="3" fontId="24" fillId="10" borderId="25" xfId="0" applyNumberFormat="1" applyFont="1" applyFill="1" applyBorder="1" applyAlignment="1">
      <alignment horizontal="center"/>
    </xf>
    <xf numFmtId="3" fontId="6" fillId="10" borderId="25" xfId="0" applyNumberFormat="1" applyFont="1" applyFill="1" applyBorder="1" applyAlignment="1">
      <alignment horizontal="center"/>
    </xf>
    <xf numFmtId="2" fontId="6" fillId="10" borderId="25" xfId="0" applyNumberFormat="1" applyFont="1" applyFill="1" applyBorder="1" applyAlignment="1">
      <alignment horizontal="right"/>
    </xf>
    <xf numFmtId="166" fontId="3" fillId="10" borderId="0" xfId="0" applyNumberFormat="1" applyFont="1" applyFill="1"/>
    <xf numFmtId="0" fontId="3" fillId="10" borderId="0" xfId="0" applyFont="1" applyFill="1"/>
    <xf numFmtId="0" fontId="0" fillId="10" borderId="0" xfId="0" applyFill="1"/>
    <xf numFmtId="0" fontId="6" fillId="10" borderId="41" xfId="0" applyFont="1" applyFill="1" applyBorder="1" applyAlignment="1">
      <alignment horizontal="center" vertical="top"/>
    </xf>
    <xf numFmtId="0" fontId="23" fillId="10" borderId="19" xfId="0" applyFont="1" applyFill="1" applyBorder="1" applyAlignment="1">
      <alignment horizontal="center" vertical="center"/>
    </xf>
    <xf numFmtId="0" fontId="23" fillId="9" borderId="19" xfId="0" applyFont="1" applyFill="1" applyBorder="1" applyAlignment="1">
      <alignment horizontal="center" vertical="center"/>
    </xf>
    <xf numFmtId="3" fontId="6" fillId="10" borderId="19" xfId="0" applyNumberFormat="1" applyFont="1" applyFill="1" applyBorder="1" applyAlignment="1">
      <alignment horizontal="center" vertical="top"/>
    </xf>
    <xf numFmtId="0" fontId="6" fillId="10" borderId="27" xfId="0" applyFont="1" applyFill="1" applyBorder="1" applyAlignment="1">
      <alignment horizontal="center" vertical="top"/>
    </xf>
    <xf numFmtId="164" fontId="3" fillId="10" borderId="0" xfId="0" applyNumberFormat="1" applyFont="1" applyFill="1"/>
    <xf numFmtId="0" fontId="6" fillId="10" borderId="26" xfId="0" applyFont="1" applyFill="1" applyBorder="1" applyAlignment="1">
      <alignment horizontal="center" vertical="top"/>
    </xf>
    <xf numFmtId="3" fontId="6" fillId="10" borderId="0" xfId="0" applyNumberFormat="1" applyFont="1" applyFill="1" applyAlignment="1">
      <alignment horizontal="center" vertical="top"/>
    </xf>
    <xf numFmtId="0" fontId="23" fillId="0" borderId="25" xfId="0" applyFont="1" applyBorder="1" applyAlignment="1">
      <alignment horizontal="center" vertical="center"/>
    </xf>
    <xf numFmtId="166" fontId="6" fillId="11" borderId="25" xfId="0" applyNumberFormat="1" applyFont="1" applyFill="1" applyBorder="1" applyAlignment="1">
      <alignment horizontal="center" vertical="top"/>
    </xf>
    <xf numFmtId="166" fontId="2" fillId="10" borderId="25" xfId="0" applyNumberFormat="1" applyFont="1" applyFill="1" applyBorder="1" applyAlignment="1">
      <alignment horizontal="center" vertical="center"/>
    </xf>
    <xf numFmtId="3" fontId="6" fillId="10" borderId="25" xfId="0" applyNumberFormat="1" applyFont="1" applyFill="1" applyBorder="1" applyAlignment="1">
      <alignment horizontal="right"/>
    </xf>
    <xf numFmtId="0" fontId="6" fillId="0" borderId="0" xfId="0" applyFont="1" applyAlignment="1">
      <alignment horizontal="center" vertical="top"/>
    </xf>
    <xf numFmtId="0" fontId="6" fillId="0" borderId="0" xfId="0" applyFont="1"/>
    <xf numFmtId="3" fontId="26" fillId="0" borderId="0" xfId="0" applyNumberFormat="1" applyFont="1"/>
    <xf numFmtId="166" fontId="6" fillId="0" borderId="0" xfId="1" applyNumberFormat="1" applyFont="1" applyProtection="1"/>
    <xf numFmtId="0" fontId="6" fillId="0" borderId="0" xfId="0" applyFont="1" applyAlignment="1">
      <alignment vertical="top"/>
    </xf>
    <xf numFmtId="166" fontId="6" fillId="0" borderId="0" xfId="0" applyNumberFormat="1" applyFont="1" applyAlignment="1">
      <alignment vertical="top"/>
    </xf>
    <xf numFmtId="3" fontId="6" fillId="0" borderId="0" xfId="0" applyNumberFormat="1" applyFont="1"/>
    <xf numFmtId="9" fontId="26" fillId="0" borderId="0" xfId="1" applyFont="1" applyProtection="1"/>
    <xf numFmtId="4" fontId="2" fillId="0" borderId="0" xfId="0" applyNumberFormat="1" applyFont="1"/>
    <xf numFmtId="3" fontId="2" fillId="0" borderId="0" xfId="0" applyNumberFormat="1" applyFont="1"/>
    <xf numFmtId="1" fontId="2" fillId="0" borderId="0" xfId="0" applyNumberFormat="1" applyFont="1"/>
    <xf numFmtId="0" fontId="2" fillId="0" borderId="0" xfId="0" applyFont="1" applyAlignment="1">
      <alignment wrapText="1"/>
    </xf>
    <xf numFmtId="0" fontId="27" fillId="0" borderId="0" xfId="0" applyFont="1"/>
    <xf numFmtId="0" fontId="28" fillId="0" borderId="0" xfId="0" applyFont="1" applyAlignment="1">
      <alignment horizontal="center" vertical="center"/>
    </xf>
    <xf numFmtId="0" fontId="28" fillId="0" borderId="42" xfId="0" applyFont="1" applyBorder="1" applyAlignment="1">
      <alignment horizontal="center" vertical="center"/>
    </xf>
    <xf numFmtId="16" fontId="28" fillId="0" borderId="43" xfId="0" applyNumberFormat="1" applyFont="1" applyBorder="1" applyAlignment="1">
      <alignment horizontal="center" vertical="center"/>
    </xf>
    <xf numFmtId="16" fontId="28" fillId="0" borderId="44" xfId="0" applyNumberFormat="1" applyFont="1" applyBorder="1" applyAlignment="1">
      <alignment horizontal="center" vertical="center"/>
    </xf>
    <xf numFmtId="0" fontId="29" fillId="0" borderId="13" xfId="0" applyFont="1" applyBorder="1" applyAlignment="1">
      <alignment horizontal="left" vertical="center" wrapText="1"/>
    </xf>
    <xf numFmtId="9" fontId="29" fillId="0" borderId="15" xfId="0" applyNumberFormat="1" applyFont="1" applyBorder="1" applyAlignment="1">
      <alignment horizontal="center" vertical="center" wrapText="1"/>
    </xf>
    <xf numFmtId="9" fontId="29" fillId="12" borderId="15" xfId="0" applyNumberFormat="1" applyFont="1" applyFill="1" applyBorder="1" applyAlignment="1">
      <alignment horizontal="center" vertical="center" wrapText="1"/>
    </xf>
    <xf numFmtId="9" fontId="29" fillId="0" borderId="16" xfId="0" applyNumberFormat="1" applyFont="1" applyBorder="1" applyAlignment="1">
      <alignment horizontal="center" vertical="center" wrapText="1"/>
    </xf>
    <xf numFmtId="10" fontId="29" fillId="0" borderId="45" xfId="0" applyNumberFormat="1" applyFont="1" applyBorder="1" applyAlignment="1">
      <alignment horizontal="center" vertical="center" wrapText="1"/>
    </xf>
    <xf numFmtId="0" fontId="29" fillId="0" borderId="46" xfId="0" applyFont="1" applyBorder="1" applyAlignment="1">
      <alignment horizontal="left" vertical="center" wrapText="1"/>
    </xf>
    <xf numFmtId="9" fontId="29" fillId="0" borderId="47" xfId="0" applyNumberFormat="1" applyFont="1" applyBorder="1" applyAlignment="1">
      <alignment horizontal="center" vertical="center" wrapText="1"/>
    </xf>
    <xf numFmtId="9" fontId="29" fillId="0" borderId="19" xfId="0" applyNumberFormat="1" applyFont="1" applyBorder="1" applyAlignment="1">
      <alignment horizontal="center" vertical="center" wrapText="1"/>
    </xf>
    <xf numFmtId="9" fontId="29" fillId="12" borderId="19" xfId="0" applyNumberFormat="1" applyFont="1" applyFill="1" applyBorder="1" applyAlignment="1">
      <alignment horizontal="center" vertical="center" wrapText="1"/>
    </xf>
    <xf numFmtId="9" fontId="29" fillId="0" borderId="22" xfId="0" applyNumberFormat="1" applyFont="1" applyBorder="1" applyAlignment="1">
      <alignment horizontal="center" vertical="center" wrapText="1"/>
    </xf>
    <xf numFmtId="10" fontId="29" fillId="0" borderId="48" xfId="0" applyNumberFormat="1" applyFont="1" applyBorder="1" applyAlignment="1">
      <alignment horizontal="center" vertical="center" wrapText="1"/>
    </xf>
    <xf numFmtId="9" fontId="29" fillId="9" borderId="19" xfId="0" applyNumberFormat="1" applyFont="1" applyFill="1" applyBorder="1" applyAlignment="1">
      <alignment horizontal="center" vertical="center" wrapText="1"/>
    </xf>
    <xf numFmtId="9" fontId="29" fillId="12" borderId="25" xfId="0" applyNumberFormat="1" applyFont="1" applyFill="1" applyBorder="1" applyAlignment="1">
      <alignment horizontal="center" vertical="center" wrapText="1"/>
    </xf>
    <xf numFmtId="9" fontId="29" fillId="12" borderId="22" xfId="0" applyNumberFormat="1" applyFont="1" applyFill="1" applyBorder="1" applyAlignment="1">
      <alignment horizontal="center" vertical="center" wrapText="1"/>
    </xf>
    <xf numFmtId="0" fontId="29" fillId="0" borderId="49" xfId="0" applyFont="1" applyBorder="1" applyAlignment="1">
      <alignment horizontal="left" vertical="center" wrapText="1"/>
    </xf>
    <xf numFmtId="9" fontId="29" fillId="0" borderId="50" xfId="0" applyNumberFormat="1" applyFont="1" applyBorder="1" applyAlignment="1">
      <alignment horizontal="center" vertical="center" wrapText="1"/>
    </xf>
    <xf numFmtId="9" fontId="29" fillId="0" borderId="0" xfId="0" applyNumberFormat="1" applyFont="1" applyAlignment="1">
      <alignment horizontal="center" vertical="center" wrapText="1"/>
    </xf>
    <xf numFmtId="9" fontId="29" fillId="0" borderId="51" xfId="0" applyNumberFormat="1" applyFont="1" applyBorder="1" applyAlignment="1">
      <alignment horizontal="center" vertical="center" wrapText="1"/>
    </xf>
    <xf numFmtId="0" fontId="29" fillId="0" borderId="33" xfId="0" applyFont="1" applyBorder="1" applyAlignment="1">
      <alignment horizontal="left" vertical="center" wrapText="1"/>
    </xf>
    <xf numFmtId="9" fontId="29" fillId="0" borderId="35" xfId="0" applyNumberFormat="1" applyFont="1" applyBorder="1" applyAlignment="1">
      <alignment horizontal="center" vertical="center" wrapText="1"/>
    </xf>
    <xf numFmtId="9" fontId="29" fillId="12" borderId="35" xfId="0" applyNumberFormat="1" applyFont="1" applyFill="1" applyBorder="1" applyAlignment="1">
      <alignment horizontal="center" vertical="center" wrapText="1"/>
    </xf>
    <xf numFmtId="9" fontId="29" fillId="0" borderId="38" xfId="0" applyNumberFormat="1" applyFont="1" applyBorder="1" applyAlignment="1">
      <alignment horizontal="center" vertical="center" wrapText="1"/>
    </xf>
    <xf numFmtId="0" fontId="29" fillId="0" borderId="0" xfId="0" applyFont="1" applyAlignment="1">
      <alignment horizontal="left" vertical="center" wrapText="1"/>
    </xf>
    <xf numFmtId="1" fontId="29" fillId="0" borderId="0" xfId="0" applyNumberFormat="1" applyFont="1" applyAlignment="1">
      <alignment horizontal="center" vertical="center" wrapText="1"/>
    </xf>
    <xf numFmtId="0" fontId="29" fillId="0" borderId="15" xfId="0" applyFont="1" applyBorder="1" applyAlignment="1">
      <alignment horizontal="center" vertical="center" wrapText="1"/>
    </xf>
    <xf numFmtId="0" fontId="29" fillId="12" borderId="15" xfId="0" applyFont="1" applyFill="1" applyBorder="1" applyAlignment="1">
      <alignment horizontal="center" vertical="center" wrapText="1"/>
    </xf>
    <xf numFmtId="9" fontId="29" fillId="0" borderId="52" xfId="0" applyNumberFormat="1" applyFont="1" applyBorder="1" applyAlignment="1">
      <alignment horizontal="center" vertical="center" wrapText="1"/>
    </xf>
    <xf numFmtId="1" fontId="29" fillId="9" borderId="13" xfId="0" applyNumberFormat="1" applyFont="1" applyFill="1" applyBorder="1" applyAlignment="1">
      <alignment horizontal="center" vertical="center" wrapText="1"/>
    </xf>
    <xf numFmtId="1" fontId="29" fillId="0" borderId="47" xfId="0" applyNumberFormat="1" applyFont="1" applyBorder="1" applyAlignment="1">
      <alignment horizontal="center" vertical="center" wrapText="1"/>
    </xf>
    <xf numFmtId="1" fontId="29" fillId="0" borderId="19" xfId="0" applyNumberFormat="1" applyFont="1" applyBorder="1" applyAlignment="1">
      <alignment horizontal="center" vertical="center" wrapText="1"/>
    </xf>
    <xf numFmtId="1" fontId="29" fillId="12" borderId="19" xfId="0" applyNumberFormat="1" applyFont="1" applyFill="1" applyBorder="1" applyAlignment="1">
      <alignment horizontal="center" vertical="center" wrapText="1"/>
    </xf>
    <xf numFmtId="1" fontId="29" fillId="0" borderId="22" xfId="0" applyNumberFormat="1" applyFont="1" applyBorder="1" applyAlignment="1">
      <alignment horizontal="center" vertical="center" wrapText="1"/>
    </xf>
    <xf numFmtId="1" fontId="29" fillId="9" borderId="46" xfId="0" applyNumberFormat="1" applyFont="1" applyFill="1" applyBorder="1" applyAlignment="1">
      <alignment horizontal="center" vertical="center" wrapText="1"/>
    </xf>
    <xf numFmtId="1" fontId="29" fillId="12" borderId="23" xfId="0" applyNumberFormat="1" applyFont="1" applyFill="1" applyBorder="1" applyAlignment="1">
      <alignment horizontal="center" vertical="center" wrapText="1"/>
    </xf>
    <xf numFmtId="1" fontId="29" fillId="0" borderId="50" xfId="0" applyNumberFormat="1" applyFont="1" applyBorder="1" applyAlignment="1">
      <alignment horizontal="center" vertical="center" wrapText="1"/>
    </xf>
    <xf numFmtId="1" fontId="29" fillId="0" borderId="51" xfId="0" applyNumberFormat="1" applyFont="1" applyBorder="1" applyAlignment="1">
      <alignment horizontal="center" vertical="center" wrapText="1"/>
    </xf>
    <xf numFmtId="1" fontId="29" fillId="0" borderId="23" xfId="0" applyNumberFormat="1" applyFont="1" applyBorder="1" applyAlignment="1">
      <alignment horizontal="center" vertical="center" wrapText="1"/>
    </xf>
    <xf numFmtId="1" fontId="29" fillId="0" borderId="35" xfId="0" applyNumberFormat="1" applyFont="1" applyBorder="1" applyAlignment="1">
      <alignment horizontal="center" vertical="center" wrapText="1"/>
    </xf>
    <xf numFmtId="1" fontId="29" fillId="12" borderId="35" xfId="0" applyNumberFormat="1" applyFont="1" applyFill="1" applyBorder="1" applyAlignment="1">
      <alignment horizontal="center" vertical="center" wrapText="1"/>
    </xf>
    <xf numFmtId="1" fontId="29" fillId="0" borderId="38" xfId="0" applyNumberFormat="1" applyFont="1" applyBorder="1" applyAlignment="1">
      <alignment horizontal="center" vertical="center" wrapText="1"/>
    </xf>
    <xf numFmtId="1" fontId="29" fillId="9" borderId="48" xfId="0" applyNumberFormat="1" applyFont="1" applyFill="1" applyBorder="1" applyAlignment="1">
      <alignment horizontal="center" vertical="center" wrapText="1"/>
    </xf>
    <xf numFmtId="0" fontId="26" fillId="0" borderId="0" xfId="0" applyFont="1"/>
    <xf numFmtId="3" fontId="11" fillId="13" borderId="55" xfId="0" applyNumberFormat="1" applyFont="1" applyFill="1" applyBorder="1" applyAlignment="1">
      <alignment horizontal="center" vertical="center"/>
    </xf>
    <xf numFmtId="3" fontId="11" fillId="13" borderId="58" xfId="0" applyNumberFormat="1" applyFont="1" applyFill="1" applyBorder="1" applyAlignment="1">
      <alignment horizontal="center" vertical="center"/>
    </xf>
    <xf numFmtId="0" fontId="11" fillId="13" borderId="51" xfId="0" applyFont="1" applyFill="1" applyBorder="1" applyAlignment="1">
      <alignment horizontal="center" vertical="center" wrapText="1"/>
    </xf>
    <xf numFmtId="10" fontId="30" fillId="0" borderId="59" xfId="0" applyNumberFormat="1" applyFont="1" applyBorder="1" applyAlignment="1">
      <alignment horizontal="center" vertical="center"/>
    </xf>
    <xf numFmtId="167" fontId="30" fillId="0" borderId="60" xfId="0" applyNumberFormat="1" applyFont="1" applyBorder="1" applyAlignment="1">
      <alignment horizontal="center" vertical="center"/>
    </xf>
    <xf numFmtId="10" fontId="30" fillId="0" borderId="61" xfId="0" applyNumberFormat="1" applyFont="1" applyBorder="1" applyAlignment="1">
      <alignment horizontal="center" vertical="center"/>
    </xf>
    <xf numFmtId="10" fontId="31" fillId="0" borderId="59" xfId="1" applyNumberFormat="1" applyFont="1" applyBorder="1" applyAlignment="1" applyProtection="1">
      <alignment horizontal="center" vertical="center"/>
    </xf>
    <xf numFmtId="167" fontId="31" fillId="0" borderId="62" xfId="1" applyNumberFormat="1" applyFont="1" applyBorder="1" applyAlignment="1" applyProtection="1">
      <alignment horizontal="center" vertical="center"/>
    </xf>
    <xf numFmtId="10" fontId="6" fillId="0" borderId="63" xfId="0" applyNumberFormat="1" applyFont="1" applyBorder="1" applyAlignment="1">
      <alignment horizontal="center" vertical="center"/>
    </xf>
    <xf numFmtId="10" fontId="30" fillId="0" borderId="64" xfId="0" applyNumberFormat="1" applyFont="1" applyBorder="1" applyAlignment="1">
      <alignment horizontal="center" vertical="center"/>
    </xf>
    <xf numFmtId="1" fontId="30" fillId="0" borderId="27" xfId="0" applyNumberFormat="1" applyFont="1" applyBorder="1" applyAlignment="1">
      <alignment horizontal="center" vertical="center"/>
    </xf>
    <xf numFmtId="10" fontId="31" fillId="0" borderId="26" xfId="0" applyNumberFormat="1" applyFont="1" applyBorder="1" applyAlignment="1">
      <alignment horizontal="center" vertical="center"/>
    </xf>
    <xf numFmtId="10" fontId="31" fillId="0" borderId="64" xfId="1" applyNumberFormat="1" applyFont="1" applyBorder="1" applyAlignment="1" applyProtection="1">
      <alignment horizontal="center" vertical="center"/>
    </xf>
    <xf numFmtId="1" fontId="31" fillId="0" borderId="25" xfId="1" applyNumberFormat="1" applyFont="1" applyBorder="1" applyAlignment="1" applyProtection="1">
      <alignment horizontal="center" vertical="center"/>
    </xf>
    <xf numFmtId="10" fontId="30" fillId="0" borderId="26" xfId="0" applyNumberFormat="1" applyFont="1" applyBorder="1" applyAlignment="1">
      <alignment horizontal="center" vertical="center"/>
    </xf>
    <xf numFmtId="10" fontId="6" fillId="0" borderId="28" xfId="0" applyNumberFormat="1" applyFont="1" applyBorder="1" applyAlignment="1">
      <alignment horizontal="center" vertical="center"/>
    </xf>
    <xf numFmtId="167" fontId="30" fillId="0" borderId="27" xfId="0" applyNumberFormat="1" applyFont="1" applyBorder="1" applyAlignment="1">
      <alignment horizontal="center" vertical="center"/>
    </xf>
    <xf numFmtId="167" fontId="31" fillId="0" borderId="25" xfId="1" applyNumberFormat="1" applyFont="1" applyBorder="1" applyAlignment="1" applyProtection="1">
      <alignment horizontal="center" vertical="center"/>
    </xf>
    <xf numFmtId="2" fontId="30" fillId="0" borderId="27" xfId="0" applyNumberFormat="1" applyFont="1" applyBorder="1" applyAlignment="1">
      <alignment horizontal="center" vertical="center"/>
    </xf>
    <xf numFmtId="2" fontId="31" fillId="0" borderId="25" xfId="1" applyNumberFormat="1" applyFont="1" applyBorder="1" applyAlignment="1" applyProtection="1">
      <alignment horizontal="center" vertical="center"/>
    </xf>
    <xf numFmtId="10" fontId="30" fillId="0" borderId="66" xfId="0" applyNumberFormat="1" applyFont="1" applyBorder="1" applyAlignment="1">
      <alignment horizontal="center" vertical="center"/>
    </xf>
    <xf numFmtId="167" fontId="30" fillId="0" borderId="32" xfId="0" applyNumberFormat="1" applyFont="1" applyBorder="1" applyAlignment="1">
      <alignment horizontal="center" vertical="center"/>
    </xf>
    <xf numFmtId="10" fontId="31" fillId="0" borderId="31" xfId="0" applyNumberFormat="1" applyFont="1" applyBorder="1" applyAlignment="1">
      <alignment horizontal="center" vertical="center"/>
    </xf>
    <xf numFmtId="10" fontId="31" fillId="0" borderId="67" xfId="1" applyNumberFormat="1" applyFont="1" applyBorder="1" applyAlignment="1" applyProtection="1">
      <alignment horizontal="center" vertical="center"/>
    </xf>
    <xf numFmtId="167" fontId="31" fillId="0" borderId="35" xfId="1" applyNumberFormat="1" applyFont="1" applyBorder="1" applyAlignment="1" applyProtection="1">
      <alignment horizontal="center" vertical="center"/>
    </xf>
    <xf numFmtId="10" fontId="30" fillId="0" borderId="36" xfId="0" applyNumberFormat="1" applyFont="1" applyBorder="1" applyAlignment="1">
      <alignment horizontal="center" vertical="center"/>
    </xf>
    <xf numFmtId="10" fontId="6" fillId="0" borderId="38" xfId="0" applyNumberFormat="1" applyFont="1" applyBorder="1" applyAlignment="1">
      <alignment horizontal="center" vertical="center"/>
    </xf>
    <xf numFmtId="3" fontId="15" fillId="3" borderId="59" xfId="0" applyNumberFormat="1" applyFont="1" applyFill="1" applyBorder="1" applyAlignment="1">
      <alignment horizontal="center" vertical="center"/>
    </xf>
    <xf numFmtId="10" fontId="18" fillId="4" borderId="24" xfId="0" applyNumberFormat="1" applyFont="1" applyFill="1" applyBorder="1" applyAlignment="1">
      <alignment horizontal="center" vertical="center"/>
    </xf>
    <xf numFmtId="9" fontId="5" fillId="2" borderId="71" xfId="1" applyFont="1" applyFill="1" applyBorder="1" applyProtection="1"/>
    <xf numFmtId="3" fontId="15" fillId="0" borderId="59" xfId="0" applyNumberFormat="1" applyFont="1" applyBorder="1" applyAlignment="1">
      <alignment horizontal="center" vertical="center"/>
    </xf>
    <xf numFmtId="166" fontId="16" fillId="4" borderId="19" xfId="1" applyNumberFormat="1" applyFont="1" applyFill="1" applyBorder="1" applyAlignment="1" applyProtection="1">
      <alignment horizontal="center" vertical="center"/>
    </xf>
    <xf numFmtId="166" fontId="14" fillId="0" borderId="20" xfId="1" applyNumberFormat="1" applyFont="1" applyBorder="1" applyAlignment="1" applyProtection="1">
      <alignment horizontal="center" vertical="center"/>
    </xf>
    <xf numFmtId="166" fontId="6" fillId="4" borderId="25" xfId="1" applyNumberFormat="1" applyFont="1" applyFill="1" applyBorder="1" applyAlignment="1" applyProtection="1">
      <alignment horizontal="center" vertical="center"/>
    </xf>
    <xf numFmtId="166" fontId="19" fillId="0" borderId="26" xfId="1" applyNumberFormat="1" applyFont="1" applyBorder="1" applyAlignment="1" applyProtection="1">
      <alignment horizontal="center" vertical="center"/>
    </xf>
    <xf numFmtId="166" fontId="15" fillId="4" borderId="25" xfId="1" applyNumberFormat="1" applyFont="1" applyFill="1" applyBorder="1" applyAlignment="1" applyProtection="1">
      <alignment horizontal="center" vertical="center"/>
    </xf>
    <xf numFmtId="166" fontId="17" fillId="0" borderId="26" xfId="1" applyNumberFormat="1" applyFont="1" applyBorder="1" applyAlignment="1" applyProtection="1">
      <alignment horizontal="center" vertical="center"/>
    </xf>
    <xf numFmtId="3" fontId="18" fillId="3" borderId="30" xfId="0" applyNumberFormat="1" applyFont="1" applyFill="1" applyBorder="1" applyAlignment="1">
      <alignment horizontal="center" vertical="center"/>
    </xf>
    <xf numFmtId="166" fontId="6" fillId="4" borderId="29" xfId="1" applyNumberFormat="1" applyFont="1" applyFill="1" applyBorder="1" applyAlignment="1" applyProtection="1">
      <alignment horizontal="center" vertical="center"/>
    </xf>
    <xf numFmtId="166" fontId="14" fillId="0" borderId="31" xfId="1" applyNumberFormat="1" applyFont="1" applyBorder="1" applyAlignment="1" applyProtection="1">
      <alignment horizontal="center" vertical="center"/>
    </xf>
    <xf numFmtId="3" fontId="6" fillId="4" borderId="32" xfId="0" applyNumberFormat="1" applyFont="1" applyFill="1" applyBorder="1" applyAlignment="1" applyProtection="1">
      <alignment horizontal="center" vertical="center"/>
      <protection locked="0"/>
    </xf>
    <xf numFmtId="166" fontId="15" fillId="14" borderId="34" xfId="0" applyNumberFormat="1" applyFont="1" applyFill="1" applyBorder="1" applyAlignment="1">
      <alignment horizontal="center" vertical="center"/>
    </xf>
    <xf numFmtId="166" fontId="15" fillId="4" borderId="35" xfId="1" applyNumberFormat="1" applyFont="1" applyFill="1" applyBorder="1" applyAlignment="1" applyProtection="1">
      <alignment horizontal="center" vertical="center"/>
    </xf>
    <xf numFmtId="166" fontId="20" fillId="0" borderId="36" xfId="1" applyNumberFormat="1" applyFont="1" applyBorder="1" applyAlignment="1" applyProtection="1">
      <alignment horizontal="center" vertical="center"/>
    </xf>
    <xf numFmtId="0" fontId="11" fillId="15" borderId="25" xfId="0" applyFont="1" applyFill="1" applyBorder="1" applyAlignment="1">
      <alignment horizontal="center" vertical="center" wrapText="1"/>
    </xf>
    <xf numFmtId="0" fontId="11" fillId="8" borderId="0" xfId="0" applyFont="1" applyFill="1" applyAlignment="1">
      <alignment horizontal="center" vertical="center" wrapText="1"/>
    </xf>
    <xf numFmtId="0" fontId="22" fillId="15" borderId="25" xfId="0" applyFont="1" applyFill="1" applyBorder="1" applyAlignment="1">
      <alignment horizontal="center" vertical="center" wrapText="1"/>
    </xf>
    <xf numFmtId="0" fontId="2" fillId="0" borderId="57" xfId="0" applyFont="1" applyBorder="1"/>
    <xf numFmtId="0" fontId="6" fillId="15" borderId="24" xfId="0" applyFont="1" applyFill="1" applyBorder="1" applyAlignment="1">
      <alignment horizontal="center" vertical="top" wrapText="1"/>
    </xf>
    <xf numFmtId="0" fontId="6" fillId="15" borderId="29" xfId="0" applyFont="1" applyFill="1" applyBorder="1" applyAlignment="1">
      <alignment horizontal="center" vertical="top" wrapText="1"/>
    </xf>
    <xf numFmtId="0" fontId="6" fillId="15" borderId="25" xfId="0" applyFont="1" applyFill="1" applyBorder="1" applyAlignment="1">
      <alignment horizontal="center" vertical="top" wrapText="1"/>
    </xf>
    <xf numFmtId="0" fontId="11" fillId="15" borderId="25" xfId="0" applyFont="1" applyFill="1" applyBorder="1" applyAlignment="1">
      <alignment horizontal="center" vertical="top" wrapText="1"/>
    </xf>
    <xf numFmtId="10" fontId="6" fillId="9" borderId="25" xfId="0" applyNumberFormat="1" applyFont="1" applyFill="1" applyBorder="1" applyAlignment="1">
      <alignment horizontal="center" vertical="top"/>
    </xf>
    <xf numFmtId="164" fontId="6" fillId="9" borderId="25" xfId="0" applyNumberFormat="1" applyFont="1" applyFill="1" applyBorder="1" applyAlignment="1">
      <alignment horizontal="center" vertical="center"/>
    </xf>
    <xf numFmtId="164" fontId="3" fillId="9" borderId="0" xfId="0" applyNumberFormat="1" applyFont="1" applyFill="1"/>
    <xf numFmtId="0" fontId="6" fillId="9" borderId="0" xfId="0" applyFont="1" applyFill="1" applyAlignment="1">
      <alignment horizontal="center" vertical="top"/>
    </xf>
    <xf numFmtId="4" fontId="6" fillId="9" borderId="19" xfId="0" applyNumberFormat="1" applyFont="1" applyFill="1" applyBorder="1" applyAlignment="1">
      <alignment horizontal="center" vertical="top"/>
    </xf>
    <xf numFmtId="3" fontId="6" fillId="9" borderId="0" xfId="0" applyNumberFormat="1" applyFont="1" applyFill="1" applyAlignment="1">
      <alignment horizontal="center" vertical="top"/>
    </xf>
    <xf numFmtId="2" fontId="6" fillId="9" borderId="25" xfId="0" applyNumberFormat="1" applyFont="1" applyFill="1" applyBorder="1" applyAlignment="1">
      <alignment horizontal="center" vertical="center"/>
    </xf>
    <xf numFmtId="4" fontId="6" fillId="10" borderId="19" xfId="0" applyNumberFormat="1" applyFont="1" applyFill="1" applyBorder="1" applyAlignment="1">
      <alignment horizontal="center" vertical="top"/>
    </xf>
    <xf numFmtId="3" fontId="24" fillId="10" borderId="24" xfId="0" applyNumberFormat="1" applyFont="1" applyFill="1" applyBorder="1" applyAlignment="1">
      <alignment horizontal="center"/>
    </xf>
    <xf numFmtId="3" fontId="6" fillId="10" borderId="24" xfId="0" applyNumberFormat="1" applyFont="1" applyFill="1" applyBorder="1" applyAlignment="1">
      <alignment horizontal="center"/>
    </xf>
    <xf numFmtId="2" fontId="6" fillId="10" borderId="24" xfId="0" applyNumberFormat="1" applyFont="1" applyFill="1" applyBorder="1" applyAlignment="1">
      <alignment horizontal="center" vertical="center"/>
    </xf>
    <xf numFmtId="0" fontId="6" fillId="10" borderId="0" xfId="0" applyFont="1" applyFill="1" applyAlignment="1">
      <alignment horizontal="center" vertical="top"/>
    </xf>
    <xf numFmtId="2" fontId="6" fillId="10" borderId="25" xfId="0" applyNumberFormat="1" applyFont="1" applyFill="1" applyBorder="1" applyAlignment="1">
      <alignment horizontal="center" vertical="center"/>
    </xf>
    <xf numFmtId="0" fontId="6" fillId="9" borderId="19" xfId="0" applyFont="1" applyFill="1" applyBorder="1" applyAlignment="1">
      <alignment horizontal="center" vertical="top"/>
    </xf>
    <xf numFmtId="3" fontId="6" fillId="10" borderId="50" xfId="0" applyNumberFormat="1" applyFont="1" applyFill="1" applyBorder="1" applyAlignment="1">
      <alignment horizontal="center" vertical="top"/>
    </xf>
    <xf numFmtId="4" fontId="6" fillId="10" borderId="29" xfId="0" applyNumberFormat="1" applyFont="1" applyFill="1" applyBorder="1" applyAlignment="1">
      <alignment horizontal="center" vertical="top"/>
    </xf>
    <xf numFmtId="3" fontId="6" fillId="10" borderId="29" xfId="0" applyNumberFormat="1" applyFont="1" applyFill="1" applyBorder="1" applyAlignment="1">
      <alignment horizontal="center" vertical="top"/>
    </xf>
    <xf numFmtId="164" fontId="6" fillId="10" borderId="25" xfId="0" applyNumberFormat="1" applyFont="1" applyFill="1" applyBorder="1" applyAlignment="1">
      <alignment horizontal="center" vertical="center"/>
    </xf>
    <xf numFmtId="4" fontId="6" fillId="10" borderId="0" xfId="0" applyNumberFormat="1" applyFont="1" applyFill="1" applyAlignment="1">
      <alignment horizontal="center" vertical="top"/>
    </xf>
    <xf numFmtId="9" fontId="2" fillId="10" borderId="0" xfId="0" applyNumberFormat="1" applyFont="1" applyFill="1" applyAlignment="1">
      <alignment horizontal="center" vertical="center"/>
    </xf>
    <xf numFmtId="3" fontId="6" fillId="10" borderId="0" xfId="0" applyNumberFormat="1" applyFont="1" applyFill="1" applyAlignment="1">
      <alignment horizontal="center"/>
    </xf>
    <xf numFmtId="3" fontId="6" fillId="9" borderId="50" xfId="0" applyNumberFormat="1" applyFont="1" applyFill="1" applyBorder="1" applyAlignment="1">
      <alignment horizontal="center" vertical="top"/>
    </xf>
    <xf numFmtId="10" fontId="6" fillId="9" borderId="0" xfId="0" applyNumberFormat="1" applyFont="1" applyFill="1" applyAlignment="1">
      <alignment horizontal="center" vertical="top"/>
    </xf>
    <xf numFmtId="3" fontId="24" fillId="9" borderId="0" xfId="0" applyNumberFormat="1" applyFont="1" applyFill="1" applyAlignment="1">
      <alignment horizontal="center"/>
    </xf>
    <xf numFmtId="3" fontId="6" fillId="9" borderId="0" xfId="0" applyNumberFormat="1" applyFont="1" applyFill="1" applyAlignment="1">
      <alignment horizontal="center"/>
    </xf>
    <xf numFmtId="9" fontId="2" fillId="9" borderId="0" xfId="0" applyNumberFormat="1" applyFont="1" applyFill="1" applyAlignment="1">
      <alignment horizontal="center" vertical="center"/>
    </xf>
    <xf numFmtId="4" fontId="6" fillId="9" borderId="0" xfId="0" applyNumberFormat="1" applyFont="1" applyFill="1" applyAlignment="1">
      <alignment horizontal="center" vertical="top"/>
    </xf>
    <xf numFmtId="166" fontId="6" fillId="10" borderId="25" xfId="0" applyNumberFormat="1" applyFont="1" applyFill="1" applyBorder="1" applyAlignment="1">
      <alignment horizontal="center" vertical="top"/>
    </xf>
    <xf numFmtId="166" fontId="2" fillId="10" borderId="0" xfId="1" applyNumberFormat="1" applyFont="1" applyFill="1" applyProtection="1"/>
    <xf numFmtId="0" fontId="0" fillId="16" borderId="0" xfId="0" applyFill="1"/>
    <xf numFmtId="16" fontId="6" fillId="16" borderId="25" xfId="0" applyNumberFormat="1" applyFont="1" applyFill="1" applyBorder="1" applyAlignment="1">
      <alignment horizontal="center" vertical="top"/>
    </xf>
    <xf numFmtId="0" fontId="6" fillId="16" borderId="25" xfId="0" applyFont="1" applyFill="1" applyBorder="1" applyAlignment="1">
      <alignment horizontal="center" vertical="top"/>
    </xf>
    <xf numFmtId="4" fontId="6" fillId="16" borderId="25" xfId="0" applyNumberFormat="1" applyFont="1" applyFill="1" applyBorder="1" applyAlignment="1">
      <alignment horizontal="center" vertical="top"/>
    </xf>
    <xf numFmtId="3" fontId="6" fillId="16" borderId="20" xfId="0" applyNumberFormat="1" applyFont="1" applyFill="1" applyBorder="1" applyAlignment="1">
      <alignment horizontal="center" vertical="top"/>
    </xf>
    <xf numFmtId="3" fontId="6" fillId="16" borderId="40" xfId="0" applyNumberFormat="1" applyFont="1" applyFill="1" applyBorder="1" applyAlignment="1">
      <alignment horizontal="center" vertical="top"/>
    </xf>
    <xf numFmtId="3" fontId="6" fillId="16" borderId="41" xfId="0" applyNumberFormat="1" applyFont="1" applyFill="1" applyBorder="1" applyAlignment="1">
      <alignment horizontal="center" vertical="top"/>
    </xf>
    <xf numFmtId="3" fontId="6" fillId="16" borderId="25" xfId="0" applyNumberFormat="1" applyFont="1" applyFill="1" applyBorder="1" applyAlignment="1">
      <alignment horizontal="center" vertical="top"/>
    </xf>
    <xf numFmtId="166" fontId="6" fillId="16" borderId="25" xfId="0" applyNumberFormat="1" applyFont="1" applyFill="1" applyBorder="1" applyAlignment="1">
      <alignment horizontal="center" vertical="top"/>
    </xf>
    <xf numFmtId="9" fontId="2" fillId="16" borderId="25" xfId="0" applyNumberFormat="1" applyFont="1" applyFill="1" applyBorder="1" applyAlignment="1">
      <alignment horizontal="center" vertical="center"/>
    </xf>
    <xf numFmtId="3" fontId="24" fillId="16" borderId="25" xfId="0" applyNumberFormat="1" applyFont="1" applyFill="1" applyBorder="1" applyAlignment="1">
      <alignment horizontal="center"/>
    </xf>
    <xf numFmtId="3" fontId="6" fillId="16" borderId="25" xfId="0" applyNumberFormat="1" applyFont="1" applyFill="1" applyBorder="1" applyAlignment="1">
      <alignment horizontal="center"/>
    </xf>
    <xf numFmtId="166" fontId="2" fillId="16" borderId="0" xfId="1" applyNumberFormat="1" applyFont="1" applyFill="1" applyProtection="1"/>
    <xf numFmtId="164" fontId="2" fillId="16" borderId="0" xfId="0" applyNumberFormat="1" applyFont="1" applyFill="1"/>
    <xf numFmtId="3" fontId="6" fillId="16" borderId="19" xfId="0" applyNumberFormat="1" applyFont="1" applyFill="1" applyBorder="1" applyAlignment="1">
      <alignment horizontal="center" vertical="top"/>
    </xf>
    <xf numFmtId="3" fontId="6" fillId="16" borderId="50" xfId="0" applyNumberFormat="1" applyFont="1" applyFill="1" applyBorder="1" applyAlignment="1">
      <alignment horizontal="center" vertical="top"/>
    </xf>
    <xf numFmtId="4" fontId="6" fillId="16" borderId="25" xfId="0" applyNumberFormat="1" applyFont="1" applyFill="1" applyBorder="1" applyAlignment="1" applyProtection="1">
      <alignment horizontal="center" vertical="top"/>
      <protection locked="0"/>
    </xf>
    <xf numFmtId="3" fontId="6" fillId="16" borderId="25" xfId="0" applyNumberFormat="1" applyFont="1" applyFill="1" applyBorder="1" applyAlignment="1" applyProtection="1">
      <alignment horizontal="center" vertical="top"/>
      <protection locked="0"/>
    </xf>
    <xf numFmtId="166" fontId="2" fillId="10" borderId="0" xfId="1" applyNumberFormat="1" applyFont="1" applyFill="1" applyAlignment="1" applyProtection="1">
      <alignment vertical="center"/>
    </xf>
    <xf numFmtId="9" fontId="2" fillId="16" borderId="0" xfId="0" applyNumberFormat="1" applyFont="1" applyFill="1" applyAlignment="1">
      <alignment horizontal="center" vertical="center"/>
    </xf>
    <xf numFmtId="3" fontId="6" fillId="11" borderId="25" xfId="0" applyNumberFormat="1" applyFont="1" applyFill="1" applyBorder="1" applyAlignment="1">
      <alignment horizontal="center" vertical="top"/>
    </xf>
    <xf numFmtId="4" fontId="6" fillId="11" borderId="25" xfId="0" applyNumberFormat="1" applyFont="1" applyFill="1" applyBorder="1" applyAlignment="1">
      <alignment horizontal="center" vertical="top"/>
    </xf>
    <xf numFmtId="9" fontId="2" fillId="11" borderId="25" xfId="1" applyFont="1" applyFill="1" applyBorder="1" applyAlignment="1" applyProtection="1">
      <alignment horizontal="center" vertical="center"/>
    </xf>
    <xf numFmtId="3" fontId="6" fillId="11" borderId="25" xfId="0" applyNumberFormat="1" applyFont="1" applyFill="1" applyBorder="1" applyAlignment="1">
      <alignment horizontal="center"/>
    </xf>
    <xf numFmtId="3" fontId="6" fillId="11" borderId="25" xfId="0" applyNumberFormat="1" applyFont="1" applyFill="1" applyBorder="1" applyAlignment="1">
      <alignment horizontal="right"/>
    </xf>
    <xf numFmtId="0" fontId="2" fillId="0" borderId="0" xfId="0" applyFont="1" applyAlignment="1">
      <alignment horizontal="right"/>
    </xf>
    <xf numFmtId="0" fontId="2" fillId="2" borderId="0" xfId="0" applyFont="1" applyFill="1" applyAlignment="1">
      <alignment horizontal="right"/>
    </xf>
    <xf numFmtId="3" fontId="11" fillId="2" borderId="54" xfId="0" applyNumberFormat="1" applyFont="1" applyFill="1" applyBorder="1" applyAlignment="1">
      <alignment horizontal="center" vertical="center"/>
    </xf>
    <xf numFmtId="3" fontId="11" fillId="2" borderId="69" xfId="0" applyNumberFormat="1" applyFont="1" applyFill="1" applyBorder="1" applyAlignment="1">
      <alignment horizontal="center" vertical="center"/>
    </xf>
    <xf numFmtId="3" fontId="11" fillId="2" borderId="69" xfId="0" applyNumberFormat="1" applyFont="1" applyFill="1" applyBorder="1" applyAlignment="1">
      <alignment horizontal="center" vertical="center" wrapText="1"/>
    </xf>
    <xf numFmtId="0" fontId="14" fillId="2" borderId="69" xfId="0" applyFont="1" applyFill="1" applyBorder="1" applyAlignment="1">
      <alignment horizontal="center" vertical="center" wrapText="1"/>
    </xf>
    <xf numFmtId="0" fontId="11" fillId="2" borderId="69" xfId="0" applyFont="1" applyFill="1" applyBorder="1" applyAlignment="1">
      <alignment horizontal="center" vertical="center" wrapText="1"/>
    </xf>
    <xf numFmtId="0" fontId="22" fillId="15" borderId="25" xfId="0" applyFont="1" applyFill="1" applyBorder="1" applyAlignment="1">
      <alignment horizontal="right" vertical="center" wrapText="1"/>
    </xf>
    <xf numFmtId="0" fontId="11" fillId="15" borderId="25" xfId="0" applyFont="1" applyFill="1" applyBorder="1" applyAlignment="1">
      <alignment horizontal="right" vertical="top" wrapText="1"/>
    </xf>
    <xf numFmtId="164" fontId="6" fillId="9" borderId="25" xfId="0" applyNumberFormat="1" applyFont="1" applyFill="1" applyBorder="1" applyAlignment="1">
      <alignment horizontal="right"/>
    </xf>
    <xf numFmtId="2" fontId="6" fillId="10" borderId="24" xfId="0" applyNumberFormat="1" applyFont="1" applyFill="1" applyBorder="1" applyAlignment="1">
      <alignment horizontal="right"/>
    </xf>
    <xf numFmtId="164" fontId="6" fillId="9" borderId="29" xfId="0" applyNumberFormat="1" applyFont="1" applyFill="1" applyBorder="1" applyAlignment="1">
      <alignment horizontal="right"/>
    </xf>
    <xf numFmtId="3" fontId="6" fillId="10" borderId="26" xfId="0" applyNumberFormat="1" applyFont="1" applyFill="1" applyBorder="1" applyAlignment="1">
      <alignment horizontal="center"/>
    </xf>
    <xf numFmtId="164" fontId="6" fillId="10" borderId="40" xfId="0" applyNumberFormat="1" applyFont="1" applyFill="1" applyBorder="1" applyAlignment="1">
      <alignment horizontal="right"/>
    </xf>
    <xf numFmtId="164" fontId="6" fillId="10" borderId="24" xfId="0" applyNumberFormat="1" applyFont="1" applyFill="1" applyBorder="1" applyAlignment="1">
      <alignment horizontal="right"/>
    </xf>
    <xf numFmtId="164" fontId="6" fillId="9" borderId="40" xfId="0" applyNumberFormat="1" applyFont="1" applyFill="1" applyBorder="1" applyAlignment="1">
      <alignment horizontal="right"/>
    </xf>
    <xf numFmtId="164" fontId="6" fillId="9" borderId="24" xfId="0" applyNumberFormat="1" applyFont="1" applyFill="1" applyBorder="1" applyAlignment="1">
      <alignment horizontal="right"/>
    </xf>
    <xf numFmtId="3" fontId="6" fillId="9" borderId="26" xfId="0" applyNumberFormat="1" applyFont="1" applyFill="1" applyBorder="1" applyAlignment="1">
      <alignment horizontal="center"/>
    </xf>
    <xf numFmtId="0" fontId="0" fillId="17" borderId="0" xfId="0" applyFill="1"/>
    <xf numFmtId="0" fontId="2" fillId="17" borderId="0" xfId="0" applyFont="1" applyFill="1"/>
    <xf numFmtId="4" fontId="6" fillId="17" borderId="19" xfId="0" applyNumberFormat="1" applyFont="1" applyFill="1" applyBorder="1" applyAlignment="1">
      <alignment horizontal="center" vertical="top"/>
    </xf>
    <xf numFmtId="3" fontId="6" fillId="17" borderId="20" xfId="0" applyNumberFormat="1" applyFont="1" applyFill="1" applyBorder="1" applyAlignment="1">
      <alignment horizontal="center" vertical="top"/>
    </xf>
    <xf numFmtId="3" fontId="6" fillId="9" borderId="40" xfId="0" applyNumberFormat="1" applyFont="1" applyFill="1" applyBorder="1" applyAlignment="1">
      <alignment horizontal="center" vertical="top"/>
    </xf>
    <xf numFmtId="3" fontId="6" fillId="17" borderId="41" xfId="0" applyNumberFormat="1" applyFont="1" applyFill="1" applyBorder="1" applyAlignment="1">
      <alignment horizontal="center" vertical="top"/>
    </xf>
    <xf numFmtId="3" fontId="6" fillId="17" borderId="25" xfId="0" applyNumberFormat="1" applyFont="1" applyFill="1" applyBorder="1" applyAlignment="1">
      <alignment horizontal="center" vertical="top"/>
    </xf>
    <xf numFmtId="3" fontId="6" fillId="17" borderId="19" xfId="0" applyNumberFormat="1" applyFont="1" applyFill="1" applyBorder="1" applyAlignment="1">
      <alignment horizontal="center" vertical="top"/>
    </xf>
    <xf numFmtId="4" fontId="6" fillId="17" borderId="25" xfId="0" applyNumberFormat="1" applyFont="1" applyFill="1" applyBorder="1" applyAlignment="1">
      <alignment horizontal="center" vertical="top"/>
    </xf>
    <xf numFmtId="166" fontId="6" fillId="17" borderId="25" xfId="0" applyNumberFormat="1" applyFont="1" applyFill="1" applyBorder="1" applyAlignment="1">
      <alignment horizontal="center" vertical="top"/>
    </xf>
    <xf numFmtId="9" fontId="2" fillId="17" borderId="25" xfId="1" applyFont="1" applyFill="1" applyBorder="1" applyAlignment="1" applyProtection="1">
      <alignment horizontal="center" vertical="center"/>
    </xf>
    <xf numFmtId="3" fontId="24" fillId="17" borderId="25" xfId="0" applyNumberFormat="1" applyFont="1" applyFill="1" applyBorder="1" applyAlignment="1">
      <alignment horizontal="center"/>
    </xf>
    <xf numFmtId="3" fontId="6" fillId="17" borderId="25" xfId="0" applyNumberFormat="1" applyFont="1" applyFill="1" applyBorder="1" applyAlignment="1">
      <alignment horizontal="center"/>
    </xf>
    <xf numFmtId="164" fontId="6" fillId="17" borderId="25" xfId="2" applyFont="1" applyFill="1" applyBorder="1" applyAlignment="1" applyProtection="1">
      <alignment horizontal="right"/>
    </xf>
    <xf numFmtId="166" fontId="2" fillId="17" borderId="0" xfId="1" applyNumberFormat="1" applyFont="1" applyFill="1" applyProtection="1"/>
    <xf numFmtId="166" fontId="2" fillId="17" borderId="0" xfId="1" applyNumberFormat="1" applyFont="1" applyFill="1" applyAlignment="1" applyProtection="1">
      <alignment vertical="center"/>
    </xf>
    <xf numFmtId="0" fontId="2" fillId="9" borderId="0" xfId="0" applyFont="1" applyFill="1"/>
    <xf numFmtId="3" fontId="6" fillId="9" borderId="58" xfId="0" applyNumberFormat="1" applyFont="1" applyFill="1" applyBorder="1" applyAlignment="1">
      <alignment horizontal="center" vertical="top"/>
    </xf>
    <xf numFmtId="166" fontId="6" fillId="9" borderId="25" xfId="0" applyNumberFormat="1" applyFont="1" applyFill="1" applyBorder="1" applyAlignment="1">
      <alignment horizontal="center" vertical="top"/>
    </xf>
    <xf numFmtId="9" fontId="2" fillId="9" borderId="25" xfId="1" applyFont="1" applyFill="1" applyBorder="1" applyAlignment="1" applyProtection="1">
      <alignment horizontal="center" vertical="center"/>
    </xf>
    <xf numFmtId="164" fontId="6" fillId="9" borderId="25" xfId="2" applyFont="1" applyFill="1" applyBorder="1" applyAlignment="1" applyProtection="1">
      <alignment horizontal="right"/>
    </xf>
    <xf numFmtId="166" fontId="2" fillId="9" borderId="0" xfId="1" applyNumberFormat="1" applyFont="1" applyFill="1" applyProtection="1"/>
    <xf numFmtId="0" fontId="6" fillId="15" borderId="19" xfId="0" applyFont="1" applyFill="1" applyBorder="1" applyAlignment="1">
      <alignment horizontal="center" vertical="top" wrapText="1"/>
    </xf>
    <xf numFmtId="3" fontId="6" fillId="9" borderId="21" xfId="0" applyNumberFormat="1" applyFont="1" applyFill="1" applyBorder="1" applyAlignment="1">
      <alignment horizontal="center" vertical="top"/>
    </xf>
    <xf numFmtId="10" fontId="32" fillId="10" borderId="40" xfId="0" applyNumberFormat="1" applyFont="1" applyFill="1" applyBorder="1" applyAlignment="1">
      <alignment horizontal="center" vertical="top"/>
    </xf>
    <xf numFmtId="9" fontId="2" fillId="9" borderId="24" xfId="0" applyNumberFormat="1" applyFont="1" applyFill="1" applyBorder="1" applyAlignment="1">
      <alignment horizontal="center" vertical="center"/>
    </xf>
    <xf numFmtId="3" fontId="6" fillId="10" borderId="21" xfId="0" applyNumberFormat="1" applyFont="1" applyFill="1" applyBorder="1" applyAlignment="1">
      <alignment horizontal="center" vertical="top"/>
    </xf>
    <xf numFmtId="9" fontId="2" fillId="10" borderId="24" xfId="0" applyNumberFormat="1" applyFont="1" applyFill="1" applyBorder="1" applyAlignment="1">
      <alignment horizontal="center" vertical="center"/>
    </xf>
    <xf numFmtId="3" fontId="6" fillId="10" borderId="57" xfId="0" applyNumberFormat="1" applyFont="1" applyFill="1" applyBorder="1" applyAlignment="1">
      <alignment horizontal="center" vertical="top"/>
    </xf>
    <xf numFmtId="164" fontId="6" fillId="10" borderId="25" xfId="0" applyNumberFormat="1" applyFont="1" applyFill="1" applyBorder="1" applyAlignment="1">
      <alignment horizontal="right"/>
    </xf>
    <xf numFmtId="4" fontId="6" fillId="10" borderId="26" xfId="0" applyNumberFormat="1" applyFont="1" applyFill="1" applyBorder="1" applyAlignment="1">
      <alignment horizontal="center" vertical="top"/>
    </xf>
    <xf numFmtId="3" fontId="6" fillId="10" borderId="40" xfId="0" applyNumberFormat="1" applyFont="1" applyFill="1" applyBorder="1" applyAlignment="1">
      <alignment horizontal="center" vertical="top"/>
    </xf>
    <xf numFmtId="0" fontId="6" fillId="10" borderId="29" xfId="0" applyFont="1" applyFill="1" applyBorder="1" applyAlignment="1">
      <alignment horizontal="center" vertical="top"/>
    </xf>
    <xf numFmtId="0" fontId="6" fillId="10" borderId="19" xfId="0" applyFont="1" applyFill="1" applyBorder="1" applyAlignment="1">
      <alignment horizontal="center" vertical="top"/>
    </xf>
    <xf numFmtId="16" fontId="6" fillId="9" borderId="26" xfId="0" applyNumberFormat="1" applyFont="1" applyFill="1" applyBorder="1" applyAlignment="1">
      <alignment horizontal="center" vertical="top"/>
    </xf>
    <xf numFmtId="0" fontId="6" fillId="9" borderId="40" xfId="0" applyFont="1" applyFill="1" applyBorder="1" applyAlignment="1">
      <alignment horizontal="center" vertical="top"/>
    </xf>
    <xf numFmtId="4" fontId="6" fillId="9" borderId="26" xfId="0" applyNumberFormat="1" applyFont="1" applyFill="1" applyBorder="1" applyAlignment="1">
      <alignment horizontal="center" vertical="top"/>
    </xf>
    <xf numFmtId="16" fontId="6" fillId="10" borderId="26" xfId="0" applyNumberFormat="1" applyFont="1" applyFill="1" applyBorder="1" applyAlignment="1">
      <alignment horizontal="center" vertical="top"/>
    </xf>
    <xf numFmtId="0" fontId="6" fillId="10" borderId="40" xfId="0" applyFont="1" applyFill="1" applyBorder="1" applyAlignment="1">
      <alignment horizontal="center" vertical="top"/>
    </xf>
    <xf numFmtId="4" fontId="6" fillId="10" borderId="24" xfId="0" applyNumberFormat="1" applyFont="1" applyFill="1" applyBorder="1" applyAlignment="1">
      <alignment horizontal="center" vertical="top"/>
    </xf>
    <xf numFmtId="9" fontId="2" fillId="10" borderId="24" xfId="1" applyFont="1" applyFill="1" applyBorder="1" applyAlignment="1" applyProtection="1">
      <alignment horizontal="center" vertical="center"/>
    </xf>
    <xf numFmtId="4" fontId="6" fillId="10" borderId="30" xfId="0" applyNumberFormat="1" applyFont="1" applyFill="1" applyBorder="1" applyAlignment="1">
      <alignment horizontal="center" vertical="top"/>
    </xf>
    <xf numFmtId="164" fontId="2" fillId="10" borderId="0" xfId="0" applyNumberFormat="1" applyFont="1" applyFill="1"/>
    <xf numFmtId="16" fontId="6" fillId="10" borderId="75" xfId="0" applyNumberFormat="1" applyFont="1" applyFill="1" applyBorder="1" applyAlignment="1">
      <alignment horizontal="center" vertical="top"/>
    </xf>
    <xf numFmtId="4" fontId="6" fillId="10" borderId="40" xfId="0" applyNumberFormat="1" applyFont="1" applyFill="1" applyBorder="1" applyAlignment="1">
      <alignment horizontal="center" vertical="top"/>
    </xf>
    <xf numFmtId="4" fontId="6" fillId="10" borderId="27" xfId="0" applyNumberFormat="1" applyFont="1" applyFill="1" applyBorder="1" applyAlignment="1">
      <alignment horizontal="center" vertical="top"/>
    </xf>
    <xf numFmtId="0" fontId="6" fillId="10" borderId="76" xfId="0" applyFont="1" applyFill="1" applyBorder="1" applyAlignment="1">
      <alignment horizontal="center" vertical="top"/>
    </xf>
    <xf numFmtId="0" fontId="0" fillId="10" borderId="32" xfId="0" applyFill="1" applyBorder="1"/>
    <xf numFmtId="0" fontId="6" fillId="10" borderId="77" xfId="0" applyFont="1" applyFill="1" applyBorder="1" applyAlignment="1">
      <alignment horizontal="center" vertical="top"/>
    </xf>
    <xf numFmtId="4" fontId="6" fillId="10" borderId="41" xfId="0" applyNumberFormat="1" applyFont="1" applyFill="1" applyBorder="1" applyAlignment="1" applyProtection="1">
      <alignment horizontal="center" vertical="top"/>
      <protection locked="0"/>
    </xf>
    <xf numFmtId="3" fontId="6" fillId="10" borderId="19" xfId="0" applyNumberFormat="1" applyFont="1" applyFill="1" applyBorder="1" applyAlignment="1" applyProtection="1">
      <alignment horizontal="center" vertical="top"/>
      <protection locked="0"/>
    </xf>
    <xf numFmtId="3" fontId="6" fillId="10" borderId="20" xfId="0" applyNumberFormat="1" applyFont="1" applyFill="1" applyBorder="1" applyAlignment="1">
      <alignment horizontal="center" vertical="top"/>
    </xf>
    <xf numFmtId="10" fontId="6" fillId="10" borderId="40" xfId="0" applyNumberFormat="1" applyFont="1" applyFill="1" applyBorder="1" applyAlignment="1">
      <alignment horizontal="center" vertical="top"/>
    </xf>
    <xf numFmtId="4" fontId="6" fillId="10" borderId="24" xfId="0" applyNumberFormat="1" applyFont="1" applyFill="1" applyBorder="1" applyAlignment="1" applyProtection="1">
      <alignment horizontal="center" vertical="top"/>
      <protection locked="0"/>
    </xf>
    <xf numFmtId="3" fontId="6" fillId="10" borderId="25" xfId="0" applyNumberFormat="1" applyFont="1" applyFill="1" applyBorder="1" applyAlignment="1" applyProtection="1">
      <alignment horizontal="center" vertical="top"/>
      <protection locked="0"/>
    </xf>
    <xf numFmtId="10" fontId="6" fillId="10" borderId="19" xfId="0" applyNumberFormat="1" applyFont="1" applyFill="1" applyBorder="1" applyAlignment="1">
      <alignment horizontal="center" vertical="top"/>
    </xf>
    <xf numFmtId="9" fontId="2" fillId="10" borderId="25" xfId="1" applyFont="1" applyFill="1" applyBorder="1" applyAlignment="1" applyProtection="1">
      <alignment horizontal="center" vertical="center"/>
    </xf>
    <xf numFmtId="0" fontId="0" fillId="9" borderId="32" xfId="0" applyFill="1" applyBorder="1"/>
    <xf numFmtId="10" fontId="6" fillId="10" borderId="0" xfId="0" applyNumberFormat="1" applyFont="1" applyFill="1" applyAlignment="1">
      <alignment horizontal="center" vertical="top"/>
    </xf>
    <xf numFmtId="3" fontId="24" fillId="9" borderId="24" xfId="0" applyNumberFormat="1" applyFont="1" applyFill="1" applyBorder="1" applyAlignment="1">
      <alignment horizontal="center"/>
    </xf>
    <xf numFmtId="3" fontId="6" fillId="9" borderId="24" xfId="0" applyNumberFormat="1" applyFont="1" applyFill="1" applyBorder="1" applyAlignment="1">
      <alignment horizontal="center"/>
    </xf>
    <xf numFmtId="2" fontId="6" fillId="9" borderId="24" xfId="0" applyNumberFormat="1" applyFont="1" applyFill="1" applyBorder="1" applyAlignment="1">
      <alignment horizontal="right"/>
    </xf>
    <xf numFmtId="3" fontId="6" fillId="9" borderId="57" xfId="0" applyNumberFormat="1" applyFont="1" applyFill="1" applyBorder="1" applyAlignment="1">
      <alignment horizontal="center" vertical="top"/>
    </xf>
    <xf numFmtId="3" fontId="24" fillId="10" borderId="0" xfId="0" applyNumberFormat="1" applyFont="1" applyFill="1" applyAlignment="1">
      <alignment horizontal="center"/>
    </xf>
    <xf numFmtId="3" fontId="6" fillId="9" borderId="39" xfId="0" applyNumberFormat="1" applyFont="1" applyFill="1" applyBorder="1" applyAlignment="1">
      <alignment horizontal="center" vertical="top"/>
    </xf>
    <xf numFmtId="3" fontId="6" fillId="9" borderId="30" xfId="0" applyNumberFormat="1" applyFont="1" applyFill="1" applyBorder="1" applyAlignment="1">
      <alignment horizontal="center" vertical="top"/>
    </xf>
    <xf numFmtId="3" fontId="6" fillId="9" borderId="29" xfId="0" applyNumberFormat="1" applyFont="1" applyFill="1" applyBorder="1" applyAlignment="1">
      <alignment horizontal="center" vertical="top"/>
    </xf>
    <xf numFmtId="0" fontId="11" fillId="2" borderId="78" xfId="0" applyFont="1" applyFill="1" applyBorder="1" applyAlignment="1">
      <alignment horizontal="center" vertical="center" wrapText="1"/>
    </xf>
    <xf numFmtId="3" fontId="15" fillId="0" borderId="0" xfId="0" applyNumberFormat="1" applyFont="1" applyAlignment="1">
      <alignment horizontal="center" vertical="center"/>
    </xf>
    <xf numFmtId="3" fontId="6" fillId="3" borderId="79" xfId="0" applyNumberFormat="1" applyFont="1" applyFill="1" applyBorder="1" applyAlignment="1" applyProtection="1">
      <alignment horizontal="center" vertical="center"/>
      <protection locked="0"/>
    </xf>
    <xf numFmtId="3" fontId="6" fillId="4" borderId="80" xfId="0" applyNumberFormat="1" applyFont="1" applyFill="1" applyBorder="1" applyAlignment="1" applyProtection="1">
      <alignment horizontal="center" vertical="center"/>
      <protection locked="0"/>
    </xf>
    <xf numFmtId="3" fontId="15" fillId="4" borderId="80" xfId="0" applyNumberFormat="1" applyFont="1" applyFill="1" applyBorder="1" applyAlignment="1">
      <alignment horizontal="center" vertical="center"/>
    </xf>
    <xf numFmtId="3" fontId="6" fillId="3" borderId="80" xfId="0" applyNumberFormat="1" applyFont="1" applyFill="1" applyBorder="1" applyAlignment="1">
      <alignment horizontal="center" vertical="center"/>
    </xf>
    <xf numFmtId="4" fontId="20" fillId="0" borderId="25" xfId="0" applyNumberFormat="1" applyFont="1" applyBorder="1" applyAlignment="1">
      <alignment horizontal="center" vertical="center"/>
    </xf>
    <xf numFmtId="4" fontId="6" fillId="0" borderId="26" xfId="0" applyNumberFormat="1" applyFont="1" applyBorder="1" applyAlignment="1">
      <alignment horizontal="center" vertical="center"/>
    </xf>
    <xf numFmtId="4" fontId="6" fillId="3" borderId="80" xfId="0" applyNumberFormat="1" applyFont="1" applyFill="1" applyBorder="1" applyAlignment="1" applyProtection="1">
      <alignment horizontal="center" vertical="center"/>
      <protection locked="0"/>
    </xf>
    <xf numFmtId="3" fontId="6" fillId="3" borderId="80" xfId="0" applyNumberFormat="1" applyFont="1" applyFill="1" applyBorder="1" applyAlignment="1" applyProtection="1">
      <alignment horizontal="center" vertical="center"/>
      <protection locked="0"/>
    </xf>
    <xf numFmtId="166" fontId="19" fillId="0" borderId="31" xfId="1" applyNumberFormat="1" applyFont="1" applyBorder="1" applyAlignment="1" applyProtection="1">
      <alignment horizontal="center" vertical="center"/>
    </xf>
    <xf numFmtId="3" fontId="6" fillId="3" borderId="81" xfId="0" applyNumberFormat="1" applyFont="1" applyFill="1" applyBorder="1" applyAlignment="1" applyProtection="1">
      <alignment horizontal="center" vertical="center"/>
      <protection locked="0"/>
    </xf>
    <xf numFmtId="3" fontId="6" fillId="4" borderId="81" xfId="0" applyNumberFormat="1" applyFont="1" applyFill="1" applyBorder="1" applyAlignment="1" applyProtection="1">
      <alignment horizontal="center" vertical="center"/>
      <protection locked="0"/>
    </xf>
    <xf numFmtId="166" fontId="18" fillId="0" borderId="36" xfId="1" applyNumberFormat="1" applyFont="1" applyBorder="1" applyAlignment="1" applyProtection="1">
      <alignment horizontal="center" vertical="center"/>
    </xf>
    <xf numFmtId="166" fontId="18" fillId="3" borderId="82" xfId="1" applyNumberFormat="1" applyFont="1" applyFill="1" applyBorder="1" applyAlignment="1" applyProtection="1">
      <alignment horizontal="center" vertical="center"/>
      <protection locked="0"/>
    </xf>
    <xf numFmtId="0" fontId="11" fillId="8" borderId="24" xfId="0" applyFont="1" applyFill="1" applyBorder="1" applyAlignment="1">
      <alignment horizontal="center" vertical="center" wrapText="1"/>
    </xf>
    <xf numFmtId="0" fontId="6" fillId="7" borderId="80" xfId="0" applyFont="1" applyFill="1" applyBorder="1" applyAlignment="1">
      <alignment horizontal="center" vertical="top" wrapText="1"/>
    </xf>
    <xf numFmtId="0" fontId="6" fillId="7" borderId="24" xfId="0" applyFont="1" applyFill="1" applyBorder="1" applyAlignment="1">
      <alignment horizontal="center" vertical="top" wrapText="1"/>
    </xf>
    <xf numFmtId="3" fontId="6" fillId="9" borderId="79" xfId="0" applyNumberFormat="1" applyFont="1" applyFill="1" applyBorder="1" applyAlignment="1">
      <alignment horizontal="center" vertical="top"/>
    </xf>
    <xf numFmtId="0" fontId="25" fillId="9" borderId="0" xfId="0" applyFont="1" applyFill="1"/>
    <xf numFmtId="3" fontId="6" fillId="9" borderId="26" xfId="0" applyNumberFormat="1" applyFont="1" applyFill="1" applyBorder="1" applyAlignment="1">
      <alignment horizontal="center" vertical="top"/>
    </xf>
    <xf numFmtId="3" fontId="6" fillId="9" borderId="80" xfId="0" applyNumberFormat="1" applyFont="1" applyFill="1" applyBorder="1" applyAlignment="1">
      <alignment horizontal="center" vertical="top"/>
    </xf>
    <xf numFmtId="3" fontId="6" fillId="10" borderId="79" xfId="0" applyNumberFormat="1" applyFont="1" applyFill="1" applyBorder="1" applyAlignment="1">
      <alignment horizontal="center" vertical="top"/>
    </xf>
    <xf numFmtId="3" fontId="6" fillId="10" borderId="83" xfId="0" applyNumberFormat="1" applyFont="1" applyFill="1" applyBorder="1" applyAlignment="1">
      <alignment horizontal="center" vertical="top"/>
    </xf>
    <xf numFmtId="0" fontId="23" fillId="10" borderId="50" xfId="0" applyFont="1" applyFill="1" applyBorder="1" applyAlignment="1">
      <alignment horizontal="center" vertical="center"/>
    </xf>
    <xf numFmtId="16" fontId="6" fillId="10" borderId="29" xfId="0" applyNumberFormat="1" applyFont="1" applyFill="1" applyBorder="1" applyAlignment="1">
      <alignment horizontal="center" vertical="top"/>
    </xf>
    <xf numFmtId="10" fontId="6" fillId="10" borderId="29" xfId="0" applyNumberFormat="1" applyFont="1" applyFill="1" applyBorder="1" applyAlignment="1">
      <alignment horizontal="center" vertical="top"/>
    </xf>
    <xf numFmtId="9" fontId="2" fillId="10" borderId="29" xfId="0" applyNumberFormat="1" applyFont="1" applyFill="1" applyBorder="1" applyAlignment="1">
      <alignment horizontal="center" vertical="center"/>
    </xf>
    <xf numFmtId="3" fontId="24" fillId="10" borderId="29" xfId="0" applyNumberFormat="1" applyFont="1" applyFill="1" applyBorder="1" applyAlignment="1">
      <alignment horizontal="center"/>
    </xf>
    <xf numFmtId="3" fontId="6" fillId="10" borderId="29" xfId="0" applyNumberFormat="1" applyFont="1" applyFill="1" applyBorder="1" applyAlignment="1">
      <alignment horizontal="center"/>
    </xf>
    <xf numFmtId="164" fontId="6" fillId="10" borderId="29" xfId="0" applyNumberFormat="1" applyFont="1" applyFill="1" applyBorder="1" applyAlignment="1">
      <alignment horizontal="right"/>
    </xf>
    <xf numFmtId="0" fontId="0" fillId="10" borderId="84" xfId="0" applyFill="1" applyBorder="1"/>
    <xf numFmtId="4" fontId="6" fillId="10" borderId="85" xfId="0" applyNumberFormat="1" applyFont="1" applyFill="1" applyBorder="1" applyAlignment="1">
      <alignment horizontal="center" vertical="top"/>
    </xf>
    <xf numFmtId="3" fontId="6" fillId="10" borderId="86" xfId="0" applyNumberFormat="1" applyFont="1" applyFill="1" applyBorder="1" applyAlignment="1">
      <alignment horizontal="center" vertical="top"/>
    </xf>
    <xf numFmtId="3" fontId="6" fillId="10" borderId="87" xfId="0" applyNumberFormat="1" applyFont="1" applyFill="1" applyBorder="1" applyAlignment="1">
      <alignment horizontal="center" vertical="top"/>
    </xf>
    <xf numFmtId="9" fontId="2" fillId="10" borderId="85" xfId="0" applyNumberFormat="1" applyFont="1" applyFill="1" applyBorder="1" applyAlignment="1">
      <alignment horizontal="center" vertical="center"/>
    </xf>
    <xf numFmtId="3" fontId="24" fillId="10" borderId="85" xfId="0" applyNumberFormat="1" applyFont="1" applyFill="1" applyBorder="1" applyAlignment="1">
      <alignment horizontal="center"/>
    </xf>
    <xf numFmtId="3" fontId="6" fillId="10" borderId="85" xfId="0" applyNumberFormat="1" applyFont="1" applyFill="1" applyBorder="1" applyAlignment="1">
      <alignment horizontal="center"/>
    </xf>
    <xf numFmtId="164" fontId="6" fillId="10" borderId="85" xfId="0" applyNumberFormat="1" applyFont="1" applyFill="1" applyBorder="1" applyAlignment="1">
      <alignment horizontal="right"/>
    </xf>
    <xf numFmtId="166" fontId="3" fillId="10" borderId="84" xfId="0" applyNumberFormat="1" applyFont="1" applyFill="1" applyBorder="1"/>
    <xf numFmtId="0" fontId="3" fillId="10" borderId="84" xfId="0" applyFont="1" applyFill="1" applyBorder="1"/>
    <xf numFmtId="16" fontId="6" fillId="10" borderId="19" xfId="0" applyNumberFormat="1" applyFont="1" applyFill="1" applyBorder="1" applyAlignment="1">
      <alignment horizontal="center" vertical="top"/>
    </xf>
    <xf numFmtId="0" fontId="6" fillId="10" borderId="20" xfId="0" applyFont="1" applyFill="1" applyBorder="1" applyAlignment="1">
      <alignment horizontal="center" vertical="top"/>
    </xf>
    <xf numFmtId="3" fontId="24" fillId="10" borderId="19" xfId="0" applyNumberFormat="1" applyFont="1" applyFill="1" applyBorder="1" applyAlignment="1">
      <alignment horizontal="center"/>
    </xf>
    <xf numFmtId="3" fontId="6" fillId="10" borderId="19" xfId="0" applyNumberFormat="1" applyFont="1" applyFill="1" applyBorder="1" applyAlignment="1">
      <alignment horizontal="center"/>
    </xf>
    <xf numFmtId="164" fontId="6" fillId="10" borderId="19" xfId="0" applyNumberFormat="1" applyFont="1" applyFill="1" applyBorder="1" applyAlignment="1">
      <alignment horizontal="right"/>
    </xf>
    <xf numFmtId="3" fontId="6" fillId="10" borderId="26" xfId="0" applyNumberFormat="1" applyFont="1" applyFill="1" applyBorder="1" applyAlignment="1">
      <alignment horizontal="center" vertical="top"/>
    </xf>
    <xf numFmtId="0" fontId="2" fillId="10" borderId="0" xfId="0" applyFont="1" applyFill="1" applyAlignment="1">
      <alignment horizontal="center"/>
    </xf>
    <xf numFmtId="4" fontId="6" fillId="10" borderId="25" xfId="0" applyNumberFormat="1" applyFont="1" applyFill="1" applyBorder="1" applyAlignment="1" applyProtection="1">
      <alignment horizontal="center" vertical="top"/>
      <protection locked="0"/>
    </xf>
    <xf numFmtId="16" fontId="6" fillId="9" borderId="25" xfId="0" applyNumberFormat="1" applyFont="1" applyFill="1" applyBorder="1" applyAlignment="1" applyProtection="1">
      <alignment horizontal="center" vertical="top"/>
      <protection locked="0"/>
    </xf>
    <xf numFmtId="4" fontId="6" fillId="9" borderId="25" xfId="0" applyNumberFormat="1" applyFont="1" applyFill="1" applyBorder="1" applyAlignment="1" applyProtection="1">
      <alignment horizontal="center" vertical="top"/>
      <protection locked="0"/>
    </xf>
    <xf numFmtId="3" fontId="6" fillId="9" borderId="25" xfId="0" applyNumberFormat="1" applyFont="1" applyFill="1" applyBorder="1" applyAlignment="1" applyProtection="1">
      <alignment horizontal="center" vertical="top"/>
      <protection locked="0"/>
    </xf>
    <xf numFmtId="164" fontId="2" fillId="9" borderId="0" xfId="0" applyNumberFormat="1" applyFont="1" applyFill="1"/>
    <xf numFmtId="3" fontId="6" fillId="9" borderId="20" xfId="0" applyNumberFormat="1" applyFont="1" applyFill="1" applyBorder="1" applyAlignment="1">
      <alignment horizontal="center" vertical="top"/>
    </xf>
    <xf numFmtId="3" fontId="6" fillId="9" borderId="88" xfId="0" applyNumberFormat="1" applyFont="1" applyFill="1" applyBorder="1" applyAlignment="1">
      <alignment horizontal="center" vertical="top"/>
    </xf>
    <xf numFmtId="166" fontId="2" fillId="9" borderId="0" xfId="1" applyNumberFormat="1" applyFont="1" applyFill="1" applyAlignment="1" applyProtection="1">
      <alignment vertical="center"/>
    </xf>
    <xf numFmtId="3" fontId="6" fillId="11" borderId="19" xfId="0" applyNumberFormat="1" applyFont="1" applyFill="1" applyBorder="1" applyAlignment="1">
      <alignment horizontal="center" vertical="top"/>
    </xf>
    <xf numFmtId="0" fontId="11" fillId="0" borderId="90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16" fillId="19" borderId="25" xfId="0" applyFont="1" applyFill="1" applyBorder="1" applyAlignment="1">
      <alignment horizontal="center" vertical="center"/>
    </xf>
    <xf numFmtId="9" fontId="11" fillId="0" borderId="0" xfId="0" applyNumberFormat="1" applyFont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2" xfId="0" applyFont="1" applyBorder="1" applyAlignment="1">
      <alignment horizontal="center" vertical="center"/>
    </xf>
    <xf numFmtId="0" fontId="6" fillId="0" borderId="93" xfId="0" applyFont="1" applyBorder="1" applyAlignment="1">
      <alignment horizontal="center" vertical="center"/>
    </xf>
    <xf numFmtId="0" fontId="33" fillId="20" borderId="95" xfId="0" applyFont="1" applyFill="1" applyBorder="1" applyAlignment="1">
      <alignment horizontal="center" vertical="center" wrapText="1"/>
    </xf>
    <xf numFmtId="0" fontId="33" fillId="20" borderId="96" xfId="0" applyFont="1" applyFill="1" applyBorder="1" applyAlignment="1">
      <alignment horizontal="center" vertical="center" wrapText="1"/>
    </xf>
    <xf numFmtId="0" fontId="33" fillId="20" borderId="17" xfId="0" applyFont="1" applyFill="1" applyBorder="1" applyAlignment="1">
      <alignment horizontal="center" vertical="center" wrapText="1"/>
    </xf>
    <xf numFmtId="0" fontId="33" fillId="20" borderId="59" xfId="0" applyFont="1" applyFill="1" applyBorder="1" applyAlignment="1">
      <alignment horizontal="center" vertical="center" wrapText="1"/>
    </xf>
    <xf numFmtId="0" fontId="33" fillId="20" borderId="62" xfId="0" applyFont="1" applyFill="1" applyBorder="1" applyAlignment="1">
      <alignment horizontal="center" vertical="center" wrapText="1"/>
    </xf>
    <xf numFmtId="0" fontId="33" fillId="20" borderId="63" xfId="0" applyFont="1" applyFill="1" applyBorder="1" applyAlignment="1">
      <alignment horizontal="center" vertical="center" wrapText="1"/>
    </xf>
    <xf numFmtId="0" fontId="33" fillId="20" borderId="97" xfId="0" applyFont="1" applyFill="1" applyBorder="1" applyAlignment="1">
      <alignment horizontal="center" vertical="center" wrapText="1"/>
    </xf>
    <xf numFmtId="0" fontId="33" fillId="20" borderId="98" xfId="0" applyFont="1" applyFill="1" applyBorder="1" applyAlignment="1">
      <alignment horizontal="center" vertical="center" wrapText="1"/>
    </xf>
    <xf numFmtId="0" fontId="33" fillId="20" borderId="99" xfId="0" applyFont="1" applyFill="1" applyBorder="1" applyAlignment="1">
      <alignment horizontal="center" vertical="center" wrapText="1"/>
    </xf>
    <xf numFmtId="169" fontId="16" fillId="21" borderId="102" xfId="0" applyNumberFormat="1" applyFont="1" applyFill="1" applyBorder="1" applyAlignment="1">
      <alignment horizontal="right" vertical="top" wrapText="1" indent="1"/>
    </xf>
    <xf numFmtId="169" fontId="16" fillId="21" borderId="103" xfId="0" applyNumberFormat="1" applyFont="1" applyFill="1" applyBorder="1" applyAlignment="1">
      <alignment horizontal="right" vertical="top" wrapText="1"/>
    </xf>
    <xf numFmtId="169" fontId="16" fillId="21" borderId="48" xfId="0" applyNumberFormat="1" applyFont="1" applyFill="1" applyBorder="1" applyAlignment="1">
      <alignment horizontal="right" vertical="top" wrapText="1" indent="1"/>
    </xf>
    <xf numFmtId="169" fontId="16" fillId="21" borderId="68" xfId="0" applyNumberFormat="1" applyFont="1" applyFill="1" applyBorder="1" applyAlignment="1">
      <alignment horizontal="right" vertical="top" wrapText="1" indent="1"/>
    </xf>
    <xf numFmtId="169" fontId="16" fillId="21" borderId="69" xfId="0" applyNumberFormat="1" applyFont="1" applyFill="1" applyBorder="1" applyAlignment="1">
      <alignment horizontal="right" vertical="top" wrapText="1" indent="1"/>
    </xf>
    <xf numFmtId="169" fontId="16" fillId="0" borderId="70" xfId="0" applyNumberFormat="1" applyFont="1" applyBorder="1" applyAlignment="1">
      <alignment horizontal="right" vertical="top" wrapText="1" indent="1"/>
    </xf>
    <xf numFmtId="169" fontId="16" fillId="0" borderId="104" xfId="0" applyNumberFormat="1" applyFont="1" applyBorder="1" applyAlignment="1">
      <alignment horizontal="right" vertical="top" wrapText="1" indent="1"/>
    </xf>
    <xf numFmtId="169" fontId="16" fillId="21" borderId="103" xfId="0" applyNumberFormat="1" applyFont="1" applyFill="1" applyBorder="1" applyAlignment="1">
      <alignment horizontal="right" vertical="top" wrapText="1" indent="1"/>
    </xf>
    <xf numFmtId="169" fontId="16" fillId="21" borderId="105" xfId="0" applyNumberFormat="1" applyFont="1" applyFill="1" applyBorder="1" applyAlignment="1">
      <alignment horizontal="right" vertical="top" wrapText="1"/>
    </xf>
    <xf numFmtId="0" fontId="34" fillId="18" borderId="106" xfId="0" applyFont="1" applyFill="1" applyBorder="1" applyAlignment="1">
      <alignment horizontal="left" vertical="top"/>
    </xf>
    <xf numFmtId="0" fontId="35" fillId="18" borderId="0" xfId="0" applyFont="1" applyFill="1" applyAlignment="1">
      <alignment horizontal="left" vertical="top"/>
    </xf>
    <xf numFmtId="0" fontId="34" fillId="18" borderId="0" xfId="0" applyFont="1" applyFill="1" applyAlignment="1">
      <alignment horizontal="left" vertical="top"/>
    </xf>
    <xf numFmtId="2" fontId="34" fillId="18" borderId="0" xfId="0" applyNumberFormat="1" applyFont="1" applyFill="1" applyAlignment="1">
      <alignment horizontal="right" vertical="top"/>
    </xf>
    <xf numFmtId="0" fontId="6" fillId="18" borderId="0" xfId="0" applyFont="1" applyFill="1" applyAlignment="1">
      <alignment horizontal="left"/>
    </xf>
    <xf numFmtId="0" fontId="6" fillId="18" borderId="107" xfId="0" applyFont="1" applyFill="1" applyBorder="1" applyAlignment="1">
      <alignment horizontal="left"/>
    </xf>
    <xf numFmtId="0" fontId="34" fillId="18" borderId="56" xfId="0" applyFont="1" applyFill="1" applyBorder="1" applyAlignment="1">
      <alignment horizontal="left" vertical="top"/>
    </xf>
    <xf numFmtId="0" fontId="35" fillId="18" borderId="108" xfId="0" applyFont="1" applyFill="1" applyBorder="1" applyAlignment="1">
      <alignment horizontal="left" vertical="top"/>
    </xf>
    <xf numFmtId="0" fontId="34" fillId="18" borderId="108" xfId="0" applyFont="1" applyFill="1" applyBorder="1" applyAlignment="1">
      <alignment horizontal="left" vertical="top"/>
    </xf>
    <xf numFmtId="0" fontId="6" fillId="18" borderId="109" xfId="0" applyFont="1" applyFill="1" applyBorder="1" applyAlignment="1">
      <alignment horizontal="left"/>
    </xf>
    <xf numFmtId="0" fontId="34" fillId="18" borderId="110" xfId="0" applyFont="1" applyFill="1" applyBorder="1" applyAlignment="1">
      <alignment horizontal="center" vertical="center"/>
    </xf>
    <xf numFmtId="0" fontId="34" fillId="18" borderId="25" xfId="0" applyFont="1" applyFill="1" applyBorder="1" applyAlignment="1">
      <alignment horizontal="center" vertical="center"/>
    </xf>
    <xf numFmtId="0" fontId="34" fillId="18" borderId="111" xfId="0" applyFont="1" applyFill="1" applyBorder="1" applyAlignment="1">
      <alignment horizontal="center" vertical="center"/>
    </xf>
    <xf numFmtId="0" fontId="34" fillId="18" borderId="0" xfId="0" applyFont="1" applyFill="1" applyAlignment="1">
      <alignment horizontal="center" vertical="center"/>
    </xf>
    <xf numFmtId="0" fontId="6" fillId="18" borderId="0" xfId="0" applyFont="1" applyFill="1" applyAlignment="1">
      <alignment horizontal="center" vertical="center"/>
    </xf>
    <xf numFmtId="0" fontId="6" fillId="18" borderId="109" xfId="0" applyFont="1" applyFill="1" applyBorder="1" applyAlignment="1">
      <alignment horizontal="center" vertical="center"/>
    </xf>
    <xf numFmtId="0" fontId="34" fillId="18" borderId="110" xfId="0" applyFont="1" applyFill="1" applyBorder="1" applyAlignment="1">
      <alignment horizontal="left" vertical="top"/>
    </xf>
    <xf numFmtId="14" fontId="34" fillId="18" borderId="25" xfId="0" applyNumberFormat="1" applyFont="1" applyFill="1" applyBorder="1" applyAlignment="1">
      <alignment horizontal="center" vertical="top"/>
    </xf>
    <xf numFmtId="4" fontId="34" fillId="18" borderId="25" xfId="0" applyNumberFormat="1" applyFont="1" applyFill="1" applyBorder="1" applyAlignment="1">
      <alignment horizontal="right" vertical="top"/>
    </xf>
    <xf numFmtId="0" fontId="34" fillId="18" borderId="25" xfId="0" applyFont="1" applyFill="1" applyBorder="1" applyAlignment="1">
      <alignment horizontal="left" vertical="top" wrapText="1"/>
    </xf>
    <xf numFmtId="0" fontId="34" fillId="18" borderId="111" xfId="0" applyFont="1" applyFill="1" applyBorder="1" applyAlignment="1">
      <alignment horizontal="left" vertical="top"/>
    </xf>
    <xf numFmtId="0" fontId="34" fillId="9" borderId="56" xfId="0" applyFont="1" applyFill="1" applyBorder="1" applyAlignment="1">
      <alignment horizontal="left" vertical="top"/>
    </xf>
    <xf numFmtId="14" fontId="34" fillId="9" borderId="0" xfId="0" applyNumberFormat="1" applyFont="1" applyFill="1" applyAlignment="1">
      <alignment horizontal="center" vertical="top"/>
    </xf>
    <xf numFmtId="4" fontId="34" fillId="9" borderId="0" xfId="0" applyNumberFormat="1" applyFont="1" applyFill="1" applyAlignment="1">
      <alignment horizontal="right" vertical="top"/>
    </xf>
    <xf numFmtId="0" fontId="34" fillId="9" borderId="0" xfId="0" applyFont="1" applyFill="1" applyAlignment="1">
      <alignment horizontal="left" vertical="top"/>
    </xf>
    <xf numFmtId="14" fontId="36" fillId="9" borderId="0" xfId="0" applyNumberFormat="1" applyFont="1" applyFill="1" applyAlignment="1">
      <alignment horizontal="center" vertical="top"/>
    </xf>
    <xf numFmtId="4" fontId="36" fillId="9" borderId="0" xfId="0" applyNumberFormat="1" applyFont="1" applyFill="1" applyAlignment="1">
      <alignment horizontal="right" vertical="top"/>
    </xf>
    <xf numFmtId="14" fontId="34" fillId="18" borderId="0" xfId="0" applyNumberFormat="1" applyFont="1" applyFill="1" applyAlignment="1">
      <alignment horizontal="center" vertical="top"/>
    </xf>
    <xf numFmtId="4" fontId="34" fillId="18" borderId="0" xfId="0" applyNumberFormat="1" applyFont="1" applyFill="1" applyAlignment="1">
      <alignment horizontal="right" vertical="top"/>
    </xf>
    <xf numFmtId="0" fontId="34" fillId="18" borderId="0" xfId="0" applyFont="1" applyFill="1" applyAlignment="1">
      <alignment horizontal="left" vertical="top" wrapText="1"/>
    </xf>
    <xf numFmtId="0" fontId="35" fillId="22" borderId="56" xfId="0" applyFont="1" applyFill="1" applyBorder="1" applyAlignment="1">
      <alignment horizontal="left" vertical="top"/>
    </xf>
    <xf numFmtId="0" fontId="34" fillId="22" borderId="0" xfId="0" applyFont="1" applyFill="1" applyAlignment="1">
      <alignment horizontal="left" vertical="top"/>
    </xf>
    <xf numFmtId="4" fontId="35" fillId="22" borderId="0" xfId="0" applyNumberFormat="1" applyFont="1" applyFill="1" applyAlignment="1">
      <alignment horizontal="right" vertical="top"/>
    </xf>
    <xf numFmtId="0" fontId="34" fillId="22" borderId="0" xfId="0" applyFont="1" applyFill="1" applyAlignment="1">
      <alignment horizontal="right" vertical="top"/>
    </xf>
    <xf numFmtId="0" fontId="6" fillId="22" borderId="0" xfId="0" applyFont="1" applyFill="1" applyAlignment="1">
      <alignment horizontal="left"/>
    </xf>
    <xf numFmtId="2" fontId="35" fillId="22" borderId="0" xfId="0" applyNumberFormat="1" applyFont="1" applyFill="1" applyAlignment="1">
      <alignment horizontal="left" vertical="top"/>
    </xf>
    <xf numFmtId="2" fontId="35" fillId="22" borderId="0" xfId="0" applyNumberFormat="1" applyFont="1" applyFill="1" applyAlignment="1">
      <alignment horizontal="right" vertical="top"/>
    </xf>
    <xf numFmtId="0" fontId="6" fillId="22" borderId="109" xfId="0" applyFont="1" applyFill="1" applyBorder="1" applyAlignment="1">
      <alignment horizontal="left"/>
    </xf>
    <xf numFmtId="0" fontId="34" fillId="18" borderId="0" xfId="0" applyFont="1" applyFill="1" applyAlignment="1">
      <alignment horizontal="center" vertical="center" wrapText="1"/>
    </xf>
    <xf numFmtId="0" fontId="34" fillId="18" borderId="56" xfId="0" applyFont="1" applyFill="1" applyBorder="1" applyAlignment="1">
      <alignment horizontal="center" vertical="center" wrapText="1"/>
    </xf>
    <xf numFmtId="0" fontId="35" fillId="18" borderId="0" xfId="0" applyFont="1" applyFill="1" applyAlignment="1">
      <alignment horizontal="left" vertical="top" wrapText="1"/>
    </xf>
    <xf numFmtId="0" fontId="11" fillId="18" borderId="21" xfId="0" applyFont="1" applyFill="1" applyBorder="1" applyAlignment="1">
      <alignment horizontal="left"/>
    </xf>
    <xf numFmtId="0" fontId="6" fillId="18" borderId="21" xfId="0" applyFont="1" applyFill="1" applyBorder="1" applyAlignment="1">
      <alignment horizontal="left" wrapText="1"/>
    </xf>
    <xf numFmtId="0" fontId="6" fillId="18" borderId="0" xfId="0" applyFont="1" applyFill="1" applyAlignment="1">
      <alignment horizontal="center" vertical="center" wrapText="1"/>
    </xf>
    <xf numFmtId="0" fontId="6" fillId="18" borderId="109" xfId="0" applyFont="1" applyFill="1" applyBorder="1" applyAlignment="1">
      <alignment horizontal="center" vertical="center" wrapText="1"/>
    </xf>
    <xf numFmtId="0" fontId="34" fillId="18" borderId="25" xfId="0" applyFont="1" applyFill="1" applyBorder="1" applyAlignment="1">
      <alignment horizontal="center" vertical="center" wrapText="1"/>
    </xf>
    <xf numFmtId="0" fontId="34" fillId="18" borderId="57" xfId="0" applyFont="1" applyFill="1" applyBorder="1" applyAlignment="1">
      <alignment horizontal="center" vertical="center" wrapText="1"/>
    </xf>
    <xf numFmtId="1" fontId="34" fillId="18" borderId="25" xfId="0" applyNumberFormat="1" applyFont="1" applyFill="1" applyBorder="1" applyAlignment="1">
      <alignment horizontal="center" vertical="top"/>
    </xf>
    <xf numFmtId="0" fontId="34" fillId="18" borderId="25" xfId="0" applyFont="1" applyFill="1" applyBorder="1" applyAlignment="1">
      <alignment horizontal="left" vertical="top"/>
    </xf>
    <xf numFmtId="170" fontId="34" fillId="18" borderId="25" xfId="0" applyNumberFormat="1" applyFont="1" applyFill="1" applyBorder="1" applyAlignment="1">
      <alignment horizontal="center" vertical="top"/>
    </xf>
    <xf numFmtId="2" fontId="34" fillId="18" borderId="25" xfId="0" applyNumberFormat="1" applyFont="1" applyFill="1" applyBorder="1" applyAlignment="1">
      <alignment horizontal="center" vertical="top"/>
    </xf>
    <xf numFmtId="4" fontId="35" fillId="18" borderId="25" xfId="0" applyNumberFormat="1" applyFont="1" applyFill="1" applyBorder="1" applyAlignment="1">
      <alignment horizontal="right" vertical="top" indent="1"/>
    </xf>
    <xf numFmtId="4" fontId="34" fillId="18" borderId="57" xfId="0" applyNumberFormat="1" applyFont="1" applyFill="1" applyBorder="1" applyAlignment="1">
      <alignment horizontal="left" vertical="top"/>
    </xf>
    <xf numFmtId="10" fontId="34" fillId="18" borderId="25" xfId="0" applyNumberFormat="1" applyFont="1" applyFill="1" applyBorder="1" applyAlignment="1">
      <alignment horizontal="center" vertical="top"/>
    </xf>
    <xf numFmtId="170" fontId="34" fillId="18" borderId="25" xfId="0" applyNumberFormat="1" applyFont="1" applyFill="1" applyBorder="1" applyAlignment="1">
      <alignment horizontal="center" vertical="center" wrapText="1"/>
    </xf>
    <xf numFmtId="0" fontId="34" fillId="18" borderId="25" xfId="0" applyFont="1" applyFill="1" applyBorder="1" applyAlignment="1">
      <alignment horizontal="left" vertical="center" wrapText="1"/>
    </xf>
    <xf numFmtId="10" fontId="34" fillId="18" borderId="25" xfId="0" applyNumberFormat="1" applyFont="1" applyFill="1" applyBorder="1" applyAlignment="1">
      <alignment horizontal="center" vertical="top" wrapText="1"/>
    </xf>
    <xf numFmtId="0" fontId="34" fillId="18" borderId="0" xfId="0" applyFont="1" applyFill="1" applyAlignment="1">
      <alignment horizontal="left" vertical="center"/>
    </xf>
    <xf numFmtId="170" fontId="34" fillId="18" borderId="0" xfId="0" applyNumberFormat="1" applyFont="1" applyFill="1" applyAlignment="1">
      <alignment horizontal="center" vertical="center" wrapText="1"/>
    </xf>
    <xf numFmtId="2" fontId="35" fillId="18" borderId="0" xfId="0" applyNumberFormat="1" applyFont="1" applyFill="1" applyAlignment="1">
      <alignment horizontal="right" vertical="center" wrapText="1"/>
    </xf>
    <xf numFmtId="4" fontId="11" fillId="22" borderId="0" xfId="0" applyNumberFormat="1" applyFont="1" applyFill="1" applyAlignment="1">
      <alignment horizontal="right"/>
    </xf>
    <xf numFmtId="0" fontId="6" fillId="22" borderId="0" xfId="0" applyFont="1" applyFill="1" applyAlignment="1">
      <alignment horizontal="right"/>
    </xf>
    <xf numFmtId="0" fontId="35" fillId="22" borderId="0" xfId="0" applyFont="1" applyFill="1" applyAlignment="1">
      <alignment horizontal="left" vertical="top"/>
    </xf>
    <xf numFmtId="0" fontId="6" fillId="18" borderId="56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0" borderId="109" xfId="0" applyFont="1" applyBorder="1"/>
    <xf numFmtId="0" fontId="35" fillId="18" borderId="21" xfId="0" applyFont="1" applyFill="1" applyBorder="1" applyAlignment="1">
      <alignment horizontal="left" vertical="top"/>
    </xf>
    <xf numFmtId="0" fontId="6" fillId="18" borderId="21" xfId="0" applyFont="1" applyFill="1" applyBorder="1" applyAlignment="1">
      <alignment horizontal="left"/>
    </xf>
    <xf numFmtId="0" fontId="6" fillId="18" borderId="112" xfId="0" applyFont="1" applyFill="1" applyBorder="1" applyAlignment="1">
      <alignment horizontal="left"/>
    </xf>
    <xf numFmtId="0" fontId="6" fillId="18" borderId="56" xfId="0" applyFont="1" applyFill="1" applyBorder="1" applyAlignment="1">
      <alignment horizontal="center" vertical="center" wrapText="1"/>
    </xf>
    <xf numFmtId="0" fontId="34" fillId="18" borderId="28" xfId="0" applyFont="1" applyFill="1" applyBorder="1" applyAlignment="1">
      <alignment horizontal="center" vertical="center" wrapText="1"/>
    </xf>
    <xf numFmtId="2" fontId="35" fillId="18" borderId="25" xfId="0" applyNumberFormat="1" applyFont="1" applyFill="1" applyBorder="1" applyAlignment="1">
      <alignment horizontal="right" vertical="top" indent="1"/>
    </xf>
    <xf numFmtId="0" fontId="34" fillId="18" borderId="57" xfId="0" applyFont="1" applyFill="1" applyBorder="1" applyAlignment="1">
      <alignment horizontal="left" vertical="top"/>
    </xf>
    <xf numFmtId="3" fontId="34" fillId="18" borderId="25" xfId="0" applyNumberFormat="1" applyFont="1" applyFill="1" applyBorder="1" applyAlignment="1">
      <alignment horizontal="left" vertical="top"/>
    </xf>
    <xf numFmtId="170" fontId="34" fillId="18" borderId="25" xfId="0" applyNumberFormat="1" applyFont="1" applyFill="1" applyBorder="1" applyAlignment="1">
      <alignment vertical="top"/>
    </xf>
    <xf numFmtId="4" fontId="6" fillId="18" borderId="25" xfId="0" applyNumberFormat="1" applyFont="1" applyFill="1" applyBorder="1" applyAlignment="1">
      <alignment vertical="top"/>
    </xf>
    <xf numFmtId="2" fontId="19" fillId="18" borderId="28" xfId="0" applyNumberFormat="1" applyFont="1" applyFill="1" applyBorder="1" applyAlignment="1">
      <alignment horizontal="right" vertical="top" indent="1"/>
    </xf>
    <xf numFmtId="4" fontId="34" fillId="18" borderId="25" xfId="0" applyNumberFormat="1" applyFont="1" applyFill="1" applyBorder="1" applyAlignment="1">
      <alignment horizontal="right" vertical="center" wrapText="1"/>
    </xf>
    <xf numFmtId="0" fontId="34" fillId="18" borderId="25" xfId="0" applyFont="1" applyFill="1" applyBorder="1" applyAlignment="1">
      <alignment vertical="center"/>
    </xf>
    <xf numFmtId="170" fontId="34" fillId="18" borderId="25" xfId="0" applyNumberFormat="1" applyFont="1" applyFill="1" applyBorder="1" applyAlignment="1">
      <alignment vertical="center" wrapText="1"/>
    </xf>
    <xf numFmtId="0" fontId="6" fillId="18" borderId="25" xfId="0" applyFont="1" applyFill="1" applyBorder="1" applyAlignment="1">
      <alignment vertical="top"/>
    </xf>
    <xf numFmtId="0" fontId="2" fillId="0" borderId="7" xfId="0" applyFont="1" applyBorder="1"/>
    <xf numFmtId="0" fontId="2" fillId="0" borderId="8" xfId="0" applyFont="1" applyBorder="1"/>
    <xf numFmtId="0" fontId="2" fillId="0" borderId="37" xfId="0" applyFont="1" applyBorder="1"/>
    <xf numFmtId="0" fontId="0" fillId="0" borderId="113" xfId="0" applyBorder="1"/>
    <xf numFmtId="9" fontId="11" fillId="0" borderId="20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112" xfId="0" applyFont="1" applyBorder="1" applyAlignment="1">
      <alignment horizontal="center" vertical="center"/>
    </xf>
    <xf numFmtId="0" fontId="33" fillId="20" borderId="21" xfId="0" applyFont="1" applyFill="1" applyBorder="1" applyAlignment="1">
      <alignment horizontal="center" vertical="center" wrapText="1"/>
    </xf>
    <xf numFmtId="0" fontId="33" fillId="20" borderId="116" xfId="0" applyFont="1" applyFill="1" applyBorder="1" applyAlignment="1">
      <alignment horizontal="center" vertical="center" wrapText="1"/>
    </xf>
    <xf numFmtId="0" fontId="33" fillId="20" borderId="46" xfId="0" applyFont="1" applyFill="1" applyBorder="1" applyAlignment="1">
      <alignment horizontal="center" vertical="center" wrapText="1"/>
    </xf>
    <xf numFmtId="169" fontId="16" fillId="21" borderId="95" xfId="0" applyNumberFormat="1" applyFont="1" applyFill="1" applyBorder="1" applyAlignment="1">
      <alignment horizontal="right" vertical="top" wrapText="1" indent="1"/>
    </xf>
    <xf numFmtId="169" fontId="16" fillId="21" borderId="117" xfId="0" applyNumberFormat="1" applyFont="1" applyFill="1" applyBorder="1" applyAlignment="1">
      <alignment horizontal="right" vertical="top" wrapText="1"/>
    </xf>
    <xf numFmtId="169" fontId="16" fillId="21" borderId="23" xfId="0" applyNumberFormat="1" applyFont="1" applyFill="1" applyBorder="1" applyAlignment="1">
      <alignment horizontal="right" vertical="top" wrapText="1" indent="1"/>
    </xf>
    <xf numFmtId="169" fontId="16" fillId="21" borderId="64" xfId="0" applyNumberFormat="1" applyFont="1" applyFill="1" applyBorder="1" applyAlignment="1">
      <alignment horizontal="right" vertical="top" wrapText="1" indent="1"/>
    </xf>
    <xf numFmtId="169" fontId="16" fillId="21" borderId="25" xfId="0" applyNumberFormat="1" applyFont="1" applyFill="1" applyBorder="1" applyAlignment="1">
      <alignment horizontal="right" vertical="top" wrapText="1" indent="1"/>
    </xf>
    <xf numFmtId="169" fontId="16" fillId="0" borderId="28" xfId="0" applyNumberFormat="1" applyFont="1" applyBorder="1" applyAlignment="1">
      <alignment horizontal="right" vertical="top" wrapText="1" indent="1"/>
    </xf>
    <xf numFmtId="169" fontId="16" fillId="0" borderId="118" xfId="0" applyNumberFormat="1" applyFont="1" applyBorder="1" applyAlignment="1">
      <alignment horizontal="right" vertical="top" wrapText="1" indent="1"/>
    </xf>
    <xf numFmtId="169" fontId="16" fillId="21" borderId="117" xfId="0" applyNumberFormat="1" applyFont="1" applyFill="1" applyBorder="1" applyAlignment="1">
      <alignment horizontal="right" vertical="top" wrapText="1" indent="1"/>
    </xf>
    <xf numFmtId="169" fontId="16" fillId="21" borderId="23" xfId="0" applyNumberFormat="1" applyFont="1" applyFill="1" applyBorder="1" applyAlignment="1">
      <alignment horizontal="right" vertical="top" wrapText="1"/>
    </xf>
    <xf numFmtId="0" fontId="34" fillId="22" borderId="56" xfId="0" applyFont="1" applyFill="1" applyBorder="1" applyAlignment="1">
      <alignment horizontal="left" vertical="top"/>
    </xf>
    <xf numFmtId="0" fontId="11" fillId="18" borderId="0" xfId="0" applyFont="1" applyFill="1" applyAlignment="1">
      <alignment horizontal="left"/>
    </xf>
    <xf numFmtId="0" fontId="6" fillId="18" borderId="0" xfId="0" applyFont="1" applyFill="1" applyAlignment="1">
      <alignment horizontal="left" wrapText="1"/>
    </xf>
    <xf numFmtId="0" fontId="34" fillId="18" borderId="110" xfId="0" applyFont="1" applyFill="1" applyBorder="1" applyAlignment="1">
      <alignment horizontal="center" vertical="center" wrapText="1"/>
    </xf>
    <xf numFmtId="0" fontId="34" fillId="18" borderId="119" xfId="0" applyFont="1" applyFill="1" applyBorder="1" applyAlignment="1">
      <alignment horizontal="center" vertical="center" wrapText="1"/>
    </xf>
    <xf numFmtId="1" fontId="34" fillId="18" borderId="119" xfId="0" applyNumberFormat="1" applyFont="1" applyFill="1" applyBorder="1" applyAlignment="1">
      <alignment horizontal="center" vertical="top"/>
    </xf>
    <xf numFmtId="0" fontId="34" fillId="18" borderId="119" xfId="0" applyFont="1" applyFill="1" applyBorder="1" applyAlignment="1">
      <alignment horizontal="left" vertical="top"/>
    </xf>
    <xf numFmtId="170" fontId="34" fillId="18" borderId="0" xfId="0" applyNumberFormat="1" applyFont="1" applyFill="1" applyAlignment="1">
      <alignment horizontal="center" vertical="top"/>
    </xf>
    <xf numFmtId="2" fontId="34" fillId="18" borderId="119" xfId="0" applyNumberFormat="1" applyFont="1" applyFill="1" applyBorder="1" applyAlignment="1">
      <alignment horizontal="center" vertical="top"/>
    </xf>
    <xf numFmtId="4" fontId="35" fillId="18" borderId="0" xfId="0" applyNumberFormat="1" applyFont="1" applyFill="1" applyAlignment="1">
      <alignment vertical="top" indent="1"/>
    </xf>
    <xf numFmtId="4" fontId="34" fillId="18" borderId="120" xfId="0" applyNumberFormat="1" applyFont="1" applyFill="1" applyBorder="1" applyAlignment="1">
      <alignment horizontal="left" vertical="top"/>
    </xf>
    <xf numFmtId="0" fontId="34" fillId="18" borderId="110" xfId="0" applyFont="1" applyFill="1" applyBorder="1" applyAlignment="1">
      <alignment horizontal="left" vertical="top" wrapText="1"/>
    </xf>
    <xf numFmtId="1" fontId="34" fillId="18" borderId="119" xfId="0" applyNumberFormat="1" applyFont="1" applyFill="1" applyBorder="1" applyAlignment="1">
      <alignment horizontal="center" vertical="top" wrapText="1"/>
    </xf>
    <xf numFmtId="0" fontId="6" fillId="18" borderId="119" xfId="0" applyFont="1" applyFill="1" applyBorder="1" applyAlignment="1">
      <alignment horizontal="left" vertical="center"/>
    </xf>
    <xf numFmtId="170" fontId="34" fillId="18" borderId="119" xfId="0" applyNumberFormat="1" applyFont="1" applyFill="1" applyBorder="1" applyAlignment="1">
      <alignment horizontal="center" vertical="top" wrapText="1"/>
    </xf>
    <xf numFmtId="4" fontId="35" fillId="18" borderId="119" xfId="0" applyNumberFormat="1" applyFont="1" applyFill="1" applyBorder="1" applyAlignment="1">
      <alignment vertical="top" indent="1"/>
    </xf>
    <xf numFmtId="4" fontId="34" fillId="18" borderId="0" xfId="0" applyNumberFormat="1" applyFont="1" applyFill="1" applyAlignment="1">
      <alignment horizontal="left" vertical="top" wrapText="1"/>
    </xf>
    <xf numFmtId="0" fontId="6" fillId="18" borderId="109" xfId="0" applyFont="1" applyFill="1" applyBorder="1" applyAlignment="1">
      <alignment horizontal="left" wrapText="1"/>
    </xf>
    <xf numFmtId="0" fontId="6" fillId="18" borderId="110" xfId="0" applyFont="1" applyFill="1" applyBorder="1" applyAlignment="1">
      <alignment horizontal="center" vertical="center" wrapText="1"/>
    </xf>
    <xf numFmtId="0" fontId="6" fillId="18" borderId="119" xfId="0" applyFont="1" applyFill="1" applyBorder="1" applyAlignment="1">
      <alignment horizontal="center" vertical="center" wrapText="1"/>
    </xf>
    <xf numFmtId="170" fontId="6" fillId="18" borderId="119" xfId="0" applyNumberFormat="1" applyFont="1" applyFill="1" applyBorder="1" applyAlignment="1">
      <alignment horizontal="center" vertical="center" wrapText="1"/>
    </xf>
    <xf numFmtId="2" fontId="6" fillId="18" borderId="119" xfId="0" applyNumberFormat="1" applyFont="1" applyFill="1" applyBorder="1" applyAlignment="1">
      <alignment horizontal="center" vertical="center" wrapText="1"/>
    </xf>
    <xf numFmtId="4" fontId="11" fillId="18" borderId="119" xfId="0" applyNumberFormat="1" applyFont="1" applyFill="1" applyBorder="1" applyAlignment="1">
      <alignment vertical="center" wrapText="1"/>
    </xf>
    <xf numFmtId="0" fontId="6" fillId="18" borderId="120" xfId="0" applyFont="1" applyFill="1" applyBorder="1" applyAlignment="1">
      <alignment horizontal="center" vertical="center" wrapText="1"/>
    </xf>
    <xf numFmtId="0" fontId="6" fillId="18" borderId="25" xfId="0" applyFont="1" applyFill="1" applyBorder="1" applyAlignment="1">
      <alignment horizontal="left" vertical="center" wrapText="1"/>
    </xf>
    <xf numFmtId="10" fontId="6" fillId="18" borderId="25" xfId="0" applyNumberFormat="1" applyFont="1" applyFill="1" applyBorder="1" applyAlignment="1">
      <alignment horizontal="center" vertical="center" wrapText="1"/>
    </xf>
    <xf numFmtId="2" fontId="6" fillId="18" borderId="25" xfId="0" applyNumberFormat="1" applyFont="1" applyFill="1" applyBorder="1" applyAlignment="1">
      <alignment horizontal="center" vertical="center" wrapText="1"/>
    </xf>
    <xf numFmtId="0" fontId="6" fillId="18" borderId="56" xfId="0" applyFont="1" applyFill="1" applyBorder="1" applyAlignment="1">
      <alignment horizontal="left" wrapText="1"/>
    </xf>
    <xf numFmtId="0" fontId="35" fillId="18" borderId="21" xfId="0" applyFont="1" applyFill="1" applyBorder="1" applyAlignment="1">
      <alignment horizontal="left" vertical="top" wrapText="1"/>
    </xf>
    <xf numFmtId="0" fontId="6" fillId="18" borderId="112" xfId="0" applyFont="1" applyFill="1" applyBorder="1" applyAlignment="1">
      <alignment horizontal="left" wrapText="1"/>
    </xf>
    <xf numFmtId="0" fontId="6" fillId="18" borderId="121" xfId="0" applyFont="1" applyFill="1" applyBorder="1" applyAlignment="1">
      <alignment horizontal="center" vertical="center" wrapText="1"/>
    </xf>
    <xf numFmtId="0" fontId="34" fillId="18" borderId="25" xfId="0" applyFont="1" applyFill="1" applyBorder="1" applyAlignment="1">
      <alignment horizontal="center" vertical="center" wrapText="1" indent="1"/>
    </xf>
    <xf numFmtId="0" fontId="34" fillId="18" borderId="28" xfId="0" applyFont="1" applyFill="1" applyBorder="1" applyAlignment="1">
      <alignment horizontal="center" vertical="center" wrapText="1" indent="1"/>
    </xf>
    <xf numFmtId="0" fontId="6" fillId="18" borderId="121" xfId="0" applyFont="1" applyFill="1" applyBorder="1" applyAlignment="1">
      <alignment horizontal="left" wrapText="1"/>
    </xf>
    <xf numFmtId="4" fontId="34" fillId="18" borderId="25" xfId="0" applyNumberFormat="1" applyFont="1" applyFill="1" applyBorder="1" applyAlignment="1">
      <alignment horizontal="right" vertical="top" wrapText="1"/>
    </xf>
    <xf numFmtId="2" fontId="35" fillId="18" borderId="25" xfId="0" applyNumberFormat="1" applyFont="1" applyFill="1" applyBorder="1" applyAlignment="1">
      <alignment vertical="top" indent="1"/>
    </xf>
    <xf numFmtId="170" fontId="34" fillId="18" borderId="0" xfId="0" applyNumberFormat="1" applyFont="1" applyFill="1" applyAlignment="1">
      <alignment vertical="top" wrapText="1"/>
    </xf>
    <xf numFmtId="10" fontId="34" fillId="18" borderId="0" xfId="0" applyNumberFormat="1" applyFont="1" applyFill="1" applyAlignment="1">
      <alignment horizontal="center" vertical="top"/>
    </xf>
    <xf numFmtId="2" fontId="35" fillId="18" borderId="25" xfId="0" applyNumberFormat="1" applyFont="1" applyFill="1" applyBorder="1" applyAlignment="1">
      <alignment vertical="top"/>
    </xf>
    <xf numFmtId="0" fontId="34" fillId="18" borderId="50" xfId="0" applyFont="1" applyFill="1" applyBorder="1" applyAlignment="1">
      <alignment horizontal="center" vertical="center" wrapText="1"/>
    </xf>
    <xf numFmtId="0" fontId="26" fillId="0" borderId="25" xfId="0" applyFont="1" applyBorder="1"/>
    <xf numFmtId="0" fontId="26" fillId="0" borderId="68" xfId="0" applyFont="1" applyBorder="1"/>
    <xf numFmtId="0" fontId="34" fillId="18" borderId="35" xfId="0" applyFont="1" applyFill="1" applyBorder="1" applyAlignment="1">
      <alignment horizontal="left" vertical="center"/>
    </xf>
    <xf numFmtId="10" fontId="34" fillId="18" borderId="35" xfId="0" applyNumberFormat="1" applyFont="1" applyFill="1" applyBorder="1" applyAlignment="1">
      <alignment horizontal="center" vertical="center"/>
    </xf>
    <xf numFmtId="4" fontId="34" fillId="18" borderId="35" xfId="0" applyNumberFormat="1" applyFont="1" applyFill="1" applyBorder="1" applyAlignment="1">
      <alignment horizontal="right" vertical="center" wrapText="1"/>
    </xf>
    <xf numFmtId="2" fontId="35" fillId="18" borderId="35" xfId="0" applyNumberFormat="1" applyFont="1" applyFill="1" applyBorder="1" applyAlignment="1">
      <alignment vertical="center"/>
    </xf>
    <xf numFmtId="0" fontId="26" fillId="0" borderId="69" xfId="0" applyFont="1" applyBorder="1"/>
    <xf numFmtId="3" fontId="34" fillId="18" borderId="69" xfId="0" applyNumberFormat="1" applyFont="1" applyFill="1" applyBorder="1" applyAlignment="1">
      <alignment horizontal="left" vertical="top"/>
    </xf>
    <xf numFmtId="170" fontId="26" fillId="0" borderId="69" xfId="0" applyNumberFormat="1" applyFont="1" applyBorder="1"/>
    <xf numFmtId="10" fontId="34" fillId="18" borderId="69" xfId="0" applyNumberFormat="1" applyFont="1" applyFill="1" applyBorder="1" applyAlignment="1">
      <alignment horizontal="center" vertical="top"/>
    </xf>
    <xf numFmtId="2" fontId="21" fillId="0" borderId="70" xfId="0" applyNumberFormat="1" applyFont="1" applyBorder="1" applyAlignment="1">
      <alignment horizontal="right"/>
    </xf>
    <xf numFmtId="169" fontId="16" fillId="21" borderId="116" xfId="0" applyNumberFormat="1" applyFont="1" applyFill="1" applyBorder="1" applyAlignment="1">
      <alignment horizontal="right" vertical="top" wrapText="1" indent="1"/>
    </xf>
    <xf numFmtId="169" fontId="16" fillId="21" borderId="96" xfId="0" applyNumberFormat="1" applyFont="1" applyFill="1" applyBorder="1" applyAlignment="1">
      <alignment horizontal="right" vertical="top" wrapText="1"/>
    </xf>
    <xf numFmtId="169" fontId="16" fillId="21" borderId="46" xfId="0" applyNumberFormat="1" applyFont="1" applyFill="1" applyBorder="1" applyAlignment="1">
      <alignment horizontal="right" vertical="top" wrapText="1" indent="1"/>
    </xf>
    <xf numFmtId="169" fontId="16" fillId="21" borderId="47" xfId="0" applyNumberFormat="1" applyFont="1" applyFill="1" applyBorder="1" applyAlignment="1">
      <alignment horizontal="right" vertical="top" wrapText="1" indent="1"/>
    </xf>
    <xf numFmtId="169" fontId="16" fillId="21" borderId="19" xfId="0" applyNumberFormat="1" applyFont="1" applyFill="1" applyBorder="1" applyAlignment="1">
      <alignment horizontal="right" vertical="top" wrapText="1" indent="1"/>
    </xf>
    <xf numFmtId="169" fontId="16" fillId="0" borderId="22" xfId="0" applyNumberFormat="1" applyFont="1" applyBorder="1" applyAlignment="1">
      <alignment horizontal="right" vertical="top" wrapText="1" indent="1"/>
    </xf>
    <xf numFmtId="169" fontId="16" fillId="0" borderId="122" xfId="0" applyNumberFormat="1" applyFont="1" applyBorder="1" applyAlignment="1">
      <alignment horizontal="right" vertical="top" wrapText="1" indent="1"/>
    </xf>
    <xf numFmtId="169" fontId="16" fillId="21" borderId="96" xfId="0" applyNumberFormat="1" applyFont="1" applyFill="1" applyBorder="1" applyAlignment="1">
      <alignment horizontal="right" vertical="top" wrapText="1" indent="1"/>
    </xf>
    <xf numFmtId="169" fontId="16" fillId="21" borderId="46" xfId="0" applyNumberFormat="1" applyFont="1" applyFill="1" applyBorder="1" applyAlignment="1">
      <alignment horizontal="right" vertical="top" wrapText="1"/>
    </xf>
    <xf numFmtId="0" fontId="34" fillId="18" borderId="123" xfId="0" applyFont="1" applyFill="1" applyBorder="1" applyAlignment="1">
      <alignment horizontal="center" vertical="center"/>
    </xf>
    <xf numFmtId="0" fontId="34" fillId="18" borderId="119" xfId="0" applyFont="1" applyFill="1" applyBorder="1" applyAlignment="1">
      <alignment horizontal="center" vertical="center"/>
    </xf>
    <xf numFmtId="0" fontId="34" fillId="18" borderId="123" xfId="0" applyFont="1" applyFill="1" applyBorder="1" applyAlignment="1">
      <alignment horizontal="left" vertical="top"/>
    </xf>
    <xf numFmtId="14" fontId="34" fillId="18" borderId="119" xfId="0" applyNumberFormat="1" applyFont="1" applyFill="1" applyBorder="1" applyAlignment="1">
      <alignment horizontal="center" vertical="top"/>
    </xf>
    <xf numFmtId="0" fontId="34" fillId="18" borderId="126" xfId="0" applyFont="1" applyFill="1" applyBorder="1" applyAlignment="1">
      <alignment horizontal="left" vertical="top"/>
    </xf>
    <xf numFmtId="0" fontId="34" fillId="18" borderId="120" xfId="0" applyFont="1" applyFill="1" applyBorder="1" applyAlignment="1">
      <alignment horizontal="center" vertical="center" wrapText="1"/>
    </xf>
    <xf numFmtId="4" fontId="35" fillId="18" borderId="119" xfId="0" applyNumberFormat="1" applyFont="1" applyFill="1" applyBorder="1" applyAlignment="1">
      <alignment horizontal="right" vertical="top" indent="1"/>
    </xf>
    <xf numFmtId="170" fontId="34" fillId="18" borderId="119" xfId="0" applyNumberFormat="1" applyFont="1" applyFill="1" applyBorder="1" applyAlignment="1">
      <alignment horizontal="center" vertical="center" wrapText="1"/>
    </xf>
    <xf numFmtId="0" fontId="6" fillId="18" borderId="110" xfId="0" applyFont="1" applyFill="1" applyBorder="1" applyAlignment="1">
      <alignment horizontal="left"/>
    </xf>
    <xf numFmtId="10" fontId="34" fillId="18" borderId="119" xfId="0" applyNumberFormat="1" applyFont="1" applyFill="1" applyBorder="1" applyAlignment="1">
      <alignment horizontal="center" vertical="top"/>
    </xf>
    <xf numFmtId="2" fontId="35" fillId="18" borderId="119" xfId="0" applyNumberFormat="1" applyFont="1" applyFill="1" applyBorder="1" applyAlignment="1">
      <alignment horizontal="right" vertical="top" indent="1"/>
    </xf>
    <xf numFmtId="170" fontId="34" fillId="18" borderId="0" xfId="0" applyNumberFormat="1" applyFont="1" applyFill="1" applyAlignment="1">
      <alignment vertical="top"/>
    </xf>
    <xf numFmtId="4" fontId="6" fillId="18" borderId="0" xfId="0" applyNumberFormat="1" applyFont="1" applyFill="1" applyAlignment="1">
      <alignment vertical="top"/>
    </xf>
    <xf numFmtId="4" fontId="34" fillId="18" borderId="119" xfId="0" applyNumberFormat="1" applyFont="1" applyFill="1" applyBorder="1" applyAlignment="1">
      <alignment horizontal="right" vertical="center" wrapText="1"/>
    </xf>
    <xf numFmtId="0" fontId="2" fillId="0" borderId="127" xfId="0" applyFont="1" applyBorder="1"/>
    <xf numFmtId="169" fontId="16" fillId="21" borderId="67" xfId="0" applyNumberFormat="1" applyFont="1" applyFill="1" applyBorder="1" applyAlignment="1">
      <alignment horizontal="right" vertical="top" wrapText="1" indent="1"/>
    </xf>
    <xf numFmtId="169" fontId="16" fillId="21" borderId="35" xfId="0" applyNumberFormat="1" applyFont="1" applyFill="1" applyBorder="1" applyAlignment="1">
      <alignment horizontal="right" vertical="top" wrapText="1" indent="1"/>
    </xf>
    <xf numFmtId="169" fontId="16" fillId="0" borderId="38" xfId="0" applyNumberFormat="1" applyFont="1" applyBorder="1" applyAlignment="1">
      <alignment horizontal="right" vertical="top" wrapText="1" indent="1"/>
    </xf>
    <xf numFmtId="0" fontId="34" fillId="18" borderId="56" xfId="0" applyFont="1" applyFill="1" applyBorder="1" applyAlignment="1">
      <alignment horizontal="center" vertical="center"/>
    </xf>
    <xf numFmtId="4" fontId="35" fillId="18" borderId="0" xfId="0" applyNumberFormat="1" applyFont="1" applyFill="1" applyAlignment="1">
      <alignment horizontal="right" vertical="top" indent="1"/>
    </xf>
    <xf numFmtId="2" fontId="34" fillId="18" borderId="119" xfId="0" applyNumberFormat="1" applyFont="1" applyFill="1" applyBorder="1" applyAlignment="1">
      <alignment horizontal="center" vertical="top" wrapText="1"/>
    </xf>
    <xf numFmtId="4" fontId="35" fillId="18" borderId="119" xfId="0" applyNumberFormat="1" applyFont="1" applyFill="1" applyBorder="1" applyAlignment="1">
      <alignment horizontal="right" vertical="top" wrapText="1" indent="1"/>
    </xf>
    <xf numFmtId="2" fontId="34" fillId="18" borderId="25" xfId="0" applyNumberFormat="1" applyFont="1" applyFill="1" applyBorder="1" applyAlignment="1">
      <alignment horizontal="center" vertical="top" wrapText="1"/>
    </xf>
    <xf numFmtId="2" fontId="19" fillId="18" borderId="28" xfId="0" applyNumberFormat="1" applyFont="1" applyFill="1" applyBorder="1" applyAlignment="1">
      <alignment horizontal="right" vertical="top"/>
    </xf>
    <xf numFmtId="0" fontId="2" fillId="0" borderId="68" xfId="0" applyFont="1" applyBorder="1"/>
    <xf numFmtId="0" fontId="34" fillId="18" borderId="35" xfId="0" applyFont="1" applyFill="1" applyBorder="1" applyAlignment="1">
      <alignment horizontal="left" vertical="top"/>
    </xf>
    <xf numFmtId="0" fontId="2" fillId="0" borderId="69" xfId="0" applyFont="1" applyBorder="1"/>
    <xf numFmtId="3" fontId="34" fillId="18" borderId="35" xfId="0" applyNumberFormat="1" applyFont="1" applyFill="1" applyBorder="1" applyAlignment="1">
      <alignment horizontal="left" vertical="top"/>
    </xf>
    <xf numFmtId="0" fontId="26" fillId="0" borderId="35" xfId="0" applyFont="1" applyBorder="1"/>
    <xf numFmtId="170" fontId="26" fillId="0" borderId="35" xfId="0" applyNumberFormat="1" applyFont="1" applyBorder="1"/>
    <xf numFmtId="10" fontId="34" fillId="18" borderId="35" xfId="0" applyNumberFormat="1" applyFont="1" applyFill="1" applyBorder="1" applyAlignment="1">
      <alignment horizontal="center" vertical="top"/>
    </xf>
    <xf numFmtId="2" fontId="21" fillId="0" borderId="38" xfId="0" applyNumberFormat="1" applyFont="1" applyBorder="1" applyAlignment="1">
      <alignment horizontal="right"/>
    </xf>
    <xf numFmtId="0" fontId="33" fillId="20" borderId="0" xfId="0" applyFont="1" applyFill="1" applyAlignment="1">
      <alignment horizontal="center" vertical="center" wrapText="1"/>
    </xf>
    <xf numFmtId="0" fontId="33" fillId="20" borderId="103" xfId="0" applyFont="1" applyFill="1" applyBorder="1" applyAlignment="1">
      <alignment horizontal="center" vertical="center" wrapText="1"/>
    </xf>
    <xf numFmtId="0" fontId="33" fillId="20" borderId="131" xfId="0" applyFont="1" applyFill="1" applyBorder="1" applyAlignment="1">
      <alignment horizontal="center" vertical="center" wrapText="1"/>
    </xf>
    <xf numFmtId="0" fontId="33" fillId="20" borderId="132" xfId="0" applyFont="1" applyFill="1" applyBorder="1" applyAlignment="1">
      <alignment horizontal="center" vertical="center" wrapText="1"/>
    </xf>
    <xf numFmtId="0" fontId="33" fillId="20" borderId="133" xfId="0" applyFont="1" applyFill="1" applyBorder="1" applyAlignment="1">
      <alignment horizontal="center" vertical="center" wrapText="1"/>
    </xf>
    <xf numFmtId="0" fontId="33" fillId="20" borderId="42" xfId="0" applyFont="1" applyFill="1" applyBorder="1" applyAlignment="1">
      <alignment horizontal="center" vertical="center" wrapText="1"/>
    </xf>
    <xf numFmtId="0" fontId="33" fillId="20" borderId="134" xfId="0" applyFont="1" applyFill="1" applyBorder="1" applyAlignment="1">
      <alignment horizontal="center" vertical="center" wrapText="1"/>
    </xf>
    <xf numFmtId="169" fontId="16" fillId="21" borderId="138" xfId="0" applyNumberFormat="1" applyFont="1" applyFill="1" applyBorder="1" applyAlignment="1">
      <alignment horizontal="right" vertical="top" wrapText="1" indent="1"/>
    </xf>
    <xf numFmtId="169" fontId="16" fillId="21" borderId="133" xfId="0" applyNumberFormat="1" applyFont="1" applyFill="1" applyBorder="1" applyAlignment="1">
      <alignment horizontal="right" vertical="top" wrapText="1"/>
    </xf>
    <xf numFmtId="169" fontId="16" fillId="21" borderId="139" xfId="0" applyNumberFormat="1" applyFont="1" applyFill="1" applyBorder="1" applyAlignment="1">
      <alignment horizontal="right" vertical="top" wrapText="1" indent="1"/>
    </xf>
    <xf numFmtId="169" fontId="16" fillId="0" borderId="132" xfId="0" applyNumberFormat="1" applyFont="1" applyBorder="1" applyAlignment="1">
      <alignment horizontal="right" vertical="top" wrapText="1" indent="1"/>
    </xf>
    <xf numFmtId="169" fontId="16" fillId="21" borderId="133" xfId="0" applyNumberFormat="1" applyFont="1" applyFill="1" applyBorder="1" applyAlignment="1">
      <alignment horizontal="right" vertical="top" wrapText="1" indent="1"/>
    </xf>
    <xf numFmtId="169" fontId="16" fillId="21" borderId="134" xfId="0" applyNumberFormat="1" applyFont="1" applyFill="1" applyBorder="1" applyAlignment="1">
      <alignment horizontal="right" vertical="top" wrapText="1"/>
    </xf>
    <xf numFmtId="0" fontId="16" fillId="23" borderId="140" xfId="0" applyFont="1" applyFill="1" applyBorder="1" applyProtection="1">
      <protection locked="0"/>
    </xf>
    <xf numFmtId="171" fontId="37" fillId="24" borderId="141" xfId="0" applyNumberFormat="1" applyFont="1" applyFill="1" applyBorder="1" applyAlignment="1" applyProtection="1">
      <alignment horizontal="left"/>
      <protection locked="0"/>
    </xf>
    <xf numFmtId="0" fontId="33" fillId="23" borderId="142" xfId="0" applyFont="1" applyFill="1" applyBorder="1" applyProtection="1">
      <protection locked="0"/>
    </xf>
    <xf numFmtId="0" fontId="38" fillId="24" borderId="143" xfId="0" applyFont="1" applyFill="1" applyBorder="1" applyProtection="1">
      <protection locked="0"/>
    </xf>
    <xf numFmtId="0" fontId="33" fillId="23" borderId="0" xfId="0" applyFont="1" applyFill="1" applyProtection="1">
      <protection locked="0"/>
    </xf>
    <xf numFmtId="0" fontId="39" fillId="24" borderId="143" xfId="0" applyFont="1" applyFill="1" applyBorder="1" applyProtection="1">
      <protection locked="0"/>
    </xf>
    <xf numFmtId="0" fontId="38" fillId="24" borderId="144" xfId="0" applyFont="1" applyFill="1" applyBorder="1" applyProtection="1">
      <protection locked="0"/>
    </xf>
    <xf numFmtId="0" fontId="16" fillId="23" borderId="148" xfId="0" applyFont="1" applyFill="1" applyBorder="1" applyAlignment="1" applyProtection="1">
      <alignment horizontal="center" wrapText="1"/>
      <protection locked="0"/>
    </xf>
    <xf numFmtId="0" fontId="16" fillId="25" borderId="149" xfId="0" applyFont="1" applyFill="1" applyBorder="1" applyAlignment="1" applyProtection="1">
      <alignment horizontal="center"/>
      <protection locked="0"/>
    </xf>
    <xf numFmtId="0" fontId="33" fillId="26" borderId="0" xfId="0" applyFont="1" applyFill="1" applyProtection="1">
      <protection locked="0"/>
    </xf>
    <xf numFmtId="0" fontId="16" fillId="23" borderId="150" xfId="0" applyFont="1" applyFill="1" applyBorder="1" applyProtection="1">
      <protection locked="0"/>
    </xf>
    <xf numFmtId="2" fontId="16" fillId="23" borderId="148" xfId="1" applyNumberFormat="1" applyFont="1" applyFill="1" applyBorder="1" applyAlignment="1" applyProtection="1">
      <alignment horizontal="center"/>
      <protection locked="0"/>
    </xf>
    <xf numFmtId="3" fontId="42" fillId="25" borderId="151" xfId="0" applyNumberFormat="1" applyFont="1" applyFill="1" applyBorder="1" applyAlignment="1" applyProtection="1">
      <alignment horizontal="center"/>
      <protection hidden="1"/>
    </xf>
    <xf numFmtId="10" fontId="33" fillId="26" borderId="0" xfId="0" applyNumberFormat="1" applyFont="1" applyFill="1" applyProtection="1">
      <protection locked="0"/>
    </xf>
    <xf numFmtId="0" fontId="16" fillId="23" borderId="145" xfId="0" applyFont="1" applyFill="1" applyBorder="1"/>
    <xf numFmtId="0" fontId="33" fillId="23" borderId="147" xfId="0" applyFont="1" applyFill="1" applyBorder="1"/>
    <xf numFmtId="0" fontId="33" fillId="23" borderId="152" xfId="0" applyFont="1" applyFill="1" applyBorder="1"/>
    <xf numFmtId="0" fontId="43" fillId="27" borderId="153" xfId="0" applyFont="1" applyFill="1" applyBorder="1" applyProtection="1">
      <protection locked="0"/>
    </xf>
    <xf numFmtId="0" fontId="43" fillId="27" borderId="154" xfId="0" applyFont="1" applyFill="1" applyBorder="1" applyProtection="1">
      <protection locked="0"/>
    </xf>
    <xf numFmtId="0" fontId="43" fillId="27" borderId="155" xfId="0" applyFont="1" applyFill="1" applyBorder="1" applyProtection="1">
      <protection locked="0"/>
    </xf>
    <xf numFmtId="0" fontId="33" fillId="28" borderId="156" xfId="0" applyFont="1" applyFill="1" applyBorder="1"/>
    <xf numFmtId="0" fontId="16" fillId="29" borderId="156" xfId="0" applyFont="1" applyFill="1" applyBorder="1" applyAlignment="1" applyProtection="1">
      <alignment horizontal="center" vertical="center" wrapText="1"/>
      <protection hidden="1"/>
    </xf>
    <xf numFmtId="0" fontId="16" fillId="29" borderId="157" xfId="0" applyFont="1" applyFill="1" applyBorder="1" applyAlignment="1" applyProtection="1">
      <alignment horizontal="center" vertical="center" wrapText="1"/>
      <protection hidden="1"/>
    </xf>
    <xf numFmtId="0" fontId="16" fillId="23" borderId="140" xfId="0" applyFont="1" applyFill="1" applyBorder="1"/>
    <xf numFmtId="0" fontId="33" fillId="23" borderId="0" xfId="0" applyFont="1" applyFill="1"/>
    <xf numFmtId="0" fontId="33" fillId="23" borderId="158" xfId="0" applyFont="1" applyFill="1" applyBorder="1"/>
    <xf numFmtId="0" fontId="33" fillId="23" borderId="159" xfId="0" applyFont="1" applyFill="1" applyBorder="1" applyProtection="1">
      <protection locked="0"/>
    </xf>
    <xf numFmtId="0" fontId="33" fillId="23" borderId="160" xfId="0" applyFont="1" applyFill="1" applyBorder="1" applyProtection="1">
      <protection locked="0"/>
    </xf>
    <xf numFmtId="0" fontId="33" fillId="23" borderId="161" xfId="0" applyFont="1" applyFill="1" applyBorder="1" applyProtection="1">
      <protection locked="0"/>
    </xf>
    <xf numFmtId="0" fontId="33" fillId="28" borderId="159" xfId="0" applyFont="1" applyFill="1" applyBorder="1"/>
    <xf numFmtId="0" fontId="16" fillId="23" borderId="162" xfId="0" applyFont="1" applyFill="1" applyBorder="1" applyAlignment="1">
      <alignment vertical="center" wrapText="1"/>
    </xf>
    <xf numFmtId="0" fontId="16" fillId="23" borderId="163" xfId="0" applyFont="1" applyFill="1" applyBorder="1" applyAlignment="1">
      <alignment horizontal="center" vertical="center"/>
    </xf>
    <xf numFmtId="0" fontId="42" fillId="23" borderId="164" xfId="0" applyFont="1" applyFill="1" applyBorder="1" applyAlignment="1">
      <alignment horizontal="center" vertical="center"/>
    </xf>
    <xf numFmtId="0" fontId="42" fillId="23" borderId="153" xfId="0" applyFont="1" applyFill="1" applyBorder="1" applyAlignment="1" applyProtection="1">
      <alignment horizontal="center" vertical="center"/>
      <protection locked="0"/>
    </xf>
    <xf numFmtId="0" fontId="42" fillId="23" borderId="154" xfId="0" applyFont="1" applyFill="1" applyBorder="1" applyAlignment="1" applyProtection="1">
      <alignment horizontal="center" vertical="center"/>
      <protection locked="0"/>
    </xf>
    <xf numFmtId="0" fontId="42" fillId="23" borderId="155" xfId="0" applyFont="1" applyFill="1" applyBorder="1" applyAlignment="1" applyProtection="1">
      <alignment horizontal="center" vertical="center"/>
      <protection locked="0"/>
    </xf>
    <xf numFmtId="0" fontId="42" fillId="28" borderId="153" xfId="0" applyFont="1" applyFill="1" applyBorder="1" applyAlignment="1">
      <alignment horizontal="center" vertical="center"/>
    </xf>
    <xf numFmtId="0" fontId="16" fillId="29" borderId="153" xfId="0" applyFont="1" applyFill="1" applyBorder="1" applyAlignment="1" applyProtection="1">
      <alignment horizontal="center" vertical="center" wrapText="1"/>
      <protection hidden="1"/>
    </xf>
    <xf numFmtId="0" fontId="16" fillId="29" borderId="165" xfId="0" applyFont="1" applyFill="1" applyBorder="1" applyAlignment="1" applyProtection="1">
      <alignment horizontal="center" vertical="center" wrapText="1"/>
      <protection hidden="1"/>
    </xf>
    <xf numFmtId="0" fontId="16" fillId="23" borderId="168" xfId="0" applyFont="1" applyFill="1" applyBorder="1" applyProtection="1">
      <protection locked="0"/>
    </xf>
    <xf numFmtId="0" fontId="33" fillId="0" borderId="168" xfId="0" applyFont="1" applyBorder="1" applyProtection="1">
      <protection locked="0"/>
    </xf>
    <xf numFmtId="0" fontId="33" fillId="0" borderId="169" xfId="0" applyFont="1" applyBorder="1" applyProtection="1">
      <protection locked="0"/>
    </xf>
    <xf numFmtId="0" fontId="33" fillId="0" borderId="170" xfId="0" applyFont="1" applyBorder="1" applyProtection="1">
      <protection locked="0"/>
    </xf>
    <xf numFmtId="0" fontId="2" fillId="0" borderId="168" xfId="0" applyFont="1" applyBorder="1" applyProtection="1">
      <protection locked="0"/>
    </xf>
    <xf numFmtId="0" fontId="33" fillId="0" borderId="171" xfId="0" applyFont="1" applyBorder="1" applyProtection="1">
      <protection locked="0"/>
    </xf>
    <xf numFmtId="3" fontId="33" fillId="28" borderId="25" xfId="0" applyNumberFormat="1" applyFont="1" applyFill="1" applyBorder="1" applyAlignment="1" applyProtection="1">
      <alignment horizontal="center"/>
      <protection hidden="1"/>
    </xf>
    <xf numFmtId="4" fontId="33" fillId="29" borderId="170" xfId="0" applyNumberFormat="1" applyFont="1" applyFill="1" applyBorder="1" applyAlignment="1" applyProtection="1">
      <alignment horizontal="center"/>
      <protection hidden="1"/>
    </xf>
    <xf numFmtId="3" fontId="33" fillId="29" borderId="168" xfId="0" applyNumberFormat="1" applyFont="1" applyFill="1" applyBorder="1" applyAlignment="1" applyProtection="1">
      <alignment horizontal="center"/>
      <protection hidden="1"/>
    </xf>
    <xf numFmtId="3" fontId="33" fillId="0" borderId="168" xfId="0" applyNumberFormat="1" applyFont="1" applyBorder="1" applyAlignment="1" applyProtection="1">
      <alignment horizontal="center"/>
      <protection hidden="1"/>
    </xf>
    <xf numFmtId="0" fontId="16" fillId="23" borderId="172" xfId="0" applyFont="1" applyFill="1" applyBorder="1" applyProtection="1">
      <protection locked="0"/>
    </xf>
    <xf numFmtId="0" fontId="33" fillId="0" borderId="172" xfId="0" applyFont="1" applyBorder="1" applyProtection="1">
      <protection locked="0"/>
    </xf>
    <xf numFmtId="0" fontId="33" fillId="0" borderId="173" xfId="0" applyFont="1" applyBorder="1" applyProtection="1">
      <protection locked="0"/>
    </xf>
    <xf numFmtId="0" fontId="33" fillId="0" borderId="174" xfId="0" applyFont="1" applyBorder="1" applyProtection="1">
      <protection locked="0"/>
    </xf>
    <xf numFmtId="0" fontId="2" fillId="0" borderId="172" xfId="0" applyFont="1" applyBorder="1" applyProtection="1">
      <protection locked="0"/>
    </xf>
    <xf numFmtId="0" fontId="33" fillId="0" borderId="175" xfId="0" applyFont="1" applyBorder="1" applyProtection="1">
      <protection locked="0"/>
    </xf>
    <xf numFmtId="4" fontId="33" fillId="29" borderId="174" xfId="0" applyNumberFormat="1" applyFont="1" applyFill="1" applyBorder="1" applyAlignment="1" applyProtection="1">
      <alignment horizontal="center"/>
      <protection hidden="1"/>
    </xf>
    <xf numFmtId="3" fontId="33" fillId="29" borderId="172" xfId="0" applyNumberFormat="1" applyFont="1" applyFill="1" applyBorder="1" applyAlignment="1" applyProtection="1">
      <alignment horizontal="center"/>
      <protection hidden="1"/>
    </xf>
    <xf numFmtId="3" fontId="33" fillId="0" borderId="172" xfId="0" applyNumberFormat="1" applyFont="1" applyBorder="1" applyAlignment="1" applyProtection="1">
      <alignment horizontal="center"/>
      <protection hidden="1"/>
    </xf>
    <xf numFmtId="0" fontId="33" fillId="9" borderId="172" xfId="0" applyFont="1" applyFill="1" applyBorder="1" applyProtection="1">
      <protection locked="0"/>
    </xf>
    <xf numFmtId="0" fontId="32" fillId="0" borderId="172" xfId="0" applyFont="1" applyBorder="1" applyProtection="1">
      <protection locked="0"/>
    </xf>
    <xf numFmtId="0" fontId="32" fillId="9" borderId="172" xfId="0" applyFont="1" applyFill="1" applyBorder="1" applyProtection="1">
      <protection locked="0"/>
    </xf>
    <xf numFmtId="0" fontId="44" fillId="0" borderId="25" xfId="0" applyFont="1" applyBorder="1"/>
    <xf numFmtId="0" fontId="44" fillId="0" borderId="176" xfId="0" applyFont="1" applyBorder="1" applyProtection="1">
      <protection locked="0"/>
    </xf>
    <xf numFmtId="0" fontId="44" fillId="0" borderId="29" xfId="0" applyFont="1" applyBorder="1"/>
    <xf numFmtId="0" fontId="44" fillId="0" borderId="30" xfId="0" applyFont="1" applyBorder="1"/>
    <xf numFmtId="0" fontId="44" fillId="9" borderId="29" xfId="0" applyFont="1" applyFill="1" applyBorder="1"/>
    <xf numFmtId="0" fontId="44" fillId="9" borderId="176" xfId="0" applyFont="1" applyFill="1" applyBorder="1" applyProtection="1">
      <protection locked="0"/>
    </xf>
    <xf numFmtId="0" fontId="44" fillId="0" borderId="31" xfId="0" applyFont="1" applyBorder="1"/>
    <xf numFmtId="0" fontId="44" fillId="0" borderId="172" xfId="0" applyFont="1" applyBorder="1" applyProtection="1">
      <protection locked="0"/>
    </xf>
    <xf numFmtId="0" fontId="44" fillId="30" borderId="25" xfId="0" applyFont="1" applyFill="1" applyBorder="1" applyProtection="1">
      <protection locked="0"/>
    </xf>
    <xf numFmtId="0" fontId="44" fillId="0" borderId="25" xfId="0" applyFont="1" applyBorder="1" applyProtection="1">
      <protection locked="0"/>
    </xf>
    <xf numFmtId="0" fontId="44" fillId="9" borderId="25" xfId="0" applyFont="1" applyFill="1" applyBorder="1" applyProtection="1">
      <protection locked="0"/>
    </xf>
    <xf numFmtId="0" fontId="44" fillId="9" borderId="25" xfId="0" applyFont="1" applyFill="1" applyBorder="1"/>
    <xf numFmtId="0" fontId="44" fillId="31" borderId="25" xfId="0" applyFont="1" applyFill="1" applyBorder="1"/>
    <xf numFmtId="0" fontId="33" fillId="0" borderId="25" xfId="0" applyFont="1" applyBorder="1" applyProtection="1">
      <protection locked="0"/>
    </xf>
    <xf numFmtId="3" fontId="33" fillId="28" borderId="24" xfId="0" applyNumberFormat="1" applyFont="1" applyFill="1" applyBorder="1" applyAlignment="1" applyProtection="1">
      <alignment horizontal="center"/>
      <protection hidden="1"/>
    </xf>
    <xf numFmtId="0" fontId="44" fillId="0" borderId="64" xfId="0" applyFont="1" applyBorder="1" applyProtection="1">
      <protection locked="0"/>
    </xf>
    <xf numFmtId="0" fontId="44" fillId="30" borderId="25" xfId="0" applyFont="1" applyFill="1" applyBorder="1"/>
    <xf numFmtId="0" fontId="44" fillId="32" borderId="25" xfId="0" applyFont="1" applyFill="1" applyBorder="1"/>
    <xf numFmtId="0" fontId="44" fillId="33" borderId="25" xfId="0" applyFont="1" applyFill="1" applyBorder="1"/>
    <xf numFmtId="0" fontId="44" fillId="34" borderId="25" xfId="0" applyFont="1" applyFill="1" applyBorder="1"/>
    <xf numFmtId="0" fontId="44" fillId="31" borderId="0" xfId="0" applyFont="1" applyFill="1"/>
    <xf numFmtId="0" fontId="44" fillId="35" borderId="25" xfId="0" applyFont="1" applyFill="1" applyBorder="1"/>
    <xf numFmtId="0" fontId="44" fillId="36" borderId="25" xfId="0" applyFont="1" applyFill="1" applyBorder="1"/>
    <xf numFmtId="0" fontId="44" fillId="9" borderId="0" xfId="0" applyFont="1" applyFill="1"/>
    <xf numFmtId="0" fontId="32" fillId="23" borderId="177" xfId="0" applyFont="1" applyFill="1" applyBorder="1" applyProtection="1">
      <protection locked="0"/>
    </xf>
    <xf numFmtId="0" fontId="44" fillId="0" borderId="178" xfId="0" applyFont="1" applyBorder="1" applyProtection="1">
      <protection locked="0"/>
    </xf>
    <xf numFmtId="0" fontId="44" fillId="37" borderId="50" xfId="0" applyFont="1" applyFill="1" applyBorder="1"/>
    <xf numFmtId="0" fontId="44" fillId="38" borderId="50" xfId="0" applyFont="1" applyFill="1" applyBorder="1"/>
    <xf numFmtId="0" fontId="44" fillId="37" borderId="179" xfId="0" applyFont="1" applyFill="1" applyBorder="1"/>
    <xf numFmtId="0" fontId="44" fillId="38" borderId="57" xfId="0" applyFont="1" applyFill="1" applyBorder="1"/>
    <xf numFmtId="0" fontId="44" fillId="30" borderId="83" xfId="0" applyFont="1" applyFill="1" applyBorder="1"/>
    <xf numFmtId="3" fontId="33" fillId="28" borderId="30" xfId="0" applyNumberFormat="1" applyFont="1" applyFill="1" applyBorder="1" applyAlignment="1" applyProtection="1">
      <alignment horizontal="center"/>
      <protection hidden="1"/>
    </xf>
    <xf numFmtId="4" fontId="33" fillId="29" borderId="180" xfId="0" applyNumberFormat="1" applyFont="1" applyFill="1" applyBorder="1" applyAlignment="1" applyProtection="1">
      <alignment horizontal="center"/>
      <protection hidden="1"/>
    </xf>
    <xf numFmtId="3" fontId="33" fillId="29" borderId="176" xfId="0" applyNumberFormat="1" applyFont="1" applyFill="1" applyBorder="1" applyAlignment="1" applyProtection="1">
      <alignment horizontal="center"/>
      <protection hidden="1"/>
    </xf>
    <xf numFmtId="3" fontId="33" fillId="0" borderId="176" xfId="0" applyNumberFormat="1" applyFont="1" applyBorder="1" applyAlignment="1" applyProtection="1">
      <alignment horizontal="center"/>
      <protection hidden="1"/>
    </xf>
    <xf numFmtId="3" fontId="16" fillId="39" borderId="181" xfId="0" applyNumberFormat="1" applyFont="1" applyFill="1" applyBorder="1" applyAlignment="1" applyProtection="1">
      <alignment horizontal="center"/>
      <protection locked="0" hidden="1"/>
    </xf>
    <xf numFmtId="3" fontId="16" fillId="28" borderId="153" xfId="0" applyNumberFormat="1" applyFont="1" applyFill="1" applyBorder="1" applyAlignment="1" applyProtection="1">
      <alignment horizontal="center"/>
      <protection locked="0" hidden="1"/>
    </xf>
    <xf numFmtId="3" fontId="16" fillId="28" borderId="154" xfId="0" applyNumberFormat="1" applyFont="1" applyFill="1" applyBorder="1" applyAlignment="1" applyProtection="1">
      <alignment horizontal="center"/>
      <protection locked="0" hidden="1"/>
    </xf>
    <xf numFmtId="3" fontId="16" fillId="28" borderId="155" xfId="0" applyNumberFormat="1" applyFont="1" applyFill="1" applyBorder="1" applyAlignment="1" applyProtection="1">
      <alignment horizontal="center"/>
      <protection locked="0" hidden="1"/>
    </xf>
    <xf numFmtId="3" fontId="16" fillId="28" borderId="153" xfId="0" applyNumberFormat="1" applyFont="1" applyFill="1" applyBorder="1" applyAlignment="1" applyProtection="1">
      <alignment horizontal="center"/>
      <protection hidden="1"/>
    </xf>
    <xf numFmtId="4" fontId="16" fillId="28" borderId="153" xfId="0" applyNumberFormat="1" applyFont="1" applyFill="1" applyBorder="1" applyAlignment="1" applyProtection="1">
      <alignment horizontal="center"/>
      <protection hidden="1"/>
    </xf>
    <xf numFmtId="3" fontId="16" fillId="28" borderId="165" xfId="0" applyNumberFormat="1" applyFont="1" applyFill="1" applyBorder="1" applyAlignment="1" applyProtection="1">
      <alignment horizontal="center"/>
      <protection hidden="1"/>
    </xf>
    <xf numFmtId="165" fontId="4" fillId="2" borderId="0" xfId="0" applyNumberFormat="1" applyFont="1" applyFill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 vertical="top"/>
    </xf>
    <xf numFmtId="0" fontId="10" fillId="3" borderId="1" xfId="0" applyFont="1" applyFill="1" applyBorder="1" applyAlignment="1" applyProtection="1">
      <alignment horizontal="center" vertical="center" wrapText="1"/>
      <protection locked="0"/>
    </xf>
    <xf numFmtId="0" fontId="10" fillId="3" borderId="2" xfId="0" applyFont="1" applyFill="1" applyBorder="1" applyAlignment="1" applyProtection="1">
      <alignment horizontal="center" vertical="center" wrapText="1"/>
      <protection locked="0"/>
    </xf>
    <xf numFmtId="0" fontId="10" fillId="3" borderId="3" xfId="0" applyFont="1" applyFill="1" applyBorder="1" applyAlignment="1" applyProtection="1">
      <alignment horizontal="center" vertical="center" wrapText="1"/>
      <protection locked="0"/>
    </xf>
    <xf numFmtId="0" fontId="10" fillId="3" borderId="7" xfId="0" applyFont="1" applyFill="1" applyBorder="1" applyAlignment="1" applyProtection="1">
      <alignment horizontal="center" vertical="center" wrapText="1"/>
      <protection locked="0"/>
    </xf>
    <xf numFmtId="0" fontId="10" fillId="3" borderId="8" xfId="0" applyFont="1" applyFill="1" applyBorder="1" applyAlignment="1" applyProtection="1">
      <alignment horizontal="center" vertical="center" wrapText="1"/>
      <protection locked="0"/>
    </xf>
    <xf numFmtId="0" fontId="10" fillId="3" borderId="9" xfId="0" applyFont="1" applyFill="1" applyBorder="1" applyAlignment="1" applyProtection="1">
      <alignment horizontal="center" vertical="center" wrapText="1"/>
      <protection locked="0"/>
    </xf>
    <xf numFmtId="3" fontId="5" fillId="2" borderId="4" xfId="0" applyNumberFormat="1" applyFont="1" applyFill="1" applyBorder="1" applyAlignment="1" applyProtection="1">
      <alignment horizontal="center"/>
      <protection locked="0"/>
    </xf>
    <xf numFmtId="3" fontId="5" fillId="2" borderId="5" xfId="0" applyNumberFormat="1" applyFont="1" applyFill="1" applyBorder="1" applyAlignment="1" applyProtection="1">
      <alignment horizontal="center"/>
      <protection locked="0"/>
    </xf>
    <xf numFmtId="0" fontId="6" fillId="2" borderId="0" xfId="0" applyFont="1" applyFill="1" applyAlignment="1">
      <alignment horizontal="center" vertical="top"/>
    </xf>
    <xf numFmtId="0" fontId="2" fillId="2" borderId="0" xfId="0" applyFont="1" applyFill="1" applyAlignment="1">
      <alignment horizontal="center"/>
    </xf>
    <xf numFmtId="0" fontId="13" fillId="2" borderId="10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0" fontId="11" fillId="2" borderId="13" xfId="0" applyFont="1" applyFill="1" applyBorder="1" applyAlignment="1">
      <alignment horizontal="left" vertical="center" wrapText="1"/>
    </xf>
    <xf numFmtId="0" fontId="11" fillId="2" borderId="16" xfId="0" applyFont="1" applyFill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 wrapText="1"/>
    </xf>
    <xf numFmtId="0" fontId="15" fillId="0" borderId="17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15" fillId="0" borderId="23" xfId="0" applyFont="1" applyBorder="1" applyAlignment="1">
      <alignment horizontal="left" vertical="center"/>
    </xf>
    <xf numFmtId="0" fontId="13" fillId="7" borderId="26" xfId="0" applyFont="1" applyFill="1" applyBorder="1" applyAlignment="1">
      <alignment horizontal="center" vertical="center"/>
    </xf>
    <xf numFmtId="0" fontId="13" fillId="7" borderId="27" xfId="0" applyFont="1" applyFill="1" applyBorder="1" applyAlignment="1">
      <alignment horizontal="center" vertical="center"/>
    </xf>
    <xf numFmtId="0" fontId="13" fillId="7" borderId="24" xfId="0" applyFont="1" applyFill="1" applyBorder="1" applyAlignment="1">
      <alignment horizontal="center" vertical="center"/>
    </xf>
    <xf numFmtId="166" fontId="6" fillId="4" borderId="29" xfId="1" applyNumberFormat="1" applyFont="1" applyFill="1" applyBorder="1" applyAlignment="1" applyProtection="1">
      <alignment horizontal="center" vertical="center" wrapText="1"/>
    </xf>
    <xf numFmtId="166" fontId="6" fillId="4" borderId="19" xfId="1" applyNumberFormat="1" applyFont="1" applyFill="1" applyBorder="1" applyAlignment="1" applyProtection="1">
      <alignment horizontal="center" vertical="center" wrapText="1"/>
    </xf>
    <xf numFmtId="0" fontId="21" fillId="7" borderId="29" xfId="0" applyFont="1" applyFill="1" applyBorder="1" applyAlignment="1">
      <alignment horizontal="center" vertical="center"/>
    </xf>
    <xf numFmtId="0" fontId="21" fillId="7" borderId="19" xfId="0" applyFont="1" applyFill="1" applyBorder="1" applyAlignment="1">
      <alignment horizontal="center" vertical="center"/>
    </xf>
    <xf numFmtId="0" fontId="11" fillId="10" borderId="25" xfId="0" applyFont="1" applyFill="1" applyBorder="1" applyAlignment="1">
      <alignment horizontal="center" vertical="top"/>
    </xf>
    <xf numFmtId="0" fontId="15" fillId="0" borderId="33" xfId="0" applyFont="1" applyBorder="1" applyAlignment="1">
      <alignment horizontal="left" vertical="center"/>
    </xf>
    <xf numFmtId="0" fontId="28" fillId="10" borderId="1" xfId="0" applyFont="1" applyFill="1" applyBorder="1" applyAlignment="1">
      <alignment horizontal="center" vertical="center"/>
    </xf>
    <xf numFmtId="0" fontId="28" fillId="10" borderId="2" xfId="0" applyFont="1" applyFill="1" applyBorder="1" applyAlignment="1">
      <alignment horizontal="center" vertical="center"/>
    </xf>
    <xf numFmtId="0" fontId="28" fillId="10" borderId="3" xfId="0" applyFont="1" applyFill="1" applyBorder="1" applyAlignment="1">
      <alignment horizontal="center" vertical="center"/>
    </xf>
    <xf numFmtId="0" fontId="28" fillId="10" borderId="7" xfId="0" applyFont="1" applyFill="1" applyBorder="1" applyAlignment="1">
      <alignment horizontal="center" vertical="center"/>
    </xf>
    <xf numFmtId="0" fontId="28" fillId="10" borderId="8" xfId="0" applyFont="1" applyFill="1" applyBorder="1" applyAlignment="1">
      <alignment horizontal="center" vertical="center"/>
    </xf>
    <xf numFmtId="0" fontId="28" fillId="10" borderId="9" xfId="0" applyFont="1" applyFill="1" applyBorder="1" applyAlignment="1">
      <alignment horizontal="center" vertical="center"/>
    </xf>
    <xf numFmtId="0" fontId="16" fillId="13" borderId="10" xfId="0" applyFont="1" applyFill="1" applyBorder="1" applyAlignment="1">
      <alignment horizontal="center" vertical="center"/>
    </xf>
    <xf numFmtId="0" fontId="16" fillId="13" borderId="11" xfId="0" applyFont="1" applyFill="1" applyBorder="1" applyAlignment="1">
      <alignment horizontal="center" vertical="center"/>
    </xf>
    <xf numFmtId="0" fontId="16" fillId="13" borderId="12" xfId="0" applyFont="1" applyFill="1" applyBorder="1" applyAlignment="1">
      <alignment horizontal="center" vertical="center"/>
    </xf>
    <xf numFmtId="0" fontId="11" fillId="13" borderId="1" xfId="0" applyFont="1" applyFill="1" applyBorder="1" applyAlignment="1">
      <alignment horizontal="center" vertical="center" wrapText="1"/>
    </xf>
    <xf numFmtId="0" fontId="11" fillId="13" borderId="2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1" fillId="13" borderId="7" xfId="0" applyFont="1" applyFill="1" applyBorder="1" applyAlignment="1">
      <alignment horizontal="center" vertical="center" wrapText="1"/>
    </xf>
    <xf numFmtId="0" fontId="11" fillId="13" borderId="8" xfId="0" applyFont="1" applyFill="1" applyBorder="1" applyAlignment="1">
      <alignment horizontal="center" vertical="center" wrapText="1"/>
    </xf>
    <xf numFmtId="0" fontId="11" fillId="13" borderId="9" xfId="0" applyFont="1" applyFill="1" applyBorder="1" applyAlignment="1">
      <alignment horizontal="center" vertical="center" wrapText="1"/>
    </xf>
    <xf numFmtId="3" fontId="11" fillId="13" borderId="10" xfId="0" applyNumberFormat="1" applyFont="1" applyFill="1" applyBorder="1" applyAlignment="1">
      <alignment horizontal="center" vertical="center"/>
    </xf>
    <xf numFmtId="3" fontId="11" fillId="13" borderId="11" xfId="0" applyNumberFormat="1" applyFont="1" applyFill="1" applyBorder="1" applyAlignment="1">
      <alignment horizontal="center" vertical="center"/>
    </xf>
    <xf numFmtId="3" fontId="11" fillId="13" borderId="10" xfId="0" applyNumberFormat="1" applyFont="1" applyFill="1" applyBorder="1" applyAlignment="1">
      <alignment horizontal="center" vertical="center" wrapText="1"/>
    </xf>
    <xf numFmtId="3" fontId="11" fillId="13" borderId="11" xfId="0" applyNumberFormat="1" applyFont="1" applyFill="1" applyBorder="1" applyAlignment="1">
      <alignment horizontal="center" vertical="center" wrapText="1"/>
    </xf>
    <xf numFmtId="3" fontId="11" fillId="13" borderId="53" xfId="0" applyNumberFormat="1" applyFont="1" applyFill="1" applyBorder="1" applyAlignment="1">
      <alignment horizontal="center" vertical="center" wrapText="1"/>
    </xf>
    <xf numFmtId="3" fontId="11" fillId="13" borderId="52" xfId="0" applyNumberFormat="1" applyFont="1" applyFill="1" applyBorder="1" applyAlignment="1">
      <alignment horizontal="center" vertical="center" wrapText="1"/>
    </xf>
    <xf numFmtId="3" fontId="11" fillId="13" borderId="12" xfId="0" applyNumberFormat="1" applyFont="1" applyFill="1" applyBorder="1" applyAlignment="1">
      <alignment horizontal="center" vertical="center" wrapText="1"/>
    </xf>
    <xf numFmtId="3" fontId="11" fillId="13" borderId="7" xfId="0" applyNumberFormat="1" applyFont="1" applyFill="1" applyBorder="1" applyAlignment="1">
      <alignment horizontal="center" vertical="center"/>
    </xf>
    <xf numFmtId="3" fontId="11" fillId="13" borderId="54" xfId="0" applyNumberFormat="1" applyFont="1" applyFill="1" applyBorder="1" applyAlignment="1">
      <alignment horizontal="center" vertical="center"/>
    </xf>
    <xf numFmtId="3" fontId="11" fillId="13" borderId="56" xfId="0" applyNumberFormat="1" applyFont="1" applyFill="1" applyBorder="1" applyAlignment="1">
      <alignment horizontal="center" vertical="center" wrapText="1"/>
    </xf>
    <xf numFmtId="3" fontId="11" fillId="13" borderId="57" xfId="0" applyNumberFormat="1" applyFont="1" applyFill="1" applyBorder="1" applyAlignment="1">
      <alignment horizontal="center" vertical="center" wrapText="1"/>
    </xf>
    <xf numFmtId="3" fontId="11" fillId="13" borderId="14" xfId="0" applyNumberFormat="1" applyFont="1" applyFill="1" applyBorder="1" applyAlignment="1">
      <alignment horizontal="center" vertical="center" wrapText="1"/>
    </xf>
    <xf numFmtId="0" fontId="15" fillId="0" borderId="46" xfId="0" applyFont="1" applyBorder="1" applyAlignment="1">
      <alignment horizontal="left" vertical="center"/>
    </xf>
    <xf numFmtId="168" fontId="31" fillId="0" borderId="7" xfId="1" applyNumberFormat="1" applyFont="1" applyBorder="1" applyAlignment="1" applyProtection="1">
      <alignment horizontal="center" vertical="center"/>
    </xf>
    <xf numFmtId="168" fontId="31" fillId="0" borderId="8" xfId="1" applyNumberFormat="1" applyFont="1" applyBorder="1" applyAlignment="1" applyProtection="1">
      <alignment horizontal="center" vertical="center"/>
    </xf>
    <xf numFmtId="168" fontId="31" fillId="0" borderId="68" xfId="1" applyNumberFormat="1" applyFont="1" applyBorder="1" applyAlignment="1" applyProtection="1">
      <alignment horizontal="center" vertical="center"/>
    </xf>
    <xf numFmtId="168" fontId="31" fillId="0" borderId="69" xfId="1" applyNumberFormat="1" applyFont="1" applyBorder="1" applyAlignment="1" applyProtection="1">
      <alignment horizontal="center" vertical="center"/>
    </xf>
    <xf numFmtId="168" fontId="31" fillId="0" borderId="70" xfId="1" applyNumberFormat="1" applyFont="1" applyBorder="1" applyAlignment="1" applyProtection="1">
      <alignment horizontal="center" vertical="center"/>
    </xf>
    <xf numFmtId="168" fontId="31" fillId="0" borderId="10" xfId="1" applyNumberFormat="1" applyFont="1" applyBorder="1" applyAlignment="1" applyProtection="1">
      <alignment horizontal="center" vertical="center"/>
    </xf>
    <xf numFmtId="168" fontId="31" fillId="0" borderId="11" xfId="1" applyNumberFormat="1" applyFont="1" applyBorder="1" applyAlignment="1" applyProtection="1">
      <alignment horizontal="center" vertical="center"/>
    </xf>
    <xf numFmtId="168" fontId="31" fillId="0" borderId="12" xfId="1" applyNumberFormat="1" applyFont="1" applyBorder="1" applyAlignment="1" applyProtection="1">
      <alignment horizontal="center" vertical="center"/>
    </xf>
    <xf numFmtId="0" fontId="6" fillId="0" borderId="65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168" fontId="30" fillId="0" borderId="10" xfId="0" applyNumberFormat="1" applyFont="1" applyBorder="1" applyAlignment="1">
      <alignment horizontal="center" vertical="center"/>
    </xf>
    <xf numFmtId="168" fontId="30" fillId="0" borderId="11" xfId="0" applyNumberFormat="1" applyFont="1" applyBorder="1" applyAlignment="1">
      <alignment horizontal="center" vertical="center"/>
    </xf>
    <xf numFmtId="168" fontId="30" fillId="0" borderId="12" xfId="0" applyNumberFormat="1" applyFont="1" applyBorder="1" applyAlignment="1">
      <alignment horizontal="center" vertical="center"/>
    </xf>
    <xf numFmtId="0" fontId="9" fillId="2" borderId="0" xfId="0" applyFont="1" applyFill="1" applyAlignment="1">
      <alignment horizontal="left" vertical="top"/>
    </xf>
    <xf numFmtId="0" fontId="10" fillId="3" borderId="25" xfId="0" applyFont="1" applyFill="1" applyBorder="1" applyAlignment="1" applyProtection="1">
      <alignment horizontal="center" vertical="center" wrapText="1"/>
      <protection locked="0"/>
    </xf>
    <xf numFmtId="3" fontId="5" fillId="2" borderId="71" xfId="0" applyNumberFormat="1" applyFont="1" applyFill="1" applyBorder="1" applyAlignment="1" applyProtection="1">
      <alignment horizontal="center"/>
      <protection locked="0"/>
    </xf>
    <xf numFmtId="0" fontId="11" fillId="2" borderId="42" xfId="0" applyFont="1" applyFill="1" applyBorder="1" applyAlignment="1">
      <alignment horizontal="left" vertical="center" wrapText="1"/>
    </xf>
    <xf numFmtId="0" fontId="11" fillId="2" borderId="52" xfId="0" applyFont="1" applyFill="1" applyBorder="1" applyAlignment="1">
      <alignment horizontal="center" vertical="center" wrapText="1"/>
    </xf>
    <xf numFmtId="166" fontId="6" fillId="4" borderId="25" xfId="1" applyNumberFormat="1" applyFont="1" applyFill="1" applyBorder="1" applyAlignment="1" applyProtection="1">
      <alignment horizontal="center" vertical="center" wrapText="1"/>
    </xf>
    <xf numFmtId="0" fontId="13" fillId="15" borderId="25" xfId="0" applyFont="1" applyFill="1" applyBorder="1" applyAlignment="1">
      <alignment horizontal="center" vertical="center"/>
    </xf>
    <xf numFmtId="0" fontId="11" fillId="11" borderId="25" xfId="0" applyFont="1" applyFill="1" applyBorder="1" applyAlignment="1">
      <alignment horizontal="center" vertical="top"/>
    </xf>
    <xf numFmtId="0" fontId="11" fillId="15" borderId="25" xfId="0" applyFont="1" applyFill="1" applyBorder="1" applyAlignment="1">
      <alignment horizontal="center" vertical="center" wrapText="1"/>
    </xf>
    <xf numFmtId="0" fontId="13" fillId="2" borderId="72" xfId="0" applyFont="1" applyFill="1" applyBorder="1" applyAlignment="1">
      <alignment horizontal="center" vertical="center"/>
    </xf>
    <xf numFmtId="0" fontId="13" fillId="2" borderId="73" xfId="0" applyFont="1" applyFill="1" applyBorder="1" applyAlignment="1">
      <alignment horizontal="center" vertical="center"/>
    </xf>
    <xf numFmtId="0" fontId="13" fillId="2" borderId="74" xfId="0" applyFont="1" applyFill="1" applyBorder="1" applyAlignment="1">
      <alignment horizontal="center" vertical="center"/>
    </xf>
    <xf numFmtId="0" fontId="11" fillId="2" borderId="49" xfId="0" applyFont="1" applyFill="1" applyBorder="1" applyAlignment="1">
      <alignment horizontal="left" vertical="center" wrapText="1"/>
    </xf>
    <xf numFmtId="0" fontId="11" fillId="2" borderId="70" xfId="0" applyFont="1" applyFill="1" applyBorder="1" applyAlignment="1">
      <alignment horizontal="center" vertical="center" wrapText="1"/>
    </xf>
    <xf numFmtId="0" fontId="13" fillId="15" borderId="29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  <xf numFmtId="17" fontId="16" fillId="40" borderId="89" xfId="0" applyNumberFormat="1" applyFont="1" applyFill="1" applyBorder="1" applyAlignment="1">
      <alignment horizontal="left" vertical="center" wrapText="1"/>
    </xf>
    <xf numFmtId="17" fontId="16" fillId="40" borderId="60" xfId="0" applyNumberFormat="1" applyFont="1" applyFill="1" applyBorder="1" applyAlignment="1">
      <alignment horizontal="left" vertical="center" wrapText="1"/>
    </xf>
    <xf numFmtId="17" fontId="16" fillId="40" borderId="18" xfId="0" applyNumberFormat="1" applyFont="1" applyFill="1" applyBorder="1" applyAlignment="1">
      <alignment horizontal="left" vertical="center" wrapText="1"/>
    </xf>
    <xf numFmtId="0" fontId="16" fillId="18" borderId="91" xfId="0" applyFont="1" applyFill="1" applyBorder="1" applyAlignment="1">
      <alignment horizontal="left" vertical="center" wrapText="1"/>
    </xf>
    <xf numFmtId="0" fontId="16" fillId="18" borderId="27" xfId="0" applyFont="1" applyFill="1" applyBorder="1" applyAlignment="1">
      <alignment horizontal="left" vertical="center" wrapText="1"/>
    </xf>
    <xf numFmtId="0" fontId="16" fillId="18" borderId="24" xfId="0" applyFont="1" applyFill="1" applyBorder="1" applyAlignment="1">
      <alignment horizontal="left" vertical="center" wrapText="1"/>
    </xf>
    <xf numFmtId="0" fontId="33" fillId="20" borderId="91" xfId="0" applyFont="1" applyFill="1" applyBorder="1" applyAlignment="1">
      <alignment horizontal="center" vertical="center" wrapText="1"/>
    </xf>
    <xf numFmtId="0" fontId="33" fillId="20" borderId="27" xfId="0" applyFont="1" applyFill="1" applyBorder="1" applyAlignment="1">
      <alignment horizontal="center" vertical="center" wrapText="1"/>
    </xf>
    <xf numFmtId="0" fontId="33" fillId="20" borderId="94" xfId="0" applyFont="1" applyFill="1" applyBorder="1" applyAlignment="1">
      <alignment horizontal="center" vertical="center" wrapText="1"/>
    </xf>
    <xf numFmtId="0" fontId="16" fillId="21" borderId="100" xfId="0" applyFont="1" applyFill="1" applyBorder="1" applyAlignment="1">
      <alignment horizontal="left" vertical="top" wrapText="1"/>
    </xf>
    <xf numFmtId="0" fontId="16" fillId="21" borderId="92" xfId="0" applyFont="1" applyFill="1" applyBorder="1" applyAlignment="1">
      <alignment horizontal="left" vertical="top" wrapText="1"/>
    </xf>
    <xf numFmtId="0" fontId="16" fillId="21" borderId="101" xfId="0" applyFont="1" applyFill="1" applyBorder="1" applyAlignment="1">
      <alignment horizontal="left" vertical="top" wrapText="1"/>
    </xf>
    <xf numFmtId="0" fontId="34" fillId="18" borderId="25" xfId="0" applyFont="1" applyFill="1" applyBorder="1" applyAlignment="1">
      <alignment horizontal="center" vertical="center"/>
    </xf>
    <xf numFmtId="0" fontId="34" fillId="18" borderId="25" xfId="0" applyFont="1" applyFill="1" applyBorder="1" applyAlignment="1">
      <alignment horizontal="left" vertical="top" wrapText="1"/>
    </xf>
    <xf numFmtId="4" fontId="34" fillId="18" borderId="25" xfId="0" applyNumberFormat="1" applyFont="1" applyFill="1" applyBorder="1" applyAlignment="1">
      <alignment horizontal="center" vertical="top"/>
    </xf>
    <xf numFmtId="0" fontId="34" fillId="9" borderId="0" xfId="0" applyFont="1" applyFill="1" applyAlignment="1">
      <alignment horizontal="left" vertical="top" wrapText="1"/>
    </xf>
    <xf numFmtId="0" fontId="36" fillId="9" borderId="0" xfId="0" applyFont="1" applyFill="1" applyAlignment="1">
      <alignment horizontal="left" vertical="top" wrapText="1"/>
    </xf>
    <xf numFmtId="0" fontId="34" fillId="18" borderId="25" xfId="0" applyFont="1" applyFill="1" applyBorder="1" applyAlignment="1">
      <alignment horizontal="center" vertical="center" wrapText="1"/>
    </xf>
    <xf numFmtId="0" fontId="34" fillId="18" borderId="25" xfId="0" applyFont="1" applyFill="1" applyBorder="1" applyAlignment="1">
      <alignment horizontal="left" vertical="top"/>
    </xf>
    <xf numFmtId="0" fontId="34" fillId="18" borderId="25" xfId="0" applyFont="1" applyFill="1" applyBorder="1" applyAlignment="1">
      <alignment horizontal="left" vertical="center"/>
    </xf>
    <xf numFmtId="0" fontId="33" fillId="20" borderId="114" xfId="0" applyFont="1" applyFill="1" applyBorder="1" applyAlignment="1">
      <alignment horizontal="center" vertical="center" wrapText="1"/>
    </xf>
    <xf numFmtId="0" fontId="33" fillId="20" borderId="21" xfId="0" applyFont="1" applyFill="1" applyBorder="1" applyAlignment="1">
      <alignment horizontal="center" vertical="center" wrapText="1"/>
    </xf>
    <xf numFmtId="0" fontId="33" fillId="20" borderId="115" xfId="0" applyFont="1" applyFill="1" applyBorder="1" applyAlignment="1">
      <alignment horizontal="center" vertical="center" wrapText="1"/>
    </xf>
    <xf numFmtId="0" fontId="16" fillId="21" borderId="91" xfId="0" applyFont="1" applyFill="1" applyBorder="1" applyAlignment="1">
      <alignment horizontal="left" vertical="top" wrapText="1"/>
    </xf>
    <xf numFmtId="0" fontId="16" fillId="21" borderId="27" xfId="0" applyFont="1" applyFill="1" applyBorder="1" applyAlignment="1">
      <alignment horizontal="left" vertical="top" wrapText="1"/>
    </xf>
    <xf numFmtId="0" fontId="16" fillId="21" borderId="94" xfId="0" applyFont="1" applyFill="1" applyBorder="1" applyAlignment="1">
      <alignment horizontal="left" vertical="top" wrapText="1"/>
    </xf>
    <xf numFmtId="0" fontId="35" fillId="18" borderId="21" xfId="0" applyFont="1" applyFill="1" applyBorder="1" applyAlignment="1">
      <alignment horizontal="left" vertical="top" wrapText="1"/>
    </xf>
    <xf numFmtId="0" fontId="34" fillId="18" borderId="26" xfId="0" applyFont="1" applyFill="1" applyBorder="1" applyAlignment="1">
      <alignment horizontal="center" vertical="center" wrapText="1"/>
    </xf>
    <xf numFmtId="0" fontId="34" fillId="18" borderId="24" xfId="0" applyFont="1" applyFill="1" applyBorder="1" applyAlignment="1">
      <alignment horizontal="center" vertical="center" wrapText="1"/>
    </xf>
    <xf numFmtId="0" fontId="34" fillId="18" borderId="26" xfId="0" applyFont="1" applyFill="1" applyBorder="1" applyAlignment="1">
      <alignment horizontal="left" vertical="top"/>
    </xf>
    <xf numFmtId="0" fontId="34" fillId="18" borderId="24" xfId="0" applyFont="1" applyFill="1" applyBorder="1" applyAlignment="1">
      <alignment horizontal="left" vertical="top"/>
    </xf>
    <xf numFmtId="0" fontId="26" fillId="0" borderId="26" xfId="0" applyFont="1" applyBorder="1" applyAlignment="1">
      <alignment horizontal="left" vertical="center"/>
    </xf>
    <xf numFmtId="0" fontId="26" fillId="0" borderId="24" xfId="0" applyFont="1" applyBorder="1" applyAlignment="1">
      <alignment horizontal="left" vertical="center"/>
    </xf>
    <xf numFmtId="0" fontId="26" fillId="0" borderId="55" xfId="0" applyFont="1" applyBorder="1" applyAlignment="1">
      <alignment horizontal="left" vertical="center"/>
    </xf>
    <xf numFmtId="0" fontId="26" fillId="0" borderId="54" xfId="0" applyFont="1" applyBorder="1" applyAlignment="1">
      <alignment horizontal="left" vertical="center"/>
    </xf>
    <xf numFmtId="0" fontId="16" fillId="21" borderId="114" xfId="0" applyFont="1" applyFill="1" applyBorder="1" applyAlignment="1">
      <alignment horizontal="left" vertical="top" wrapText="1"/>
    </xf>
    <xf numFmtId="0" fontId="16" fillId="21" borderId="21" xfId="0" applyFont="1" applyFill="1" applyBorder="1" applyAlignment="1">
      <alignment horizontal="left" vertical="top" wrapText="1"/>
    </xf>
    <xf numFmtId="0" fontId="16" fillId="21" borderId="115" xfId="0" applyFont="1" applyFill="1" applyBorder="1" applyAlignment="1">
      <alignment horizontal="left" vertical="top" wrapText="1"/>
    </xf>
    <xf numFmtId="0" fontId="34" fillId="18" borderId="124" xfId="0" applyFont="1" applyFill="1" applyBorder="1" applyAlignment="1">
      <alignment horizontal="left" vertical="top" wrapText="1"/>
    </xf>
    <xf numFmtId="0" fontId="34" fillId="18" borderId="125" xfId="0" applyFont="1" applyFill="1" applyBorder="1" applyAlignment="1">
      <alignment horizontal="left" vertical="top" wrapText="1"/>
    </xf>
    <xf numFmtId="0" fontId="34" fillId="9" borderId="32" xfId="0" applyFont="1" applyFill="1" applyBorder="1" applyAlignment="1">
      <alignment horizontal="left" vertical="top" wrapText="1"/>
    </xf>
    <xf numFmtId="0" fontId="34" fillId="18" borderId="124" xfId="0" applyFont="1" applyFill="1" applyBorder="1" applyAlignment="1">
      <alignment horizontal="center" vertical="center"/>
    </xf>
    <xf numFmtId="0" fontId="34" fillId="18" borderId="125" xfId="0" applyFont="1" applyFill="1" applyBorder="1" applyAlignment="1">
      <alignment horizontal="center" vertical="center"/>
    </xf>
    <xf numFmtId="4" fontId="34" fillId="18" borderId="124" xfId="0" applyNumberFormat="1" applyFont="1" applyFill="1" applyBorder="1" applyAlignment="1">
      <alignment horizontal="center" vertical="top"/>
    </xf>
    <xf numFmtId="4" fontId="34" fillId="18" borderId="125" xfId="0" applyNumberFormat="1" applyFont="1" applyFill="1" applyBorder="1" applyAlignment="1">
      <alignment horizontal="center" vertical="top"/>
    </xf>
    <xf numFmtId="0" fontId="34" fillId="18" borderId="124" xfId="0" applyFont="1" applyFill="1" applyBorder="1" applyAlignment="1">
      <alignment horizontal="center" vertical="center" wrapText="1"/>
    </xf>
    <xf numFmtId="0" fontId="34" fillId="18" borderId="125" xfId="0" applyFont="1" applyFill="1" applyBorder="1" applyAlignment="1">
      <alignment horizontal="center" vertical="center" wrapText="1"/>
    </xf>
    <xf numFmtId="0" fontId="34" fillId="18" borderId="124" xfId="0" applyFont="1" applyFill="1" applyBorder="1" applyAlignment="1">
      <alignment horizontal="left" vertical="top"/>
    </xf>
    <xf numFmtId="0" fontId="34" fillId="18" borderId="125" xfId="0" applyFont="1" applyFill="1" applyBorder="1" applyAlignment="1">
      <alignment horizontal="left" vertical="top"/>
    </xf>
    <xf numFmtId="0" fontId="34" fillId="18" borderId="124" xfId="0" applyFont="1" applyFill="1" applyBorder="1" applyAlignment="1">
      <alignment horizontal="left" vertical="center"/>
    </xf>
    <xf numFmtId="0" fontId="34" fillId="18" borderId="125" xfId="0" applyFont="1" applyFill="1" applyBorder="1" applyAlignment="1">
      <alignment horizontal="left" vertical="center"/>
    </xf>
    <xf numFmtId="0" fontId="34" fillId="18" borderId="26" xfId="0" applyFont="1" applyFill="1" applyBorder="1" applyAlignment="1">
      <alignment horizontal="left" vertical="center"/>
    </xf>
    <xf numFmtId="0" fontId="34" fillId="18" borderId="24" xfId="0" applyFont="1" applyFill="1" applyBorder="1" applyAlignment="1">
      <alignment horizontal="left" vertical="center"/>
    </xf>
    <xf numFmtId="0" fontId="26" fillId="0" borderId="36" xfId="0" applyFont="1" applyBorder="1" applyAlignment="1">
      <alignment horizontal="left" vertical="center"/>
    </xf>
    <xf numFmtId="0" fontId="26" fillId="0" borderId="34" xfId="0" applyFont="1" applyBorder="1" applyAlignment="1">
      <alignment horizontal="left" vertical="center"/>
    </xf>
    <xf numFmtId="0" fontId="33" fillId="20" borderId="128" xfId="0" applyFont="1" applyFill="1" applyBorder="1" applyAlignment="1">
      <alignment horizontal="center" vertical="center" wrapText="1"/>
    </xf>
    <xf numFmtId="0" fontId="33" fillId="20" borderId="129" xfId="0" applyFont="1" applyFill="1" applyBorder="1" applyAlignment="1">
      <alignment horizontal="center" vertical="center" wrapText="1"/>
    </xf>
    <xf numFmtId="0" fontId="33" fillId="20" borderId="130" xfId="0" applyFont="1" applyFill="1" applyBorder="1" applyAlignment="1">
      <alignment horizontal="center" vertical="center" wrapText="1"/>
    </xf>
    <xf numFmtId="0" fontId="16" fillId="21" borderId="135" xfId="0" applyFont="1" applyFill="1" applyBorder="1" applyAlignment="1">
      <alignment horizontal="left" vertical="top" wrapText="1"/>
    </xf>
    <xf numFmtId="0" fontId="16" fillId="21" borderId="136" xfId="0" applyFont="1" applyFill="1" applyBorder="1" applyAlignment="1">
      <alignment horizontal="left" vertical="top" wrapText="1"/>
    </xf>
    <xf numFmtId="0" fontId="16" fillId="21" borderId="137" xfId="0" applyFont="1" applyFill="1" applyBorder="1" applyAlignment="1">
      <alignment horizontal="left" vertical="top" wrapText="1"/>
    </xf>
    <xf numFmtId="0" fontId="40" fillId="23" borderId="145" xfId="0" applyFont="1" applyFill="1" applyBorder="1" applyAlignment="1" applyProtection="1">
      <alignment horizontal="center"/>
      <protection locked="0"/>
    </xf>
    <xf numFmtId="0" fontId="40" fillId="23" borderId="146" xfId="0" applyFont="1" applyFill="1" applyBorder="1" applyAlignment="1" applyProtection="1">
      <alignment horizontal="center"/>
      <protection locked="0"/>
    </xf>
    <xf numFmtId="3" fontId="41" fillId="25" borderId="145" xfId="0" applyNumberFormat="1" applyFont="1" applyFill="1" applyBorder="1" applyAlignment="1" applyProtection="1">
      <alignment horizontal="center"/>
      <protection locked="0"/>
    </xf>
    <xf numFmtId="3" fontId="41" fillId="25" borderId="147" xfId="0" applyNumberFormat="1" applyFont="1" applyFill="1" applyBorder="1" applyAlignment="1" applyProtection="1">
      <alignment horizontal="center"/>
      <protection locked="0"/>
    </xf>
    <xf numFmtId="3" fontId="41" fillId="25" borderId="146" xfId="0" applyNumberFormat="1" applyFont="1" applyFill="1" applyBorder="1" applyAlignment="1" applyProtection="1">
      <alignment horizontal="center"/>
      <protection locked="0"/>
    </xf>
    <xf numFmtId="0" fontId="33" fillId="23" borderId="145" xfId="0" applyFont="1" applyFill="1" applyBorder="1" applyAlignment="1" applyProtection="1">
      <alignment horizontal="left" wrapText="1"/>
      <protection locked="0"/>
    </xf>
    <xf numFmtId="0" fontId="33" fillId="23" borderId="147" xfId="0" applyFont="1" applyFill="1" applyBorder="1" applyAlignment="1" applyProtection="1">
      <alignment horizontal="left" wrapText="1"/>
      <protection locked="0"/>
    </xf>
    <xf numFmtId="0" fontId="33" fillId="23" borderId="146" xfId="0" applyFont="1" applyFill="1" applyBorder="1" applyAlignment="1" applyProtection="1">
      <alignment horizontal="left" wrapText="1"/>
      <protection locked="0"/>
    </xf>
    <xf numFmtId="0" fontId="33" fillId="23" borderId="142" xfId="0" applyFont="1" applyFill="1" applyBorder="1" applyAlignment="1" applyProtection="1">
      <alignment horizontal="left" wrapText="1"/>
      <protection locked="0"/>
    </xf>
    <xf numFmtId="0" fontId="16" fillId="29" borderId="157" xfId="0" applyFont="1" applyFill="1" applyBorder="1" applyAlignment="1" applyProtection="1">
      <alignment horizontal="center" vertical="center" wrapText="1"/>
      <protection hidden="1"/>
    </xf>
    <xf numFmtId="0" fontId="16" fillId="29" borderId="159" xfId="0" applyFont="1" applyFill="1" applyBorder="1" applyAlignment="1" applyProtection="1">
      <alignment horizontal="center" vertical="center" wrapText="1"/>
      <protection hidden="1"/>
    </xf>
    <xf numFmtId="0" fontId="16" fillId="29" borderId="166" xfId="0" applyFont="1" applyFill="1" applyBorder="1" applyAlignment="1" applyProtection="1">
      <alignment horizontal="center" vertical="center" wrapText="1"/>
      <protection hidden="1"/>
    </xf>
    <xf numFmtId="0" fontId="16" fillId="29" borderId="167" xfId="0" applyFont="1" applyFill="1" applyBorder="1" applyAlignment="1" applyProtection="1">
      <alignment horizontal="center" vertical="center" wrapText="1"/>
      <protection hidden="1"/>
    </xf>
    <xf numFmtId="0" fontId="42" fillId="26" borderId="157" xfId="0" applyFont="1" applyFill="1" applyBorder="1" applyAlignment="1" applyProtection="1">
      <alignment horizontal="center" vertical="center" wrapText="1"/>
      <protection hidden="1"/>
    </xf>
    <xf numFmtId="0" fontId="42" fillId="26" borderId="159" xfId="0" applyFont="1" applyFill="1" applyBorder="1" applyAlignment="1" applyProtection="1">
      <alignment horizontal="center" vertical="center" wrapText="1"/>
      <protection hidden="1"/>
    </xf>
    <xf numFmtId="0" fontId="42" fillId="26" borderId="167" xfId="0" applyFont="1" applyFill="1" applyBorder="1" applyAlignment="1" applyProtection="1">
      <alignment horizontal="center" vertical="center" wrapText="1"/>
      <protection hidden="1"/>
    </xf>
  </cellXfs>
  <cellStyles count="4">
    <cellStyle name="Обычный" xfId="0" builtinId="0"/>
    <cellStyle name="Процентный" xfId="1" builtinId="5"/>
    <cellStyle name="Финансовый" xfId="2" builtinId="3"/>
    <cellStyle name="TableStyleLight1" xfId="3" xr:uid="{00000000-0005-0000-0000-000003000000}"/>
  </cellStyles>
  <dxfs count="248">
    <dxf>
      <font>
        <sz val="8"/>
        <color indexed="60"/>
        <name val="Calibri"/>
      </font>
      <fill>
        <patternFill patternType="solid">
          <fgColor indexed="43"/>
          <bgColor indexed="43"/>
        </patternFill>
      </fill>
    </dxf>
    <dxf>
      <font>
        <sz val="11"/>
        <color indexed="20"/>
        <name val="Calibri"/>
      </font>
      <fill>
        <patternFill patternType="solid">
          <fgColor indexed="45"/>
          <bgColor indexed="45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sz val="8"/>
        <color indexed="60"/>
        <name val="Calibri"/>
      </font>
      <fill>
        <patternFill patternType="solid">
          <fgColor indexed="43"/>
          <bgColor indexed="43"/>
        </patternFill>
      </fill>
    </dxf>
    <dxf>
      <font>
        <sz val="11"/>
        <color indexed="20"/>
        <name val="Calibri"/>
      </font>
      <fill>
        <patternFill patternType="solid">
          <fgColor indexed="45"/>
          <bgColor indexed="45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sz val="8"/>
        <color indexed="60"/>
        <name val="Calibri"/>
      </font>
      <fill>
        <patternFill patternType="solid">
          <fgColor indexed="43"/>
          <bgColor indexed="43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sz val="8"/>
        <color indexed="60"/>
        <name val="Calibri"/>
      </font>
      <fill>
        <patternFill patternType="solid">
          <fgColor indexed="43"/>
          <bgColor indexed="43"/>
        </patternFill>
      </fill>
    </dxf>
    <dxf>
      <font>
        <sz val="11"/>
        <color indexed="20"/>
        <name val="Calibri"/>
      </font>
      <fill>
        <patternFill patternType="solid">
          <fgColor indexed="45"/>
          <bgColor indexed="45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sz val="8"/>
        <color indexed="60"/>
        <name val="Calibri"/>
      </font>
      <fill>
        <patternFill patternType="solid">
          <fgColor indexed="43"/>
          <bgColor indexed="43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sz val="11"/>
        <color indexed="20"/>
        <name val="Calibri"/>
      </font>
      <fill>
        <patternFill patternType="solid">
          <fgColor indexed="45"/>
          <bgColor indexed="45"/>
        </patternFill>
      </fill>
    </dxf>
    <dxf>
      <font>
        <sz val="8"/>
        <color indexed="60"/>
        <name val="Calibri"/>
      </font>
      <fill>
        <patternFill patternType="solid">
          <fgColor indexed="43"/>
          <bgColor indexed="43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sz val="11"/>
        <color indexed="20"/>
        <name val="Calibri"/>
      </font>
      <fill>
        <patternFill patternType="solid">
          <fgColor indexed="45"/>
          <bgColor indexed="45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sz val="11"/>
        <color indexed="20"/>
        <name val="Calibri"/>
      </font>
      <fill>
        <patternFill patternType="solid">
          <fgColor indexed="45"/>
          <bgColor indexed="45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sz val="8"/>
        <color indexed="60"/>
        <name val="Calibri"/>
      </font>
      <fill>
        <patternFill patternType="solid">
          <fgColor indexed="43"/>
          <bgColor indexed="43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sz val="8"/>
        <color indexed="60"/>
        <name val="Calibri"/>
      </font>
      <fill>
        <patternFill patternType="solid">
          <fgColor indexed="43"/>
          <bgColor indexed="43"/>
        </patternFill>
      </fill>
    </dxf>
    <dxf>
      <font>
        <sz val="8"/>
        <color indexed="60"/>
        <name val="Calibri"/>
      </font>
      <fill>
        <patternFill patternType="solid">
          <fgColor indexed="43"/>
          <bgColor indexed="43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sz val="8"/>
        <color indexed="60"/>
        <name val="Calibri"/>
      </font>
      <fill>
        <patternFill patternType="solid">
          <fgColor indexed="43"/>
          <bgColor indexed="43"/>
        </patternFill>
      </fill>
    </dxf>
    <dxf>
      <font>
        <sz val="11"/>
        <color indexed="20"/>
        <name val="Calibri"/>
      </font>
      <fill>
        <patternFill patternType="solid">
          <fgColor indexed="45"/>
          <bgColor indexed="45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sz val="8"/>
        <color indexed="60"/>
        <name val="Calibri"/>
      </font>
      <fill>
        <patternFill patternType="solid">
          <fgColor indexed="43"/>
          <bgColor indexed="43"/>
        </patternFill>
      </fill>
    </dxf>
    <dxf>
      <font>
        <sz val="11"/>
        <color indexed="20"/>
        <name val="Calibri"/>
      </font>
      <fill>
        <patternFill patternType="solid">
          <fgColor indexed="45"/>
          <bgColor indexed="45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sz val="11"/>
        <color indexed="20"/>
        <name val="Calibri"/>
      </font>
      <fill>
        <patternFill patternType="solid">
          <fgColor indexed="45"/>
          <bgColor indexed="45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sz val="8"/>
        <color indexed="60"/>
        <name val="Calibri"/>
      </font>
      <fill>
        <patternFill patternType="solid">
          <fgColor indexed="43"/>
          <bgColor indexed="43"/>
        </patternFill>
      </fill>
    </dxf>
    <dxf>
      <font>
        <sz val="11"/>
        <color indexed="20"/>
        <name val="Calibri"/>
      </font>
      <fill>
        <patternFill patternType="solid">
          <fgColor indexed="45"/>
          <bgColor indexed="45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sz val="8"/>
        <color indexed="60"/>
        <name val="Calibri"/>
      </font>
      <fill>
        <patternFill patternType="solid">
          <fgColor indexed="43"/>
          <bgColor indexed="43"/>
        </patternFill>
      </fill>
    </dxf>
    <dxf>
      <font>
        <sz val="11"/>
        <color indexed="20"/>
        <name val="Calibri"/>
      </font>
      <fill>
        <patternFill patternType="solid">
          <fgColor indexed="45"/>
          <bgColor indexed="45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sz val="8"/>
        <color indexed="60"/>
        <name val="Calibri"/>
      </font>
      <fill>
        <patternFill patternType="solid">
          <fgColor indexed="43"/>
          <bgColor indexed="43"/>
        </patternFill>
      </fill>
    </dxf>
    <dxf>
      <font>
        <sz val="8"/>
        <color indexed="60"/>
        <name val="Calibri"/>
      </font>
      <fill>
        <patternFill patternType="solid">
          <fgColor indexed="43"/>
          <bgColor indexed="43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sz val="8"/>
        <color indexed="60"/>
        <name val="Calibri"/>
      </font>
      <fill>
        <patternFill patternType="solid">
          <fgColor indexed="43"/>
          <bgColor indexed="43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sz val="11"/>
        <color indexed="20"/>
        <name val="Calibri"/>
      </font>
      <fill>
        <patternFill patternType="solid">
          <fgColor indexed="45"/>
          <bgColor indexed="45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sz val="8"/>
        <color indexed="60"/>
        <name val="Calibri"/>
      </font>
      <fill>
        <patternFill patternType="solid">
          <fgColor indexed="43"/>
          <bgColor indexed="43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sz val="11"/>
        <color indexed="20"/>
        <name val="Calibri"/>
      </font>
      <fill>
        <patternFill patternType="solid">
          <fgColor indexed="45"/>
          <bgColor indexed="45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sz val="11"/>
        <color indexed="20"/>
        <name val="Calibri"/>
      </font>
      <fill>
        <patternFill patternType="solid">
          <fgColor indexed="45"/>
          <bgColor indexed="45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sz val="11"/>
        <color indexed="20"/>
        <name val="Calibri"/>
      </font>
      <fill>
        <patternFill patternType="solid">
          <fgColor indexed="45"/>
          <bgColor indexed="45"/>
        </patternFill>
      </fill>
    </dxf>
    <dxf>
      <font>
        <sz val="8"/>
        <color indexed="60"/>
        <name val="Calibri"/>
      </font>
      <fill>
        <patternFill patternType="solid">
          <fgColor indexed="43"/>
          <bgColor indexed="43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sz val="11"/>
        <color indexed="20"/>
        <name val="Calibri"/>
      </font>
      <fill>
        <patternFill patternType="solid">
          <fgColor indexed="45"/>
          <bgColor indexed="45"/>
        </patternFill>
      </fill>
    </dxf>
    <dxf>
      <font>
        <sz val="8"/>
        <color indexed="60"/>
        <name val="Calibri"/>
      </font>
      <fill>
        <patternFill patternType="solid">
          <fgColor indexed="43"/>
          <bgColor indexed="43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sz val="8"/>
        <color indexed="60"/>
        <name val="Calibri"/>
      </font>
      <fill>
        <patternFill patternType="solid">
          <fgColor indexed="43"/>
          <bgColor indexed="43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sz val="11"/>
        <color indexed="20"/>
        <name val="Calibri"/>
      </font>
      <fill>
        <patternFill patternType="solid">
          <fgColor indexed="45"/>
          <bgColor indexed="45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sz val="8"/>
        <color indexed="60"/>
        <name val="Calibri"/>
      </font>
      <fill>
        <patternFill patternType="solid">
          <fgColor indexed="43"/>
          <bgColor indexed="43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sz val="11"/>
        <color indexed="20"/>
        <name val="Calibri"/>
      </font>
      <fill>
        <patternFill patternType="solid">
          <fgColor indexed="45"/>
          <bgColor indexed="45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sz val="8"/>
        <color indexed="60"/>
        <name val="Calibri"/>
      </font>
      <fill>
        <patternFill patternType="solid">
          <fgColor indexed="43"/>
          <bgColor indexed="43"/>
        </patternFill>
      </fill>
    </dxf>
    <dxf>
      <font>
        <sz val="11"/>
        <color indexed="20"/>
        <name val="Calibri"/>
      </font>
      <fill>
        <patternFill patternType="solid">
          <fgColor indexed="45"/>
          <bgColor indexed="45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sz val="8"/>
        <color indexed="60"/>
        <name val="Calibri"/>
      </font>
      <fill>
        <patternFill patternType="solid">
          <fgColor indexed="43"/>
          <bgColor indexed="43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sz val="8"/>
        <color indexed="60"/>
        <name val="Calibri"/>
      </font>
      <fill>
        <patternFill patternType="solid">
          <fgColor indexed="43"/>
          <bgColor indexed="43"/>
        </patternFill>
      </fill>
    </dxf>
    <dxf>
      <font>
        <sz val="11"/>
        <color indexed="20"/>
        <name val="Calibri"/>
      </font>
      <fill>
        <patternFill patternType="solid">
          <fgColor indexed="45"/>
          <bgColor indexed="45"/>
        </patternFill>
      </fill>
    </dxf>
    <dxf>
      <font>
        <sz val="8"/>
        <color indexed="60"/>
        <name val="Calibri"/>
      </font>
      <fill>
        <patternFill patternType="solid">
          <fgColor indexed="43"/>
          <bgColor indexed="43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sz val="8"/>
        <color indexed="60"/>
        <name val="Calibri"/>
      </font>
      <fill>
        <patternFill patternType="solid">
          <fgColor indexed="43"/>
          <bgColor indexed="43"/>
        </patternFill>
      </fill>
    </dxf>
    <dxf>
      <font>
        <sz val="11"/>
        <color indexed="20"/>
        <name val="Calibri"/>
      </font>
      <fill>
        <patternFill patternType="solid">
          <fgColor indexed="45"/>
          <bgColor indexed="45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sz val="8"/>
        <color indexed="60"/>
        <name val="Calibri"/>
      </font>
      <fill>
        <patternFill patternType="solid">
          <fgColor indexed="43"/>
          <bgColor indexed="43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sz val="11"/>
        <color indexed="20"/>
        <name val="Calibri"/>
      </font>
      <fill>
        <patternFill patternType="solid">
          <fgColor indexed="45"/>
          <bgColor indexed="45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sz val="11"/>
        <color indexed="20"/>
        <name val="Calibri"/>
      </font>
      <fill>
        <patternFill patternType="solid">
          <fgColor indexed="45"/>
          <bgColor indexed="45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sz val="11"/>
        <color indexed="20"/>
        <name val="Calibri"/>
      </font>
      <fill>
        <patternFill patternType="solid">
          <fgColor indexed="45"/>
          <bgColor indexed="45"/>
        </patternFill>
      </fill>
    </dxf>
    <dxf>
      <font>
        <sz val="8"/>
        <color indexed="60"/>
        <name val="Calibri"/>
      </font>
      <fill>
        <patternFill patternType="solid">
          <fgColor indexed="43"/>
          <bgColor indexed="43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sz val="11"/>
        <color indexed="20"/>
        <name val="Calibri"/>
      </font>
      <fill>
        <patternFill patternType="solid">
          <fgColor indexed="45"/>
          <bgColor indexed="45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9500000000000001"/>
          <c:y val="0.29699999999999999"/>
          <c:w val="0.76400000000000001"/>
          <c:h val="0.64500000000000002"/>
        </c:manualLayout>
      </c:layout>
      <c:lineChart>
        <c:grouping val="standard"/>
        <c:varyColors val="0"/>
        <c:ser>
          <c:idx val="0"/>
          <c:order val="0"/>
          <c:spPr>
            <a:prstGeom prst="rect">
              <a:avLst/>
            </a:prstGeom>
            <a:ln w="12600">
              <a:solidFill>
                <a:srgbClr val="5B9BD5"/>
              </a:solidFill>
              <a:round/>
            </a:ln>
          </c:spPr>
          <c:marker>
            <c:symbol val="diamond"/>
            <c:size val="2"/>
            <c:spPr>
              <a:prstGeom prst="rect">
                <a:avLst/>
              </a:prstGeom>
              <a:solidFill>
                <a:srgbClr val="5B9BD5"/>
              </a:solidFill>
            </c:spPr>
          </c:marker>
          <c:dLbls>
            <c:spPr>
              <a:noFill/>
              <a:ln>
                <a:noFill/>
                <a:bevel/>
              </a:ln>
              <a:effectLst/>
            </c:spPr>
            <c:txPr>
              <a:bodyPr wrap="none"/>
              <a:lstStyle/>
              <a:p>
                <a:pPr>
                  <a:defRPr sz="1000" b="0" strike="noStrike" spc="0">
                    <a:solidFill>
                      <a:srgbClr val="333333"/>
                    </a:solidFill>
                    <a:latin typeface="Calibri"/>
                  </a:defRPr>
                </a:pPr>
                <a:endParaRPr lang="ru-RU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1"/>
            <c:separator>
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cat>
            <c:numRef>
              <c:f>'Козлова В. Э.'!$B$25:$B$47</c:f>
              <c:numCache>
                <c:formatCode>d\-mmm</c:formatCode>
                <c:ptCount val="23"/>
                <c:pt idx="0">
                  <c:v>45992</c:v>
                </c:pt>
                <c:pt idx="1">
                  <c:v>45995</c:v>
                </c:pt>
                <c:pt idx="2">
                  <c:v>45996</c:v>
                </c:pt>
                <c:pt idx="3">
                  <c:v>45997</c:v>
                </c:pt>
                <c:pt idx="4">
                  <c:v>46000</c:v>
                </c:pt>
                <c:pt idx="5">
                  <c:v>46001</c:v>
                </c:pt>
                <c:pt idx="6">
                  <c:v>46002</c:v>
                </c:pt>
                <c:pt idx="7">
                  <c:v>46003</c:v>
                </c:pt>
                <c:pt idx="8">
                  <c:v>46005</c:v>
                </c:pt>
                <c:pt idx="9">
                  <c:v>46006</c:v>
                </c:pt>
                <c:pt idx="10">
                  <c:v>46007</c:v>
                </c:pt>
                <c:pt idx="11">
                  <c:v>46008</c:v>
                </c:pt>
                <c:pt idx="12">
                  <c:v>46010</c:v>
                </c:pt>
                <c:pt idx="13">
                  <c:v>46011</c:v>
                </c:pt>
                <c:pt idx="14">
                  <c:v>46013</c:v>
                </c:pt>
                <c:pt idx="15">
                  <c:v>46014</c:v>
                </c:pt>
                <c:pt idx="16">
                  <c:v>46015</c:v>
                </c:pt>
                <c:pt idx="17">
                  <c:v>46018</c:v>
                </c:pt>
                <c:pt idx="18">
                  <c:v>46020</c:v>
                </c:pt>
                <c:pt idx="19">
                  <c:v>46021</c:v>
                </c:pt>
                <c:pt idx="20">
                  <c:v>46022</c:v>
                </c:pt>
              </c:numCache>
            </c:numRef>
          </c:cat>
          <c:val>
            <c:numRef>
              <c:f>'Козлова В. Э.'!$D$25:$D$47</c:f>
              <c:numCache>
                <c:formatCode>#,##0.00</c:formatCode>
                <c:ptCount val="23"/>
                <c:pt idx="0">
                  <c:v>13572</c:v>
                </c:pt>
                <c:pt idx="1">
                  <c:v>11892</c:v>
                </c:pt>
                <c:pt idx="2">
                  <c:v>27997</c:v>
                </c:pt>
                <c:pt idx="3">
                  <c:v>16020</c:v>
                </c:pt>
                <c:pt idx="4">
                  <c:v>47734</c:v>
                </c:pt>
                <c:pt idx="5">
                  <c:v>0</c:v>
                </c:pt>
                <c:pt idx="6">
                  <c:v>17930</c:v>
                </c:pt>
                <c:pt idx="7">
                  <c:v>0</c:v>
                </c:pt>
                <c:pt idx="8">
                  <c:v>10120</c:v>
                </c:pt>
                <c:pt idx="9">
                  <c:v>0</c:v>
                </c:pt>
                <c:pt idx="10">
                  <c:v>6982</c:v>
                </c:pt>
                <c:pt idx="11">
                  <c:v>63151</c:v>
                </c:pt>
                <c:pt idx="12">
                  <c:v>16056</c:v>
                </c:pt>
                <c:pt idx="13">
                  <c:v>68293</c:v>
                </c:pt>
                <c:pt idx="14">
                  <c:v>24468</c:v>
                </c:pt>
                <c:pt idx="15">
                  <c:v>29351</c:v>
                </c:pt>
                <c:pt idx="16">
                  <c:v>17777</c:v>
                </c:pt>
                <c:pt idx="17">
                  <c:v>16556</c:v>
                </c:pt>
                <c:pt idx="18">
                  <c:v>27960</c:v>
                </c:pt>
                <c:pt idx="19">
                  <c:v>15866</c:v>
                </c:pt>
                <c:pt idx="20">
                  <c:v>8182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BBF-1841-853F-BE3284DDE290}"/>
            </c:ext>
          </c:extLst>
        </c:ser>
        <c:ser>
          <c:idx val="1"/>
          <c:order val="1"/>
          <c:spPr>
            <a:prstGeom prst="rect">
              <a:avLst/>
            </a:prstGeom>
            <a:ln w="12600">
              <a:solidFill>
                <a:srgbClr val="ED7D31"/>
              </a:solidFill>
              <a:round/>
            </a:ln>
          </c:spPr>
          <c:marker>
            <c:symbol val="square"/>
            <c:size val="2"/>
            <c:spPr>
              <a:prstGeom prst="rect">
                <a:avLst/>
              </a:prstGeom>
              <a:solidFill>
                <a:srgbClr val="ED7D31"/>
              </a:solidFill>
            </c:spPr>
          </c:marker>
          <c:dLbls>
            <c:spPr>
              <a:noFill/>
              <a:ln>
                <a:noFill/>
                <a:bevel/>
              </a:ln>
              <a:effectLst/>
            </c:spPr>
            <c:txPr>
              <a:bodyPr wrap="none"/>
              <a:lstStyle/>
              <a:p>
                <a:pPr>
                  <a:defRPr sz="1000" b="0" strike="noStrike" spc="0">
                    <a:solidFill>
                      <a:srgbClr val="333333"/>
                    </a:solidFill>
                    <a:latin typeface="Calibri"/>
                  </a:defRPr>
                </a:pPr>
                <a:endParaRPr lang="ru-RU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1"/>
            <c:separator>
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cat>
            <c:numRef>
              <c:f>'Козлова В. Э.'!$B$25:$B$47</c:f>
              <c:numCache>
                <c:formatCode>d\-mmm</c:formatCode>
                <c:ptCount val="23"/>
                <c:pt idx="0">
                  <c:v>45992</c:v>
                </c:pt>
                <c:pt idx="1">
                  <c:v>45995</c:v>
                </c:pt>
                <c:pt idx="2">
                  <c:v>45996</c:v>
                </c:pt>
                <c:pt idx="3">
                  <c:v>45997</c:v>
                </c:pt>
                <c:pt idx="4">
                  <c:v>46000</c:v>
                </c:pt>
                <c:pt idx="5">
                  <c:v>46001</c:v>
                </c:pt>
                <c:pt idx="6">
                  <c:v>46002</c:v>
                </c:pt>
                <c:pt idx="7">
                  <c:v>46003</c:v>
                </c:pt>
                <c:pt idx="8">
                  <c:v>46005</c:v>
                </c:pt>
                <c:pt idx="9">
                  <c:v>46006</c:v>
                </c:pt>
                <c:pt idx="10">
                  <c:v>46007</c:v>
                </c:pt>
                <c:pt idx="11">
                  <c:v>46008</c:v>
                </c:pt>
                <c:pt idx="12">
                  <c:v>46010</c:v>
                </c:pt>
                <c:pt idx="13">
                  <c:v>46011</c:v>
                </c:pt>
                <c:pt idx="14">
                  <c:v>46013</c:v>
                </c:pt>
                <c:pt idx="15">
                  <c:v>46014</c:v>
                </c:pt>
                <c:pt idx="16">
                  <c:v>46015</c:v>
                </c:pt>
                <c:pt idx="17">
                  <c:v>46018</c:v>
                </c:pt>
                <c:pt idx="18">
                  <c:v>46020</c:v>
                </c:pt>
                <c:pt idx="19">
                  <c:v>46021</c:v>
                </c:pt>
                <c:pt idx="20">
                  <c:v>46022</c:v>
                </c:pt>
              </c:numCache>
            </c:numRef>
          </c:cat>
          <c:val>
            <c:numRef>
              <c:f>'Козлова В. Э.'!$O$25:$O$47</c:f>
              <c:numCache>
                <c:formatCode>#,##0</c:formatCode>
                <c:ptCount val="23"/>
                <c:pt idx="11">
                  <c:v>41473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BBF-1841-853F-BE3284DDE290}"/>
            </c:ext>
          </c:extLst>
        </c:ser>
        <c:ser>
          <c:idx val="2"/>
          <c:order val="2"/>
          <c:spPr>
            <a:prstGeom prst="rect">
              <a:avLst/>
            </a:prstGeom>
            <a:ln w="12600">
              <a:solidFill>
                <a:srgbClr val="A5A5A5"/>
              </a:solidFill>
              <a:round/>
            </a:ln>
          </c:spPr>
          <c:marker>
            <c:symbol val="triangle"/>
            <c:size val="2"/>
            <c:spPr>
              <a:prstGeom prst="rect">
                <a:avLst/>
              </a:prstGeom>
              <a:solidFill>
                <a:srgbClr val="A5A5A5"/>
              </a:solidFill>
            </c:spPr>
          </c:marker>
          <c:dLbls>
            <c:spPr>
              <a:noFill/>
              <a:ln>
                <a:noFill/>
                <a:round/>
              </a:ln>
              <a:effectLst/>
            </c:spPr>
            <c:txPr>
              <a:bodyPr wrap="none"/>
              <a:lstStyle/>
              <a:p>
                <a:pPr>
                  <a:defRPr sz="1000" b="0" strike="noStrike" spc="0">
                    <a:solidFill>
                      <a:srgbClr val="333333"/>
                    </a:solidFill>
                    <a:latin typeface="Calibri"/>
                  </a:defRPr>
                </a:pPr>
                <a:endParaRPr lang="ru-RU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1"/>
            <c:separator>
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cat>
            <c:numRef>
              <c:f>'Козлова В. Э.'!$B$25:$B$47</c:f>
              <c:numCache>
                <c:formatCode>d\-mmm</c:formatCode>
                <c:ptCount val="23"/>
                <c:pt idx="0">
                  <c:v>45992</c:v>
                </c:pt>
                <c:pt idx="1">
                  <c:v>45995</c:v>
                </c:pt>
                <c:pt idx="2">
                  <c:v>45996</c:v>
                </c:pt>
                <c:pt idx="3">
                  <c:v>45997</c:v>
                </c:pt>
                <c:pt idx="4">
                  <c:v>46000</c:v>
                </c:pt>
                <c:pt idx="5">
                  <c:v>46001</c:v>
                </c:pt>
                <c:pt idx="6">
                  <c:v>46002</c:v>
                </c:pt>
                <c:pt idx="7">
                  <c:v>46003</c:v>
                </c:pt>
                <c:pt idx="8">
                  <c:v>46005</c:v>
                </c:pt>
                <c:pt idx="9">
                  <c:v>46006</c:v>
                </c:pt>
                <c:pt idx="10">
                  <c:v>46007</c:v>
                </c:pt>
                <c:pt idx="11">
                  <c:v>46008</c:v>
                </c:pt>
                <c:pt idx="12">
                  <c:v>46010</c:v>
                </c:pt>
                <c:pt idx="13">
                  <c:v>46011</c:v>
                </c:pt>
                <c:pt idx="14">
                  <c:v>46013</c:v>
                </c:pt>
                <c:pt idx="15">
                  <c:v>46014</c:v>
                </c:pt>
                <c:pt idx="16">
                  <c:v>46015</c:v>
                </c:pt>
                <c:pt idx="17">
                  <c:v>46018</c:v>
                </c:pt>
                <c:pt idx="18">
                  <c:v>46020</c:v>
                </c:pt>
                <c:pt idx="19">
                  <c:v>46021</c:v>
                </c:pt>
                <c:pt idx="20">
                  <c:v>46022</c:v>
                </c:pt>
              </c:numCache>
            </c:numRef>
          </c:cat>
          <c:val>
            <c:numRef>
              <c:f>'Козлова В. Э.'!$P$25:$P$47</c:f>
              <c:numCache>
                <c:formatCode>#,##0</c:formatCode>
                <c:ptCount val="23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9BBF-1841-853F-BE3284DDE2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prstGeom prst="rect">
              <a:avLst/>
            </a:prstGeom>
            <a:ln w="0">
              <a:noFill/>
              <a:bevel/>
            </a:ln>
          </c:spPr>
        </c:hiLowLines>
        <c:marker val="1"/>
        <c:smooth val="0"/>
        <c:axId val="76887301"/>
        <c:axId val="76887300"/>
      </c:lineChart>
      <c:valAx>
        <c:axId val="76887300"/>
        <c:scaling>
          <c:orientation val="minMax"/>
        </c:scaling>
        <c:delete val="0"/>
        <c:axPos val="l"/>
        <c:majorGridlines>
          <c:spPr>
            <a:prstGeom prst="rect">
              <a:avLst/>
            </a:prstGeom>
            <a:ln w="0">
              <a:solidFill>
                <a:srgbClr val="8B8B8B"/>
              </a:solidFill>
              <a:bevel/>
            </a:ln>
          </c:spPr>
        </c:majorGridlines>
        <c:numFmt formatCode="General" sourceLinked="0"/>
        <c:majorTickMark val="out"/>
        <c:minorTickMark val="none"/>
        <c:tickLblPos val="nextTo"/>
        <c:spPr>
          <a:prstGeom prst="rect">
            <a:avLst/>
          </a:prstGeom>
          <a:ln w="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0">
                <a:solidFill>
                  <a:srgbClr val="333333"/>
                </a:solidFill>
                <a:latin typeface="Calibri"/>
              </a:defRPr>
            </a:pPr>
            <a:endParaRPr lang="ru-RU"/>
          </a:p>
        </c:txPr>
        <c:crossAx val="76887301"/>
        <c:crossesAt val="0"/>
        <c:crossBetween val="midCat"/>
      </c:valAx>
      <c:dateAx>
        <c:axId val="76887301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prstGeom prst="rect">
            <a:avLst/>
          </a:prstGeom>
          <a:ln w="0">
            <a:solidFill>
              <a:srgbClr val="8B8B8B"/>
            </a:solidFill>
          </a:ln>
        </c:spPr>
        <c:txPr>
          <a:bodyPr rot="-5400000"/>
          <a:lstStyle/>
          <a:p>
            <a:pPr>
              <a:defRPr sz="1000" b="0" strike="noStrike" spc="0">
                <a:solidFill>
                  <a:srgbClr val="333333"/>
                </a:solidFill>
                <a:latin typeface="Calibri"/>
              </a:defRPr>
            </a:pPr>
            <a:endParaRPr lang="ru-RU"/>
          </a:p>
        </c:txPr>
        <c:crossAx val="76887300"/>
        <c:crossesAt val="0"/>
        <c:auto val="1"/>
        <c:lblOffset val="100"/>
        <c:baseTimeUnit val="days"/>
      </c:dateAx>
      <c:spPr>
        <a:prstGeom prst="rect">
          <a:avLst/>
        </a:prstGeom>
        <a:solidFill>
          <a:srgbClr val="FFFFFF"/>
        </a:solidFill>
        <a:ln w="0">
          <a:noFill/>
        </a:ln>
      </c:spPr>
    </c:plotArea>
    <c:legend>
      <c:legendPos val="r"/>
      <c:layout>
        <c:manualLayout>
          <c:xMode val="edge"/>
          <c:yMode val="edge"/>
          <c:x val="0.79400000000000004"/>
          <c:y val="0.43099999999999999"/>
          <c:w val="5.7000000000000002E-2"/>
          <c:h val="0.17299999999999999"/>
        </c:manualLayout>
      </c:layout>
      <c:overlay val="0"/>
      <c:spPr>
        <a:prstGeom prst="rect">
          <a:avLst/>
        </a:prstGeom>
        <a:noFill/>
        <a:ln w="0">
          <a:noFill/>
          <a:miter/>
        </a:ln>
      </c:spPr>
      <c:txPr>
        <a:bodyPr lIns="36000" tIns="36000" rIns="36000" bIns="36000"/>
        <a:lstStyle/>
        <a:p>
          <a:pPr>
            <a:defRPr sz="700" b="0" strike="noStrike" spc="0">
              <a:solidFill>
                <a:srgbClr val="333333"/>
              </a:solidFill>
              <a:latin typeface="Calibri"/>
            </a:defRPr>
          </a:pPr>
          <a:endParaRPr lang="ru-RU"/>
        </a:p>
      </c:txPr>
    </c:legend>
    <c:plotVisOnly val="1"/>
    <c:dispBlanksAs val="zero"/>
    <c:showDLblsOverMax val="1"/>
  </c:chart>
  <c:spPr>
    <a:xfrm>
      <a:off x="0" y="0"/>
      <a:ext cx="0" cy="0"/>
    </a:xfrm>
    <a:prstGeom prst="rect">
      <a:avLst/>
    </a:prstGeom>
    <a:noFill/>
    <a:ln w="12600">
      <a:noFill/>
      <a:miter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9500000000000001"/>
          <c:y val="0.29699999999999999"/>
          <c:w val="0.76400000000000001"/>
          <c:h val="0.64500000000000002"/>
        </c:manualLayout>
      </c:layout>
      <c:lineChart>
        <c:grouping val="standard"/>
        <c:varyColors val="0"/>
        <c:ser>
          <c:idx val="0"/>
          <c:order val="0"/>
          <c:spPr>
            <a:prstGeom prst="rect">
              <a:avLst/>
            </a:prstGeom>
            <a:ln w="12600">
              <a:solidFill>
                <a:srgbClr val="5B9BD5"/>
              </a:solidFill>
              <a:round/>
            </a:ln>
          </c:spPr>
          <c:marker>
            <c:symbol val="diamond"/>
            <c:size val="2"/>
            <c:spPr>
              <a:prstGeom prst="rect">
                <a:avLst/>
              </a:prstGeom>
              <a:solidFill>
                <a:srgbClr val="5B9BD5"/>
              </a:solidFill>
            </c:spPr>
          </c:marker>
          <c:dLbls>
            <c:spPr>
              <a:noFill/>
              <a:ln>
                <a:noFill/>
                <a:bevel/>
              </a:ln>
              <a:effectLst/>
            </c:spPr>
            <c:txPr>
              <a:bodyPr wrap="none"/>
              <a:lstStyle/>
              <a:p>
                <a:pPr>
                  <a:defRPr sz="1000" b="0" strike="noStrike" spc="0">
                    <a:solidFill>
                      <a:srgbClr val="333333"/>
                    </a:solidFill>
                    <a:latin typeface="Calibri"/>
                  </a:defRPr>
                </a:pPr>
                <a:endParaRPr lang="ru-RU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1"/>
            <c:separator>
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cat>
            <c:numRef>
              <c:f>'Корж А. А.'!$B$25:$B$47</c:f>
              <c:numCache>
                <c:formatCode>d\-mmm</c:formatCode>
                <c:ptCount val="23"/>
                <c:pt idx="0">
                  <c:v>45994</c:v>
                </c:pt>
                <c:pt idx="1">
                  <c:v>45995</c:v>
                </c:pt>
                <c:pt idx="2">
                  <c:v>45998</c:v>
                </c:pt>
                <c:pt idx="3">
                  <c:v>45999</c:v>
                </c:pt>
                <c:pt idx="4">
                  <c:v>46001</c:v>
                </c:pt>
                <c:pt idx="5">
                  <c:v>46002</c:v>
                </c:pt>
                <c:pt idx="6">
                  <c:v>46004</c:v>
                </c:pt>
                <c:pt idx="7">
                  <c:v>46005</c:v>
                </c:pt>
                <c:pt idx="8">
                  <c:v>46007</c:v>
                </c:pt>
                <c:pt idx="9">
                  <c:v>46008</c:v>
                </c:pt>
                <c:pt idx="10">
                  <c:v>46009</c:v>
                </c:pt>
                <c:pt idx="11">
                  <c:v>46012</c:v>
                </c:pt>
                <c:pt idx="12">
                  <c:v>46014</c:v>
                </c:pt>
                <c:pt idx="13">
                  <c:v>46015</c:v>
                </c:pt>
                <c:pt idx="14">
                  <c:v>46016</c:v>
                </c:pt>
                <c:pt idx="15">
                  <c:v>46017</c:v>
                </c:pt>
                <c:pt idx="16">
                  <c:v>46018</c:v>
                </c:pt>
                <c:pt idx="17">
                  <c:v>46019</c:v>
                </c:pt>
                <c:pt idx="18">
                  <c:v>46020</c:v>
                </c:pt>
                <c:pt idx="19">
                  <c:v>46021</c:v>
                </c:pt>
                <c:pt idx="20">
                  <c:v>46022</c:v>
                </c:pt>
                <c:pt idx="21">
                  <c:v>46006</c:v>
                </c:pt>
                <c:pt idx="22">
                  <c:v>46000</c:v>
                </c:pt>
              </c:numCache>
            </c:numRef>
          </c:cat>
          <c:val>
            <c:numRef>
              <c:f>'Корж А. А.'!$D$25:$D$47</c:f>
              <c:numCache>
                <c:formatCode>#,##0.00</c:formatCode>
                <c:ptCount val="23"/>
                <c:pt idx="0">
                  <c:v>6330</c:v>
                </c:pt>
                <c:pt idx="1">
                  <c:v>87372</c:v>
                </c:pt>
                <c:pt idx="2">
                  <c:v>28013</c:v>
                </c:pt>
                <c:pt idx="3">
                  <c:v>24325</c:v>
                </c:pt>
                <c:pt idx="4">
                  <c:v>6293</c:v>
                </c:pt>
                <c:pt idx="5">
                  <c:v>0</c:v>
                </c:pt>
                <c:pt idx="6">
                  <c:v>39129</c:v>
                </c:pt>
                <c:pt idx="7">
                  <c:v>0</c:v>
                </c:pt>
                <c:pt idx="8">
                  <c:v>27841</c:v>
                </c:pt>
                <c:pt idx="9">
                  <c:v>15672</c:v>
                </c:pt>
                <c:pt idx="10">
                  <c:v>7488</c:v>
                </c:pt>
                <c:pt idx="11">
                  <c:v>4693</c:v>
                </c:pt>
                <c:pt idx="12">
                  <c:v>17878.5</c:v>
                </c:pt>
                <c:pt idx="13">
                  <c:v>31376</c:v>
                </c:pt>
                <c:pt idx="14">
                  <c:v>4393</c:v>
                </c:pt>
                <c:pt idx="15">
                  <c:v>34891.870000000003</c:v>
                </c:pt>
                <c:pt idx="16">
                  <c:v>31065</c:v>
                </c:pt>
                <c:pt idx="17">
                  <c:v>18462</c:v>
                </c:pt>
                <c:pt idx="18">
                  <c:v>19368</c:v>
                </c:pt>
                <c:pt idx="19">
                  <c:v>22170</c:v>
                </c:pt>
                <c:pt idx="20">
                  <c:v>12586</c:v>
                </c:pt>
                <c:pt idx="21">
                  <c:v>17075</c:v>
                </c:pt>
                <c:pt idx="22">
                  <c:v>4391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620-6D4E-869B-485EAC6845B6}"/>
            </c:ext>
          </c:extLst>
        </c:ser>
        <c:ser>
          <c:idx val="1"/>
          <c:order val="1"/>
          <c:spPr>
            <a:prstGeom prst="rect">
              <a:avLst/>
            </a:prstGeom>
            <a:ln w="12600">
              <a:solidFill>
                <a:srgbClr val="ED7D31"/>
              </a:solidFill>
              <a:round/>
            </a:ln>
          </c:spPr>
          <c:marker>
            <c:symbol val="square"/>
            <c:size val="2"/>
            <c:spPr>
              <a:prstGeom prst="rect">
                <a:avLst/>
              </a:prstGeom>
              <a:solidFill>
                <a:srgbClr val="ED7D31"/>
              </a:solidFill>
            </c:spPr>
          </c:marker>
          <c:dLbls>
            <c:spPr>
              <a:noFill/>
              <a:ln>
                <a:noFill/>
                <a:bevel/>
              </a:ln>
              <a:effectLst/>
            </c:spPr>
            <c:txPr>
              <a:bodyPr wrap="none"/>
              <a:lstStyle/>
              <a:p>
                <a:pPr>
                  <a:defRPr sz="1000" b="0" strike="noStrike" spc="0">
                    <a:solidFill>
                      <a:srgbClr val="333333"/>
                    </a:solidFill>
                    <a:latin typeface="Calibri"/>
                  </a:defRPr>
                </a:pPr>
                <a:endParaRPr lang="ru-RU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1"/>
            <c:separator>
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cat>
            <c:numRef>
              <c:f>'Корж А. А.'!$B$25:$B$47</c:f>
              <c:numCache>
                <c:formatCode>d\-mmm</c:formatCode>
                <c:ptCount val="23"/>
                <c:pt idx="0">
                  <c:v>45994</c:v>
                </c:pt>
                <c:pt idx="1">
                  <c:v>45995</c:v>
                </c:pt>
                <c:pt idx="2">
                  <c:v>45998</c:v>
                </c:pt>
                <c:pt idx="3">
                  <c:v>45999</c:v>
                </c:pt>
                <c:pt idx="4">
                  <c:v>46001</c:v>
                </c:pt>
                <c:pt idx="5">
                  <c:v>46002</c:v>
                </c:pt>
                <c:pt idx="6">
                  <c:v>46004</c:v>
                </c:pt>
                <c:pt idx="7">
                  <c:v>46005</c:v>
                </c:pt>
                <c:pt idx="8">
                  <c:v>46007</c:v>
                </c:pt>
                <c:pt idx="9">
                  <c:v>46008</c:v>
                </c:pt>
                <c:pt idx="10">
                  <c:v>46009</c:v>
                </c:pt>
                <c:pt idx="11">
                  <c:v>46012</c:v>
                </c:pt>
                <c:pt idx="12">
                  <c:v>46014</c:v>
                </c:pt>
                <c:pt idx="13">
                  <c:v>46015</c:v>
                </c:pt>
                <c:pt idx="14">
                  <c:v>46016</c:v>
                </c:pt>
                <c:pt idx="15">
                  <c:v>46017</c:v>
                </c:pt>
                <c:pt idx="16">
                  <c:v>46018</c:v>
                </c:pt>
                <c:pt idx="17">
                  <c:v>46019</c:v>
                </c:pt>
                <c:pt idx="18">
                  <c:v>46020</c:v>
                </c:pt>
                <c:pt idx="19">
                  <c:v>46021</c:v>
                </c:pt>
                <c:pt idx="20">
                  <c:v>46022</c:v>
                </c:pt>
                <c:pt idx="21">
                  <c:v>46006</c:v>
                </c:pt>
                <c:pt idx="22">
                  <c:v>46000</c:v>
                </c:pt>
              </c:numCache>
            </c:numRef>
          </c:cat>
          <c:val>
            <c:numRef>
              <c:f>'Корж А. А.'!$O$25:$O$47</c:f>
              <c:numCache>
                <c:formatCode>#,##0</c:formatCode>
                <c:ptCount val="23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620-6D4E-869B-485EAC6845B6}"/>
            </c:ext>
          </c:extLst>
        </c:ser>
        <c:ser>
          <c:idx val="2"/>
          <c:order val="2"/>
          <c:spPr>
            <a:prstGeom prst="rect">
              <a:avLst/>
            </a:prstGeom>
            <a:ln w="12600">
              <a:solidFill>
                <a:srgbClr val="A5A5A5"/>
              </a:solidFill>
              <a:round/>
            </a:ln>
          </c:spPr>
          <c:marker>
            <c:symbol val="triangle"/>
            <c:size val="2"/>
            <c:spPr>
              <a:prstGeom prst="rect">
                <a:avLst/>
              </a:prstGeom>
              <a:solidFill>
                <a:srgbClr val="A5A5A5"/>
              </a:solidFill>
            </c:spPr>
          </c:marker>
          <c:dLbls>
            <c:spPr>
              <a:noFill/>
              <a:ln>
                <a:noFill/>
                <a:round/>
              </a:ln>
              <a:effectLst/>
            </c:spPr>
            <c:txPr>
              <a:bodyPr wrap="none"/>
              <a:lstStyle/>
              <a:p>
                <a:pPr>
                  <a:defRPr sz="1000" b="0" strike="noStrike" spc="0">
                    <a:solidFill>
                      <a:srgbClr val="333333"/>
                    </a:solidFill>
                    <a:latin typeface="Calibri"/>
                  </a:defRPr>
                </a:pPr>
                <a:endParaRPr lang="ru-RU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1"/>
            <c:separator>
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cat>
            <c:numRef>
              <c:f>'Корж А. А.'!$B$25:$B$47</c:f>
              <c:numCache>
                <c:formatCode>d\-mmm</c:formatCode>
                <c:ptCount val="23"/>
                <c:pt idx="0">
                  <c:v>45994</c:v>
                </c:pt>
                <c:pt idx="1">
                  <c:v>45995</c:v>
                </c:pt>
                <c:pt idx="2">
                  <c:v>45998</c:v>
                </c:pt>
                <c:pt idx="3">
                  <c:v>45999</c:v>
                </c:pt>
                <c:pt idx="4">
                  <c:v>46001</c:v>
                </c:pt>
                <c:pt idx="5">
                  <c:v>46002</c:v>
                </c:pt>
                <c:pt idx="6">
                  <c:v>46004</c:v>
                </c:pt>
                <c:pt idx="7">
                  <c:v>46005</c:v>
                </c:pt>
                <c:pt idx="8">
                  <c:v>46007</c:v>
                </c:pt>
                <c:pt idx="9">
                  <c:v>46008</c:v>
                </c:pt>
                <c:pt idx="10">
                  <c:v>46009</c:v>
                </c:pt>
                <c:pt idx="11">
                  <c:v>46012</c:v>
                </c:pt>
                <c:pt idx="12">
                  <c:v>46014</c:v>
                </c:pt>
                <c:pt idx="13">
                  <c:v>46015</c:v>
                </c:pt>
                <c:pt idx="14">
                  <c:v>46016</c:v>
                </c:pt>
                <c:pt idx="15">
                  <c:v>46017</c:v>
                </c:pt>
                <c:pt idx="16">
                  <c:v>46018</c:v>
                </c:pt>
                <c:pt idx="17">
                  <c:v>46019</c:v>
                </c:pt>
                <c:pt idx="18">
                  <c:v>46020</c:v>
                </c:pt>
                <c:pt idx="19">
                  <c:v>46021</c:v>
                </c:pt>
                <c:pt idx="20">
                  <c:v>46022</c:v>
                </c:pt>
                <c:pt idx="21">
                  <c:v>46006</c:v>
                </c:pt>
                <c:pt idx="22">
                  <c:v>46000</c:v>
                </c:pt>
              </c:numCache>
            </c:numRef>
          </c:cat>
          <c:val>
            <c:numRef>
              <c:f>'Корж А. А.'!$P$25:$P$47</c:f>
              <c:numCache>
                <c:formatCode>#,##0</c:formatCode>
                <c:ptCount val="23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B620-6D4E-869B-485EAC6845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prstGeom prst="rect">
              <a:avLst/>
            </a:prstGeom>
            <a:ln w="0">
              <a:noFill/>
              <a:bevel/>
            </a:ln>
          </c:spPr>
        </c:hiLowLines>
        <c:marker val="1"/>
        <c:smooth val="0"/>
        <c:axId val="76887299"/>
        <c:axId val="76887298"/>
      </c:lineChart>
      <c:valAx>
        <c:axId val="76887298"/>
        <c:scaling>
          <c:orientation val="minMax"/>
        </c:scaling>
        <c:delete val="0"/>
        <c:axPos val="l"/>
        <c:majorGridlines>
          <c:spPr>
            <a:prstGeom prst="rect">
              <a:avLst/>
            </a:prstGeom>
            <a:ln w="0">
              <a:solidFill>
                <a:srgbClr val="8B8B8B"/>
              </a:solidFill>
              <a:bevel/>
            </a:ln>
          </c:spPr>
        </c:majorGridlines>
        <c:numFmt formatCode="General" sourceLinked="0"/>
        <c:majorTickMark val="out"/>
        <c:minorTickMark val="none"/>
        <c:tickLblPos val="nextTo"/>
        <c:spPr>
          <a:prstGeom prst="rect">
            <a:avLst/>
          </a:prstGeom>
          <a:ln w="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0">
                <a:solidFill>
                  <a:srgbClr val="333333"/>
                </a:solidFill>
                <a:latin typeface="Calibri"/>
              </a:defRPr>
            </a:pPr>
            <a:endParaRPr lang="ru-RU"/>
          </a:p>
        </c:txPr>
        <c:crossAx val="76887299"/>
        <c:crossesAt val="0"/>
        <c:crossBetween val="midCat"/>
      </c:valAx>
      <c:dateAx>
        <c:axId val="76887299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prstGeom prst="rect">
            <a:avLst/>
          </a:prstGeom>
          <a:ln w="0">
            <a:solidFill>
              <a:srgbClr val="8B8B8B"/>
            </a:solidFill>
          </a:ln>
        </c:spPr>
        <c:txPr>
          <a:bodyPr rot="-5400000"/>
          <a:lstStyle/>
          <a:p>
            <a:pPr>
              <a:defRPr sz="1000" b="0" strike="noStrike" spc="0">
                <a:solidFill>
                  <a:srgbClr val="333333"/>
                </a:solidFill>
                <a:latin typeface="Calibri"/>
              </a:defRPr>
            </a:pPr>
            <a:endParaRPr lang="ru-RU"/>
          </a:p>
        </c:txPr>
        <c:crossAx val="76887298"/>
        <c:crossesAt val="0"/>
        <c:auto val="1"/>
        <c:lblOffset val="100"/>
        <c:baseTimeUnit val="days"/>
      </c:dateAx>
      <c:spPr>
        <a:prstGeom prst="rect">
          <a:avLst/>
        </a:prstGeom>
        <a:solidFill>
          <a:srgbClr val="FFFFFF"/>
        </a:solidFill>
        <a:ln w="0">
          <a:noFill/>
        </a:ln>
      </c:spPr>
    </c:plotArea>
    <c:legend>
      <c:legendPos val="r"/>
      <c:layout>
        <c:manualLayout>
          <c:xMode val="edge"/>
          <c:yMode val="edge"/>
          <c:x val="0.79400000000000004"/>
          <c:y val="0.43099999999999999"/>
          <c:w val="5.7000000000000002E-2"/>
          <c:h val="0.17299999999999999"/>
        </c:manualLayout>
      </c:layout>
      <c:overlay val="0"/>
      <c:spPr>
        <a:prstGeom prst="rect">
          <a:avLst/>
        </a:prstGeom>
        <a:noFill/>
        <a:ln w="0">
          <a:noFill/>
          <a:miter/>
        </a:ln>
      </c:spPr>
      <c:txPr>
        <a:bodyPr lIns="36000" tIns="36000" rIns="36000" bIns="36000"/>
        <a:lstStyle/>
        <a:p>
          <a:pPr>
            <a:defRPr sz="700" b="0" strike="noStrike" spc="0">
              <a:solidFill>
                <a:srgbClr val="333333"/>
              </a:solidFill>
              <a:latin typeface="Calibri"/>
            </a:defRPr>
          </a:pPr>
          <a:endParaRPr lang="ru-RU"/>
        </a:p>
      </c:txPr>
    </c:legend>
    <c:plotVisOnly val="1"/>
    <c:dispBlanksAs val="zero"/>
    <c:showDLblsOverMax val="1"/>
  </c:chart>
  <c:spPr>
    <a:xfrm>
      <a:off x="0" y="0"/>
      <a:ext cx="0" cy="0"/>
    </a:xfrm>
    <a:prstGeom prst="rect">
      <a:avLst/>
    </a:prstGeom>
    <a:noFill/>
    <a:ln w="12600">
      <a:noFill/>
      <a:miter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9500000000000001"/>
          <c:y val="0.29699999999999999"/>
          <c:w val="0.76400000000000001"/>
          <c:h val="0.64500000000000002"/>
        </c:manualLayout>
      </c:layout>
      <c:lineChart>
        <c:grouping val="standard"/>
        <c:varyColors val="0"/>
        <c:ser>
          <c:idx val="0"/>
          <c:order val="0"/>
          <c:spPr>
            <a:prstGeom prst="rect">
              <a:avLst/>
            </a:prstGeom>
            <a:ln w="12600">
              <a:solidFill>
                <a:srgbClr val="5B9BD5"/>
              </a:solidFill>
              <a:round/>
            </a:ln>
          </c:spPr>
          <c:marker>
            <c:symbol val="diamond"/>
            <c:size val="2"/>
            <c:spPr>
              <a:prstGeom prst="rect">
                <a:avLst/>
              </a:prstGeom>
              <a:solidFill>
                <a:srgbClr val="5B9BD5"/>
              </a:solidFill>
            </c:spPr>
          </c:marker>
          <c:dLbls>
            <c:spPr>
              <a:noFill/>
              <a:ln>
                <a:noFill/>
                <a:bevel/>
              </a:ln>
              <a:effectLst/>
            </c:spPr>
            <c:txPr>
              <a:bodyPr wrap="none"/>
              <a:lstStyle/>
              <a:p>
                <a:pPr>
                  <a:defRPr sz="1000" b="0" strike="noStrike" spc="0">
                    <a:solidFill>
                      <a:srgbClr val="333333"/>
                    </a:solidFill>
                    <a:latin typeface="Calibri"/>
                  </a:defRPr>
                </a:pPr>
                <a:endParaRPr lang="ru-RU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1"/>
            <c:separator>
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cat>
            <c:numRef>
              <c:f>'Свидовская С. А.'!$B$25:$B$47</c:f>
              <c:numCache>
                <c:formatCode>d\-mmm</c:formatCode>
                <c:ptCount val="23"/>
                <c:pt idx="0">
                  <c:v>45993</c:v>
                </c:pt>
                <c:pt idx="1">
                  <c:v>45994</c:v>
                </c:pt>
                <c:pt idx="2">
                  <c:v>45997</c:v>
                </c:pt>
                <c:pt idx="3">
                  <c:v>45998</c:v>
                </c:pt>
                <c:pt idx="4">
                  <c:v>45999</c:v>
                </c:pt>
                <c:pt idx="5">
                  <c:v>46000</c:v>
                </c:pt>
                <c:pt idx="6">
                  <c:v>46003</c:v>
                </c:pt>
                <c:pt idx="7">
                  <c:v>46004</c:v>
                </c:pt>
                <c:pt idx="8">
                  <c:v>46005</c:v>
                </c:pt>
                <c:pt idx="9">
                  <c:v>46006</c:v>
                </c:pt>
                <c:pt idx="10">
                  <c:v>46009</c:v>
                </c:pt>
                <c:pt idx="11">
                  <c:v>46010</c:v>
                </c:pt>
                <c:pt idx="12">
                  <c:v>46011</c:v>
                </c:pt>
                <c:pt idx="13">
                  <c:v>46012</c:v>
                </c:pt>
                <c:pt idx="14">
                  <c:v>46013</c:v>
                </c:pt>
                <c:pt idx="15">
                  <c:v>46016</c:v>
                </c:pt>
                <c:pt idx="16">
                  <c:v>46017</c:v>
                </c:pt>
                <c:pt idx="17">
                  <c:v>46019</c:v>
                </c:pt>
                <c:pt idx="18">
                  <c:v>46020</c:v>
                </c:pt>
                <c:pt idx="19">
                  <c:v>46021</c:v>
                </c:pt>
                <c:pt idx="20">
                  <c:v>46022</c:v>
                </c:pt>
              </c:numCache>
            </c:numRef>
          </c:cat>
          <c:val>
            <c:numRef>
              <c:f>'Свидовская С. А.'!$D$25:$D$47</c:f>
              <c:numCache>
                <c:formatCode>#,##0.00</c:formatCode>
                <c:ptCount val="23"/>
                <c:pt idx="0">
                  <c:v>66305</c:v>
                </c:pt>
                <c:pt idx="1">
                  <c:v>0</c:v>
                </c:pt>
                <c:pt idx="2">
                  <c:v>60986</c:v>
                </c:pt>
                <c:pt idx="3">
                  <c:v>33266</c:v>
                </c:pt>
                <c:pt idx="4">
                  <c:v>5993</c:v>
                </c:pt>
                <c:pt idx="5">
                  <c:v>9782</c:v>
                </c:pt>
                <c:pt idx="6">
                  <c:v>17354</c:v>
                </c:pt>
                <c:pt idx="7">
                  <c:v>66110</c:v>
                </c:pt>
                <c:pt idx="8">
                  <c:v>21341</c:v>
                </c:pt>
                <c:pt idx="9">
                  <c:v>3793</c:v>
                </c:pt>
                <c:pt idx="10">
                  <c:v>39090.019999999997</c:v>
                </c:pt>
                <c:pt idx="11">
                  <c:v>0</c:v>
                </c:pt>
                <c:pt idx="12">
                  <c:v>95853</c:v>
                </c:pt>
                <c:pt idx="13">
                  <c:v>0</c:v>
                </c:pt>
                <c:pt idx="14">
                  <c:v>38482</c:v>
                </c:pt>
                <c:pt idx="15">
                  <c:v>14755</c:v>
                </c:pt>
                <c:pt idx="16">
                  <c:v>9685.5</c:v>
                </c:pt>
                <c:pt idx="17">
                  <c:v>22049</c:v>
                </c:pt>
                <c:pt idx="18">
                  <c:v>64914</c:v>
                </c:pt>
                <c:pt idx="19">
                  <c:v>68402</c:v>
                </c:pt>
                <c:pt idx="20">
                  <c:v>19794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D68-0C4F-AD78-B180F720865A}"/>
            </c:ext>
          </c:extLst>
        </c:ser>
        <c:ser>
          <c:idx val="1"/>
          <c:order val="1"/>
          <c:spPr>
            <a:prstGeom prst="rect">
              <a:avLst/>
            </a:prstGeom>
            <a:ln w="12600">
              <a:solidFill>
                <a:srgbClr val="ED7D31"/>
              </a:solidFill>
              <a:round/>
            </a:ln>
          </c:spPr>
          <c:marker>
            <c:symbol val="square"/>
            <c:size val="2"/>
            <c:spPr>
              <a:prstGeom prst="rect">
                <a:avLst/>
              </a:prstGeom>
              <a:solidFill>
                <a:srgbClr val="ED7D31"/>
              </a:solidFill>
            </c:spPr>
          </c:marker>
          <c:dLbls>
            <c:spPr>
              <a:noFill/>
              <a:ln>
                <a:noFill/>
                <a:bevel/>
              </a:ln>
              <a:effectLst/>
            </c:spPr>
            <c:txPr>
              <a:bodyPr wrap="none"/>
              <a:lstStyle/>
              <a:p>
                <a:pPr>
                  <a:defRPr sz="1000" b="0" strike="noStrike" spc="0">
                    <a:solidFill>
                      <a:srgbClr val="333333"/>
                    </a:solidFill>
                    <a:latin typeface="Calibri"/>
                  </a:defRPr>
                </a:pPr>
                <a:endParaRPr lang="ru-RU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1"/>
            <c:separator>
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cat>
            <c:numRef>
              <c:f>'Свидовская С. А.'!$B$25:$B$47</c:f>
              <c:numCache>
                <c:formatCode>d\-mmm</c:formatCode>
                <c:ptCount val="23"/>
                <c:pt idx="0">
                  <c:v>45993</c:v>
                </c:pt>
                <c:pt idx="1">
                  <c:v>45994</c:v>
                </c:pt>
                <c:pt idx="2">
                  <c:v>45997</c:v>
                </c:pt>
                <c:pt idx="3">
                  <c:v>45998</c:v>
                </c:pt>
                <c:pt idx="4">
                  <c:v>45999</c:v>
                </c:pt>
                <c:pt idx="5">
                  <c:v>46000</c:v>
                </c:pt>
                <c:pt idx="6">
                  <c:v>46003</c:v>
                </c:pt>
                <c:pt idx="7">
                  <c:v>46004</c:v>
                </c:pt>
                <c:pt idx="8">
                  <c:v>46005</c:v>
                </c:pt>
                <c:pt idx="9">
                  <c:v>46006</c:v>
                </c:pt>
                <c:pt idx="10">
                  <c:v>46009</c:v>
                </c:pt>
                <c:pt idx="11">
                  <c:v>46010</c:v>
                </c:pt>
                <c:pt idx="12">
                  <c:v>46011</c:v>
                </c:pt>
                <c:pt idx="13">
                  <c:v>46012</c:v>
                </c:pt>
                <c:pt idx="14">
                  <c:v>46013</c:v>
                </c:pt>
                <c:pt idx="15">
                  <c:v>46016</c:v>
                </c:pt>
                <c:pt idx="16">
                  <c:v>46017</c:v>
                </c:pt>
                <c:pt idx="17">
                  <c:v>46019</c:v>
                </c:pt>
                <c:pt idx="18">
                  <c:v>46020</c:v>
                </c:pt>
                <c:pt idx="19">
                  <c:v>46021</c:v>
                </c:pt>
                <c:pt idx="20">
                  <c:v>46022</c:v>
                </c:pt>
              </c:numCache>
            </c:numRef>
          </c:cat>
          <c:val>
            <c:numRef>
              <c:f>'Свидовская С. А.'!$O$25:$O$47</c:f>
              <c:numCache>
                <c:formatCode>#,##0</c:formatCode>
                <c:ptCount val="23"/>
                <c:pt idx="2">
                  <c:v>22380</c:v>
                </c:pt>
                <c:pt idx="4">
                  <c:v>5993</c:v>
                </c:pt>
                <c:pt idx="7">
                  <c:v>11993</c:v>
                </c:pt>
                <c:pt idx="16">
                  <c:v>6027.5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D68-0C4F-AD78-B180F720865A}"/>
            </c:ext>
          </c:extLst>
        </c:ser>
        <c:ser>
          <c:idx val="2"/>
          <c:order val="2"/>
          <c:spPr>
            <a:prstGeom prst="rect">
              <a:avLst/>
            </a:prstGeom>
            <a:ln w="12600">
              <a:solidFill>
                <a:srgbClr val="A5A5A5"/>
              </a:solidFill>
              <a:round/>
            </a:ln>
          </c:spPr>
          <c:marker>
            <c:symbol val="triangle"/>
            <c:size val="2"/>
            <c:spPr>
              <a:prstGeom prst="rect">
                <a:avLst/>
              </a:prstGeom>
              <a:solidFill>
                <a:srgbClr val="A5A5A5"/>
              </a:solidFill>
            </c:spPr>
          </c:marker>
          <c:dLbls>
            <c:spPr>
              <a:noFill/>
              <a:ln>
                <a:noFill/>
                <a:round/>
              </a:ln>
              <a:effectLst/>
            </c:spPr>
            <c:txPr>
              <a:bodyPr wrap="none"/>
              <a:lstStyle/>
              <a:p>
                <a:pPr>
                  <a:defRPr sz="1000" b="0" strike="noStrike" spc="0">
                    <a:solidFill>
                      <a:srgbClr val="333333"/>
                    </a:solidFill>
                    <a:latin typeface="Calibri"/>
                  </a:defRPr>
                </a:pPr>
                <a:endParaRPr lang="ru-RU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1"/>
            <c:separator>
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cat>
            <c:numRef>
              <c:f>'Свидовская С. А.'!$B$25:$B$47</c:f>
              <c:numCache>
                <c:formatCode>d\-mmm</c:formatCode>
                <c:ptCount val="23"/>
                <c:pt idx="0">
                  <c:v>45993</c:v>
                </c:pt>
                <c:pt idx="1">
                  <c:v>45994</c:v>
                </c:pt>
                <c:pt idx="2">
                  <c:v>45997</c:v>
                </c:pt>
                <c:pt idx="3">
                  <c:v>45998</c:v>
                </c:pt>
                <c:pt idx="4">
                  <c:v>45999</c:v>
                </c:pt>
                <c:pt idx="5">
                  <c:v>46000</c:v>
                </c:pt>
                <c:pt idx="6">
                  <c:v>46003</c:v>
                </c:pt>
                <c:pt idx="7">
                  <c:v>46004</c:v>
                </c:pt>
                <c:pt idx="8">
                  <c:v>46005</c:v>
                </c:pt>
                <c:pt idx="9">
                  <c:v>46006</c:v>
                </c:pt>
                <c:pt idx="10">
                  <c:v>46009</c:v>
                </c:pt>
                <c:pt idx="11">
                  <c:v>46010</c:v>
                </c:pt>
                <c:pt idx="12">
                  <c:v>46011</c:v>
                </c:pt>
                <c:pt idx="13">
                  <c:v>46012</c:v>
                </c:pt>
                <c:pt idx="14">
                  <c:v>46013</c:v>
                </c:pt>
                <c:pt idx="15">
                  <c:v>46016</c:v>
                </c:pt>
                <c:pt idx="16">
                  <c:v>46017</c:v>
                </c:pt>
                <c:pt idx="17">
                  <c:v>46019</c:v>
                </c:pt>
                <c:pt idx="18">
                  <c:v>46020</c:v>
                </c:pt>
                <c:pt idx="19">
                  <c:v>46021</c:v>
                </c:pt>
                <c:pt idx="20">
                  <c:v>46022</c:v>
                </c:pt>
              </c:numCache>
            </c:numRef>
          </c:cat>
          <c:val>
            <c:numRef>
              <c:f>'Свидовская С. А.'!$P$25:$P$47</c:f>
              <c:numCache>
                <c:formatCode>#,##0</c:formatCode>
                <c:ptCount val="23"/>
                <c:pt idx="7">
                  <c:v>6493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8D68-0C4F-AD78-B180F72086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prstGeom prst="rect">
              <a:avLst/>
            </a:prstGeom>
            <a:ln w="0">
              <a:noFill/>
              <a:bevel/>
            </a:ln>
          </c:spPr>
        </c:hiLowLines>
        <c:marker val="1"/>
        <c:smooth val="0"/>
        <c:axId val="76887296"/>
        <c:axId val="76887297"/>
      </c:lineChart>
      <c:valAx>
        <c:axId val="76887297"/>
        <c:scaling>
          <c:orientation val="minMax"/>
        </c:scaling>
        <c:delete val="0"/>
        <c:axPos val="l"/>
        <c:majorGridlines>
          <c:spPr>
            <a:prstGeom prst="rect">
              <a:avLst/>
            </a:prstGeom>
            <a:ln w="0">
              <a:solidFill>
                <a:srgbClr val="8B8B8B"/>
              </a:solidFill>
              <a:bevel/>
            </a:ln>
          </c:spPr>
        </c:majorGridlines>
        <c:numFmt formatCode="General" sourceLinked="0"/>
        <c:majorTickMark val="out"/>
        <c:minorTickMark val="none"/>
        <c:tickLblPos val="nextTo"/>
        <c:spPr>
          <a:prstGeom prst="rect">
            <a:avLst/>
          </a:prstGeom>
          <a:ln w="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0">
                <a:solidFill>
                  <a:srgbClr val="333333"/>
                </a:solidFill>
                <a:latin typeface="Calibri"/>
              </a:defRPr>
            </a:pPr>
            <a:endParaRPr lang="ru-RU"/>
          </a:p>
        </c:txPr>
        <c:crossAx val="76887296"/>
        <c:crossesAt val="0"/>
        <c:crossBetween val="midCat"/>
      </c:valAx>
      <c:dateAx>
        <c:axId val="7688729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prstGeom prst="rect">
            <a:avLst/>
          </a:prstGeom>
          <a:ln w="0">
            <a:solidFill>
              <a:srgbClr val="8B8B8B"/>
            </a:solidFill>
          </a:ln>
        </c:spPr>
        <c:txPr>
          <a:bodyPr rot="-5400000"/>
          <a:lstStyle/>
          <a:p>
            <a:pPr>
              <a:defRPr sz="1000" b="0" strike="noStrike" spc="0">
                <a:solidFill>
                  <a:srgbClr val="333333"/>
                </a:solidFill>
                <a:latin typeface="Calibri"/>
              </a:defRPr>
            </a:pPr>
            <a:endParaRPr lang="ru-RU"/>
          </a:p>
        </c:txPr>
        <c:crossAx val="76887297"/>
        <c:crossesAt val="0"/>
        <c:auto val="1"/>
        <c:lblOffset val="100"/>
        <c:baseTimeUnit val="days"/>
      </c:dateAx>
      <c:spPr>
        <a:prstGeom prst="rect">
          <a:avLst/>
        </a:prstGeom>
        <a:solidFill>
          <a:srgbClr val="FFFFFF"/>
        </a:solidFill>
        <a:ln w="0">
          <a:noFill/>
        </a:ln>
      </c:spPr>
    </c:plotArea>
    <c:legend>
      <c:legendPos val="r"/>
      <c:layout>
        <c:manualLayout>
          <c:xMode val="edge"/>
          <c:yMode val="edge"/>
          <c:x val="0.79400000000000004"/>
          <c:y val="0.43099999999999999"/>
          <c:w val="5.7000000000000002E-2"/>
          <c:h val="0.17299999999999999"/>
        </c:manualLayout>
      </c:layout>
      <c:overlay val="0"/>
      <c:spPr>
        <a:prstGeom prst="rect">
          <a:avLst/>
        </a:prstGeom>
        <a:noFill/>
        <a:ln w="0">
          <a:noFill/>
          <a:miter/>
        </a:ln>
      </c:spPr>
      <c:txPr>
        <a:bodyPr lIns="36000" tIns="36000" rIns="36000" bIns="36000"/>
        <a:lstStyle/>
        <a:p>
          <a:pPr>
            <a:defRPr sz="700" b="0" strike="noStrike" spc="0">
              <a:solidFill>
                <a:srgbClr val="333333"/>
              </a:solidFill>
              <a:latin typeface="Calibri"/>
            </a:defRPr>
          </a:pPr>
          <a:endParaRPr lang="ru-RU"/>
        </a:p>
      </c:txPr>
    </c:legend>
    <c:plotVisOnly val="1"/>
    <c:dispBlanksAs val="zero"/>
    <c:showDLblsOverMax val="1"/>
  </c:chart>
  <c:spPr>
    <a:xfrm>
      <a:off x="0" y="0"/>
      <a:ext cx="0" cy="0"/>
    </a:xfrm>
    <a:prstGeom prst="rect">
      <a:avLst/>
    </a:prstGeom>
    <a:noFill/>
    <a:ln w="12600">
      <a:noFill/>
      <a:miter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9500000000000001"/>
          <c:y val="0.29699999999999999"/>
          <c:w val="0.76400000000000001"/>
          <c:h val="0.64500000000000002"/>
        </c:manualLayout>
      </c:layout>
      <c:lineChart>
        <c:grouping val="standard"/>
        <c:varyColors val="0"/>
        <c:ser>
          <c:idx val="0"/>
          <c:order val="0"/>
          <c:spPr>
            <a:prstGeom prst="rect">
              <a:avLst/>
            </a:prstGeom>
            <a:ln w="12600">
              <a:solidFill>
                <a:srgbClr val="5B9BD5"/>
              </a:solidFill>
              <a:round/>
            </a:ln>
          </c:spPr>
          <c:marker>
            <c:symbol val="diamond"/>
            <c:size val="2"/>
            <c:spPr>
              <a:prstGeom prst="rect">
                <a:avLst/>
              </a:prstGeom>
              <a:solidFill>
                <a:srgbClr val="5B9BD5"/>
              </a:solidFill>
            </c:spPr>
          </c:marker>
          <c:dLbls>
            <c:spPr>
              <a:noFill/>
              <a:ln>
                <a:noFill/>
                <a:bevel/>
              </a:ln>
              <a:effectLst/>
            </c:spPr>
            <c:txPr>
              <a:bodyPr wrap="none"/>
              <a:lstStyle/>
              <a:p>
                <a:pPr>
                  <a:defRPr sz="1000" b="0" strike="noStrike" spc="0">
                    <a:solidFill>
                      <a:srgbClr val="333333"/>
                    </a:solidFill>
                    <a:latin typeface="Calibri"/>
                  </a:defRPr>
                </a:pPr>
                <a:endParaRPr lang="ru-RU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1"/>
            <c:separator>
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cat>
            <c:numRef>
              <c:f>'Стекольщикова А. А.'!$B$25:$B$47</c:f>
              <c:numCache>
                <c:formatCode>d\-mmm</c:formatCode>
                <c:ptCount val="23"/>
                <c:pt idx="0">
                  <c:v>45993</c:v>
                </c:pt>
                <c:pt idx="1">
                  <c:v>45994</c:v>
                </c:pt>
                <c:pt idx="2">
                  <c:v>45995</c:v>
                </c:pt>
                <c:pt idx="3">
                  <c:v>45996</c:v>
                </c:pt>
                <c:pt idx="4">
                  <c:v>45997</c:v>
                </c:pt>
                <c:pt idx="5">
                  <c:v>46000</c:v>
                </c:pt>
                <c:pt idx="6">
                  <c:v>46001</c:v>
                </c:pt>
                <c:pt idx="7">
                  <c:v>46002</c:v>
                </c:pt>
                <c:pt idx="8">
                  <c:v>46003</c:v>
                </c:pt>
                <c:pt idx="9">
                  <c:v>46004</c:v>
                </c:pt>
                <c:pt idx="10">
                  <c:v>46007</c:v>
                </c:pt>
                <c:pt idx="11">
                  <c:v>46008</c:v>
                </c:pt>
                <c:pt idx="12">
                  <c:v>46009</c:v>
                </c:pt>
                <c:pt idx="13">
                  <c:v>46010</c:v>
                </c:pt>
                <c:pt idx="14">
                  <c:v>46011</c:v>
                </c:pt>
                <c:pt idx="15">
                  <c:v>46012</c:v>
                </c:pt>
                <c:pt idx="16">
                  <c:v>46014</c:v>
                </c:pt>
                <c:pt idx="17">
                  <c:v>46015</c:v>
                </c:pt>
                <c:pt idx="18">
                  <c:v>46016</c:v>
                </c:pt>
                <c:pt idx="19">
                  <c:v>46017</c:v>
                </c:pt>
                <c:pt idx="20">
                  <c:v>46018</c:v>
                </c:pt>
                <c:pt idx="21">
                  <c:v>46019</c:v>
                </c:pt>
                <c:pt idx="22">
                  <c:v>46020</c:v>
                </c:pt>
              </c:numCache>
            </c:numRef>
          </c:cat>
          <c:val>
            <c:numRef>
              <c:f>'Стекольщикова А. А.'!$D$25:$D$47</c:f>
              <c:numCache>
                <c:formatCode>#,##0.00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48596</c:v>
                </c:pt>
                <c:pt idx="3">
                  <c:v>16579</c:v>
                </c:pt>
                <c:pt idx="4">
                  <c:v>73034</c:v>
                </c:pt>
                <c:pt idx="5">
                  <c:v>33446</c:v>
                </c:pt>
                <c:pt idx="6">
                  <c:v>25432</c:v>
                </c:pt>
                <c:pt idx="7">
                  <c:v>0</c:v>
                </c:pt>
                <c:pt idx="8">
                  <c:v>14496</c:v>
                </c:pt>
                <c:pt idx="9">
                  <c:v>39474</c:v>
                </c:pt>
                <c:pt idx="10">
                  <c:v>24071</c:v>
                </c:pt>
                <c:pt idx="11">
                  <c:v>5893</c:v>
                </c:pt>
                <c:pt idx="12">
                  <c:v>23665</c:v>
                </c:pt>
                <c:pt idx="13">
                  <c:v>89483</c:v>
                </c:pt>
                <c:pt idx="14">
                  <c:v>63534</c:v>
                </c:pt>
                <c:pt idx="15">
                  <c:v>22675</c:v>
                </c:pt>
                <c:pt idx="16">
                  <c:v>13106</c:v>
                </c:pt>
                <c:pt idx="17">
                  <c:v>42185</c:v>
                </c:pt>
                <c:pt idx="18">
                  <c:v>17374</c:v>
                </c:pt>
                <c:pt idx="19">
                  <c:v>9602</c:v>
                </c:pt>
                <c:pt idx="20">
                  <c:v>57278</c:v>
                </c:pt>
                <c:pt idx="21">
                  <c:v>50691</c:v>
                </c:pt>
                <c:pt idx="22">
                  <c:v>56617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AD5-0743-80F3-0FBAE9152909}"/>
            </c:ext>
          </c:extLst>
        </c:ser>
        <c:ser>
          <c:idx val="1"/>
          <c:order val="1"/>
          <c:spPr>
            <a:prstGeom prst="rect">
              <a:avLst/>
            </a:prstGeom>
            <a:ln w="12600">
              <a:solidFill>
                <a:srgbClr val="ED7D31"/>
              </a:solidFill>
              <a:round/>
            </a:ln>
          </c:spPr>
          <c:marker>
            <c:symbol val="square"/>
            <c:size val="2"/>
            <c:spPr>
              <a:prstGeom prst="rect">
                <a:avLst/>
              </a:prstGeom>
              <a:solidFill>
                <a:srgbClr val="ED7D31"/>
              </a:solidFill>
            </c:spPr>
          </c:marker>
          <c:dLbls>
            <c:spPr>
              <a:noFill/>
              <a:ln>
                <a:noFill/>
                <a:bevel/>
              </a:ln>
              <a:effectLst/>
            </c:spPr>
            <c:txPr>
              <a:bodyPr wrap="none"/>
              <a:lstStyle/>
              <a:p>
                <a:pPr>
                  <a:defRPr sz="1000" b="0" strike="noStrike" spc="0">
                    <a:solidFill>
                      <a:srgbClr val="333333"/>
                    </a:solidFill>
                    <a:latin typeface="Calibri"/>
                  </a:defRPr>
                </a:pPr>
                <a:endParaRPr lang="ru-RU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1"/>
            <c:separator>
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cat>
            <c:numRef>
              <c:f>'Стекольщикова А. А.'!$B$25:$B$47</c:f>
              <c:numCache>
                <c:formatCode>d\-mmm</c:formatCode>
                <c:ptCount val="23"/>
                <c:pt idx="0">
                  <c:v>45993</c:v>
                </c:pt>
                <c:pt idx="1">
                  <c:v>45994</c:v>
                </c:pt>
                <c:pt idx="2">
                  <c:v>45995</c:v>
                </c:pt>
                <c:pt idx="3">
                  <c:v>45996</c:v>
                </c:pt>
                <c:pt idx="4">
                  <c:v>45997</c:v>
                </c:pt>
                <c:pt idx="5">
                  <c:v>46000</c:v>
                </c:pt>
                <c:pt idx="6">
                  <c:v>46001</c:v>
                </c:pt>
                <c:pt idx="7">
                  <c:v>46002</c:v>
                </c:pt>
                <c:pt idx="8">
                  <c:v>46003</c:v>
                </c:pt>
                <c:pt idx="9">
                  <c:v>46004</c:v>
                </c:pt>
                <c:pt idx="10">
                  <c:v>46007</c:v>
                </c:pt>
                <c:pt idx="11">
                  <c:v>46008</c:v>
                </c:pt>
                <c:pt idx="12">
                  <c:v>46009</c:v>
                </c:pt>
                <c:pt idx="13">
                  <c:v>46010</c:v>
                </c:pt>
                <c:pt idx="14">
                  <c:v>46011</c:v>
                </c:pt>
                <c:pt idx="15">
                  <c:v>46012</c:v>
                </c:pt>
                <c:pt idx="16">
                  <c:v>46014</c:v>
                </c:pt>
                <c:pt idx="17">
                  <c:v>46015</c:v>
                </c:pt>
                <c:pt idx="18">
                  <c:v>46016</c:v>
                </c:pt>
                <c:pt idx="19">
                  <c:v>46017</c:v>
                </c:pt>
                <c:pt idx="20">
                  <c:v>46018</c:v>
                </c:pt>
                <c:pt idx="21">
                  <c:v>46019</c:v>
                </c:pt>
                <c:pt idx="22">
                  <c:v>46020</c:v>
                </c:pt>
              </c:numCache>
            </c:numRef>
          </c:cat>
          <c:val>
            <c:numRef>
              <c:f>'Стекольщикова А. А.'!$O$25:$O$47</c:f>
              <c:numCache>
                <c:formatCode>#,##0</c:formatCode>
                <c:ptCount val="23"/>
                <c:pt idx="5">
                  <c:v>33446</c:v>
                </c:pt>
                <c:pt idx="12">
                  <c:v>15066</c:v>
                </c:pt>
                <c:pt idx="13">
                  <c:v>22172</c:v>
                </c:pt>
                <c:pt idx="14">
                  <c:v>25611</c:v>
                </c:pt>
                <c:pt idx="17">
                  <c:v>16690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AD5-0743-80F3-0FBAE9152909}"/>
            </c:ext>
          </c:extLst>
        </c:ser>
        <c:ser>
          <c:idx val="2"/>
          <c:order val="2"/>
          <c:spPr>
            <a:prstGeom prst="rect">
              <a:avLst/>
            </a:prstGeom>
            <a:ln w="12600">
              <a:solidFill>
                <a:srgbClr val="A5A5A5"/>
              </a:solidFill>
              <a:round/>
            </a:ln>
          </c:spPr>
          <c:marker>
            <c:symbol val="triangle"/>
            <c:size val="2"/>
            <c:spPr>
              <a:prstGeom prst="rect">
                <a:avLst/>
              </a:prstGeom>
              <a:solidFill>
                <a:srgbClr val="A5A5A5"/>
              </a:solidFill>
            </c:spPr>
          </c:marker>
          <c:dLbls>
            <c:spPr>
              <a:noFill/>
              <a:ln>
                <a:noFill/>
                <a:round/>
              </a:ln>
              <a:effectLst/>
            </c:spPr>
            <c:txPr>
              <a:bodyPr wrap="none"/>
              <a:lstStyle/>
              <a:p>
                <a:pPr>
                  <a:defRPr sz="1000" b="0" strike="noStrike" spc="0">
                    <a:solidFill>
                      <a:srgbClr val="333333"/>
                    </a:solidFill>
                    <a:latin typeface="Calibri"/>
                  </a:defRPr>
                </a:pPr>
                <a:endParaRPr lang="ru-RU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1"/>
            <c:separator>
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cat>
            <c:numRef>
              <c:f>'Стекольщикова А. А.'!$B$25:$B$47</c:f>
              <c:numCache>
                <c:formatCode>d\-mmm</c:formatCode>
                <c:ptCount val="23"/>
                <c:pt idx="0">
                  <c:v>45993</c:v>
                </c:pt>
                <c:pt idx="1">
                  <c:v>45994</c:v>
                </c:pt>
                <c:pt idx="2">
                  <c:v>45995</c:v>
                </c:pt>
                <c:pt idx="3">
                  <c:v>45996</c:v>
                </c:pt>
                <c:pt idx="4">
                  <c:v>45997</c:v>
                </c:pt>
                <c:pt idx="5">
                  <c:v>46000</c:v>
                </c:pt>
                <c:pt idx="6">
                  <c:v>46001</c:v>
                </c:pt>
                <c:pt idx="7">
                  <c:v>46002</c:v>
                </c:pt>
                <c:pt idx="8">
                  <c:v>46003</c:v>
                </c:pt>
                <c:pt idx="9">
                  <c:v>46004</c:v>
                </c:pt>
                <c:pt idx="10">
                  <c:v>46007</c:v>
                </c:pt>
                <c:pt idx="11">
                  <c:v>46008</c:v>
                </c:pt>
                <c:pt idx="12">
                  <c:v>46009</c:v>
                </c:pt>
                <c:pt idx="13">
                  <c:v>46010</c:v>
                </c:pt>
                <c:pt idx="14">
                  <c:v>46011</c:v>
                </c:pt>
                <c:pt idx="15">
                  <c:v>46012</c:v>
                </c:pt>
                <c:pt idx="16">
                  <c:v>46014</c:v>
                </c:pt>
                <c:pt idx="17">
                  <c:v>46015</c:v>
                </c:pt>
                <c:pt idx="18">
                  <c:v>46016</c:v>
                </c:pt>
                <c:pt idx="19">
                  <c:v>46017</c:v>
                </c:pt>
                <c:pt idx="20">
                  <c:v>46018</c:v>
                </c:pt>
                <c:pt idx="21">
                  <c:v>46019</c:v>
                </c:pt>
                <c:pt idx="22">
                  <c:v>46020</c:v>
                </c:pt>
              </c:numCache>
            </c:numRef>
          </c:cat>
          <c:val>
            <c:numRef>
              <c:f>'Стекольщикова А. А.'!$P$25:$P$47</c:f>
              <c:numCache>
                <c:formatCode>#,##0</c:formatCode>
                <c:ptCount val="23"/>
                <c:pt idx="4">
                  <c:v>19680</c:v>
                </c:pt>
                <c:pt idx="6">
                  <c:v>15084</c:v>
                </c:pt>
                <c:pt idx="14">
                  <c:v>6744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2AD5-0743-80F3-0FBAE91529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prstGeom prst="rect">
              <a:avLst/>
            </a:prstGeom>
            <a:ln w="0">
              <a:noFill/>
              <a:bevel/>
            </a:ln>
          </c:spPr>
        </c:hiLowLines>
        <c:marker val="1"/>
        <c:smooth val="0"/>
        <c:axId val="76887303"/>
        <c:axId val="76887302"/>
      </c:lineChart>
      <c:valAx>
        <c:axId val="76887302"/>
        <c:scaling>
          <c:orientation val="minMax"/>
        </c:scaling>
        <c:delete val="0"/>
        <c:axPos val="l"/>
        <c:majorGridlines>
          <c:spPr>
            <a:prstGeom prst="rect">
              <a:avLst/>
            </a:prstGeom>
            <a:ln w="0">
              <a:solidFill>
                <a:srgbClr val="8B8B8B"/>
              </a:solidFill>
              <a:bevel/>
            </a:ln>
          </c:spPr>
        </c:majorGridlines>
        <c:numFmt formatCode="General" sourceLinked="0"/>
        <c:majorTickMark val="out"/>
        <c:minorTickMark val="none"/>
        <c:tickLblPos val="nextTo"/>
        <c:spPr>
          <a:prstGeom prst="rect">
            <a:avLst/>
          </a:prstGeom>
          <a:ln w="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0">
                <a:solidFill>
                  <a:srgbClr val="333333"/>
                </a:solidFill>
                <a:latin typeface="Calibri"/>
              </a:defRPr>
            </a:pPr>
            <a:endParaRPr lang="ru-RU"/>
          </a:p>
        </c:txPr>
        <c:crossAx val="76887303"/>
        <c:crossesAt val="0"/>
        <c:crossBetween val="midCat"/>
      </c:valAx>
      <c:dateAx>
        <c:axId val="76887303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prstGeom prst="rect">
            <a:avLst/>
          </a:prstGeom>
          <a:ln w="0">
            <a:solidFill>
              <a:srgbClr val="8B8B8B"/>
            </a:solidFill>
          </a:ln>
        </c:spPr>
        <c:txPr>
          <a:bodyPr rot="-5400000"/>
          <a:lstStyle/>
          <a:p>
            <a:pPr>
              <a:defRPr sz="1000" b="0" strike="noStrike" spc="0">
                <a:solidFill>
                  <a:srgbClr val="333333"/>
                </a:solidFill>
                <a:latin typeface="Calibri"/>
              </a:defRPr>
            </a:pPr>
            <a:endParaRPr lang="ru-RU"/>
          </a:p>
        </c:txPr>
        <c:crossAx val="76887302"/>
        <c:crossesAt val="0"/>
        <c:auto val="1"/>
        <c:lblOffset val="100"/>
        <c:baseTimeUnit val="days"/>
      </c:dateAx>
      <c:spPr>
        <a:prstGeom prst="rect">
          <a:avLst/>
        </a:prstGeom>
        <a:solidFill>
          <a:srgbClr val="FFFFFF"/>
        </a:solidFill>
        <a:ln w="0">
          <a:noFill/>
        </a:ln>
      </c:spPr>
    </c:plotArea>
    <c:legend>
      <c:legendPos val="r"/>
      <c:layout>
        <c:manualLayout>
          <c:xMode val="edge"/>
          <c:yMode val="edge"/>
          <c:x val="0.79400000000000004"/>
          <c:y val="0.43099999999999999"/>
          <c:w val="5.7000000000000002E-2"/>
          <c:h val="0.17299999999999999"/>
        </c:manualLayout>
      </c:layout>
      <c:overlay val="0"/>
      <c:spPr>
        <a:prstGeom prst="rect">
          <a:avLst/>
        </a:prstGeom>
        <a:noFill/>
        <a:ln w="0">
          <a:noFill/>
          <a:miter/>
        </a:ln>
      </c:spPr>
      <c:txPr>
        <a:bodyPr lIns="36000" tIns="36000" rIns="36000" bIns="36000"/>
        <a:lstStyle/>
        <a:p>
          <a:pPr>
            <a:defRPr sz="700" b="0" strike="noStrike" spc="0">
              <a:solidFill>
                <a:srgbClr val="333333"/>
              </a:solidFill>
              <a:latin typeface="Calibri"/>
            </a:defRPr>
          </a:pPr>
          <a:endParaRPr lang="ru-RU"/>
        </a:p>
      </c:txPr>
    </c:legend>
    <c:plotVisOnly val="1"/>
    <c:dispBlanksAs val="zero"/>
    <c:showDLblsOverMax val="1"/>
  </c:chart>
  <c:spPr>
    <a:xfrm>
      <a:off x="0" y="0"/>
      <a:ext cx="0" cy="0"/>
    </a:xfrm>
    <a:prstGeom prst="rect">
      <a:avLst/>
    </a:prstGeom>
    <a:noFill/>
    <a:ln w="12600">
      <a:noFill/>
      <a:miter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9500000000000001"/>
          <c:y val="0.29699999999999999"/>
          <c:w val="0.76400000000000001"/>
          <c:h val="0.64500000000000002"/>
        </c:manualLayout>
      </c:layout>
      <c:lineChart>
        <c:grouping val="standard"/>
        <c:varyColors val="0"/>
        <c:ser>
          <c:idx val="0"/>
          <c:order val="0"/>
          <c:spPr>
            <a:prstGeom prst="rect">
              <a:avLst/>
            </a:prstGeom>
            <a:ln w="12600">
              <a:solidFill>
                <a:srgbClr val="5B9BD5"/>
              </a:solidFill>
              <a:round/>
            </a:ln>
          </c:spPr>
          <c:marker>
            <c:symbol val="diamond"/>
            <c:size val="2"/>
            <c:spPr>
              <a:prstGeom prst="rect">
                <a:avLst/>
              </a:prstGeom>
              <a:solidFill>
                <a:srgbClr val="5B9BD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333333"/>
                    </a:solidFill>
                    <a:latin typeface="Calibri"/>
                  </a:defRPr>
                </a:pPr>
                <a:endParaRPr lang="ru-RU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1"/>
            <c:separator>
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cat>
            <c:numRef>
              <c:f>'Доп сотрудник'!$B$25:$B$47</c:f>
              <c:numCache>
                <c:formatCode>d\-mmm</c:formatCode>
                <c:ptCount val="23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46010</c:v>
                </c:pt>
                <c:pt idx="8">
                  <c:v>46011</c:v>
                </c:pt>
                <c:pt idx="9">
                  <c:v>46012</c:v>
                </c:pt>
                <c:pt idx="10">
                  <c:v>46013</c:v>
                </c:pt>
                <c:pt idx="11">
                  <c:v>46015</c:v>
                </c:pt>
                <c:pt idx="12">
                  <c:v>46016</c:v>
                </c:pt>
                <c:pt idx="13">
                  <c:v>46017</c:v>
                </c:pt>
                <c:pt idx="14">
                  <c:v>46018</c:v>
                </c:pt>
                <c:pt idx="15">
                  <c:v>46019</c:v>
                </c:pt>
                <c:pt idx="22">
                  <c:v>45999</c:v>
                </c:pt>
              </c:numCache>
            </c:numRef>
          </c:cat>
          <c:val>
            <c:numRef>
              <c:f>'Доп сотрудник'!$D$25:$D$47</c:f>
              <c:numCache>
                <c:formatCode>#,##0.00</c:formatCode>
                <c:ptCount val="23"/>
                <c:pt idx="0">
                  <c:v>0</c:v>
                </c:pt>
                <c:pt idx="1">
                  <c:v>22077</c:v>
                </c:pt>
                <c:pt idx="2">
                  <c:v>67931</c:v>
                </c:pt>
                <c:pt idx="3">
                  <c:v>17372</c:v>
                </c:pt>
                <c:pt idx="4">
                  <c:v>32615</c:v>
                </c:pt>
                <c:pt idx="5">
                  <c:v>15486</c:v>
                </c:pt>
                <c:pt idx="6">
                  <c:v>11286</c:v>
                </c:pt>
                <c:pt idx="7">
                  <c:v>71288</c:v>
                </c:pt>
                <c:pt idx="8">
                  <c:v>134711</c:v>
                </c:pt>
                <c:pt idx="9">
                  <c:v>24172</c:v>
                </c:pt>
                <c:pt idx="10">
                  <c:v>38558</c:v>
                </c:pt>
                <c:pt idx="11">
                  <c:v>16985</c:v>
                </c:pt>
                <c:pt idx="12">
                  <c:v>35369</c:v>
                </c:pt>
                <c:pt idx="13">
                  <c:v>44761</c:v>
                </c:pt>
                <c:pt idx="14">
                  <c:v>54319</c:v>
                </c:pt>
                <c:pt idx="15">
                  <c:v>60380</c:v>
                </c:pt>
                <c:pt idx="22">
                  <c:v>5653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9BC-B94B-9206-5A88195A459C}"/>
            </c:ext>
          </c:extLst>
        </c:ser>
        <c:ser>
          <c:idx val="1"/>
          <c:order val="1"/>
          <c:spPr>
            <a:prstGeom prst="rect">
              <a:avLst/>
            </a:prstGeom>
            <a:ln w="12600">
              <a:solidFill>
                <a:srgbClr val="ED7D31"/>
              </a:solidFill>
              <a:round/>
            </a:ln>
          </c:spPr>
          <c:marker>
            <c:symbol val="square"/>
            <c:size val="2"/>
            <c:spPr>
              <a:prstGeom prst="rect">
                <a:avLst/>
              </a:prstGeom>
              <a:solidFill>
                <a:srgbClr val="ED7D31"/>
              </a:solidFill>
            </c:spPr>
          </c:marker>
          <c:dLbls>
            <c:spPr>
              <a:noFill/>
              <a:ln>
                <a:noFill/>
                <a:beve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333333"/>
                    </a:solidFill>
                    <a:latin typeface="Calibri"/>
                  </a:defRPr>
                </a:pPr>
                <a:endParaRPr lang="ru-RU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1"/>
            <c:separator>
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cat>
            <c:numRef>
              <c:f>'Доп сотрудник'!$B$25:$B$47</c:f>
              <c:numCache>
                <c:formatCode>d\-mmm</c:formatCode>
                <c:ptCount val="23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46010</c:v>
                </c:pt>
                <c:pt idx="8">
                  <c:v>46011</c:v>
                </c:pt>
                <c:pt idx="9">
                  <c:v>46012</c:v>
                </c:pt>
                <c:pt idx="10">
                  <c:v>46013</c:v>
                </c:pt>
                <c:pt idx="11">
                  <c:v>46015</c:v>
                </c:pt>
                <c:pt idx="12">
                  <c:v>46016</c:v>
                </c:pt>
                <c:pt idx="13">
                  <c:v>46017</c:v>
                </c:pt>
                <c:pt idx="14">
                  <c:v>46018</c:v>
                </c:pt>
                <c:pt idx="15">
                  <c:v>46019</c:v>
                </c:pt>
                <c:pt idx="22">
                  <c:v>45999</c:v>
                </c:pt>
              </c:numCache>
            </c:numRef>
          </c:cat>
          <c:val>
            <c:numRef>
              <c:f>'Доп сотрудник'!$O$25:$O$47</c:f>
              <c:numCache>
                <c:formatCode>#,##0</c:formatCode>
                <c:ptCount val="23"/>
                <c:pt idx="2">
                  <c:v>15390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9BC-B94B-9206-5A88195A459C}"/>
            </c:ext>
          </c:extLst>
        </c:ser>
        <c:ser>
          <c:idx val="2"/>
          <c:order val="2"/>
          <c:spPr>
            <a:prstGeom prst="rect">
              <a:avLst/>
            </a:prstGeom>
            <a:ln w="12600">
              <a:solidFill>
                <a:srgbClr val="A5A5A5"/>
              </a:solidFill>
              <a:round/>
            </a:ln>
          </c:spPr>
          <c:marker>
            <c:symbol val="triangle"/>
            <c:size val="2"/>
            <c:spPr>
              <a:prstGeom prst="rect">
                <a:avLst/>
              </a:prstGeom>
              <a:solidFill>
                <a:srgbClr val="A5A5A5"/>
              </a:solidFill>
            </c:spPr>
          </c:marker>
          <c:dLbls>
            <c:spPr>
              <a:noFill/>
              <a:ln>
                <a:noFill/>
                <a:beve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solidFill>
                      <a:srgbClr val="333333"/>
                    </a:solidFill>
                    <a:latin typeface="Calibri"/>
                  </a:defRPr>
                </a:pPr>
                <a:endParaRPr lang="ru-RU"/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1"/>
            <c:separator>
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cat>
            <c:numRef>
              <c:f>'Доп сотрудник'!$B$25:$B$47</c:f>
              <c:numCache>
                <c:formatCode>d\-mmm</c:formatCode>
                <c:ptCount val="23"/>
                <c:pt idx="0">
                  <c:v>45992</c:v>
                </c:pt>
                <c:pt idx="1">
                  <c:v>45993</c:v>
                </c:pt>
                <c:pt idx="2">
                  <c:v>45994</c:v>
                </c:pt>
                <c:pt idx="3">
                  <c:v>45995</c:v>
                </c:pt>
                <c:pt idx="4">
                  <c:v>45996</c:v>
                </c:pt>
                <c:pt idx="5">
                  <c:v>45997</c:v>
                </c:pt>
                <c:pt idx="6">
                  <c:v>45998</c:v>
                </c:pt>
                <c:pt idx="7">
                  <c:v>46010</c:v>
                </c:pt>
                <c:pt idx="8">
                  <c:v>46011</c:v>
                </c:pt>
                <c:pt idx="9">
                  <c:v>46012</c:v>
                </c:pt>
                <c:pt idx="10">
                  <c:v>46013</c:v>
                </c:pt>
                <c:pt idx="11">
                  <c:v>46015</c:v>
                </c:pt>
                <c:pt idx="12">
                  <c:v>46016</c:v>
                </c:pt>
                <c:pt idx="13">
                  <c:v>46017</c:v>
                </c:pt>
                <c:pt idx="14">
                  <c:v>46018</c:v>
                </c:pt>
                <c:pt idx="15">
                  <c:v>46019</c:v>
                </c:pt>
                <c:pt idx="22">
                  <c:v>45999</c:v>
                </c:pt>
              </c:numCache>
            </c:numRef>
          </c:cat>
          <c:val>
            <c:numRef>
              <c:f>'Доп сотрудник'!$P$25:$P$47</c:f>
              <c:numCache>
                <c:formatCode>#,##0</c:formatCode>
                <c:ptCount val="23"/>
                <c:pt idx="10">
                  <c:v>20889</c:v>
                </c:pt>
                <c:pt idx="15">
                  <c:v>7093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E9BC-B94B-9206-5A88195A45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prstGeom prst="rect">
              <a:avLst/>
            </a:prstGeom>
            <a:ln w="0">
              <a:noFill/>
              <a:bevel/>
            </a:ln>
          </c:spPr>
        </c:hiLowLines>
        <c:marker val="1"/>
        <c:smooth val="0"/>
        <c:axId val="76887289"/>
        <c:axId val="60258622"/>
      </c:lineChart>
      <c:valAx>
        <c:axId val="60258622"/>
        <c:scaling>
          <c:orientation val="minMax"/>
        </c:scaling>
        <c:delete val="0"/>
        <c:axPos val="l"/>
        <c:majorGridlines>
          <c:spPr>
            <a:prstGeom prst="rect">
              <a:avLst/>
            </a:prstGeom>
            <a:ln w="0">
              <a:solidFill>
                <a:srgbClr val="8B8B8B"/>
              </a:solidFill>
              <a:bevel/>
            </a:ln>
          </c:spPr>
        </c:majorGridlines>
        <c:numFmt formatCode="General" sourceLinked="0"/>
        <c:majorTickMark val="out"/>
        <c:minorTickMark val="none"/>
        <c:tickLblPos val="nextTo"/>
        <c:spPr>
          <a:prstGeom prst="rect">
            <a:avLst/>
          </a:prstGeom>
          <a:ln w="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333333"/>
                </a:solidFill>
                <a:latin typeface="Calibri"/>
              </a:defRPr>
            </a:pPr>
            <a:endParaRPr lang="ru-RU"/>
          </a:p>
        </c:txPr>
        <c:crossAx val="76887289"/>
        <c:crossesAt val="0"/>
        <c:crossBetween val="midCat"/>
      </c:valAx>
      <c:dateAx>
        <c:axId val="76887289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prstGeom prst="rect">
            <a:avLst/>
          </a:prstGeom>
          <a:ln w="0">
            <a:solidFill>
              <a:srgbClr val="8B8B8B"/>
            </a:solidFill>
          </a:ln>
        </c:spPr>
        <c:txPr>
          <a:bodyPr rot="-5400000"/>
          <a:lstStyle/>
          <a:p>
            <a:pPr>
              <a:defRPr sz="1000" b="0" strike="noStrike" spc="-1">
                <a:solidFill>
                  <a:srgbClr val="333333"/>
                </a:solidFill>
                <a:latin typeface="Calibri"/>
              </a:defRPr>
            </a:pPr>
            <a:endParaRPr lang="ru-RU"/>
          </a:p>
        </c:txPr>
        <c:crossAx val="60258622"/>
        <c:crossesAt val="0"/>
        <c:auto val="1"/>
        <c:lblOffset val="100"/>
        <c:baseTimeUnit val="days"/>
      </c:dateAx>
      <c:spPr>
        <a:prstGeom prst="rect">
          <a:avLst/>
        </a:prstGeom>
        <a:solidFill>
          <a:srgbClr val="FFFFFF"/>
        </a:solidFill>
        <a:ln w="0">
          <a:noFill/>
        </a:ln>
      </c:spPr>
    </c:plotArea>
    <c:legend>
      <c:legendPos val="r"/>
      <c:layout>
        <c:manualLayout>
          <c:xMode val="edge"/>
          <c:yMode val="edge"/>
          <c:x val="0.79400000000000004"/>
          <c:y val="0.43099999999999999"/>
          <c:w val="5.7000000000000002E-2"/>
          <c:h val="0.17299999999999999"/>
        </c:manualLayout>
      </c:layout>
      <c:overlay val="0"/>
      <c:spPr>
        <a:prstGeom prst="rect">
          <a:avLst/>
        </a:prstGeom>
        <a:noFill/>
        <a:ln w="0">
          <a:noFill/>
          <a:miter/>
        </a:ln>
      </c:spPr>
      <c:txPr>
        <a:bodyPr lIns="36000" tIns="36000" rIns="36000" bIns="36000"/>
        <a:lstStyle/>
        <a:p>
          <a:pPr>
            <a:defRPr sz="700" b="0" strike="noStrike" spc="-1">
              <a:solidFill>
                <a:srgbClr val="333333"/>
              </a:solidFill>
              <a:latin typeface="Calibri"/>
            </a:defRPr>
          </a:pPr>
          <a:endParaRPr lang="ru-RU"/>
        </a:p>
      </c:txPr>
    </c:legend>
    <c:plotVisOnly val="1"/>
    <c:dispBlanksAs val="zero"/>
    <c:showDLblsOverMax val="1"/>
  </c:chart>
  <c:spPr>
    <a:xfrm>
      <a:off x="0" y="0"/>
      <a:ext cx="0" cy="0"/>
    </a:xfrm>
    <a:prstGeom prst="rect">
      <a:avLst/>
    </a:prstGeom>
    <a:noFill/>
    <a:ln w="12600">
      <a:noFill/>
      <a:miter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32127</xdr:colOff>
      <xdr:row>57</xdr:row>
      <xdr:rowOff>98361</xdr:rowOff>
    </xdr:from>
    <xdr:to>
      <xdr:col>19</xdr:col>
      <xdr:colOff>189719</xdr:colOff>
      <xdr:row>89</xdr:row>
      <xdr:rowOff>74601</xdr:rowOff>
    </xdr:to>
    <xdr:graphicFrame macro="">
      <xdr:nvGraphicFramePr>
        <xdr:cNvPr id="880551797" name="Диаграмма 880551796">
          <a:extLst>
            <a:ext uri="{FF2B5EF4-FFF2-40B4-BE49-F238E27FC236}">
              <a16:creationId xmlns:a16="http://schemas.microsoft.com/office/drawing/2014/main" id="{00000000-0008-0000-0500-000075277C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32129</xdr:colOff>
      <xdr:row>56</xdr:row>
      <xdr:rowOff>98363</xdr:rowOff>
    </xdr:from>
    <xdr:to>
      <xdr:col>19</xdr:col>
      <xdr:colOff>189722</xdr:colOff>
      <xdr:row>88</xdr:row>
      <xdr:rowOff>74601</xdr:rowOff>
    </xdr:to>
    <xdr:graphicFrame macro="">
      <xdr:nvGraphicFramePr>
        <xdr:cNvPr id="29985156" name="Диаграмма 29985155">
          <a:extLst>
            <a:ext uri="{FF2B5EF4-FFF2-40B4-BE49-F238E27FC236}">
              <a16:creationId xmlns:a16="http://schemas.microsoft.com/office/drawing/2014/main" id="{00000000-0008-0000-0600-00008489C9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32130</xdr:colOff>
      <xdr:row>56</xdr:row>
      <xdr:rowOff>98364</xdr:rowOff>
    </xdr:from>
    <xdr:to>
      <xdr:col>18</xdr:col>
      <xdr:colOff>685023</xdr:colOff>
      <xdr:row>88</xdr:row>
      <xdr:rowOff>74599</xdr:rowOff>
    </xdr:to>
    <xdr:graphicFrame macro="">
      <xdr:nvGraphicFramePr>
        <xdr:cNvPr id="1440157580" name="Диаграмма 1440157579">
          <a:extLst>
            <a:ext uri="{FF2B5EF4-FFF2-40B4-BE49-F238E27FC236}">
              <a16:creationId xmlns:a16="http://schemas.microsoft.com/office/drawing/2014/main" id="{00000000-0008-0000-0700-00008C0FD7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32128</xdr:colOff>
      <xdr:row>58</xdr:row>
      <xdr:rowOff>98361</xdr:rowOff>
    </xdr:from>
    <xdr:to>
      <xdr:col>19</xdr:col>
      <xdr:colOff>126219</xdr:colOff>
      <xdr:row>90</xdr:row>
      <xdr:rowOff>74601</xdr:rowOff>
    </xdr:to>
    <xdr:graphicFrame macro="">
      <xdr:nvGraphicFramePr>
        <xdr:cNvPr id="1720220392" name="Диаграмма 1720220391">
          <a:extLst>
            <a:ext uri="{FF2B5EF4-FFF2-40B4-BE49-F238E27FC236}">
              <a16:creationId xmlns:a16="http://schemas.microsoft.com/office/drawing/2014/main" id="{00000000-0008-0000-0800-0000E87A88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32129</xdr:colOff>
      <xdr:row>56</xdr:row>
      <xdr:rowOff>98363</xdr:rowOff>
    </xdr:from>
    <xdr:to>
      <xdr:col>19</xdr:col>
      <xdr:colOff>123044</xdr:colOff>
      <xdr:row>88</xdr:row>
      <xdr:rowOff>74599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Glame Centrum" id="{4167A526-D2E1-9910-B003-E3F496539ACC}" userId="2297923156" providerId="Teamlab"/>
</personList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X27" dT="2025-12-21T18:58:44.12" personId="{4167A526-D2E1-9910-B003-E3F496539ACC}" id="{76C66995-3F4F-CF46-8CE4-EBF60D63EC1E}">
    <text xml:space="preserve">Из-за болезни отпустила
</text>
  </threadedComment>
</ThreadedComment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BDBDB"/>
    <pageSetUpPr fitToPage="1"/>
  </sheetPr>
  <dimension ref="A1:IY64"/>
  <sheetViews>
    <sheetView showGridLines="0" showZeros="0" topLeftCell="A35" workbookViewId="0">
      <pane xSplit="4" topLeftCell="R1" activePane="topRight" state="frozen"/>
      <selection activeCell="M66" sqref="M66"/>
      <selection pane="topRight" activeCell="A32" sqref="A32"/>
    </sheetView>
  </sheetViews>
  <sheetFormatPr baseColWidth="10" defaultColWidth="9.1640625" defaultRowHeight="15"/>
  <cols>
    <col min="1" max="1" width="21.33203125" style="1" customWidth="1"/>
    <col min="2" max="2" width="10" style="1" customWidth="1"/>
    <col min="3" max="3" width="13.6640625" style="1" customWidth="1"/>
    <col min="4" max="4" width="16" style="1" customWidth="1"/>
    <col min="5" max="5" width="12.83203125" style="1" customWidth="1"/>
    <col min="6" max="6" width="11.33203125" style="1" customWidth="1"/>
    <col min="7" max="7" width="9.83203125" style="1" customWidth="1"/>
    <col min="8" max="8" width="9.5" style="1" customWidth="1"/>
    <col min="9" max="9" width="11" style="1" customWidth="1"/>
    <col min="10" max="10" width="11.1640625" style="1" customWidth="1"/>
    <col min="11" max="11" width="11.6640625" style="1" customWidth="1"/>
    <col min="12" max="14" width="10.83203125" style="1" customWidth="1"/>
    <col min="15" max="15" width="11.83203125" style="1" customWidth="1"/>
    <col min="16" max="18" width="11.6640625" style="1" customWidth="1"/>
    <col min="19" max="19" width="12.83203125" style="1" customWidth="1"/>
    <col min="20" max="20" width="10.33203125" style="1" customWidth="1"/>
    <col min="21" max="22" width="11.33203125" style="1" customWidth="1"/>
    <col min="23" max="23" width="11" style="1" customWidth="1"/>
    <col min="24" max="24" width="9.5" style="1" customWidth="1"/>
    <col min="25" max="25" width="9.1640625" style="1"/>
    <col min="26" max="27" width="10.5" style="1" customWidth="1"/>
    <col min="28" max="40" width="9.1640625" style="1"/>
    <col min="41" max="259" width="9.1640625" style="2"/>
  </cols>
  <sheetData>
    <row r="1" spans="2:27" ht="15.75" customHeight="1">
      <c r="B1" s="780">
        <f ca="1">TODAY()-1</f>
        <v>46031</v>
      </c>
      <c r="C1" s="780"/>
      <c r="D1" s="3"/>
      <c r="E1" s="3"/>
      <c r="F1" s="4"/>
      <c r="G1" s="4"/>
      <c r="H1" s="4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781"/>
      <c r="V1" s="781"/>
      <c r="W1" s="781"/>
      <c r="X1" s="781"/>
      <c r="Y1" s="4"/>
      <c r="Z1" s="4"/>
      <c r="AA1" s="4"/>
    </row>
    <row r="2" spans="2:27" ht="21.75" customHeight="1">
      <c r="B2" s="782" t="s">
        <v>0</v>
      </c>
      <c r="C2" s="782"/>
      <c r="D2" s="3"/>
      <c r="E2" s="3"/>
      <c r="F2" s="4"/>
      <c r="G2" s="4"/>
      <c r="H2" s="4"/>
      <c r="I2" s="4"/>
      <c r="J2" s="6" t="s">
        <v>1</v>
      </c>
      <c r="K2" s="6"/>
      <c r="L2" s="6"/>
      <c r="M2" s="6"/>
      <c r="N2" s="6"/>
      <c r="O2" s="6"/>
      <c r="P2" s="6"/>
      <c r="Q2" s="6"/>
      <c r="R2" s="6"/>
      <c r="S2" s="6"/>
      <c r="T2" s="6"/>
      <c r="U2" s="781"/>
      <c r="V2" s="781"/>
      <c r="W2" s="781"/>
      <c r="X2" s="781"/>
      <c r="Y2" s="4"/>
      <c r="Z2" s="4"/>
      <c r="AA2" s="4"/>
    </row>
    <row r="3" spans="2:27" ht="14" customHeight="1">
      <c r="B3" s="7"/>
      <c r="C3" s="7" t="s">
        <v>2</v>
      </c>
      <c r="D3" s="3"/>
      <c r="E3" s="3"/>
      <c r="F3" s="4"/>
      <c r="G3" s="4"/>
      <c r="H3" s="4"/>
      <c r="I3" s="783" t="s">
        <v>3</v>
      </c>
      <c r="J3" s="784"/>
      <c r="K3" s="784"/>
      <c r="L3" s="784"/>
      <c r="M3" s="784"/>
      <c r="N3" s="784"/>
      <c r="O3" s="785"/>
      <c r="P3" s="5"/>
      <c r="Q3" s="5"/>
      <c r="R3" s="5"/>
      <c r="S3" s="5"/>
      <c r="T3" s="8"/>
      <c r="U3" s="781"/>
      <c r="V3" s="781"/>
      <c r="W3" s="781"/>
      <c r="X3" s="781"/>
      <c r="Y3" s="4"/>
      <c r="Z3" s="4"/>
      <c r="AA3" s="4"/>
    </row>
    <row r="4" spans="2:27" ht="15" customHeight="1">
      <c r="B4" s="3"/>
      <c r="C4" s="789">
        <f>I8-D56</f>
        <v>3005284.8699999996</v>
      </c>
      <c r="D4" s="790"/>
      <c r="E4" s="9">
        <f>IF(I8&lt;&gt;0,C4/I8,0)</f>
        <v>0.49327016600616413</v>
      </c>
      <c r="F4" s="4"/>
      <c r="G4" s="4"/>
      <c r="H4" s="4"/>
      <c r="I4" s="786"/>
      <c r="J4" s="787"/>
      <c r="K4" s="787"/>
      <c r="L4" s="787"/>
      <c r="M4" s="787"/>
      <c r="N4" s="787"/>
      <c r="O4" s="788"/>
      <c r="P4" s="5"/>
      <c r="Q4" s="5"/>
      <c r="R4" s="5"/>
      <c r="S4" s="4"/>
      <c r="T4" s="4"/>
      <c r="U4" s="781"/>
      <c r="V4" s="781"/>
      <c r="W4" s="781"/>
      <c r="X4" s="781"/>
      <c r="Y4" s="4"/>
      <c r="Z4" s="4"/>
      <c r="AA4" s="4"/>
    </row>
    <row r="5" spans="2:27">
      <c r="B5" s="4"/>
      <c r="C5" s="4"/>
      <c r="D5" s="4"/>
      <c r="E5" s="4"/>
      <c r="F5" s="4"/>
      <c r="G5" s="4"/>
      <c r="H5" s="4"/>
      <c r="I5" s="4"/>
      <c r="J5" s="791"/>
      <c r="K5" s="791"/>
      <c r="L5" s="791"/>
      <c r="M5" s="791"/>
      <c r="N5" s="791"/>
      <c r="O5" s="791"/>
      <c r="P5" s="791"/>
      <c r="Q5" s="10"/>
      <c r="R5" s="10"/>
      <c r="S5" s="4"/>
      <c r="T5" s="4"/>
      <c r="U5" s="4"/>
      <c r="V5" s="4"/>
      <c r="W5" s="4"/>
      <c r="X5" s="4"/>
      <c r="Y5" s="4"/>
      <c r="Z5" s="4"/>
      <c r="AA5" s="4"/>
    </row>
    <row r="6" spans="2:27" ht="21" customHeight="1">
      <c r="B6" s="11"/>
      <c r="C6" s="792"/>
      <c r="D6" s="792"/>
      <c r="E6" s="4"/>
      <c r="F6" s="793" t="s">
        <v>4</v>
      </c>
      <c r="G6" s="794"/>
      <c r="H6" s="794"/>
      <c r="I6" s="794"/>
      <c r="J6" s="794"/>
      <c r="K6" s="794"/>
      <c r="L6" s="794"/>
      <c r="M6" s="794"/>
      <c r="N6" s="794"/>
      <c r="O6" s="794"/>
      <c r="P6" s="794"/>
      <c r="Q6" s="794"/>
      <c r="R6" s="795"/>
      <c r="S6" s="4"/>
      <c r="T6" s="4"/>
      <c r="U6" s="4"/>
      <c r="V6" s="12"/>
      <c r="W6" s="12"/>
      <c r="X6" s="4"/>
      <c r="Y6" s="4"/>
      <c r="Z6" s="4"/>
      <c r="AA6" s="4"/>
    </row>
    <row r="7" spans="2:27" ht="50.75" customHeight="1">
      <c r="B7" s="11"/>
      <c r="C7" s="11"/>
      <c r="D7" s="11"/>
      <c r="E7" s="13"/>
      <c r="F7" s="796" t="s">
        <v>5</v>
      </c>
      <c r="G7" s="796"/>
      <c r="H7" s="796"/>
      <c r="I7" s="14" t="s">
        <v>6</v>
      </c>
      <c r="J7" s="15" t="s">
        <v>7</v>
      </c>
      <c r="K7" s="16" t="s">
        <v>8</v>
      </c>
      <c r="L7" s="17" t="s">
        <v>9</v>
      </c>
      <c r="M7" s="17" t="s">
        <v>10</v>
      </c>
      <c r="N7" s="18" t="s">
        <v>11</v>
      </c>
      <c r="O7" s="18" t="s">
        <v>12</v>
      </c>
      <c r="P7" s="797" t="s">
        <v>13</v>
      </c>
      <c r="Q7" s="798"/>
      <c r="R7" s="799"/>
      <c r="S7" s="4"/>
      <c r="T7" s="4"/>
      <c r="U7" s="4"/>
      <c r="V7" s="12"/>
      <c r="W7" s="12"/>
      <c r="X7" s="4"/>
      <c r="Y7" s="4"/>
      <c r="Z7" s="4"/>
      <c r="AA7" s="4"/>
    </row>
    <row r="8" spans="2:27" ht="15.75" customHeight="1">
      <c r="B8" s="11"/>
      <c r="C8" s="11"/>
      <c r="D8" s="11"/>
      <c r="E8" s="4"/>
      <c r="F8" s="800" t="s">
        <v>14</v>
      </c>
      <c r="G8" s="800"/>
      <c r="H8" s="800"/>
      <c r="I8" s="20">
        <f>I13*I10</f>
        <v>6092573.7599999998</v>
      </c>
      <c r="J8" s="21">
        <f>D56</f>
        <v>3087288.89</v>
      </c>
      <c r="K8" s="22">
        <f t="shared" ref="K8:K19" si="0">IF(AND(I8&lt;&gt;"",I8&lt;&gt;0,J8&lt;&gt;""),J8/I8,"")</f>
        <v>0.50672983399383587</v>
      </c>
      <c r="L8" s="23">
        <f>IF(SUMIF($D$25:$D$55,"&gt;=0",$T$25:$T$55)&lt;&gt;0,I8*D56/SUMIF($D$25:$D$55,"&gt;=0",$T$25:$T$55),0)</f>
        <v>3087288.8900000011</v>
      </c>
      <c r="M8" s="24">
        <f>L8/I8</f>
        <v>0.50672983399383598</v>
      </c>
      <c r="N8" s="25">
        <f t="shared" ref="N8:N9" si="1">IF(AND(J8&lt;&gt;0,J8&lt;&gt;"",I8&lt;&gt;0,I8&lt;&gt;""),L8-I8,"")</f>
        <v>-3005284.8699999987</v>
      </c>
      <c r="O8" s="26">
        <v>343307.22</v>
      </c>
      <c r="P8" s="25">
        <f t="shared" ref="P8:P9" si="2">IF(AND(O8&lt;&gt;"",O8&lt;&gt;0,L8&lt;&gt;"",L8&lt;&gt;0),-O8+L8,"")</f>
        <v>2743981.6700000009</v>
      </c>
      <c r="Q8" s="27"/>
      <c r="R8" s="28">
        <f t="shared" ref="R8:R9" si="3">IF(AND(P8&lt;&gt;"",P8&lt;&gt;0,O8&lt;&gt;0,O8&lt;&gt;""),P8/O8,"")</f>
        <v>7.9927875388114504</v>
      </c>
      <c r="S8" s="4"/>
      <c r="T8" s="4"/>
      <c r="U8" s="12"/>
      <c r="V8" s="12"/>
      <c r="W8" s="4"/>
      <c r="X8" s="4"/>
      <c r="Y8" s="4"/>
      <c r="Z8" s="4"/>
    </row>
    <row r="9" spans="2:27" ht="15.75" customHeight="1">
      <c r="B9" s="11"/>
      <c r="C9" s="11"/>
      <c r="D9" s="11"/>
      <c r="E9" s="4"/>
      <c r="F9" s="801" t="s">
        <v>15</v>
      </c>
      <c r="G9" s="801"/>
      <c r="H9" s="801"/>
      <c r="I9" s="29">
        <f>I8/I11</f>
        <v>743.904</v>
      </c>
      <c r="J9" s="30">
        <f>E56</f>
        <v>398</v>
      </c>
      <c r="K9" s="31">
        <f t="shared" si="0"/>
        <v>0.53501527078762856</v>
      </c>
      <c r="L9" s="32">
        <f>IF(SUMIF($E$25:$E$55,"&gt;=0",$U$25:$U$55)&lt;&gt;0,I9*E56/SUMIF($E$25:$E$55,"&gt;=0",$U$25:$U$55),0)</f>
        <v>398</v>
      </c>
      <c r="M9" s="33">
        <f>IF(AND(I9&lt;&gt;"",I9&lt;&gt;0,L9&lt;&gt;"",L9&lt;&gt;0),L9/I9,"")</f>
        <v>0.53501527078762856</v>
      </c>
      <c r="N9" s="34">
        <f t="shared" si="1"/>
        <v>-345.904</v>
      </c>
      <c r="O9" s="35">
        <v>104</v>
      </c>
      <c r="P9" s="34">
        <f t="shared" si="2"/>
        <v>294</v>
      </c>
      <c r="Q9" s="36"/>
      <c r="R9" s="37">
        <f t="shared" si="3"/>
        <v>2.8269230769230771</v>
      </c>
      <c r="S9" s="4"/>
      <c r="T9" s="4"/>
      <c r="U9" s="12"/>
      <c r="V9" s="12"/>
      <c r="W9" s="4"/>
      <c r="X9" s="4"/>
      <c r="Y9" s="4"/>
      <c r="Z9" s="4"/>
    </row>
    <row r="10" spans="2:27" ht="15.75" customHeight="1">
      <c r="B10" s="11"/>
      <c r="C10" s="11"/>
      <c r="D10" s="11"/>
      <c r="E10" s="4"/>
      <c r="F10" s="802" t="s">
        <v>16</v>
      </c>
      <c r="G10" s="802"/>
      <c r="H10" s="802"/>
      <c r="I10" s="38">
        <f>I11*I12</f>
        <v>13759.199999999999</v>
      </c>
      <c r="J10" s="39">
        <f>H56</f>
        <v>12251.14638888889</v>
      </c>
      <c r="K10" s="40">
        <f t="shared" si="0"/>
        <v>0.89039670830345452</v>
      </c>
      <c r="L10" s="32">
        <f>J10</f>
        <v>12251.14638888889</v>
      </c>
      <c r="M10" s="41">
        <f t="shared" ref="M10:M19" si="4">IF(AND(I10&lt;&gt;"",I10&lt;&gt;0,L10&lt;&gt;"",L10&lt;&gt;0),L10/I10,"")</f>
        <v>0.89039670830345452</v>
      </c>
      <c r="N10" s="42">
        <f t="shared" ref="N10:N20" si="5">IF(AND(J10&lt;&gt;0,J10&lt;&gt;"",I10&lt;&gt;0,I10&lt;&gt;""),L10-I10,"")</f>
        <v>-1508.0536111111087</v>
      </c>
      <c r="O10" s="38">
        <v>4702.8386301369856</v>
      </c>
      <c r="P10" s="42">
        <f t="shared" ref="P10:P20" si="6">IF(AND(O10&lt;&gt;"",O10&lt;&gt;0,L10&lt;&gt;"",L10&lt;&gt;0),-O10+L10,"")</f>
        <v>7548.3077587519047</v>
      </c>
      <c r="Q10" s="43"/>
      <c r="R10" s="44">
        <f t="shared" ref="R10:R20" si="7">IF(AND(P10&lt;&gt;"",P10&lt;&gt;0,O10&lt;&gt;0,O10&lt;&gt;""),P10/O10,"")</f>
        <v>1.6050535330683962</v>
      </c>
      <c r="S10" s="4"/>
      <c r="T10" s="4"/>
      <c r="U10" s="12"/>
      <c r="V10" s="12"/>
      <c r="W10" s="4"/>
      <c r="X10" s="4"/>
      <c r="Y10" s="4"/>
      <c r="Z10" s="4"/>
    </row>
    <row r="11" spans="2:27" ht="15.75" customHeight="1">
      <c r="B11" s="11"/>
      <c r="C11" s="4"/>
      <c r="D11" s="4"/>
      <c r="E11" s="4"/>
      <c r="F11" s="801" t="s">
        <v>17</v>
      </c>
      <c r="G11" s="801"/>
      <c r="H11" s="801"/>
      <c r="I11" s="45">
        <v>8190</v>
      </c>
      <c r="J11" s="30">
        <f>F56</f>
        <v>7757.0072613065331</v>
      </c>
      <c r="K11" s="31">
        <f t="shared" si="0"/>
        <v>0.94713153373706138</v>
      </c>
      <c r="L11" s="32">
        <f>IF(L9&gt;0,L8/L9,"")</f>
        <v>7757.0072613065349</v>
      </c>
      <c r="M11" s="33">
        <f t="shared" si="4"/>
        <v>0.9471315337370616</v>
      </c>
      <c r="N11" s="34">
        <f t="shared" si="5"/>
        <v>-432.99273869346507</v>
      </c>
      <c r="O11" s="46">
        <v>3301.0309615384613</v>
      </c>
      <c r="P11" s="34">
        <f t="shared" si="6"/>
        <v>4455.9762997680737</v>
      </c>
      <c r="Q11" s="36"/>
      <c r="R11" s="37">
        <f t="shared" si="7"/>
        <v>1.3498741307447006</v>
      </c>
      <c r="S11" s="4"/>
      <c r="T11" s="4"/>
      <c r="U11" s="12"/>
      <c r="V11" s="4"/>
      <c r="W11" s="4"/>
      <c r="X11" s="4"/>
      <c r="Y11" s="4"/>
      <c r="Z11" s="4"/>
    </row>
    <row r="12" spans="2:27" ht="15.75" customHeight="1">
      <c r="B12" s="11"/>
      <c r="C12" s="4"/>
      <c r="D12" s="4"/>
      <c r="E12" s="4"/>
      <c r="F12" s="801" t="s">
        <v>18</v>
      </c>
      <c r="G12" s="801"/>
      <c r="H12" s="801"/>
      <c r="I12" s="47">
        <v>1.68</v>
      </c>
      <c r="J12" s="48">
        <f>J56</f>
        <v>1.5793650793650793</v>
      </c>
      <c r="K12" s="31">
        <f t="shared" si="0"/>
        <v>0.94009826152683296</v>
      </c>
      <c r="L12" s="49">
        <f>J12</f>
        <v>1.5793650793650793</v>
      </c>
      <c r="M12" s="33">
        <f t="shared" si="4"/>
        <v>0.94009826152683296</v>
      </c>
      <c r="N12" s="50">
        <f t="shared" si="5"/>
        <v>-0.10063492063492063</v>
      </c>
      <c r="O12" s="51">
        <v>1.4246575342465753</v>
      </c>
      <c r="P12" s="34">
        <f t="shared" si="6"/>
        <v>0.15470754511850404</v>
      </c>
      <c r="Q12" s="36"/>
      <c r="R12" s="37">
        <f t="shared" si="7"/>
        <v>0.10859279609279611</v>
      </c>
      <c r="S12" s="4"/>
      <c r="T12" s="4"/>
      <c r="U12" s="12"/>
      <c r="V12" s="4"/>
      <c r="W12" s="4"/>
      <c r="X12" s="4"/>
      <c r="Y12" s="4"/>
      <c r="Z12" s="4"/>
    </row>
    <row r="13" spans="2:27" ht="15.75" customHeight="1">
      <c r="B13" s="11"/>
      <c r="C13" s="4"/>
      <c r="D13" s="4"/>
      <c r="E13" s="4"/>
      <c r="F13" s="801" t="s">
        <v>19</v>
      </c>
      <c r="G13" s="801"/>
      <c r="H13" s="801"/>
      <c r="I13" s="29">
        <f>I17*I20</f>
        <v>442.8</v>
      </c>
      <c r="J13" s="30">
        <f>G56</f>
        <v>252</v>
      </c>
      <c r="K13" s="31">
        <f t="shared" si="0"/>
        <v>0.56910569105691056</v>
      </c>
      <c r="L13" s="32">
        <f>IF(SUMIF($G$25:$G$55,"&gt;=0",$V$25:$V$55)&lt;&gt;0,I13*G56/SUMIF($G$25:$G$55,"&gt;=0",$V$25:$V$55),"")</f>
        <v>252.00000000000014</v>
      </c>
      <c r="M13" s="33">
        <f t="shared" si="4"/>
        <v>0.56910569105691089</v>
      </c>
      <c r="N13" s="50">
        <f t="shared" si="5"/>
        <v>-190.79999999999987</v>
      </c>
      <c r="O13" s="52">
        <v>73</v>
      </c>
      <c r="P13" s="34">
        <f t="shared" si="6"/>
        <v>179.00000000000014</v>
      </c>
      <c r="Q13" s="36"/>
      <c r="R13" s="37">
        <f t="shared" si="7"/>
        <v>2.4520547945205498</v>
      </c>
      <c r="S13" s="4"/>
      <c r="T13" s="4"/>
      <c r="U13" s="12"/>
      <c r="V13" s="4"/>
      <c r="W13" s="4"/>
      <c r="X13" s="4"/>
      <c r="Y13" s="4"/>
      <c r="Z13" s="4"/>
    </row>
    <row r="14" spans="2:27" ht="15.75" customHeight="1">
      <c r="B14" s="11"/>
      <c r="C14" s="4"/>
      <c r="D14" s="4"/>
      <c r="E14" s="4"/>
      <c r="F14" s="801" t="s">
        <v>20</v>
      </c>
      <c r="G14" s="801"/>
      <c r="H14" s="801"/>
      <c r="I14" s="45">
        <v>31</v>
      </c>
      <c r="J14" s="53">
        <v>31</v>
      </c>
      <c r="K14" s="31">
        <f t="shared" si="0"/>
        <v>1</v>
      </c>
      <c r="L14" s="32">
        <f>IF(SUMIF($D$25:$D$55,"&gt;=0",$T$25:$T$55),I56*I8/SUMIF($D$25:$D$55,"&gt;=0",$T$25:$T$55),"")</f>
        <v>2859.3000000000015</v>
      </c>
      <c r="M14" s="33"/>
      <c r="N14" s="34">
        <f t="shared" si="5"/>
        <v>2828.3000000000015</v>
      </c>
      <c r="O14" s="52">
        <v>31</v>
      </c>
      <c r="P14" s="34">
        <f t="shared" si="6"/>
        <v>2828.3000000000015</v>
      </c>
      <c r="Q14" s="36"/>
      <c r="R14" s="37">
        <f t="shared" si="7"/>
        <v>91.235483870967798</v>
      </c>
      <c r="S14" s="4"/>
      <c r="T14" s="4"/>
      <c r="U14" s="12"/>
      <c r="V14" s="54"/>
      <c r="W14" s="4"/>
      <c r="X14" s="4"/>
      <c r="Y14" s="4"/>
      <c r="Z14" s="4"/>
    </row>
    <row r="15" spans="2:27" ht="15.75" customHeight="1">
      <c r="B15" s="11"/>
      <c r="C15" s="4"/>
      <c r="D15" s="4"/>
      <c r="E15" s="4"/>
      <c r="F15" s="801" t="s">
        <v>21</v>
      </c>
      <c r="G15" s="801"/>
      <c r="H15" s="801"/>
      <c r="I15" s="45">
        <f>I8/I14</f>
        <v>196534.63741935484</v>
      </c>
      <c r="J15" s="30">
        <f>J8/J14</f>
        <v>99589.964193548396</v>
      </c>
      <c r="K15" s="31">
        <f t="shared" si="0"/>
        <v>0.50672983399383587</v>
      </c>
      <c r="L15" s="32">
        <f t="shared" ref="L15:L16" si="8">J15</f>
        <v>99589.964193548396</v>
      </c>
      <c r="M15" s="55">
        <f t="shared" si="4"/>
        <v>0.50672983399383587</v>
      </c>
      <c r="N15" s="34">
        <f t="shared" si="5"/>
        <v>-96944.673225806444</v>
      </c>
      <c r="O15" s="56">
        <v>11074.426451612902</v>
      </c>
      <c r="P15" s="34">
        <f t="shared" si="6"/>
        <v>88515.537741935492</v>
      </c>
      <c r="Q15" s="36"/>
      <c r="R15" s="37">
        <f t="shared" si="7"/>
        <v>7.9927875388114487</v>
      </c>
      <c r="S15" s="4"/>
      <c r="T15" s="4"/>
      <c r="U15" s="12"/>
      <c r="V15" s="12"/>
      <c r="W15" s="4"/>
      <c r="X15" s="4"/>
      <c r="Y15" s="4"/>
      <c r="Z15" s="4"/>
    </row>
    <row r="16" spans="2:27" ht="15.75" customHeight="1">
      <c r="B16" s="11"/>
      <c r="C16" s="4"/>
      <c r="D16" s="4"/>
      <c r="E16" s="4"/>
      <c r="F16" s="801" t="s">
        <v>22</v>
      </c>
      <c r="G16" s="801"/>
      <c r="H16" s="801"/>
      <c r="I16" s="45"/>
      <c r="J16" s="30">
        <f>J8-I15*J14</f>
        <v>-3005284.8699999996</v>
      </c>
      <c r="K16" s="31" t="str">
        <f t="shared" si="0"/>
        <v/>
      </c>
      <c r="L16" s="57">
        <f t="shared" si="8"/>
        <v>-3005284.8699999996</v>
      </c>
      <c r="M16" s="58" t="str">
        <f t="shared" si="4"/>
        <v/>
      </c>
      <c r="N16" s="34" t="str">
        <f t="shared" si="5"/>
        <v/>
      </c>
      <c r="O16" s="56">
        <v>-182714.46960000019</v>
      </c>
      <c r="P16" s="34">
        <f t="shared" si="6"/>
        <v>-2822570.4003999997</v>
      </c>
      <c r="Q16" s="36"/>
      <c r="R16" s="37">
        <f t="shared" si="7"/>
        <v>15.447985080651746</v>
      </c>
      <c r="S16" s="4"/>
      <c r="T16" s="4"/>
      <c r="U16" s="12"/>
      <c r="V16" s="806" t="s">
        <v>23</v>
      </c>
      <c r="W16" s="4"/>
      <c r="X16" s="4"/>
      <c r="Y16" s="4"/>
      <c r="Z16" s="4"/>
    </row>
    <row r="17" spans="1:259" ht="15.75" customHeight="1">
      <c r="B17" s="11"/>
      <c r="C17" s="4"/>
      <c r="D17" s="4"/>
      <c r="E17" s="4"/>
      <c r="F17" s="801" t="s">
        <v>24</v>
      </c>
      <c r="G17" s="801"/>
      <c r="H17" s="801"/>
      <c r="I17" s="45">
        <v>3600</v>
      </c>
      <c r="J17" s="30">
        <f>I56</f>
        <v>2859.3</v>
      </c>
      <c r="K17" s="31">
        <f t="shared" si="0"/>
        <v>0.79425000000000001</v>
      </c>
      <c r="L17" s="57">
        <f>J17/J14*I14</f>
        <v>2859.3</v>
      </c>
      <c r="M17" s="58">
        <f t="shared" si="4"/>
        <v>0.79425000000000001</v>
      </c>
      <c r="N17" s="34">
        <f t="shared" si="5"/>
        <v>-740.69999999999982</v>
      </c>
      <c r="O17" s="56">
        <v>381</v>
      </c>
      <c r="P17" s="34">
        <f t="shared" si="6"/>
        <v>2478.3000000000002</v>
      </c>
      <c r="Q17" s="36"/>
      <c r="R17" s="37">
        <f t="shared" si="7"/>
        <v>6.5047244094488192</v>
      </c>
      <c r="S17" s="4"/>
      <c r="T17" s="4"/>
      <c r="U17" s="12"/>
      <c r="V17" s="807"/>
      <c r="W17" s="4"/>
      <c r="X17" s="4"/>
      <c r="Y17" s="4"/>
      <c r="Z17" s="4"/>
    </row>
    <row r="18" spans="1:259" ht="15.75" customHeight="1">
      <c r="B18" s="11"/>
      <c r="C18" s="4"/>
      <c r="D18" s="4"/>
      <c r="E18" s="4"/>
      <c r="F18" s="801"/>
      <c r="G18" s="801"/>
      <c r="H18" s="801"/>
      <c r="I18" s="29"/>
      <c r="J18" s="30"/>
      <c r="K18" s="31" t="str">
        <f t="shared" si="0"/>
        <v/>
      </c>
      <c r="L18" s="57">
        <f t="shared" ref="L18:L19" si="9">J18</f>
        <v>0</v>
      </c>
      <c r="M18" s="58" t="str">
        <f t="shared" si="4"/>
        <v/>
      </c>
      <c r="N18" s="34" t="str">
        <f t="shared" si="5"/>
        <v/>
      </c>
      <c r="O18" s="59"/>
      <c r="P18" s="34" t="str">
        <f t="shared" si="6"/>
        <v/>
      </c>
      <c r="Q18" s="36"/>
      <c r="R18" s="37" t="str">
        <f t="shared" si="7"/>
        <v/>
      </c>
      <c r="S18" s="4"/>
      <c r="T18" s="4"/>
      <c r="U18" s="12"/>
      <c r="V18" s="60"/>
      <c r="W18" s="4"/>
      <c r="X18" s="4"/>
      <c r="Y18" s="4"/>
      <c r="Z18" s="4"/>
    </row>
    <row r="19" spans="1:259" ht="15.75" customHeight="1">
      <c r="B19" s="11"/>
      <c r="C19" s="4"/>
      <c r="D19" s="4"/>
      <c r="E19" s="4"/>
      <c r="F19" s="801"/>
      <c r="G19" s="801"/>
      <c r="H19" s="801"/>
      <c r="I19" s="61"/>
      <c r="J19" s="62"/>
      <c r="K19" s="31" t="str">
        <f t="shared" si="0"/>
        <v/>
      </c>
      <c r="L19" s="63">
        <f t="shared" si="9"/>
        <v>0</v>
      </c>
      <c r="M19" s="64" t="str">
        <f t="shared" si="4"/>
        <v/>
      </c>
      <c r="N19" s="34" t="str">
        <f t="shared" si="5"/>
        <v/>
      </c>
      <c r="O19" s="65">
        <v>0</v>
      </c>
      <c r="P19" s="34" t="str">
        <f t="shared" si="6"/>
        <v/>
      </c>
      <c r="Q19" s="36"/>
      <c r="R19" s="37" t="str">
        <f t="shared" si="7"/>
        <v/>
      </c>
      <c r="S19" s="4"/>
      <c r="T19" s="4"/>
      <c r="U19" s="12"/>
      <c r="V19" s="31" t="e">
        <f>V18/I16</f>
        <v>#DIV/0!</v>
      </c>
      <c r="W19" s="4"/>
      <c r="X19" s="4"/>
      <c r="Y19" s="4"/>
      <c r="Z19" s="4"/>
    </row>
    <row r="20" spans="1:259" ht="15.75" customHeight="1">
      <c r="B20" s="11"/>
      <c r="C20" s="4"/>
      <c r="D20" s="4"/>
      <c r="E20" s="4"/>
      <c r="F20" s="811" t="s">
        <v>25</v>
      </c>
      <c r="G20" s="811"/>
      <c r="H20" s="811"/>
      <c r="I20" s="66">
        <v>0.123</v>
      </c>
      <c r="J20" s="67">
        <f>R56</f>
        <v>8.8133459238275091E-2</v>
      </c>
      <c r="K20" s="67">
        <f>J20/I20</f>
        <v>0.71653218892906578</v>
      </c>
      <c r="L20" s="68">
        <f>J20/I20</f>
        <v>0.71653218892906578</v>
      </c>
      <c r="M20" s="69">
        <f>J20/I20</f>
        <v>0.71653218892906578</v>
      </c>
      <c r="N20" s="70">
        <f t="shared" si="5"/>
        <v>0.59353218892906578</v>
      </c>
      <c r="O20" s="71">
        <v>0.19160104986876642</v>
      </c>
      <c r="P20" s="72">
        <f t="shared" si="6"/>
        <v>0.52493113906029931</v>
      </c>
      <c r="Q20" s="73"/>
      <c r="R20" s="74">
        <f t="shared" si="7"/>
        <v>2.7397090956434798</v>
      </c>
      <c r="S20" s="4"/>
      <c r="T20" s="4"/>
      <c r="U20" s="12"/>
      <c r="V20" s="12"/>
      <c r="W20" s="4"/>
      <c r="X20" s="4"/>
      <c r="Y20" s="4"/>
      <c r="Z20" s="4"/>
    </row>
    <row r="21" spans="1:259" ht="15.75" customHeight="1">
      <c r="B21" s="11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12"/>
      <c r="W21" s="12"/>
      <c r="X21" s="4"/>
      <c r="Y21" s="4"/>
      <c r="Z21" s="4"/>
      <c r="AA21" s="4"/>
    </row>
    <row r="22" spans="1:259" ht="16">
      <c r="A22" s="803" t="s">
        <v>26</v>
      </c>
      <c r="B22" s="804"/>
      <c r="C22" s="804"/>
      <c r="D22" s="804"/>
      <c r="E22" s="804"/>
      <c r="F22" s="804"/>
      <c r="G22" s="804"/>
      <c r="H22" s="804"/>
      <c r="I22" s="804"/>
      <c r="J22" s="804"/>
      <c r="K22" s="804"/>
      <c r="L22" s="804"/>
      <c r="M22" s="804"/>
      <c r="N22" s="804"/>
      <c r="O22" s="804"/>
      <c r="P22" s="805"/>
      <c r="Q22" s="75"/>
      <c r="R22" s="75"/>
      <c r="S22" s="76"/>
      <c r="T22" s="803" t="s">
        <v>27</v>
      </c>
      <c r="U22" s="804"/>
      <c r="V22" s="804"/>
      <c r="W22" s="804"/>
      <c r="X22" s="804"/>
      <c r="Y22" s="804"/>
      <c r="Z22" s="804"/>
      <c r="AA22" s="805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</row>
    <row r="23" spans="1:259" ht="36">
      <c r="A23" s="808" t="s">
        <v>28</v>
      </c>
      <c r="B23" s="77" t="s">
        <v>29</v>
      </c>
      <c r="C23" s="77" t="s">
        <v>30</v>
      </c>
      <c r="D23" s="77" t="s">
        <v>31</v>
      </c>
      <c r="E23" s="77" t="s">
        <v>32</v>
      </c>
      <c r="F23" s="77" t="s">
        <v>33</v>
      </c>
      <c r="G23" s="77" t="s">
        <v>34</v>
      </c>
      <c r="H23" s="77" t="s">
        <v>35</v>
      </c>
      <c r="I23" s="77" t="s">
        <v>24</v>
      </c>
      <c r="J23" s="77" t="s">
        <v>36</v>
      </c>
      <c r="K23" s="78" t="s">
        <v>37</v>
      </c>
      <c r="L23" s="78" t="s">
        <v>38</v>
      </c>
      <c r="M23" s="78" t="s">
        <v>39</v>
      </c>
      <c r="N23" s="78" t="s">
        <v>40</v>
      </c>
      <c r="O23" s="78" t="s">
        <v>41</v>
      </c>
      <c r="P23" s="79" t="s">
        <v>42</v>
      </c>
      <c r="Q23" s="80" t="s">
        <v>43</v>
      </c>
      <c r="R23" s="81" t="s">
        <v>44</v>
      </c>
      <c r="S23" s="76" t="s">
        <v>45</v>
      </c>
      <c r="T23" s="77" t="s">
        <v>46</v>
      </c>
      <c r="U23" s="77" t="s">
        <v>47</v>
      </c>
      <c r="V23" s="77" t="s">
        <v>48</v>
      </c>
      <c r="W23" s="77" t="s">
        <v>49</v>
      </c>
      <c r="X23" s="77" t="s">
        <v>50</v>
      </c>
      <c r="Y23" s="77" t="s">
        <v>51</v>
      </c>
      <c r="Z23" s="82" t="s">
        <v>52</v>
      </c>
      <c r="AA23" s="82" t="s">
        <v>53</v>
      </c>
      <c r="AC23" s="83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</row>
    <row r="24" spans="1:259">
      <c r="A24" s="809"/>
      <c r="B24" s="84">
        <v>1</v>
      </c>
      <c r="C24" s="84">
        <v>2</v>
      </c>
      <c r="D24" s="84">
        <v>3</v>
      </c>
      <c r="E24" s="84">
        <v>4</v>
      </c>
      <c r="F24" s="84">
        <v>5</v>
      </c>
      <c r="G24" s="84">
        <v>6</v>
      </c>
      <c r="H24" s="84">
        <v>7</v>
      </c>
      <c r="I24" s="84">
        <v>8</v>
      </c>
      <c r="J24" s="84">
        <v>9</v>
      </c>
      <c r="K24" s="84">
        <v>10</v>
      </c>
      <c r="L24" s="84">
        <v>11</v>
      </c>
      <c r="M24" s="84">
        <v>12</v>
      </c>
      <c r="N24" s="84">
        <v>13</v>
      </c>
      <c r="O24" s="84">
        <v>14</v>
      </c>
      <c r="P24" s="85">
        <v>15</v>
      </c>
      <c r="Q24" s="86">
        <v>16</v>
      </c>
      <c r="R24" s="87">
        <v>13</v>
      </c>
      <c r="S24" s="88"/>
      <c r="T24" s="89">
        <v>1</v>
      </c>
      <c r="U24" s="89">
        <v>2</v>
      </c>
      <c r="V24" s="89">
        <v>3</v>
      </c>
      <c r="W24" s="89">
        <v>4</v>
      </c>
      <c r="X24" s="89">
        <v>5</v>
      </c>
      <c r="Y24" s="89">
        <v>6</v>
      </c>
      <c r="Z24" s="89">
        <v>10</v>
      </c>
      <c r="AA24" s="89">
        <v>11</v>
      </c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</row>
    <row r="25" spans="1:259" s="90" customFormat="1">
      <c r="A25" s="91" t="s">
        <v>54</v>
      </c>
      <c r="B25" s="92">
        <v>45992</v>
      </c>
      <c r="C25" s="93" t="s">
        <v>55</v>
      </c>
      <c r="D25" s="94">
        <v>13572</v>
      </c>
      <c r="E25" s="95">
        <v>2</v>
      </c>
      <c r="F25" s="96">
        <f t="shared" ref="F25:F55" si="10">IF(AND(E25&lt;&gt;"",E25&lt;&gt;0),D25/E25,"")</f>
        <v>6786</v>
      </c>
      <c r="G25" s="95">
        <v>1</v>
      </c>
      <c r="H25" s="96">
        <f t="shared" ref="H25:H55" si="11">IF(AND(G25&lt;&gt;"",G25&lt;&gt;0),D25/G25,"")</f>
        <v>13572</v>
      </c>
      <c r="I25" s="95">
        <v>64</v>
      </c>
      <c r="J25" s="97">
        <f t="shared" ref="J25:J55" si="12">IF(AND(G25&lt;&gt;"",G25&lt;&gt;0),E25/G25,"")</f>
        <v>2</v>
      </c>
      <c r="K25" s="95"/>
      <c r="L25" s="95"/>
      <c r="M25" s="95"/>
      <c r="N25" s="95"/>
      <c r="O25" s="95"/>
      <c r="P25" s="95"/>
      <c r="Q25" s="98"/>
      <c r="R25" s="99">
        <f t="shared" ref="R25:R56" si="13">IF(AND(I25&lt;&gt;"",I25&lt;&gt;0),G25/I25,"")</f>
        <v>1.5625E-2</v>
      </c>
      <c r="S25" s="100">
        <f t="shared" ref="S25:S56" si="14">D25/T25</f>
        <v>7.0919559533219434E-2</v>
      </c>
      <c r="T25" s="101">
        <f t="shared" ref="T25:T55" si="15">$I$8*Z25*AA25/SUMPRODUCT($AA$25:$AA$55,$Z$25:$Z$55)</f>
        <v>191371.74693876572</v>
      </c>
      <c r="U25" s="102">
        <f t="shared" ref="U25:U55" si="16">$I$9*Z25*AA25/SUMPRODUCT($AA$25:$AA$55,$Z$25:$Z$55)</f>
        <v>23.366513667736964</v>
      </c>
      <c r="V25" s="102">
        <f t="shared" ref="V25:V55" si="17">IF($I$12="","",U25/$I$12)</f>
        <v>13.908639087938669</v>
      </c>
      <c r="W25" s="101">
        <f>IF(D25&lt;&gt;"",D25,T25)</f>
        <v>13572</v>
      </c>
      <c r="X25" s="102">
        <f>IF(E25&lt;&gt;"",E25,U25)</f>
        <v>2</v>
      </c>
      <c r="Y25" s="102">
        <f>IF(G25&lt;&gt;"",G25,V25)</f>
        <v>1</v>
      </c>
      <c r="Z25" s="103">
        <v>0.9414554019711151</v>
      </c>
      <c r="AA25" s="103">
        <v>0.9414554019711151</v>
      </c>
      <c r="AB25" s="104"/>
      <c r="AC25" s="105"/>
      <c r="AD25" s="104"/>
      <c r="AE25" s="104"/>
      <c r="AF25" s="104"/>
      <c r="AG25" s="104"/>
      <c r="AH25" s="104"/>
      <c r="AI25" s="104"/>
      <c r="AJ25" s="104"/>
      <c r="AK25" s="104"/>
      <c r="AL25" s="104"/>
      <c r="AM25" s="104"/>
      <c r="AN25" s="104"/>
      <c r="AO25" s="104"/>
      <c r="AP25" s="104"/>
      <c r="AQ25" s="104"/>
      <c r="AR25" s="104"/>
      <c r="AS25" s="104"/>
      <c r="AT25" s="104"/>
      <c r="AU25" s="104"/>
      <c r="AV25" s="104"/>
      <c r="AW25" s="104"/>
      <c r="AX25" s="104"/>
      <c r="AY25" s="104"/>
      <c r="AZ25" s="104"/>
      <c r="BA25" s="104"/>
      <c r="BB25" s="104"/>
      <c r="BC25" s="104"/>
      <c r="BD25" s="104"/>
      <c r="BE25" s="104"/>
      <c r="BF25" s="104"/>
      <c r="BG25" s="104"/>
      <c r="BH25" s="104"/>
      <c r="BI25" s="104"/>
      <c r="BJ25" s="104"/>
      <c r="BK25" s="104"/>
      <c r="BL25" s="104"/>
      <c r="BM25" s="104"/>
      <c r="BN25" s="104"/>
      <c r="BO25" s="104"/>
      <c r="BP25" s="104"/>
      <c r="BQ25" s="104"/>
      <c r="BR25" s="104"/>
      <c r="BS25" s="104"/>
      <c r="BT25" s="104"/>
      <c r="BU25" s="104"/>
      <c r="BV25" s="104"/>
      <c r="BW25" s="104"/>
      <c r="BX25" s="104"/>
      <c r="BY25" s="104"/>
      <c r="BZ25" s="104"/>
      <c r="CA25" s="104"/>
      <c r="CB25" s="104"/>
      <c r="CC25" s="104"/>
      <c r="CD25" s="104"/>
      <c r="CE25" s="104"/>
      <c r="CF25" s="104"/>
      <c r="CG25" s="104"/>
      <c r="CH25" s="104"/>
      <c r="CI25" s="104"/>
      <c r="CJ25" s="104"/>
      <c r="CK25" s="104"/>
      <c r="CL25" s="104"/>
      <c r="CM25" s="104"/>
      <c r="CN25" s="104"/>
      <c r="CO25" s="104"/>
      <c r="CP25" s="104"/>
      <c r="CQ25" s="104"/>
      <c r="CR25" s="104"/>
      <c r="CS25" s="104"/>
      <c r="CT25" s="104"/>
      <c r="CU25" s="104"/>
      <c r="CV25" s="104"/>
      <c r="CW25" s="104"/>
      <c r="CX25" s="104"/>
      <c r="CY25" s="104"/>
      <c r="CZ25" s="104"/>
      <c r="DA25" s="104"/>
      <c r="DB25" s="104"/>
      <c r="DC25" s="104"/>
      <c r="DD25" s="104"/>
      <c r="DE25" s="104"/>
      <c r="DF25" s="104"/>
      <c r="DG25" s="104"/>
      <c r="DH25" s="104"/>
      <c r="DI25" s="104"/>
      <c r="DJ25" s="104"/>
      <c r="DK25" s="104"/>
      <c r="DL25" s="104"/>
      <c r="DM25" s="104"/>
      <c r="DN25" s="104"/>
      <c r="DO25" s="104"/>
      <c r="DP25" s="104"/>
      <c r="DQ25" s="104"/>
      <c r="DR25" s="104"/>
      <c r="DS25" s="104"/>
      <c r="DT25" s="104"/>
      <c r="DU25" s="104"/>
      <c r="DV25" s="104"/>
      <c r="DW25" s="104"/>
      <c r="DX25" s="104"/>
      <c r="DY25" s="104"/>
      <c r="DZ25" s="104"/>
      <c r="EA25" s="104"/>
      <c r="EB25" s="104"/>
      <c r="EC25" s="104"/>
      <c r="ED25" s="104"/>
      <c r="EE25" s="104"/>
      <c r="EF25" s="104"/>
      <c r="EG25" s="104"/>
      <c r="EH25" s="104"/>
      <c r="EI25" s="104"/>
      <c r="EJ25" s="104"/>
      <c r="EK25" s="104"/>
      <c r="EL25" s="104"/>
      <c r="EM25" s="104"/>
      <c r="EN25" s="104"/>
      <c r="EO25" s="104"/>
      <c r="EP25" s="104"/>
      <c r="EQ25" s="104"/>
      <c r="ER25" s="104"/>
      <c r="ES25" s="104"/>
      <c r="ET25" s="104"/>
      <c r="EU25" s="104"/>
      <c r="EV25" s="104"/>
      <c r="EW25" s="104"/>
      <c r="EX25" s="104"/>
      <c r="EY25" s="104"/>
      <c r="EZ25" s="104"/>
      <c r="FA25" s="104"/>
      <c r="FB25" s="104"/>
      <c r="FC25" s="104"/>
      <c r="FD25" s="104"/>
      <c r="FE25" s="104"/>
      <c r="FF25" s="104"/>
      <c r="FG25" s="104"/>
      <c r="FH25" s="104"/>
      <c r="FI25" s="104"/>
      <c r="FJ25" s="104"/>
      <c r="FK25" s="104"/>
      <c r="FL25" s="104"/>
      <c r="FM25" s="104"/>
      <c r="FN25" s="104"/>
      <c r="FO25" s="104"/>
      <c r="FP25" s="104"/>
      <c r="FQ25" s="104"/>
      <c r="FR25" s="104"/>
      <c r="FS25" s="104"/>
      <c r="FT25" s="104"/>
      <c r="FU25" s="104"/>
      <c r="FV25" s="104"/>
      <c r="FW25" s="104"/>
      <c r="FX25" s="104"/>
      <c r="FY25" s="104"/>
      <c r="FZ25" s="104"/>
      <c r="GA25" s="104"/>
      <c r="GB25" s="104"/>
      <c r="GC25" s="104"/>
      <c r="GD25" s="104"/>
      <c r="GE25" s="104"/>
      <c r="GF25" s="104"/>
      <c r="GG25" s="104"/>
      <c r="GH25" s="104"/>
      <c r="GI25" s="104"/>
      <c r="GJ25" s="104"/>
      <c r="GK25" s="104"/>
      <c r="GL25" s="104"/>
      <c r="GM25" s="104"/>
      <c r="GN25" s="104"/>
      <c r="GO25" s="104"/>
      <c r="GP25" s="104"/>
      <c r="GQ25" s="104"/>
      <c r="GR25" s="104"/>
      <c r="GS25" s="104"/>
      <c r="GT25" s="104"/>
      <c r="GU25" s="104"/>
      <c r="GV25" s="104"/>
      <c r="GW25" s="104"/>
      <c r="GX25" s="104"/>
      <c r="GY25" s="104"/>
      <c r="GZ25" s="104"/>
      <c r="HA25" s="104"/>
      <c r="HB25" s="104"/>
      <c r="HC25" s="104"/>
      <c r="HD25" s="104"/>
      <c r="HE25" s="104"/>
      <c r="HF25" s="104"/>
      <c r="HG25" s="104"/>
      <c r="HH25" s="104"/>
      <c r="HI25" s="104"/>
      <c r="HJ25" s="104"/>
      <c r="HK25" s="104"/>
      <c r="HL25" s="104"/>
      <c r="HM25" s="104"/>
      <c r="HN25" s="104"/>
      <c r="HO25" s="104"/>
      <c r="HP25" s="104"/>
      <c r="HQ25" s="104"/>
      <c r="HR25" s="104"/>
      <c r="HS25" s="104"/>
      <c r="HT25" s="104"/>
      <c r="HU25" s="104"/>
      <c r="HV25" s="104"/>
      <c r="HW25" s="104"/>
      <c r="HX25" s="104"/>
      <c r="HY25" s="104"/>
      <c r="HZ25" s="104"/>
      <c r="IA25" s="104"/>
      <c r="IB25" s="104"/>
      <c r="IC25" s="104"/>
      <c r="ID25" s="104"/>
      <c r="IE25" s="104"/>
      <c r="IF25" s="104"/>
      <c r="IG25" s="104"/>
      <c r="IH25" s="104"/>
      <c r="II25" s="104"/>
      <c r="IJ25" s="104"/>
      <c r="IK25" s="104"/>
      <c r="IL25" s="104"/>
      <c r="IM25" s="104"/>
      <c r="IN25" s="104"/>
      <c r="IO25" s="104"/>
      <c r="IP25" s="104"/>
      <c r="IQ25" s="104"/>
      <c r="IR25" s="104"/>
      <c r="IS25" s="104"/>
      <c r="IT25" s="104"/>
      <c r="IU25" s="104"/>
      <c r="IV25" s="104"/>
      <c r="IW25" s="104"/>
      <c r="IX25" s="104"/>
      <c r="IY25" s="104"/>
    </row>
    <row r="26" spans="1:259" s="90" customFormat="1">
      <c r="A26" s="106" t="s">
        <v>56</v>
      </c>
      <c r="B26" s="92">
        <v>45993</v>
      </c>
      <c r="C26" s="93" t="s">
        <v>57</v>
      </c>
      <c r="D26" s="107">
        <v>88382</v>
      </c>
      <c r="E26" s="98">
        <v>10</v>
      </c>
      <c r="F26" s="96">
        <f t="shared" si="10"/>
        <v>8838.2000000000007</v>
      </c>
      <c r="G26" s="98">
        <v>6</v>
      </c>
      <c r="H26" s="96">
        <f t="shared" si="11"/>
        <v>14730.333333333334</v>
      </c>
      <c r="I26" s="98">
        <v>103</v>
      </c>
      <c r="J26" s="97">
        <f t="shared" si="12"/>
        <v>1.6666666666666667</v>
      </c>
      <c r="K26" s="98">
        <v>30744</v>
      </c>
      <c r="L26" s="98"/>
      <c r="M26" s="98">
        <f>17684</f>
        <v>17684</v>
      </c>
      <c r="N26" s="98"/>
      <c r="O26" s="98"/>
      <c r="P26" s="95">
        <v>8593</v>
      </c>
      <c r="Q26" s="95"/>
      <c r="R26" s="99">
        <f t="shared" si="13"/>
        <v>5.8252427184466021E-2</v>
      </c>
      <c r="S26" s="100">
        <f t="shared" si="14"/>
        <v>0.56244912298523098</v>
      </c>
      <c r="T26" s="101">
        <f t="shared" si="15"/>
        <v>157137.76835655369</v>
      </c>
      <c r="U26" s="102">
        <f t="shared" si="16"/>
        <v>19.186540702875913</v>
      </c>
      <c r="V26" s="102">
        <f t="shared" si="17"/>
        <v>11.420559942188044</v>
      </c>
      <c r="W26" s="101">
        <f t="shared" ref="W26:W55" si="18">IF(AA26&lt;&gt;"",IF(D26&lt;&gt;"",D26,($I$8-SUM($W$25:W25))*Z26*AA26/SUMPRODUCT($AA26:$AA$55,$Z26:$Z$55)),"")</f>
        <v>88382</v>
      </c>
      <c r="X26" s="102">
        <f t="shared" ref="X26:X35" si="19">IF(AA26&lt;&gt;"",IF(E26&lt;&gt;"",E26,($I$9-SUM($X$25:X25))*Z26*AA26/SUMPRODUCT($AA26:$AA$55,$Z26:$Z$55)),"")</f>
        <v>10</v>
      </c>
      <c r="Y26" s="102">
        <f t="shared" ref="Y26:Y45" si="20">IF(AA26&lt;&gt;"",IF($I$12&lt;&gt;"",IF(G26&lt;&gt;"",G26,($I$9/$I$12-SUM($Y$25:Y25))*Z26*AA26/SUMPRODUCT($AA26:$AA$55,$Z26:$Z$55)),""),"")</f>
        <v>6</v>
      </c>
      <c r="Z26" s="103">
        <v>0.85310233682514103</v>
      </c>
      <c r="AA26" s="103">
        <v>0.85310233682514103</v>
      </c>
      <c r="AB26" s="105"/>
      <c r="AC26" s="105"/>
      <c r="AD26" s="104"/>
      <c r="AE26" s="104"/>
      <c r="AF26" s="104"/>
      <c r="AG26" s="104"/>
      <c r="AH26" s="104"/>
      <c r="AI26" s="104"/>
      <c r="AJ26" s="104"/>
      <c r="AK26" s="104"/>
      <c r="AL26" s="104"/>
      <c r="AM26" s="104"/>
      <c r="AN26" s="104"/>
      <c r="AO26" s="104"/>
      <c r="AP26" s="104"/>
      <c r="AQ26" s="104"/>
      <c r="AR26" s="104"/>
      <c r="AS26" s="104"/>
      <c r="AT26" s="104"/>
      <c r="AU26" s="104"/>
      <c r="AV26" s="104"/>
      <c r="AW26" s="104"/>
      <c r="AX26" s="104"/>
      <c r="AY26" s="104"/>
      <c r="AZ26" s="104"/>
      <c r="BA26" s="104"/>
      <c r="BB26" s="104"/>
      <c r="BC26" s="104"/>
      <c r="BD26" s="104"/>
      <c r="BE26" s="104"/>
      <c r="BF26" s="104"/>
      <c r="BG26" s="104"/>
      <c r="BH26" s="104"/>
      <c r="BI26" s="104"/>
      <c r="BJ26" s="104"/>
      <c r="BK26" s="104"/>
      <c r="BL26" s="104"/>
      <c r="BM26" s="104"/>
      <c r="BN26" s="104"/>
      <c r="BO26" s="104"/>
      <c r="BP26" s="104"/>
      <c r="BQ26" s="104"/>
      <c r="BR26" s="104"/>
      <c r="BS26" s="104"/>
      <c r="BT26" s="104"/>
      <c r="BU26" s="104"/>
      <c r="BV26" s="104"/>
      <c r="BW26" s="104"/>
      <c r="BX26" s="104"/>
      <c r="BY26" s="104"/>
      <c r="BZ26" s="104"/>
      <c r="CA26" s="104"/>
      <c r="CB26" s="104"/>
      <c r="CC26" s="104"/>
      <c r="CD26" s="104"/>
      <c r="CE26" s="104"/>
      <c r="CF26" s="104"/>
      <c r="CG26" s="104"/>
      <c r="CH26" s="104"/>
      <c r="CI26" s="104"/>
      <c r="CJ26" s="104"/>
      <c r="CK26" s="104"/>
      <c r="CL26" s="104"/>
      <c r="CM26" s="104"/>
      <c r="CN26" s="104"/>
      <c r="CO26" s="104"/>
      <c r="CP26" s="104"/>
      <c r="CQ26" s="104"/>
      <c r="CR26" s="104"/>
      <c r="CS26" s="104"/>
      <c r="CT26" s="104"/>
      <c r="CU26" s="104"/>
      <c r="CV26" s="104"/>
      <c r="CW26" s="104"/>
      <c r="CX26" s="104"/>
      <c r="CY26" s="104"/>
      <c r="CZ26" s="104"/>
      <c r="DA26" s="104"/>
      <c r="DB26" s="104"/>
      <c r="DC26" s="104"/>
      <c r="DD26" s="104"/>
      <c r="DE26" s="104"/>
      <c r="DF26" s="104"/>
      <c r="DG26" s="104"/>
      <c r="DH26" s="104"/>
      <c r="DI26" s="104"/>
      <c r="DJ26" s="104"/>
      <c r="DK26" s="104"/>
      <c r="DL26" s="104"/>
      <c r="DM26" s="104"/>
      <c r="DN26" s="104"/>
      <c r="DO26" s="104"/>
      <c r="DP26" s="104"/>
      <c r="DQ26" s="104"/>
      <c r="DR26" s="104"/>
      <c r="DS26" s="104"/>
      <c r="DT26" s="104"/>
      <c r="DU26" s="104"/>
      <c r="DV26" s="104"/>
      <c r="DW26" s="104"/>
      <c r="DX26" s="104"/>
      <c r="DY26" s="104"/>
      <c r="DZ26" s="104"/>
      <c r="EA26" s="104"/>
      <c r="EB26" s="104"/>
      <c r="EC26" s="104"/>
      <c r="ED26" s="104"/>
      <c r="EE26" s="104"/>
      <c r="EF26" s="104"/>
      <c r="EG26" s="104"/>
      <c r="EH26" s="104"/>
      <c r="EI26" s="104"/>
      <c r="EJ26" s="104"/>
      <c r="EK26" s="104"/>
      <c r="EL26" s="104"/>
      <c r="EM26" s="104"/>
      <c r="EN26" s="104"/>
      <c r="EO26" s="104"/>
      <c r="EP26" s="104"/>
      <c r="EQ26" s="104"/>
      <c r="ER26" s="104"/>
      <c r="ES26" s="104"/>
      <c r="ET26" s="104"/>
      <c r="EU26" s="104"/>
      <c r="EV26" s="104"/>
      <c r="EW26" s="104"/>
      <c r="EX26" s="104"/>
      <c r="EY26" s="104"/>
      <c r="EZ26" s="104"/>
      <c r="FA26" s="104"/>
      <c r="FB26" s="104"/>
      <c r="FC26" s="104"/>
      <c r="FD26" s="104"/>
      <c r="FE26" s="104"/>
      <c r="FF26" s="104"/>
      <c r="FG26" s="104"/>
      <c r="FH26" s="104"/>
      <c r="FI26" s="104"/>
      <c r="FJ26" s="104"/>
      <c r="FK26" s="104"/>
      <c r="FL26" s="104"/>
      <c r="FM26" s="104"/>
      <c r="FN26" s="104"/>
      <c r="FO26" s="104"/>
      <c r="FP26" s="104"/>
      <c r="FQ26" s="104"/>
      <c r="FR26" s="104"/>
      <c r="FS26" s="104"/>
      <c r="FT26" s="104"/>
      <c r="FU26" s="104"/>
      <c r="FV26" s="104"/>
      <c r="FW26" s="104"/>
      <c r="FX26" s="104"/>
      <c r="FY26" s="104"/>
      <c r="FZ26" s="104"/>
      <c r="GA26" s="104"/>
      <c r="GB26" s="104"/>
      <c r="GC26" s="104"/>
      <c r="GD26" s="104"/>
      <c r="GE26" s="104"/>
      <c r="GF26" s="104"/>
      <c r="GG26" s="104"/>
      <c r="GH26" s="104"/>
      <c r="GI26" s="104"/>
      <c r="GJ26" s="104"/>
      <c r="GK26" s="104"/>
      <c r="GL26" s="104"/>
      <c r="GM26" s="104"/>
      <c r="GN26" s="104"/>
      <c r="GO26" s="104"/>
      <c r="GP26" s="104"/>
      <c r="GQ26" s="104"/>
      <c r="GR26" s="104"/>
      <c r="GS26" s="104"/>
      <c r="GT26" s="104"/>
      <c r="GU26" s="104"/>
      <c r="GV26" s="104"/>
      <c r="GW26" s="104"/>
      <c r="GX26" s="104"/>
      <c r="GY26" s="104"/>
      <c r="GZ26" s="104"/>
      <c r="HA26" s="104"/>
      <c r="HB26" s="104"/>
      <c r="HC26" s="104"/>
      <c r="HD26" s="104"/>
      <c r="HE26" s="104"/>
      <c r="HF26" s="104"/>
      <c r="HG26" s="104"/>
      <c r="HH26" s="104"/>
      <c r="HI26" s="104"/>
      <c r="HJ26" s="104"/>
      <c r="HK26" s="104"/>
      <c r="HL26" s="104"/>
      <c r="HM26" s="104"/>
      <c r="HN26" s="104"/>
      <c r="HO26" s="104"/>
      <c r="HP26" s="104"/>
      <c r="HQ26" s="104"/>
      <c r="HR26" s="104"/>
      <c r="HS26" s="104"/>
      <c r="HT26" s="104"/>
      <c r="HU26" s="104"/>
      <c r="HV26" s="104"/>
      <c r="HW26" s="104"/>
      <c r="HX26" s="104"/>
      <c r="HY26" s="104"/>
      <c r="HZ26" s="104"/>
      <c r="IA26" s="104"/>
      <c r="IB26" s="104"/>
      <c r="IC26" s="104"/>
      <c r="ID26" s="104"/>
      <c r="IE26" s="104"/>
      <c r="IF26" s="104"/>
      <c r="IG26" s="104"/>
      <c r="IH26" s="104"/>
      <c r="II26" s="104"/>
      <c r="IJ26" s="104"/>
      <c r="IK26" s="104"/>
      <c r="IL26" s="104"/>
      <c r="IM26" s="104"/>
      <c r="IN26" s="104"/>
      <c r="IO26" s="104"/>
      <c r="IP26" s="104"/>
      <c r="IQ26" s="104"/>
      <c r="IR26" s="104"/>
      <c r="IS26" s="104"/>
      <c r="IT26" s="104"/>
      <c r="IU26" s="104"/>
      <c r="IV26" s="104"/>
      <c r="IW26" s="104"/>
      <c r="IX26" s="104"/>
      <c r="IY26" s="104"/>
    </row>
    <row r="27" spans="1:259" s="90" customFormat="1">
      <c r="A27" s="91" t="s">
        <v>58</v>
      </c>
      <c r="B27" s="92">
        <v>45994</v>
      </c>
      <c r="C27" s="93" t="s">
        <v>59</v>
      </c>
      <c r="D27" s="107">
        <v>74261</v>
      </c>
      <c r="E27" s="98">
        <v>7</v>
      </c>
      <c r="F27" s="96">
        <f t="shared" si="10"/>
        <v>10608.714285714286</v>
      </c>
      <c r="G27" s="98">
        <v>4</v>
      </c>
      <c r="H27" s="96">
        <f t="shared" si="11"/>
        <v>18565.25</v>
      </c>
      <c r="I27" s="98">
        <v>90</v>
      </c>
      <c r="J27" s="97">
        <f t="shared" si="12"/>
        <v>1.75</v>
      </c>
      <c r="K27" s="98"/>
      <c r="L27" s="98"/>
      <c r="M27" s="98">
        <v>15190</v>
      </c>
      <c r="N27" s="108">
        <f>27149+5307</f>
        <v>32456</v>
      </c>
      <c r="O27" s="108">
        <v>15390</v>
      </c>
      <c r="P27" s="95"/>
      <c r="Q27" s="95"/>
      <c r="R27" s="99">
        <f t="shared" si="13"/>
        <v>4.4444444444444446E-2</v>
      </c>
      <c r="S27" s="100">
        <f t="shared" si="14"/>
        <v>0.47258530381758995</v>
      </c>
      <c r="T27" s="101">
        <f t="shared" si="15"/>
        <v>157137.76835655369</v>
      </c>
      <c r="U27" s="102">
        <f t="shared" si="16"/>
        <v>19.186540702875913</v>
      </c>
      <c r="V27" s="102">
        <f t="shared" si="17"/>
        <v>11.420559942188044</v>
      </c>
      <c r="W27" s="101">
        <f t="shared" si="18"/>
        <v>74261</v>
      </c>
      <c r="X27" s="102">
        <f t="shared" si="19"/>
        <v>7</v>
      </c>
      <c r="Y27" s="102">
        <f t="shared" si="20"/>
        <v>4</v>
      </c>
      <c r="Z27" s="103">
        <v>0.85310233682514103</v>
      </c>
      <c r="AA27" s="103">
        <v>0.85310233682514103</v>
      </c>
      <c r="AB27" s="105"/>
      <c r="AC27" s="105"/>
      <c r="AD27" s="104"/>
      <c r="AE27" s="104"/>
      <c r="AF27" s="104"/>
      <c r="AG27" s="104"/>
      <c r="AH27" s="104"/>
      <c r="AI27" s="104"/>
      <c r="AJ27" s="104"/>
      <c r="AK27" s="104"/>
      <c r="AL27" s="104"/>
      <c r="AM27" s="104"/>
      <c r="AN27" s="104"/>
    </row>
    <row r="28" spans="1:259" s="90" customFormat="1">
      <c r="A28" s="91" t="s">
        <v>60</v>
      </c>
      <c r="B28" s="92">
        <v>45995</v>
      </c>
      <c r="C28" s="93" t="s">
        <v>61</v>
      </c>
      <c r="D28" s="107">
        <v>165232</v>
      </c>
      <c r="E28" s="98">
        <v>18</v>
      </c>
      <c r="F28" s="96">
        <f t="shared" si="10"/>
        <v>9179.5555555555547</v>
      </c>
      <c r="G28" s="98">
        <v>13</v>
      </c>
      <c r="H28" s="96">
        <f t="shared" si="11"/>
        <v>12710.153846153846</v>
      </c>
      <c r="I28" s="98">
        <v>87</v>
      </c>
      <c r="J28" s="97">
        <f t="shared" si="12"/>
        <v>1.3846153846153846</v>
      </c>
      <c r="K28" s="98">
        <f>32375+11493</f>
        <v>43868</v>
      </c>
      <c r="L28" s="98"/>
      <c r="M28" s="98">
        <f>8699+10892+14992</f>
        <v>34583</v>
      </c>
      <c r="N28" s="98">
        <v>21370</v>
      </c>
      <c r="O28" s="98"/>
      <c r="P28" s="95"/>
      <c r="Q28" s="95"/>
      <c r="R28" s="99">
        <f t="shared" si="13"/>
        <v>0.14942528735632185</v>
      </c>
      <c r="S28" s="100">
        <f t="shared" si="14"/>
        <v>1.0515104148932553</v>
      </c>
      <c r="T28" s="101">
        <f t="shared" si="15"/>
        <v>157137.76835655369</v>
      </c>
      <c r="U28" s="102">
        <f t="shared" si="16"/>
        <v>19.186540702875913</v>
      </c>
      <c r="V28" s="102">
        <f t="shared" si="17"/>
        <v>11.420559942188044</v>
      </c>
      <c r="W28" s="101">
        <f t="shared" si="18"/>
        <v>165232</v>
      </c>
      <c r="X28" s="102">
        <f t="shared" si="19"/>
        <v>18</v>
      </c>
      <c r="Y28" s="102">
        <f t="shared" si="20"/>
        <v>13</v>
      </c>
      <c r="Z28" s="103">
        <v>0.85310233682514103</v>
      </c>
      <c r="AA28" s="103">
        <v>0.85310233682514103</v>
      </c>
      <c r="AB28" s="105"/>
      <c r="AC28" s="109"/>
      <c r="AD28" s="104"/>
      <c r="AE28" s="104"/>
      <c r="AF28" s="104"/>
      <c r="AG28" s="104"/>
      <c r="AH28" s="104"/>
      <c r="AI28" s="104"/>
      <c r="AJ28" s="104"/>
      <c r="AK28" s="104"/>
      <c r="AL28" s="104"/>
      <c r="AM28" s="104"/>
      <c r="AN28" s="104"/>
    </row>
    <row r="29" spans="1:259" s="110" customFormat="1">
      <c r="A29" s="111" t="s">
        <v>62</v>
      </c>
      <c r="B29" s="112">
        <v>45996</v>
      </c>
      <c r="C29" s="113" t="s">
        <v>63</v>
      </c>
      <c r="D29" s="114">
        <v>77191</v>
      </c>
      <c r="E29" s="115">
        <v>11</v>
      </c>
      <c r="F29" s="116">
        <f t="shared" si="10"/>
        <v>7017.363636363636</v>
      </c>
      <c r="G29" s="115">
        <v>9</v>
      </c>
      <c r="H29" s="116">
        <f t="shared" si="11"/>
        <v>8576.7777777777774</v>
      </c>
      <c r="I29" s="115">
        <v>117</v>
      </c>
      <c r="J29" s="117">
        <f t="shared" si="12"/>
        <v>1.2222222222222223</v>
      </c>
      <c r="K29" s="115"/>
      <c r="L29" s="115"/>
      <c r="M29" s="115">
        <f>15922+7493</f>
        <v>23415</v>
      </c>
      <c r="N29" s="115">
        <v>13290</v>
      </c>
      <c r="O29" s="115"/>
      <c r="P29" s="118"/>
      <c r="Q29" s="118"/>
      <c r="R29" s="99">
        <f t="shared" si="13"/>
        <v>7.6923076923076927E-2</v>
      </c>
      <c r="S29" s="119">
        <f t="shared" si="14"/>
        <v>0.49482370626339278</v>
      </c>
      <c r="T29" s="120">
        <f t="shared" si="15"/>
        <v>155996.97230130588</v>
      </c>
      <c r="U29" s="121">
        <f t="shared" si="16"/>
        <v>19.047249365238816</v>
      </c>
      <c r="V29" s="121">
        <f t="shared" si="17"/>
        <v>11.337648431689772</v>
      </c>
      <c r="W29" s="120">
        <f t="shared" si="18"/>
        <v>77191</v>
      </c>
      <c r="X29" s="121">
        <f t="shared" si="19"/>
        <v>11</v>
      </c>
      <c r="Y29" s="121">
        <f t="shared" si="20"/>
        <v>9</v>
      </c>
      <c r="Z29" s="122">
        <v>0.85</v>
      </c>
      <c r="AA29" s="122">
        <v>0.85</v>
      </c>
      <c r="AB29" s="123"/>
      <c r="AC29" s="123"/>
      <c r="AD29" s="124"/>
      <c r="AE29" s="124"/>
      <c r="AF29" s="124"/>
      <c r="AG29" s="124"/>
      <c r="AH29" s="124"/>
      <c r="AI29" s="124"/>
      <c r="AJ29" s="124"/>
      <c r="AK29" s="124"/>
      <c r="AL29" s="124"/>
      <c r="AM29" s="124"/>
      <c r="AN29" s="124"/>
      <c r="AO29" s="124"/>
      <c r="AP29" s="124"/>
      <c r="AQ29" s="124"/>
      <c r="AR29" s="124"/>
      <c r="AS29" s="124"/>
      <c r="AT29" s="124"/>
      <c r="AU29" s="124"/>
      <c r="AV29" s="124"/>
      <c r="AW29" s="124"/>
      <c r="AX29" s="124"/>
      <c r="AY29" s="124"/>
      <c r="AZ29" s="124"/>
      <c r="BA29" s="124"/>
      <c r="BB29" s="124"/>
      <c r="BC29" s="124"/>
      <c r="BD29" s="124"/>
      <c r="BE29" s="124"/>
      <c r="BF29" s="124"/>
      <c r="BG29" s="124"/>
      <c r="BH29" s="124"/>
      <c r="BI29" s="124"/>
      <c r="BJ29" s="124"/>
      <c r="BK29" s="124"/>
      <c r="BL29" s="124"/>
      <c r="BM29" s="124"/>
      <c r="BN29" s="124"/>
      <c r="BO29" s="124"/>
      <c r="BP29" s="124"/>
      <c r="BQ29" s="124"/>
      <c r="BR29" s="124"/>
      <c r="BS29" s="124"/>
      <c r="BT29" s="124"/>
      <c r="BU29" s="124"/>
      <c r="BV29" s="124"/>
      <c r="BW29" s="124"/>
      <c r="BX29" s="124"/>
      <c r="BY29" s="124"/>
      <c r="BZ29" s="124"/>
      <c r="CA29" s="124"/>
      <c r="CB29" s="124"/>
      <c r="CC29" s="124"/>
      <c r="CD29" s="124"/>
      <c r="CE29" s="124"/>
      <c r="CF29" s="124"/>
      <c r="CG29" s="124"/>
      <c r="CH29" s="124"/>
      <c r="CI29" s="124"/>
      <c r="CJ29" s="124"/>
      <c r="CK29" s="124"/>
      <c r="CL29" s="124"/>
      <c r="CM29" s="124"/>
      <c r="CN29" s="124"/>
      <c r="CO29" s="124"/>
      <c r="CP29" s="124"/>
      <c r="CQ29" s="124"/>
      <c r="CR29" s="124"/>
      <c r="CS29" s="124"/>
      <c r="CT29" s="124"/>
      <c r="CU29" s="124"/>
      <c r="CV29" s="124"/>
      <c r="CW29" s="124"/>
      <c r="CX29" s="124"/>
      <c r="CY29" s="124"/>
      <c r="CZ29" s="124"/>
      <c r="DA29" s="124"/>
      <c r="DB29" s="124"/>
      <c r="DC29" s="124"/>
      <c r="DD29" s="124"/>
      <c r="DE29" s="124"/>
      <c r="DF29" s="124"/>
      <c r="DG29" s="124"/>
      <c r="DH29" s="124"/>
      <c r="DI29" s="124"/>
      <c r="DJ29" s="124"/>
      <c r="DK29" s="124"/>
      <c r="DL29" s="124"/>
      <c r="DM29" s="124"/>
      <c r="DN29" s="124"/>
      <c r="DO29" s="124"/>
      <c r="DP29" s="124"/>
      <c r="DQ29" s="124"/>
      <c r="DR29" s="124"/>
      <c r="DS29" s="124"/>
      <c r="DT29" s="124"/>
      <c r="DU29" s="124"/>
      <c r="DV29" s="124"/>
      <c r="DW29" s="124"/>
      <c r="DX29" s="124"/>
      <c r="DY29" s="124"/>
      <c r="DZ29" s="124"/>
      <c r="EA29" s="124"/>
      <c r="EB29" s="124"/>
      <c r="EC29" s="124"/>
      <c r="ED29" s="124"/>
      <c r="EE29" s="124"/>
      <c r="EF29" s="124"/>
      <c r="EG29" s="124"/>
      <c r="EH29" s="124"/>
      <c r="EI29" s="124"/>
      <c r="EJ29" s="124"/>
      <c r="EK29" s="124"/>
      <c r="EL29" s="124"/>
      <c r="EM29" s="124"/>
      <c r="EN29" s="124"/>
      <c r="EO29" s="124"/>
      <c r="EP29" s="124"/>
      <c r="EQ29" s="124"/>
      <c r="ER29" s="124"/>
      <c r="ES29" s="124"/>
      <c r="ET29" s="124"/>
      <c r="EU29" s="124"/>
      <c r="EV29" s="124"/>
      <c r="EW29" s="124"/>
      <c r="EX29" s="124"/>
      <c r="EY29" s="124"/>
      <c r="EZ29" s="124"/>
      <c r="FA29" s="124"/>
      <c r="FB29" s="124"/>
      <c r="FC29" s="124"/>
      <c r="FD29" s="124"/>
      <c r="FE29" s="124"/>
      <c r="FF29" s="124"/>
      <c r="FG29" s="124"/>
      <c r="FH29" s="124"/>
      <c r="FI29" s="124"/>
      <c r="FJ29" s="124"/>
      <c r="FK29" s="124"/>
      <c r="FL29" s="124"/>
      <c r="FM29" s="124"/>
      <c r="FN29" s="124"/>
      <c r="FO29" s="124"/>
      <c r="FP29" s="124"/>
      <c r="FQ29" s="124"/>
      <c r="FR29" s="124"/>
      <c r="FS29" s="124"/>
      <c r="FT29" s="124"/>
      <c r="FU29" s="124"/>
      <c r="FV29" s="124"/>
      <c r="FW29" s="124"/>
      <c r="FX29" s="124"/>
      <c r="FY29" s="124"/>
      <c r="FZ29" s="124"/>
      <c r="GA29" s="124"/>
      <c r="GB29" s="124"/>
      <c r="GC29" s="124"/>
      <c r="GD29" s="124"/>
      <c r="GE29" s="124"/>
      <c r="GF29" s="124"/>
      <c r="GG29" s="124"/>
      <c r="GH29" s="124"/>
      <c r="GI29" s="124"/>
      <c r="GJ29" s="124"/>
      <c r="GK29" s="124"/>
      <c r="GL29" s="124"/>
      <c r="GM29" s="124"/>
      <c r="GN29" s="124"/>
      <c r="GO29" s="124"/>
      <c r="GP29" s="124"/>
      <c r="GQ29" s="124"/>
      <c r="GR29" s="124"/>
      <c r="GS29" s="124"/>
      <c r="GT29" s="124"/>
      <c r="GU29" s="124"/>
      <c r="GV29" s="124"/>
      <c r="GW29" s="124"/>
      <c r="GX29" s="124"/>
      <c r="GY29" s="124"/>
      <c r="GZ29" s="124"/>
      <c r="HA29" s="124"/>
      <c r="HB29" s="124"/>
      <c r="HC29" s="124"/>
      <c r="HD29" s="124"/>
      <c r="HE29" s="124"/>
      <c r="HF29" s="124"/>
      <c r="HG29" s="124"/>
      <c r="HH29" s="124"/>
      <c r="HI29" s="124"/>
      <c r="HJ29" s="124"/>
      <c r="HK29" s="124"/>
      <c r="HL29" s="124"/>
      <c r="HM29" s="124"/>
      <c r="HN29" s="124"/>
      <c r="HO29" s="124"/>
      <c r="HP29" s="124"/>
      <c r="HQ29" s="124"/>
      <c r="HR29" s="124"/>
      <c r="HS29" s="124"/>
      <c r="HT29" s="124"/>
      <c r="HU29" s="124"/>
      <c r="HV29" s="124"/>
      <c r="HW29" s="124"/>
      <c r="HX29" s="124"/>
      <c r="HY29" s="124"/>
      <c r="HZ29" s="124"/>
      <c r="IA29" s="124"/>
      <c r="IB29" s="124"/>
      <c r="IC29" s="124"/>
      <c r="ID29" s="124"/>
      <c r="IE29" s="124"/>
      <c r="IF29" s="124"/>
      <c r="IG29" s="124"/>
      <c r="IH29" s="124"/>
      <c r="II29" s="124"/>
      <c r="IJ29" s="124"/>
      <c r="IK29" s="124"/>
      <c r="IL29" s="124"/>
      <c r="IM29" s="124"/>
      <c r="IN29" s="124"/>
      <c r="IO29" s="124"/>
      <c r="IP29" s="124"/>
      <c r="IQ29" s="124"/>
      <c r="IR29" s="124"/>
      <c r="IS29" s="124"/>
      <c r="IT29" s="124"/>
      <c r="IU29" s="124"/>
      <c r="IV29" s="124"/>
      <c r="IW29" s="124"/>
      <c r="IX29" s="124"/>
      <c r="IY29" s="124"/>
    </row>
    <row r="30" spans="1:259" s="125" customFormat="1">
      <c r="A30" s="111" t="s">
        <v>64</v>
      </c>
      <c r="B30" s="112">
        <v>45997</v>
      </c>
      <c r="C30" s="113" t="s">
        <v>65</v>
      </c>
      <c r="D30" s="114">
        <v>165526</v>
      </c>
      <c r="E30" s="115">
        <v>20</v>
      </c>
      <c r="F30" s="116">
        <f t="shared" si="10"/>
        <v>8276.2999999999993</v>
      </c>
      <c r="G30" s="115">
        <v>12</v>
      </c>
      <c r="H30" s="116">
        <f t="shared" si="11"/>
        <v>13793.833333333334</v>
      </c>
      <c r="I30" s="115">
        <v>144</v>
      </c>
      <c r="J30" s="117">
        <f t="shared" si="12"/>
        <v>1.6666666666666667</v>
      </c>
      <c r="K30" s="115">
        <v>18990</v>
      </c>
      <c r="L30" s="115"/>
      <c r="M30" s="115">
        <v>8082</v>
      </c>
      <c r="N30" s="115"/>
      <c r="O30" s="115">
        <f>13390+8990</f>
        <v>22380</v>
      </c>
      <c r="P30" s="118">
        <v>19680</v>
      </c>
      <c r="Q30" s="118"/>
      <c r="R30" s="99">
        <f t="shared" si="13"/>
        <v>8.3333333333333329E-2</v>
      </c>
      <c r="S30" s="119">
        <f t="shared" si="14"/>
        <v>0.76663369317840813</v>
      </c>
      <c r="T30" s="120">
        <f t="shared" si="15"/>
        <v>215912.76443087324</v>
      </c>
      <c r="U30" s="121">
        <f t="shared" si="16"/>
        <v>26.362974899984522</v>
      </c>
      <c r="V30" s="121">
        <f t="shared" si="17"/>
        <v>15.692246964276501</v>
      </c>
      <c r="W30" s="120">
        <f t="shared" si="18"/>
        <v>165526</v>
      </c>
      <c r="X30" s="121">
        <f t="shared" si="19"/>
        <v>20</v>
      </c>
      <c r="Y30" s="121">
        <f t="shared" si="20"/>
        <v>12</v>
      </c>
      <c r="Z30" s="122">
        <v>1</v>
      </c>
      <c r="AA30" s="122">
        <v>1</v>
      </c>
      <c r="AB30" s="123"/>
      <c r="AC30" s="123"/>
      <c r="AD30" s="124"/>
      <c r="AE30" s="124"/>
      <c r="AF30" s="124"/>
      <c r="AG30" s="124"/>
      <c r="AH30" s="124"/>
      <c r="AI30" s="124"/>
      <c r="AJ30" s="124"/>
      <c r="AK30" s="124"/>
      <c r="AL30" s="124"/>
      <c r="AM30" s="124"/>
      <c r="AN30" s="124"/>
    </row>
    <row r="31" spans="1:259" s="125" customFormat="1">
      <c r="A31" s="111" t="s">
        <v>66</v>
      </c>
      <c r="B31" s="112">
        <v>45998</v>
      </c>
      <c r="C31" s="113" t="s">
        <v>67</v>
      </c>
      <c r="D31" s="114">
        <v>72565</v>
      </c>
      <c r="E31" s="115">
        <v>10</v>
      </c>
      <c r="F31" s="116">
        <f t="shared" si="10"/>
        <v>7256.5</v>
      </c>
      <c r="G31" s="115">
        <v>7</v>
      </c>
      <c r="H31" s="116">
        <f t="shared" si="11"/>
        <v>10366.428571428571</v>
      </c>
      <c r="I31" s="115">
        <v>108</v>
      </c>
      <c r="J31" s="117">
        <f t="shared" si="12"/>
        <v>1.4285714285714286</v>
      </c>
      <c r="K31" s="115"/>
      <c r="L31" s="115"/>
      <c r="M31" s="115"/>
      <c r="N31" s="115">
        <f>17272+24082</f>
        <v>41354</v>
      </c>
      <c r="O31" s="115"/>
      <c r="P31" s="118"/>
      <c r="Q31" s="118"/>
      <c r="R31" s="99">
        <f t="shared" si="13"/>
        <v>6.4814814814814811E-2</v>
      </c>
      <c r="S31" s="119">
        <f t="shared" si="14"/>
        <v>0.33608480809958069</v>
      </c>
      <c r="T31" s="120">
        <f t="shared" si="15"/>
        <v>215912.76443087324</v>
      </c>
      <c r="U31" s="121">
        <f t="shared" si="16"/>
        <v>26.362974899984522</v>
      </c>
      <c r="V31" s="121">
        <f t="shared" si="17"/>
        <v>15.692246964276501</v>
      </c>
      <c r="W31" s="120">
        <f t="shared" si="18"/>
        <v>72565</v>
      </c>
      <c r="X31" s="121">
        <f t="shared" si="19"/>
        <v>10</v>
      </c>
      <c r="Y31" s="121">
        <f t="shared" si="20"/>
        <v>7</v>
      </c>
      <c r="Z31" s="122">
        <v>1</v>
      </c>
      <c r="AA31" s="122">
        <v>1</v>
      </c>
      <c r="AB31" s="123"/>
      <c r="AC31" s="123"/>
      <c r="AD31" s="124"/>
      <c r="AE31" s="124"/>
      <c r="AF31" s="124"/>
      <c r="AG31" s="124"/>
      <c r="AH31" s="124"/>
      <c r="AI31" s="124"/>
      <c r="AJ31" s="124"/>
      <c r="AK31" s="124"/>
      <c r="AL31" s="124"/>
      <c r="AM31" s="124"/>
      <c r="AN31" s="124"/>
      <c r="AO31" s="124"/>
      <c r="AP31" s="124"/>
      <c r="AQ31" s="124"/>
      <c r="AR31" s="124"/>
      <c r="AS31" s="124"/>
      <c r="AT31" s="124"/>
      <c r="AU31" s="124"/>
      <c r="AV31" s="124"/>
      <c r="AW31" s="124"/>
      <c r="AX31" s="124"/>
      <c r="AY31" s="124"/>
      <c r="AZ31" s="124"/>
      <c r="BA31" s="124"/>
      <c r="BB31" s="124"/>
      <c r="BC31" s="124"/>
      <c r="BD31" s="124"/>
      <c r="BE31" s="124"/>
      <c r="BF31" s="124"/>
      <c r="BG31" s="124"/>
      <c r="BH31" s="124"/>
      <c r="BI31" s="124"/>
      <c r="BJ31" s="124"/>
      <c r="BK31" s="124"/>
      <c r="BL31" s="124"/>
      <c r="BM31" s="124"/>
      <c r="BN31" s="124"/>
      <c r="BO31" s="124"/>
      <c r="BP31" s="124"/>
      <c r="BQ31" s="124"/>
      <c r="BR31" s="124"/>
      <c r="BS31" s="124"/>
      <c r="BT31" s="124"/>
      <c r="BU31" s="124"/>
      <c r="BV31" s="124"/>
      <c r="BW31" s="124"/>
      <c r="BX31" s="124"/>
      <c r="BY31" s="124"/>
      <c r="BZ31" s="124"/>
      <c r="CA31" s="124"/>
      <c r="CB31" s="124"/>
      <c r="CC31" s="124"/>
      <c r="CD31" s="124"/>
      <c r="CE31" s="124"/>
      <c r="CF31" s="124"/>
      <c r="CG31" s="124"/>
      <c r="CH31" s="124"/>
      <c r="CI31" s="124"/>
      <c r="CJ31" s="124"/>
      <c r="CK31" s="124"/>
      <c r="CL31" s="124"/>
      <c r="CM31" s="124"/>
      <c r="CN31" s="124"/>
      <c r="CO31" s="124"/>
      <c r="CP31" s="124"/>
      <c r="CQ31" s="124"/>
      <c r="CR31" s="124"/>
      <c r="CS31" s="124"/>
      <c r="CT31" s="124"/>
      <c r="CU31" s="124"/>
      <c r="CV31" s="124"/>
      <c r="CW31" s="124"/>
      <c r="CX31" s="124"/>
      <c r="CY31" s="124"/>
      <c r="CZ31" s="124"/>
      <c r="DA31" s="124"/>
      <c r="DB31" s="124"/>
      <c r="DC31" s="124"/>
      <c r="DD31" s="124"/>
      <c r="DE31" s="124"/>
      <c r="DF31" s="124"/>
      <c r="DG31" s="124"/>
      <c r="DH31" s="124"/>
      <c r="DI31" s="124"/>
      <c r="DJ31" s="124"/>
      <c r="DK31" s="124"/>
      <c r="DL31" s="124"/>
      <c r="DM31" s="124"/>
      <c r="DN31" s="124"/>
      <c r="DO31" s="124"/>
      <c r="DP31" s="124"/>
      <c r="DQ31" s="124"/>
      <c r="DR31" s="124"/>
      <c r="DS31" s="124"/>
      <c r="DT31" s="124"/>
      <c r="DU31" s="124"/>
      <c r="DV31" s="124"/>
      <c r="DW31" s="124"/>
      <c r="DX31" s="124"/>
      <c r="DY31" s="124"/>
      <c r="DZ31" s="124"/>
      <c r="EA31" s="124"/>
      <c r="EB31" s="124"/>
      <c r="EC31" s="124"/>
      <c r="ED31" s="124"/>
      <c r="EE31" s="124"/>
      <c r="EF31" s="124"/>
      <c r="EG31" s="124"/>
      <c r="EH31" s="124"/>
      <c r="EI31" s="124"/>
      <c r="EJ31" s="124"/>
      <c r="EK31" s="124"/>
      <c r="EL31" s="124"/>
      <c r="EM31" s="124"/>
      <c r="EN31" s="124"/>
      <c r="EO31" s="124"/>
      <c r="EP31" s="124"/>
      <c r="EQ31" s="124"/>
      <c r="ER31" s="124"/>
      <c r="ES31" s="124"/>
      <c r="ET31" s="124"/>
      <c r="EU31" s="124"/>
      <c r="EV31" s="124"/>
      <c r="EW31" s="124"/>
      <c r="EX31" s="124"/>
      <c r="EY31" s="124"/>
      <c r="EZ31" s="124"/>
      <c r="FA31" s="124"/>
      <c r="FB31" s="124"/>
      <c r="FC31" s="124"/>
      <c r="FD31" s="124"/>
      <c r="FE31" s="124"/>
      <c r="FF31" s="124"/>
      <c r="FG31" s="124"/>
      <c r="FH31" s="124"/>
      <c r="FI31" s="124"/>
      <c r="FJ31" s="124"/>
      <c r="FK31" s="124"/>
      <c r="FL31" s="124"/>
      <c r="FM31" s="124"/>
      <c r="FN31" s="124"/>
      <c r="FO31" s="124"/>
      <c r="FP31" s="124"/>
      <c r="FQ31" s="124"/>
      <c r="FR31" s="124"/>
      <c r="FS31" s="124"/>
      <c r="FT31" s="124"/>
      <c r="FU31" s="124"/>
      <c r="FV31" s="124"/>
      <c r="FW31" s="124"/>
      <c r="FX31" s="124"/>
      <c r="FY31" s="124"/>
      <c r="FZ31" s="124"/>
      <c r="GA31" s="124"/>
      <c r="GB31" s="124"/>
      <c r="GC31" s="124"/>
      <c r="GD31" s="124"/>
      <c r="GE31" s="124"/>
      <c r="GF31" s="124"/>
      <c r="GG31" s="124"/>
      <c r="GH31" s="124"/>
      <c r="GI31" s="124"/>
      <c r="GJ31" s="124"/>
      <c r="GK31" s="124"/>
      <c r="GL31" s="124"/>
      <c r="GM31" s="124"/>
      <c r="GN31" s="124"/>
      <c r="GO31" s="124"/>
      <c r="GP31" s="124"/>
      <c r="GQ31" s="124"/>
      <c r="GR31" s="124"/>
      <c r="GS31" s="124"/>
      <c r="GT31" s="124"/>
      <c r="GU31" s="124"/>
      <c r="GV31" s="124"/>
      <c r="GW31" s="124"/>
      <c r="GX31" s="124"/>
      <c r="GY31" s="124"/>
      <c r="GZ31" s="124"/>
      <c r="HA31" s="124"/>
      <c r="HB31" s="124"/>
      <c r="HC31" s="124"/>
      <c r="HD31" s="124"/>
      <c r="HE31" s="124"/>
      <c r="HF31" s="124"/>
      <c r="HG31" s="124"/>
      <c r="HH31" s="124"/>
      <c r="HI31" s="124"/>
      <c r="HJ31" s="124"/>
      <c r="HK31" s="124"/>
      <c r="HL31" s="124"/>
      <c r="HM31" s="124"/>
      <c r="HN31" s="124"/>
      <c r="HO31" s="124"/>
      <c r="HP31" s="124"/>
      <c r="HQ31" s="124"/>
      <c r="HR31" s="124"/>
      <c r="HS31" s="124"/>
      <c r="HT31" s="124"/>
      <c r="HU31" s="124"/>
      <c r="HV31" s="124"/>
      <c r="HW31" s="124"/>
      <c r="HX31" s="124"/>
      <c r="HY31" s="124"/>
      <c r="HZ31" s="124"/>
      <c r="IA31" s="124"/>
      <c r="IB31" s="124"/>
      <c r="IC31" s="124"/>
      <c r="ID31" s="124"/>
      <c r="IE31" s="124"/>
      <c r="IF31" s="124"/>
      <c r="IG31" s="124"/>
      <c r="IH31" s="124"/>
      <c r="II31" s="124"/>
      <c r="IJ31" s="124"/>
      <c r="IK31" s="124"/>
      <c r="IL31" s="124"/>
      <c r="IM31" s="124"/>
      <c r="IN31" s="124"/>
      <c r="IO31" s="124"/>
      <c r="IP31" s="124"/>
      <c r="IQ31" s="124"/>
      <c r="IR31" s="124"/>
      <c r="IS31" s="124"/>
      <c r="IT31" s="124"/>
      <c r="IU31" s="124"/>
      <c r="IV31" s="124"/>
      <c r="IW31" s="124"/>
      <c r="IX31" s="124"/>
      <c r="IY31" s="124"/>
    </row>
    <row r="32" spans="1:259" s="90" customFormat="1">
      <c r="A32" s="91" t="s">
        <v>68</v>
      </c>
      <c r="B32" s="92">
        <v>45999</v>
      </c>
      <c r="C32" s="93" t="s">
        <v>55</v>
      </c>
      <c r="D32" s="107">
        <v>35971</v>
      </c>
      <c r="E32" s="98">
        <v>7</v>
      </c>
      <c r="F32" s="96">
        <f t="shared" si="10"/>
        <v>5138.7142857142853</v>
      </c>
      <c r="G32" s="98">
        <v>5</v>
      </c>
      <c r="H32" s="96">
        <f t="shared" si="11"/>
        <v>7194.2</v>
      </c>
      <c r="I32" s="98">
        <v>80</v>
      </c>
      <c r="J32" s="97">
        <f t="shared" si="12"/>
        <v>1.4</v>
      </c>
      <c r="K32" s="98"/>
      <c r="L32" s="98"/>
      <c r="M32" s="98"/>
      <c r="N32" s="98"/>
      <c r="O32" s="98">
        <v>5993</v>
      </c>
      <c r="P32" s="95"/>
      <c r="Q32" s="95"/>
      <c r="R32" s="99">
        <f t="shared" si="13"/>
        <v>6.25E-2</v>
      </c>
      <c r="S32" s="100">
        <f t="shared" si="14"/>
        <v>0.22891377659367002</v>
      </c>
      <c r="T32" s="101">
        <f t="shared" si="15"/>
        <v>157137.76835655369</v>
      </c>
      <c r="U32" s="102">
        <f t="shared" si="16"/>
        <v>19.186540702875913</v>
      </c>
      <c r="V32" s="102">
        <f t="shared" si="17"/>
        <v>11.420559942188044</v>
      </c>
      <c r="W32" s="101">
        <f t="shared" si="18"/>
        <v>35971</v>
      </c>
      <c r="X32" s="102">
        <f t="shared" si="19"/>
        <v>7</v>
      </c>
      <c r="Y32" s="102">
        <f t="shared" si="20"/>
        <v>5</v>
      </c>
      <c r="Z32" s="103">
        <v>0.85310233682514103</v>
      </c>
      <c r="AA32" s="103">
        <v>0.85310233682514103</v>
      </c>
      <c r="AB32" s="105"/>
      <c r="AC32" s="105"/>
      <c r="AD32" s="104"/>
      <c r="AE32" s="104"/>
      <c r="AF32" s="104"/>
      <c r="AG32" s="104"/>
      <c r="AH32" s="104"/>
      <c r="AI32" s="104"/>
      <c r="AJ32" s="104"/>
      <c r="AK32" s="104"/>
      <c r="AL32" s="104"/>
      <c r="AM32" s="104"/>
      <c r="AN32" s="104"/>
      <c r="AO32" s="104"/>
      <c r="AP32" s="104"/>
      <c r="AQ32" s="104"/>
      <c r="AR32" s="104"/>
      <c r="AS32" s="104"/>
      <c r="AT32" s="104"/>
      <c r="AU32" s="104"/>
      <c r="AV32" s="104"/>
      <c r="AW32" s="104"/>
      <c r="AX32" s="104"/>
      <c r="AY32" s="104"/>
      <c r="AZ32" s="104"/>
      <c r="BA32" s="104"/>
      <c r="BB32" s="104"/>
      <c r="BC32" s="104"/>
      <c r="BD32" s="104"/>
      <c r="BE32" s="104"/>
      <c r="BF32" s="104"/>
      <c r="BG32" s="104"/>
      <c r="BH32" s="104"/>
      <c r="BI32" s="104"/>
      <c r="BJ32" s="104"/>
      <c r="BK32" s="104"/>
      <c r="BL32" s="104"/>
      <c r="BM32" s="104"/>
      <c r="BN32" s="104"/>
      <c r="BO32" s="104"/>
      <c r="BP32" s="104"/>
      <c r="BQ32" s="104"/>
      <c r="BR32" s="104"/>
      <c r="BS32" s="104"/>
      <c r="BT32" s="104"/>
      <c r="BU32" s="104"/>
      <c r="BV32" s="104"/>
      <c r="BW32" s="104"/>
      <c r="BX32" s="104"/>
      <c r="BY32" s="104"/>
      <c r="BZ32" s="104"/>
      <c r="CA32" s="104"/>
      <c r="CB32" s="104"/>
      <c r="CC32" s="104"/>
      <c r="CD32" s="104"/>
      <c r="CE32" s="104"/>
      <c r="CF32" s="104"/>
      <c r="CG32" s="104"/>
      <c r="CH32" s="104"/>
      <c r="CI32" s="104"/>
      <c r="CJ32" s="104"/>
      <c r="CK32" s="104"/>
      <c r="CL32" s="104"/>
      <c r="CM32" s="104"/>
      <c r="CN32" s="104"/>
      <c r="CO32" s="104"/>
      <c r="CP32" s="104"/>
      <c r="CQ32" s="104"/>
      <c r="CR32" s="104"/>
      <c r="CS32" s="104"/>
      <c r="CT32" s="104"/>
      <c r="CU32" s="104"/>
      <c r="CV32" s="104"/>
      <c r="CW32" s="104"/>
      <c r="CX32" s="104"/>
      <c r="CY32" s="104"/>
      <c r="CZ32" s="104"/>
      <c r="DA32" s="104"/>
      <c r="DB32" s="104"/>
      <c r="DC32" s="104"/>
      <c r="DD32" s="104"/>
      <c r="DE32" s="104"/>
      <c r="DF32" s="104"/>
      <c r="DG32" s="104"/>
      <c r="DH32" s="104"/>
      <c r="DI32" s="104"/>
      <c r="DJ32" s="104"/>
      <c r="DK32" s="104"/>
      <c r="DL32" s="104"/>
      <c r="DM32" s="104"/>
      <c r="DN32" s="104"/>
      <c r="DO32" s="104"/>
      <c r="DP32" s="104"/>
      <c r="DQ32" s="104"/>
      <c r="DR32" s="104"/>
      <c r="DS32" s="104"/>
      <c r="DT32" s="104"/>
      <c r="DU32" s="104"/>
      <c r="DV32" s="104"/>
      <c r="DW32" s="104"/>
      <c r="DX32" s="104"/>
      <c r="DY32" s="104"/>
      <c r="DZ32" s="104"/>
      <c r="EA32" s="104"/>
      <c r="EB32" s="104"/>
      <c r="EC32" s="104"/>
      <c r="ED32" s="104"/>
      <c r="EE32" s="104"/>
      <c r="EF32" s="104"/>
      <c r="EG32" s="104"/>
      <c r="EH32" s="104"/>
      <c r="EI32" s="104"/>
      <c r="EJ32" s="104"/>
      <c r="EK32" s="104"/>
      <c r="EL32" s="104"/>
      <c r="EM32" s="104"/>
      <c r="EN32" s="104"/>
      <c r="EO32" s="104"/>
      <c r="EP32" s="104"/>
      <c r="EQ32" s="104"/>
      <c r="ER32" s="104"/>
      <c r="ES32" s="104"/>
      <c r="ET32" s="104"/>
      <c r="EU32" s="104"/>
      <c r="EV32" s="104"/>
      <c r="EW32" s="104"/>
      <c r="EX32" s="104"/>
      <c r="EY32" s="104"/>
      <c r="EZ32" s="104"/>
      <c r="FA32" s="104"/>
      <c r="FB32" s="104"/>
      <c r="FC32" s="104"/>
      <c r="FD32" s="104"/>
      <c r="FE32" s="104"/>
      <c r="FF32" s="104"/>
      <c r="FG32" s="104"/>
      <c r="FH32" s="104"/>
      <c r="FI32" s="104"/>
      <c r="FJ32" s="104"/>
      <c r="FK32" s="104"/>
      <c r="FL32" s="104"/>
      <c r="FM32" s="104"/>
      <c r="FN32" s="104"/>
      <c r="FO32" s="104"/>
      <c r="FP32" s="104"/>
      <c r="FQ32" s="104"/>
      <c r="FR32" s="104"/>
      <c r="FS32" s="104"/>
      <c r="FT32" s="104"/>
      <c r="FU32" s="104"/>
      <c r="FV32" s="104"/>
      <c r="FW32" s="104"/>
      <c r="FX32" s="104"/>
      <c r="FY32" s="104"/>
      <c r="FZ32" s="104"/>
      <c r="GA32" s="104"/>
      <c r="GB32" s="104"/>
      <c r="GC32" s="104"/>
      <c r="GD32" s="104"/>
      <c r="GE32" s="104"/>
      <c r="GF32" s="104"/>
      <c r="GG32" s="104"/>
      <c r="GH32" s="104"/>
      <c r="GI32" s="104"/>
      <c r="GJ32" s="104"/>
      <c r="GK32" s="104"/>
      <c r="GL32" s="104"/>
      <c r="GM32" s="104"/>
      <c r="GN32" s="104"/>
      <c r="GO32" s="104"/>
      <c r="GP32" s="104"/>
      <c r="GQ32" s="104"/>
      <c r="GR32" s="104"/>
      <c r="GS32" s="104"/>
      <c r="GT32" s="104"/>
      <c r="GU32" s="104"/>
      <c r="GV32" s="104"/>
      <c r="GW32" s="104"/>
      <c r="GX32" s="104"/>
      <c r="GY32" s="104"/>
      <c r="GZ32" s="104"/>
      <c r="HA32" s="104"/>
      <c r="HB32" s="104"/>
      <c r="HC32" s="104"/>
      <c r="HD32" s="104"/>
      <c r="HE32" s="104"/>
      <c r="HF32" s="104"/>
      <c r="HG32" s="104"/>
      <c r="HH32" s="104"/>
      <c r="HI32" s="104"/>
      <c r="HJ32" s="104"/>
      <c r="HK32" s="104"/>
      <c r="HL32" s="104"/>
      <c r="HM32" s="104"/>
      <c r="HN32" s="104"/>
      <c r="HO32" s="104"/>
      <c r="HP32" s="104"/>
      <c r="HQ32" s="104"/>
      <c r="HR32" s="104"/>
      <c r="HS32" s="104"/>
      <c r="HT32" s="104"/>
      <c r="HU32" s="104"/>
      <c r="HV32" s="104"/>
      <c r="HW32" s="104"/>
      <c r="HX32" s="104"/>
      <c r="HY32" s="104"/>
      <c r="HZ32" s="104"/>
      <c r="IA32" s="104"/>
      <c r="IB32" s="104"/>
      <c r="IC32" s="104"/>
      <c r="ID32" s="104"/>
      <c r="IE32" s="104"/>
      <c r="IF32" s="104"/>
      <c r="IG32" s="104"/>
      <c r="IH32" s="104"/>
      <c r="II32" s="104"/>
      <c r="IJ32" s="104"/>
      <c r="IK32" s="104"/>
      <c r="IL32" s="104"/>
      <c r="IM32" s="104"/>
      <c r="IN32" s="104"/>
      <c r="IO32" s="104"/>
      <c r="IP32" s="104"/>
      <c r="IQ32" s="104"/>
      <c r="IR32" s="104"/>
      <c r="IS32" s="104"/>
      <c r="IT32" s="104"/>
      <c r="IU32" s="104"/>
      <c r="IV32" s="104"/>
      <c r="IW32" s="104"/>
      <c r="IX32" s="104"/>
      <c r="IY32" s="104"/>
    </row>
    <row r="33" spans="1:259" s="90" customFormat="1">
      <c r="A33" s="91" t="s">
        <v>69</v>
      </c>
      <c r="B33" s="92">
        <v>46000</v>
      </c>
      <c r="C33" s="93" t="s">
        <v>57</v>
      </c>
      <c r="D33" s="107">
        <v>95353</v>
      </c>
      <c r="E33" s="108">
        <v>10</v>
      </c>
      <c r="F33" s="96">
        <f t="shared" si="10"/>
        <v>9535.2999999999993</v>
      </c>
      <c r="G33" s="108">
        <v>4</v>
      </c>
      <c r="H33" s="96">
        <f t="shared" si="11"/>
        <v>23838.25</v>
      </c>
      <c r="I33" s="108">
        <v>68</v>
      </c>
      <c r="J33" s="97">
        <f t="shared" si="12"/>
        <v>2.5</v>
      </c>
      <c r="K33" s="98">
        <v>13990</v>
      </c>
      <c r="L33" s="98"/>
      <c r="M33" s="98">
        <v>9782</v>
      </c>
      <c r="N33" s="98">
        <v>33744</v>
      </c>
      <c r="O33" s="98">
        <v>33446</v>
      </c>
      <c r="P33" s="95"/>
      <c r="Q33" s="95"/>
      <c r="R33" s="99">
        <f t="shared" si="13"/>
        <v>5.8823529411764705E-2</v>
      </c>
      <c r="S33" s="100">
        <f t="shared" si="14"/>
        <v>0.60681146867021263</v>
      </c>
      <c r="T33" s="101">
        <f t="shared" si="15"/>
        <v>157137.76835655369</v>
      </c>
      <c r="U33" s="102">
        <f t="shared" si="16"/>
        <v>19.186540702875913</v>
      </c>
      <c r="V33" s="102">
        <f t="shared" si="17"/>
        <v>11.420559942188044</v>
      </c>
      <c r="W33" s="101">
        <f t="shared" si="18"/>
        <v>95353</v>
      </c>
      <c r="X33" s="102">
        <f t="shared" si="19"/>
        <v>10</v>
      </c>
      <c r="Y33" s="102">
        <f t="shared" si="20"/>
        <v>4</v>
      </c>
      <c r="Z33" s="103">
        <v>0.85310233682514103</v>
      </c>
      <c r="AA33" s="103">
        <v>0.85310233682514103</v>
      </c>
      <c r="AB33" s="105"/>
      <c r="AC33" s="105"/>
      <c r="AD33" s="104"/>
      <c r="AE33" s="104"/>
      <c r="AF33" s="104"/>
      <c r="AG33" s="104"/>
      <c r="AH33" s="104"/>
      <c r="AI33" s="104"/>
      <c r="AJ33" s="104"/>
      <c r="AK33" s="104"/>
      <c r="AL33" s="104"/>
      <c r="AM33" s="104"/>
      <c r="AN33" s="104"/>
      <c r="AO33" s="104"/>
      <c r="AP33" s="104"/>
      <c r="AQ33" s="104"/>
      <c r="AR33" s="104"/>
      <c r="AS33" s="104"/>
      <c r="AT33" s="104"/>
      <c r="AU33" s="104"/>
      <c r="AV33" s="104"/>
      <c r="AW33" s="104"/>
      <c r="AX33" s="104"/>
      <c r="AY33" s="104"/>
      <c r="AZ33" s="104"/>
      <c r="BA33" s="104"/>
      <c r="BB33" s="104"/>
      <c r="BC33" s="104"/>
      <c r="BD33" s="104"/>
      <c r="BE33" s="104"/>
      <c r="BF33" s="104"/>
      <c r="BG33" s="104"/>
      <c r="BH33" s="104"/>
      <c r="BI33" s="104"/>
      <c r="BJ33" s="104"/>
      <c r="BK33" s="104"/>
      <c r="BL33" s="104"/>
      <c r="BM33" s="104"/>
      <c r="BN33" s="104"/>
      <c r="BO33" s="104"/>
      <c r="BP33" s="104"/>
      <c r="BQ33" s="104"/>
      <c r="BR33" s="104"/>
      <c r="BS33" s="104"/>
      <c r="BT33" s="104"/>
      <c r="BU33" s="104"/>
      <c r="BV33" s="104"/>
      <c r="BW33" s="104"/>
      <c r="BX33" s="104"/>
      <c r="BY33" s="104"/>
      <c r="BZ33" s="104"/>
      <c r="CA33" s="104"/>
      <c r="CB33" s="104"/>
      <c r="CC33" s="104"/>
      <c r="CD33" s="104"/>
      <c r="CE33" s="104"/>
      <c r="CF33" s="104"/>
      <c r="CG33" s="104"/>
      <c r="CH33" s="104"/>
      <c r="CI33" s="104"/>
      <c r="CJ33" s="104"/>
      <c r="CK33" s="104"/>
      <c r="CL33" s="104"/>
      <c r="CM33" s="104"/>
      <c r="CN33" s="104"/>
      <c r="CO33" s="104"/>
      <c r="CP33" s="104"/>
      <c r="CQ33" s="104"/>
      <c r="CR33" s="104"/>
      <c r="CS33" s="104"/>
      <c r="CT33" s="104"/>
      <c r="CU33" s="104"/>
      <c r="CV33" s="104"/>
      <c r="CW33" s="104"/>
      <c r="CX33" s="104"/>
      <c r="CY33" s="104"/>
      <c r="CZ33" s="104"/>
      <c r="DA33" s="104"/>
      <c r="DB33" s="104"/>
      <c r="DC33" s="104"/>
      <c r="DD33" s="104"/>
      <c r="DE33" s="104"/>
      <c r="DF33" s="104"/>
      <c r="DG33" s="104"/>
      <c r="DH33" s="104"/>
      <c r="DI33" s="104"/>
      <c r="DJ33" s="104"/>
      <c r="DK33" s="104"/>
      <c r="DL33" s="104"/>
      <c r="DM33" s="104"/>
      <c r="DN33" s="104"/>
      <c r="DO33" s="104"/>
      <c r="DP33" s="104"/>
      <c r="DQ33" s="104"/>
      <c r="DR33" s="104"/>
      <c r="DS33" s="104"/>
      <c r="DT33" s="104"/>
      <c r="DU33" s="104"/>
      <c r="DV33" s="104"/>
      <c r="DW33" s="104"/>
      <c r="DX33" s="104"/>
      <c r="DY33" s="104"/>
      <c r="DZ33" s="104"/>
      <c r="EA33" s="104"/>
      <c r="EB33" s="104"/>
      <c r="EC33" s="104"/>
      <c r="ED33" s="104"/>
      <c r="EE33" s="104"/>
      <c r="EF33" s="104"/>
      <c r="EG33" s="104"/>
      <c r="EH33" s="104"/>
      <c r="EI33" s="104"/>
      <c r="EJ33" s="104"/>
      <c r="EK33" s="104"/>
      <c r="EL33" s="104"/>
      <c r="EM33" s="104"/>
      <c r="EN33" s="104"/>
      <c r="EO33" s="104"/>
      <c r="EP33" s="104"/>
      <c r="EQ33" s="104"/>
      <c r="ER33" s="104"/>
      <c r="ES33" s="104"/>
      <c r="ET33" s="104"/>
      <c r="EU33" s="104"/>
      <c r="EV33" s="104"/>
      <c r="EW33" s="104"/>
      <c r="EX33" s="104"/>
      <c r="EY33" s="104"/>
      <c r="EZ33" s="104"/>
      <c r="FA33" s="104"/>
      <c r="FB33" s="104"/>
      <c r="FC33" s="104"/>
      <c r="FD33" s="104"/>
      <c r="FE33" s="104"/>
      <c r="FF33" s="104"/>
      <c r="FG33" s="104"/>
      <c r="FH33" s="104"/>
      <c r="FI33" s="104"/>
      <c r="FJ33" s="104"/>
      <c r="FK33" s="104"/>
      <c r="FL33" s="104"/>
      <c r="FM33" s="104"/>
      <c r="FN33" s="104"/>
      <c r="FO33" s="104"/>
      <c r="FP33" s="104"/>
      <c r="FQ33" s="104"/>
      <c r="FR33" s="104"/>
      <c r="FS33" s="104"/>
      <c r="FT33" s="104"/>
      <c r="FU33" s="104"/>
      <c r="FV33" s="104"/>
      <c r="FW33" s="104"/>
      <c r="FX33" s="104"/>
      <c r="FY33" s="104"/>
      <c r="FZ33" s="104"/>
      <c r="GA33" s="104"/>
      <c r="GB33" s="104"/>
      <c r="GC33" s="104"/>
      <c r="GD33" s="104"/>
      <c r="GE33" s="104"/>
      <c r="GF33" s="104"/>
      <c r="GG33" s="104"/>
      <c r="GH33" s="104"/>
      <c r="GI33" s="104"/>
      <c r="GJ33" s="104"/>
      <c r="GK33" s="104"/>
      <c r="GL33" s="104"/>
      <c r="GM33" s="104"/>
      <c r="GN33" s="104"/>
      <c r="GO33" s="104"/>
      <c r="GP33" s="104"/>
      <c r="GQ33" s="104"/>
      <c r="GR33" s="104"/>
      <c r="GS33" s="104"/>
      <c r="GT33" s="104"/>
      <c r="GU33" s="104"/>
      <c r="GV33" s="104"/>
      <c r="GW33" s="104"/>
      <c r="GX33" s="104"/>
      <c r="GY33" s="104"/>
      <c r="GZ33" s="104"/>
      <c r="HA33" s="104"/>
      <c r="HB33" s="104"/>
      <c r="HC33" s="104"/>
      <c r="HD33" s="104"/>
      <c r="HE33" s="104"/>
      <c r="HF33" s="104"/>
      <c r="HG33" s="104"/>
      <c r="HH33" s="104"/>
      <c r="HI33" s="104"/>
      <c r="HJ33" s="104"/>
      <c r="HK33" s="104"/>
      <c r="HL33" s="104"/>
      <c r="HM33" s="104"/>
      <c r="HN33" s="104"/>
      <c r="HO33" s="104"/>
      <c r="HP33" s="104"/>
      <c r="HQ33" s="104"/>
      <c r="HR33" s="104"/>
      <c r="HS33" s="104"/>
      <c r="HT33" s="104"/>
      <c r="HU33" s="104"/>
      <c r="HV33" s="104"/>
      <c r="HW33" s="104"/>
      <c r="HX33" s="104"/>
      <c r="HY33" s="104"/>
      <c r="HZ33" s="104"/>
      <c r="IA33" s="104"/>
      <c r="IB33" s="104"/>
      <c r="IC33" s="104"/>
      <c r="ID33" s="104"/>
      <c r="IE33" s="104"/>
      <c r="IF33" s="104"/>
      <c r="IG33" s="104"/>
      <c r="IH33" s="104"/>
      <c r="II33" s="104"/>
      <c r="IJ33" s="104"/>
      <c r="IK33" s="104"/>
      <c r="IL33" s="104"/>
      <c r="IM33" s="104"/>
      <c r="IN33" s="104"/>
      <c r="IO33" s="104"/>
      <c r="IP33" s="104"/>
      <c r="IQ33" s="104"/>
      <c r="IR33" s="104"/>
      <c r="IS33" s="104"/>
      <c r="IT33" s="104"/>
      <c r="IU33" s="104"/>
      <c r="IV33" s="104"/>
      <c r="IW33" s="104"/>
      <c r="IX33" s="104"/>
      <c r="IY33" s="104"/>
    </row>
    <row r="34" spans="1:259" s="90" customFormat="1">
      <c r="A34" s="91" t="s">
        <v>70</v>
      </c>
      <c r="B34" s="92">
        <v>46001</v>
      </c>
      <c r="C34" s="93" t="s">
        <v>59</v>
      </c>
      <c r="D34" s="107">
        <v>31725</v>
      </c>
      <c r="E34" s="98">
        <v>5</v>
      </c>
      <c r="F34" s="96">
        <f t="shared" si="10"/>
        <v>6345</v>
      </c>
      <c r="G34" s="98">
        <v>4</v>
      </c>
      <c r="H34" s="96">
        <f t="shared" si="11"/>
        <v>7931.25</v>
      </c>
      <c r="I34" s="98">
        <v>81</v>
      </c>
      <c r="J34" s="97">
        <f t="shared" si="12"/>
        <v>1.25</v>
      </c>
      <c r="K34" s="98"/>
      <c r="L34" s="98"/>
      <c r="M34" s="98"/>
      <c r="N34" s="98"/>
      <c r="O34" s="98"/>
      <c r="P34" s="95">
        <v>15084</v>
      </c>
      <c r="Q34" s="95"/>
      <c r="R34" s="99">
        <f t="shared" si="13"/>
        <v>4.9382716049382713E-2</v>
      </c>
      <c r="S34" s="100">
        <f t="shared" si="14"/>
        <v>0.37675472342070671</v>
      </c>
      <c r="T34" s="101">
        <f t="shared" si="15"/>
        <v>84205.978128040559</v>
      </c>
      <c r="U34" s="102">
        <f t="shared" si="16"/>
        <v>10.281560210993963</v>
      </c>
      <c r="V34" s="102">
        <f t="shared" si="17"/>
        <v>6.1199763160678353</v>
      </c>
      <c r="W34" s="101">
        <f t="shared" si="18"/>
        <v>31725</v>
      </c>
      <c r="X34" s="102">
        <f t="shared" si="19"/>
        <v>5</v>
      </c>
      <c r="Y34" s="102">
        <f t="shared" si="20"/>
        <v>4</v>
      </c>
      <c r="Z34" s="103">
        <v>0.65</v>
      </c>
      <c r="AA34" s="103">
        <v>0.6</v>
      </c>
      <c r="AB34" s="105"/>
      <c r="AC34" s="105"/>
      <c r="AD34" s="104"/>
      <c r="AE34" s="104"/>
      <c r="AF34" s="104"/>
      <c r="AG34" s="104"/>
      <c r="AH34" s="104"/>
      <c r="AI34" s="104"/>
      <c r="AJ34" s="104"/>
      <c r="AK34" s="104"/>
      <c r="AL34" s="104"/>
      <c r="AM34" s="104"/>
      <c r="AN34" s="104"/>
    </row>
    <row r="35" spans="1:259" s="90" customFormat="1">
      <c r="A35" s="91" t="s">
        <v>70</v>
      </c>
      <c r="B35" s="92">
        <v>46002</v>
      </c>
      <c r="C35" s="93" t="s">
        <v>61</v>
      </c>
      <c r="D35" s="107">
        <v>17930</v>
      </c>
      <c r="E35" s="98">
        <v>3</v>
      </c>
      <c r="F35" s="96">
        <f t="shared" si="10"/>
        <v>5976.666666666667</v>
      </c>
      <c r="G35" s="98">
        <v>2</v>
      </c>
      <c r="H35" s="96">
        <f t="shared" si="11"/>
        <v>8965</v>
      </c>
      <c r="I35" s="98">
        <v>84</v>
      </c>
      <c r="J35" s="97">
        <f t="shared" si="12"/>
        <v>1.5</v>
      </c>
      <c r="K35" s="98"/>
      <c r="L35" s="98"/>
      <c r="M35" s="98">
        <v>14437</v>
      </c>
      <c r="N35" s="98"/>
      <c r="O35" s="98"/>
      <c r="P35" s="95"/>
      <c r="Q35" s="95"/>
      <c r="R35" s="99">
        <f t="shared" si="13"/>
        <v>2.3809523809523808E-2</v>
      </c>
      <c r="S35" s="100">
        <f t="shared" si="14"/>
        <v>0.15817675736959591</v>
      </c>
      <c r="T35" s="101">
        <f t="shared" si="15"/>
        <v>113354.20132620845</v>
      </c>
      <c r="U35" s="102">
        <f t="shared" si="16"/>
        <v>13.840561822491875</v>
      </c>
      <c r="V35" s="102">
        <f t="shared" si="17"/>
        <v>8.2384296562451631</v>
      </c>
      <c r="W35" s="101">
        <f t="shared" si="18"/>
        <v>17930</v>
      </c>
      <c r="X35" s="102">
        <f t="shared" si="19"/>
        <v>3</v>
      </c>
      <c r="Y35" s="102">
        <f t="shared" si="20"/>
        <v>2</v>
      </c>
      <c r="Z35" s="103">
        <v>0.75</v>
      </c>
      <c r="AA35" s="103">
        <v>0.7</v>
      </c>
      <c r="AB35" s="105"/>
      <c r="AC35" s="105"/>
      <c r="AD35" s="104"/>
      <c r="AE35" s="104"/>
      <c r="AF35" s="104"/>
      <c r="AG35" s="104"/>
      <c r="AH35" s="104"/>
      <c r="AI35" s="104"/>
      <c r="AJ35" s="104"/>
      <c r="AK35" s="104"/>
      <c r="AL35" s="104"/>
      <c r="AM35" s="104"/>
      <c r="AN35" s="104"/>
    </row>
    <row r="36" spans="1:259" s="125" customFormat="1">
      <c r="A36" s="111" t="s">
        <v>69</v>
      </c>
      <c r="B36" s="112">
        <v>46003</v>
      </c>
      <c r="C36" s="113" t="s">
        <v>63</v>
      </c>
      <c r="D36" s="114">
        <v>31850</v>
      </c>
      <c r="E36" s="126">
        <v>5</v>
      </c>
      <c r="F36" s="116">
        <f t="shared" si="10"/>
        <v>6370</v>
      </c>
      <c r="G36" s="115">
        <v>5</v>
      </c>
      <c r="H36" s="116">
        <f t="shared" si="11"/>
        <v>6370</v>
      </c>
      <c r="I36" s="115">
        <v>92</v>
      </c>
      <c r="J36" s="117">
        <f t="shared" si="12"/>
        <v>1</v>
      </c>
      <c r="K36" s="115"/>
      <c r="L36" s="115"/>
      <c r="M36" s="115"/>
      <c r="N36" s="115">
        <v>4390</v>
      </c>
      <c r="O36" s="115"/>
      <c r="P36" s="118"/>
      <c r="Q36" s="118"/>
      <c r="R36" s="99">
        <f t="shared" si="13"/>
        <v>5.434782608695652E-2</v>
      </c>
      <c r="S36" s="119">
        <f t="shared" si="14"/>
        <v>0.20417062927658741</v>
      </c>
      <c r="T36" s="120">
        <f t="shared" si="15"/>
        <v>155996.97230130588</v>
      </c>
      <c r="U36" s="121">
        <f t="shared" si="16"/>
        <v>19.047249365238816</v>
      </c>
      <c r="V36" s="121">
        <f t="shared" si="17"/>
        <v>11.337648431689772</v>
      </c>
      <c r="W36" s="120">
        <f t="shared" si="18"/>
        <v>31850</v>
      </c>
      <c r="X36" s="121">
        <f>IF(AA36&lt;&gt;"",IF(E35&lt;&gt;"",E35,($I$9-SUM($X$25:X35))*Z36*AA36/SUMPRODUCT($AA36:$AA$55,$Z36:$Z$55)),"")</f>
        <v>3</v>
      </c>
      <c r="Y36" s="121">
        <f t="shared" si="20"/>
        <v>5</v>
      </c>
      <c r="Z36" s="122">
        <v>0.85</v>
      </c>
      <c r="AA36" s="122">
        <v>0.85</v>
      </c>
      <c r="AB36" s="123"/>
      <c r="AC36" s="123"/>
      <c r="AD36" s="124"/>
      <c r="AE36" s="124"/>
      <c r="AF36" s="124"/>
      <c r="AG36" s="124"/>
      <c r="AH36" s="124"/>
      <c r="AI36" s="124"/>
      <c r="AJ36" s="124"/>
      <c r="AK36" s="124"/>
      <c r="AL36" s="124"/>
      <c r="AM36" s="124"/>
      <c r="AN36" s="124"/>
      <c r="AO36" s="124"/>
      <c r="AP36" s="124"/>
      <c r="AQ36" s="124"/>
      <c r="AR36" s="124"/>
      <c r="AS36" s="124"/>
      <c r="AT36" s="124"/>
      <c r="AU36" s="124"/>
      <c r="AV36" s="124"/>
      <c r="AW36" s="124"/>
      <c r="AX36" s="124"/>
      <c r="AY36" s="124"/>
      <c r="AZ36" s="124"/>
      <c r="BA36" s="124"/>
      <c r="BB36" s="124"/>
      <c r="BC36" s="124"/>
      <c r="BD36" s="124"/>
      <c r="BE36" s="124"/>
      <c r="BF36" s="124"/>
      <c r="BG36" s="124"/>
      <c r="BH36" s="124"/>
      <c r="BI36" s="124"/>
      <c r="BJ36" s="124"/>
      <c r="BK36" s="124"/>
      <c r="BL36" s="124"/>
      <c r="BM36" s="124"/>
      <c r="BN36" s="124"/>
      <c r="BO36" s="124"/>
      <c r="BP36" s="124"/>
      <c r="BQ36" s="124"/>
      <c r="BR36" s="124"/>
      <c r="BS36" s="124"/>
      <c r="BT36" s="124"/>
      <c r="BU36" s="124"/>
      <c r="BV36" s="124"/>
      <c r="BW36" s="124"/>
      <c r="BX36" s="124"/>
      <c r="BY36" s="124"/>
      <c r="BZ36" s="124"/>
      <c r="CA36" s="124"/>
      <c r="CB36" s="124"/>
      <c r="CC36" s="124"/>
      <c r="CD36" s="124"/>
      <c r="CE36" s="124"/>
      <c r="CF36" s="124"/>
      <c r="CG36" s="124"/>
      <c r="CH36" s="124"/>
      <c r="CI36" s="124"/>
      <c r="CJ36" s="124"/>
      <c r="CK36" s="124"/>
      <c r="CL36" s="124"/>
      <c r="CM36" s="124"/>
      <c r="CN36" s="124"/>
      <c r="CO36" s="124"/>
      <c r="CP36" s="124"/>
      <c r="CQ36" s="124"/>
      <c r="CR36" s="124"/>
      <c r="CS36" s="124"/>
      <c r="CT36" s="124"/>
      <c r="CU36" s="124"/>
      <c r="CV36" s="124"/>
      <c r="CW36" s="124"/>
      <c r="CX36" s="124"/>
      <c r="CY36" s="124"/>
      <c r="CZ36" s="124"/>
      <c r="DA36" s="124"/>
      <c r="DB36" s="124"/>
      <c r="DC36" s="124"/>
      <c r="DD36" s="124"/>
      <c r="DE36" s="124"/>
      <c r="DF36" s="124"/>
      <c r="DG36" s="124"/>
      <c r="DH36" s="124"/>
      <c r="DI36" s="124"/>
      <c r="DJ36" s="124"/>
      <c r="DK36" s="124"/>
      <c r="DL36" s="124"/>
      <c r="DM36" s="124"/>
      <c r="DN36" s="124"/>
      <c r="DO36" s="124"/>
      <c r="DP36" s="124"/>
      <c r="DQ36" s="124"/>
      <c r="DR36" s="124"/>
      <c r="DS36" s="124"/>
      <c r="DT36" s="124"/>
      <c r="DU36" s="124"/>
      <c r="DV36" s="124"/>
      <c r="DW36" s="124"/>
      <c r="DX36" s="124"/>
      <c r="DY36" s="124"/>
      <c r="DZ36" s="124"/>
      <c r="EA36" s="124"/>
      <c r="EB36" s="124"/>
      <c r="EC36" s="124"/>
      <c r="ED36" s="124"/>
      <c r="EE36" s="124"/>
      <c r="EF36" s="124"/>
      <c r="EG36" s="124"/>
      <c r="EH36" s="124"/>
      <c r="EI36" s="124"/>
      <c r="EJ36" s="124"/>
      <c r="EK36" s="124"/>
      <c r="EL36" s="124"/>
      <c r="EM36" s="124"/>
      <c r="EN36" s="124"/>
      <c r="EO36" s="124"/>
      <c r="EP36" s="124"/>
      <c r="EQ36" s="124"/>
      <c r="ER36" s="124"/>
      <c r="ES36" s="124"/>
      <c r="ET36" s="124"/>
      <c r="EU36" s="124"/>
      <c r="EV36" s="124"/>
      <c r="EW36" s="124"/>
      <c r="EX36" s="124"/>
      <c r="EY36" s="124"/>
      <c r="EZ36" s="124"/>
      <c r="FA36" s="124"/>
      <c r="FB36" s="124"/>
      <c r="FC36" s="124"/>
      <c r="FD36" s="124"/>
      <c r="FE36" s="124"/>
      <c r="FF36" s="124"/>
      <c r="FG36" s="124"/>
      <c r="FH36" s="124"/>
      <c r="FI36" s="124"/>
      <c r="FJ36" s="124"/>
      <c r="FK36" s="124"/>
      <c r="FL36" s="124"/>
      <c r="FM36" s="124"/>
      <c r="FN36" s="124"/>
      <c r="FO36" s="124"/>
      <c r="FP36" s="124"/>
      <c r="FQ36" s="124"/>
      <c r="FR36" s="124"/>
      <c r="FS36" s="124"/>
      <c r="FT36" s="124"/>
      <c r="FU36" s="124"/>
      <c r="FV36" s="124"/>
      <c r="FW36" s="124"/>
      <c r="FX36" s="124"/>
      <c r="FY36" s="124"/>
      <c r="FZ36" s="124"/>
      <c r="GA36" s="124"/>
      <c r="GB36" s="124"/>
      <c r="GC36" s="124"/>
      <c r="GD36" s="124"/>
      <c r="GE36" s="124"/>
      <c r="GF36" s="124"/>
      <c r="GG36" s="124"/>
      <c r="GH36" s="124"/>
      <c r="GI36" s="124"/>
      <c r="GJ36" s="124"/>
      <c r="GK36" s="124"/>
      <c r="GL36" s="124"/>
      <c r="GM36" s="124"/>
      <c r="GN36" s="124"/>
      <c r="GO36" s="124"/>
      <c r="GP36" s="124"/>
      <c r="GQ36" s="124"/>
      <c r="GR36" s="124"/>
      <c r="GS36" s="124"/>
      <c r="GT36" s="124"/>
      <c r="GU36" s="124"/>
      <c r="GV36" s="124"/>
      <c r="GW36" s="124"/>
      <c r="GX36" s="124"/>
      <c r="GY36" s="124"/>
      <c r="GZ36" s="124"/>
      <c r="HA36" s="124"/>
      <c r="HB36" s="124"/>
      <c r="HC36" s="124"/>
      <c r="HD36" s="124"/>
      <c r="HE36" s="124"/>
      <c r="HF36" s="124"/>
      <c r="HG36" s="124"/>
      <c r="HH36" s="124"/>
      <c r="HI36" s="124"/>
      <c r="HJ36" s="124"/>
      <c r="HK36" s="124"/>
      <c r="HL36" s="124"/>
      <c r="HM36" s="124"/>
      <c r="HN36" s="124"/>
      <c r="HO36" s="124"/>
      <c r="HP36" s="124"/>
      <c r="HQ36" s="124"/>
      <c r="HR36" s="124"/>
      <c r="HS36" s="124"/>
      <c r="HT36" s="124"/>
      <c r="HU36" s="124"/>
      <c r="HV36" s="124"/>
      <c r="HW36" s="124"/>
      <c r="HX36" s="124"/>
      <c r="HY36" s="124"/>
      <c r="HZ36" s="124"/>
      <c r="IA36" s="124"/>
      <c r="IB36" s="124"/>
      <c r="IC36" s="124"/>
      <c r="ID36" s="124"/>
      <c r="IE36" s="124"/>
      <c r="IF36" s="124"/>
      <c r="IG36" s="124"/>
      <c r="IH36" s="124"/>
      <c r="II36" s="124"/>
      <c r="IJ36" s="124"/>
      <c r="IK36" s="124"/>
      <c r="IL36" s="124"/>
      <c r="IM36" s="124"/>
      <c r="IN36" s="124"/>
      <c r="IO36" s="124"/>
      <c r="IP36" s="124"/>
      <c r="IQ36" s="124"/>
      <c r="IR36" s="124"/>
      <c r="IS36" s="124"/>
      <c r="IT36" s="124"/>
      <c r="IU36" s="124"/>
      <c r="IV36" s="124"/>
      <c r="IW36" s="124"/>
      <c r="IX36" s="124"/>
      <c r="IY36" s="124"/>
    </row>
    <row r="37" spans="1:259" s="125" customFormat="1" ht="14.25" customHeight="1">
      <c r="A37" s="127" t="s">
        <v>71</v>
      </c>
      <c r="B37" s="112">
        <v>46004</v>
      </c>
      <c r="C37" s="113" t="s">
        <v>65</v>
      </c>
      <c r="D37" s="114">
        <v>144713</v>
      </c>
      <c r="E37" s="115">
        <v>24</v>
      </c>
      <c r="F37" s="116">
        <f t="shared" si="10"/>
        <v>6029.708333333333</v>
      </c>
      <c r="G37" s="115">
        <v>12</v>
      </c>
      <c r="H37" s="116">
        <f t="shared" si="11"/>
        <v>12059.416666666666</v>
      </c>
      <c r="I37" s="115">
        <v>136</v>
      </c>
      <c r="J37" s="117">
        <f t="shared" si="12"/>
        <v>2</v>
      </c>
      <c r="K37" s="116">
        <f>15493+13357</f>
        <v>28850</v>
      </c>
      <c r="L37" s="115">
        <v>6004.01</v>
      </c>
      <c r="M37" s="115"/>
      <c r="N37" s="115">
        <v>7490</v>
      </c>
      <c r="O37" s="115">
        <v>11993</v>
      </c>
      <c r="P37" s="118">
        <v>6493</v>
      </c>
      <c r="Q37" s="118"/>
      <c r="R37" s="99">
        <f t="shared" si="13"/>
        <v>8.8235294117647065E-2</v>
      </c>
      <c r="S37" s="119">
        <f t="shared" si="14"/>
        <v>0.74264629433601126</v>
      </c>
      <c r="T37" s="120">
        <f t="shared" si="15"/>
        <v>194861.26989886307</v>
      </c>
      <c r="U37" s="121">
        <f t="shared" si="16"/>
        <v>23.792584847236029</v>
      </c>
      <c r="V37" s="121">
        <f t="shared" si="17"/>
        <v>14.162252885259541</v>
      </c>
      <c r="W37" s="120">
        <f t="shared" si="18"/>
        <v>144713</v>
      </c>
      <c r="X37" s="121">
        <f t="shared" ref="X37:X45" si="21">IF(AA37&lt;&gt;"",IF(E37&lt;&gt;"",E37,($I$9-SUM($X$25:X36))*Z37*AA37/SUMPRODUCT($AA37:$AA$55,$Z37:$Z$55)),"")</f>
        <v>24</v>
      </c>
      <c r="Y37" s="121">
        <f t="shared" si="20"/>
        <v>12</v>
      </c>
      <c r="Z37" s="122">
        <v>0.95</v>
      </c>
      <c r="AA37" s="122">
        <v>0.95</v>
      </c>
      <c r="AB37" s="123"/>
      <c r="AC37" s="123"/>
      <c r="AD37" s="124"/>
      <c r="AE37" s="124"/>
      <c r="AF37" s="124"/>
      <c r="AG37" s="124"/>
      <c r="AH37" s="124"/>
      <c r="AI37" s="124"/>
      <c r="AJ37" s="124"/>
      <c r="AK37" s="124"/>
      <c r="AL37" s="124"/>
      <c r="AM37" s="124"/>
      <c r="AN37" s="124"/>
    </row>
    <row r="38" spans="1:259" s="125" customFormat="1">
      <c r="A38" s="127" t="s">
        <v>72</v>
      </c>
      <c r="B38" s="112">
        <v>46005</v>
      </c>
      <c r="C38" s="113" t="s">
        <v>67</v>
      </c>
      <c r="D38" s="114">
        <v>31461</v>
      </c>
      <c r="E38" s="115">
        <v>6</v>
      </c>
      <c r="F38" s="116">
        <f t="shared" si="10"/>
        <v>5243.5</v>
      </c>
      <c r="G38" s="115">
        <v>4</v>
      </c>
      <c r="H38" s="116">
        <f t="shared" si="11"/>
        <v>7865.25</v>
      </c>
      <c r="I38" s="115">
        <v>118</v>
      </c>
      <c r="J38" s="117">
        <f t="shared" si="12"/>
        <v>1.5</v>
      </c>
      <c r="K38" s="115"/>
      <c r="L38" s="115"/>
      <c r="M38" s="115"/>
      <c r="N38" s="115">
        <v>8190</v>
      </c>
      <c r="O38" s="115"/>
      <c r="P38" s="118"/>
      <c r="Q38" s="118"/>
      <c r="R38" s="99">
        <f t="shared" si="13"/>
        <v>3.3898305084745763E-2</v>
      </c>
      <c r="S38" s="119">
        <f t="shared" si="14"/>
        <v>0.16145332531358794</v>
      </c>
      <c r="T38" s="120">
        <f t="shared" si="15"/>
        <v>194861.26989886307</v>
      </c>
      <c r="U38" s="121">
        <f t="shared" si="16"/>
        <v>23.792584847236029</v>
      </c>
      <c r="V38" s="121">
        <f t="shared" si="17"/>
        <v>14.162252885259541</v>
      </c>
      <c r="W38" s="120">
        <f t="shared" si="18"/>
        <v>31461</v>
      </c>
      <c r="X38" s="121">
        <f t="shared" si="21"/>
        <v>6</v>
      </c>
      <c r="Y38" s="121">
        <f t="shared" si="20"/>
        <v>4</v>
      </c>
      <c r="Z38" s="122">
        <v>0.95</v>
      </c>
      <c r="AA38" s="122">
        <v>0.95</v>
      </c>
      <c r="AB38" s="123"/>
      <c r="AC38" s="123"/>
      <c r="AD38" s="124"/>
      <c r="AE38" s="124"/>
      <c r="AF38" s="124"/>
      <c r="AG38" s="124"/>
      <c r="AH38" s="124"/>
      <c r="AI38" s="124"/>
      <c r="AJ38" s="124"/>
      <c r="AK38" s="124"/>
      <c r="AL38" s="124"/>
      <c r="AM38" s="124"/>
      <c r="AN38" s="124"/>
      <c r="AO38" s="124"/>
      <c r="AP38" s="124"/>
      <c r="AQ38" s="124"/>
      <c r="AR38" s="124"/>
      <c r="AS38" s="124"/>
      <c r="AT38" s="124"/>
      <c r="AU38" s="124"/>
      <c r="AV38" s="124"/>
      <c r="AW38" s="124"/>
      <c r="AX38" s="124"/>
      <c r="AY38" s="124"/>
      <c r="AZ38" s="124"/>
      <c r="BA38" s="124"/>
      <c r="BB38" s="124"/>
      <c r="BC38" s="124"/>
      <c r="BD38" s="124"/>
      <c r="BE38" s="124"/>
      <c r="BF38" s="124"/>
      <c r="BG38" s="124"/>
      <c r="BH38" s="124"/>
      <c r="BI38" s="124"/>
      <c r="BJ38" s="124"/>
      <c r="BK38" s="124"/>
      <c r="BL38" s="124"/>
      <c r="BM38" s="124"/>
      <c r="BN38" s="124"/>
      <c r="BO38" s="124"/>
      <c r="BP38" s="124"/>
      <c r="BQ38" s="124"/>
      <c r="BR38" s="124"/>
      <c r="BS38" s="124"/>
      <c r="BT38" s="124"/>
      <c r="BU38" s="124"/>
      <c r="BV38" s="124"/>
      <c r="BW38" s="124"/>
      <c r="BX38" s="124"/>
      <c r="BY38" s="124"/>
      <c r="BZ38" s="124"/>
      <c r="CA38" s="124"/>
      <c r="CB38" s="124"/>
      <c r="CC38" s="124"/>
      <c r="CD38" s="124"/>
      <c r="CE38" s="124"/>
      <c r="CF38" s="124"/>
      <c r="CG38" s="124"/>
      <c r="CH38" s="124"/>
      <c r="CI38" s="124"/>
      <c r="CJ38" s="124"/>
      <c r="CK38" s="124"/>
      <c r="CL38" s="124"/>
      <c r="CM38" s="124"/>
      <c r="CN38" s="124"/>
      <c r="CO38" s="124"/>
      <c r="CP38" s="124"/>
      <c r="CQ38" s="124"/>
      <c r="CR38" s="124"/>
      <c r="CS38" s="124"/>
      <c r="CT38" s="124"/>
      <c r="CU38" s="124"/>
      <c r="CV38" s="124"/>
      <c r="CW38" s="124"/>
      <c r="CX38" s="124"/>
      <c r="CY38" s="124"/>
      <c r="CZ38" s="124"/>
      <c r="DA38" s="124"/>
      <c r="DB38" s="124"/>
      <c r="DC38" s="124"/>
      <c r="DD38" s="124"/>
      <c r="DE38" s="124"/>
      <c r="DF38" s="124"/>
      <c r="DG38" s="124"/>
      <c r="DH38" s="124"/>
      <c r="DI38" s="124"/>
      <c r="DJ38" s="124"/>
      <c r="DK38" s="124"/>
      <c r="DL38" s="124"/>
      <c r="DM38" s="124"/>
      <c r="DN38" s="124"/>
      <c r="DO38" s="124"/>
      <c r="DP38" s="124"/>
      <c r="DQ38" s="124"/>
      <c r="DR38" s="124"/>
      <c r="DS38" s="124"/>
      <c r="DT38" s="124"/>
      <c r="DU38" s="124"/>
      <c r="DV38" s="124"/>
      <c r="DW38" s="124"/>
      <c r="DX38" s="124"/>
      <c r="DY38" s="124"/>
      <c r="DZ38" s="124"/>
      <c r="EA38" s="124"/>
      <c r="EB38" s="124"/>
      <c r="EC38" s="124"/>
      <c r="ED38" s="124"/>
      <c r="EE38" s="124"/>
      <c r="EF38" s="124"/>
      <c r="EG38" s="124"/>
      <c r="EH38" s="124"/>
      <c r="EI38" s="124"/>
      <c r="EJ38" s="124"/>
      <c r="EK38" s="124"/>
      <c r="EL38" s="124"/>
      <c r="EM38" s="124"/>
      <c r="EN38" s="124"/>
      <c r="EO38" s="124"/>
      <c r="EP38" s="124"/>
      <c r="EQ38" s="124"/>
      <c r="ER38" s="124"/>
      <c r="ES38" s="124"/>
      <c r="ET38" s="124"/>
      <c r="EU38" s="124"/>
      <c r="EV38" s="124"/>
      <c r="EW38" s="124"/>
      <c r="EX38" s="124"/>
      <c r="EY38" s="124"/>
      <c r="EZ38" s="124"/>
      <c r="FA38" s="124"/>
      <c r="FB38" s="124"/>
      <c r="FC38" s="124"/>
      <c r="FD38" s="124"/>
      <c r="FE38" s="124"/>
      <c r="FF38" s="124"/>
      <c r="FG38" s="124"/>
      <c r="FH38" s="124"/>
      <c r="FI38" s="124"/>
      <c r="FJ38" s="124"/>
      <c r="FK38" s="124"/>
      <c r="FL38" s="124"/>
      <c r="FM38" s="124"/>
      <c r="FN38" s="124"/>
      <c r="FO38" s="124"/>
      <c r="FP38" s="124"/>
      <c r="FQ38" s="124"/>
      <c r="FR38" s="124"/>
      <c r="FS38" s="124"/>
      <c r="FT38" s="124"/>
      <c r="FU38" s="124"/>
      <c r="FV38" s="124"/>
      <c r="FW38" s="124"/>
      <c r="FX38" s="124"/>
      <c r="FY38" s="124"/>
      <c r="FZ38" s="124"/>
      <c r="GA38" s="124"/>
      <c r="GB38" s="124"/>
      <c r="GC38" s="124"/>
      <c r="GD38" s="124"/>
      <c r="GE38" s="124"/>
      <c r="GF38" s="124"/>
      <c r="GG38" s="124"/>
      <c r="GH38" s="124"/>
      <c r="GI38" s="124"/>
      <c r="GJ38" s="124"/>
      <c r="GK38" s="124"/>
      <c r="GL38" s="124"/>
      <c r="GM38" s="124"/>
      <c r="GN38" s="124"/>
      <c r="GO38" s="124"/>
      <c r="GP38" s="124"/>
      <c r="GQ38" s="124"/>
      <c r="GR38" s="124"/>
      <c r="GS38" s="124"/>
      <c r="GT38" s="124"/>
      <c r="GU38" s="124"/>
      <c r="GV38" s="124"/>
      <c r="GW38" s="124"/>
      <c r="GX38" s="124"/>
      <c r="GY38" s="124"/>
      <c r="GZ38" s="124"/>
      <c r="HA38" s="124"/>
      <c r="HB38" s="124"/>
      <c r="HC38" s="124"/>
      <c r="HD38" s="124"/>
      <c r="HE38" s="124"/>
      <c r="HF38" s="124"/>
      <c r="HG38" s="124"/>
      <c r="HH38" s="124"/>
      <c r="HI38" s="124"/>
      <c r="HJ38" s="124"/>
      <c r="HK38" s="124"/>
      <c r="HL38" s="124"/>
      <c r="HM38" s="124"/>
      <c r="HN38" s="124"/>
      <c r="HO38" s="124"/>
      <c r="HP38" s="124"/>
      <c r="HQ38" s="124"/>
      <c r="HR38" s="124"/>
      <c r="HS38" s="124"/>
      <c r="HT38" s="124"/>
      <c r="HU38" s="124"/>
      <c r="HV38" s="124"/>
      <c r="HW38" s="124"/>
      <c r="HX38" s="124"/>
      <c r="HY38" s="124"/>
      <c r="HZ38" s="124"/>
      <c r="IA38" s="124"/>
      <c r="IB38" s="124"/>
      <c r="IC38" s="124"/>
      <c r="ID38" s="124"/>
      <c r="IE38" s="124"/>
      <c r="IF38" s="124"/>
      <c r="IG38" s="124"/>
      <c r="IH38" s="124"/>
      <c r="II38" s="124"/>
      <c r="IJ38" s="124"/>
      <c r="IK38" s="124"/>
      <c r="IL38" s="124"/>
      <c r="IM38" s="124"/>
      <c r="IN38" s="124"/>
      <c r="IO38" s="124"/>
      <c r="IP38" s="124"/>
      <c r="IQ38" s="124"/>
      <c r="IR38" s="124"/>
      <c r="IS38" s="124"/>
      <c r="IT38" s="124"/>
      <c r="IU38" s="124"/>
      <c r="IV38" s="124"/>
      <c r="IW38" s="124"/>
      <c r="IX38" s="124"/>
      <c r="IY38" s="124"/>
    </row>
    <row r="39" spans="1:259" s="90" customFormat="1">
      <c r="A39" s="128" t="s">
        <v>73</v>
      </c>
      <c r="B39" s="92">
        <v>46006</v>
      </c>
      <c r="C39" s="93" t="s">
        <v>55</v>
      </c>
      <c r="D39" s="107">
        <v>20868</v>
      </c>
      <c r="E39" s="98">
        <v>4</v>
      </c>
      <c r="F39" s="96">
        <f t="shared" si="10"/>
        <v>5217</v>
      </c>
      <c r="G39" s="98">
        <v>2</v>
      </c>
      <c r="H39" s="96">
        <f t="shared" si="11"/>
        <v>10434</v>
      </c>
      <c r="I39" s="98">
        <v>88</v>
      </c>
      <c r="J39" s="97">
        <f t="shared" si="12"/>
        <v>2</v>
      </c>
      <c r="K39" s="98"/>
      <c r="L39" s="98"/>
      <c r="M39" s="98"/>
      <c r="N39" s="98"/>
      <c r="O39" s="98"/>
      <c r="P39" s="95"/>
      <c r="Q39" s="95"/>
      <c r="R39" s="99">
        <f t="shared" si="13"/>
        <v>2.2727272727272728E-2</v>
      </c>
      <c r="S39" s="100">
        <f t="shared" si="14"/>
        <v>0.22875773975903421</v>
      </c>
      <c r="T39" s="101">
        <f t="shared" si="15"/>
        <v>91223.142972043948</v>
      </c>
      <c r="U39" s="102">
        <f t="shared" si="16"/>
        <v>11.138356895243462</v>
      </c>
      <c r="V39" s="102">
        <f t="shared" si="17"/>
        <v>6.6299743424068227</v>
      </c>
      <c r="W39" s="101">
        <f t="shared" si="18"/>
        <v>20868</v>
      </c>
      <c r="X39" s="102">
        <f t="shared" si="21"/>
        <v>4</v>
      </c>
      <c r="Y39" s="102">
        <f t="shared" si="20"/>
        <v>2</v>
      </c>
      <c r="Z39" s="103">
        <v>0.65</v>
      </c>
      <c r="AA39" s="103">
        <v>0.65</v>
      </c>
      <c r="AB39" s="105"/>
      <c r="AC39" s="105"/>
      <c r="AD39" s="104"/>
      <c r="AE39" s="104"/>
      <c r="AF39" s="104"/>
      <c r="AG39" s="104"/>
      <c r="AH39" s="104"/>
      <c r="AI39" s="104"/>
      <c r="AJ39" s="104"/>
      <c r="AK39" s="104"/>
      <c r="AL39" s="104"/>
      <c r="AM39" s="104"/>
      <c r="AN39" s="104"/>
      <c r="AO39" s="104"/>
      <c r="AP39" s="104"/>
      <c r="AQ39" s="104"/>
      <c r="AR39" s="104"/>
      <c r="AS39" s="104"/>
      <c r="AT39" s="104"/>
      <c r="AU39" s="104"/>
      <c r="AV39" s="104"/>
      <c r="AW39" s="104"/>
      <c r="AX39" s="104"/>
      <c r="AY39" s="104"/>
      <c r="AZ39" s="104"/>
      <c r="BA39" s="104"/>
      <c r="BB39" s="104"/>
      <c r="BC39" s="104"/>
      <c r="BD39" s="104"/>
      <c r="BE39" s="104"/>
      <c r="BF39" s="104"/>
      <c r="BG39" s="104"/>
      <c r="BH39" s="104"/>
      <c r="BI39" s="104"/>
      <c r="BJ39" s="104"/>
      <c r="BK39" s="104"/>
      <c r="BL39" s="104"/>
      <c r="BM39" s="104"/>
      <c r="BN39" s="104"/>
      <c r="BO39" s="104"/>
      <c r="BP39" s="104"/>
      <c r="BQ39" s="104"/>
      <c r="BR39" s="104"/>
      <c r="BS39" s="104"/>
      <c r="BT39" s="104"/>
      <c r="BU39" s="104"/>
      <c r="BV39" s="104"/>
      <c r="BW39" s="104"/>
      <c r="BX39" s="104"/>
      <c r="BY39" s="104"/>
      <c r="BZ39" s="104"/>
      <c r="CA39" s="104"/>
      <c r="CB39" s="104"/>
      <c r="CC39" s="104"/>
      <c r="CD39" s="104"/>
      <c r="CE39" s="104"/>
      <c r="CF39" s="104"/>
      <c r="CG39" s="104"/>
      <c r="CH39" s="104"/>
      <c r="CI39" s="104"/>
      <c r="CJ39" s="104"/>
      <c r="CK39" s="104"/>
      <c r="CL39" s="104"/>
      <c r="CM39" s="104"/>
      <c r="CN39" s="104"/>
      <c r="CO39" s="104"/>
      <c r="CP39" s="104"/>
      <c r="CQ39" s="104"/>
      <c r="CR39" s="104"/>
      <c r="CS39" s="104"/>
      <c r="CT39" s="104"/>
      <c r="CU39" s="104"/>
      <c r="CV39" s="104"/>
      <c r="CW39" s="104"/>
      <c r="CX39" s="104"/>
      <c r="CY39" s="104"/>
      <c r="CZ39" s="104"/>
      <c r="DA39" s="104"/>
      <c r="DB39" s="104"/>
      <c r="DC39" s="104"/>
      <c r="DD39" s="104"/>
      <c r="DE39" s="104"/>
      <c r="DF39" s="104"/>
      <c r="DG39" s="104"/>
      <c r="DH39" s="104"/>
      <c r="DI39" s="104"/>
      <c r="DJ39" s="104"/>
      <c r="DK39" s="104"/>
      <c r="DL39" s="104"/>
      <c r="DM39" s="104"/>
      <c r="DN39" s="104"/>
      <c r="DO39" s="104"/>
      <c r="DP39" s="104"/>
      <c r="DQ39" s="104"/>
      <c r="DR39" s="104"/>
      <c r="DS39" s="104"/>
      <c r="DT39" s="104"/>
      <c r="DU39" s="104"/>
      <c r="DV39" s="104"/>
      <c r="DW39" s="104"/>
      <c r="DX39" s="104"/>
      <c r="DY39" s="104"/>
      <c r="DZ39" s="104"/>
      <c r="EA39" s="104"/>
      <c r="EB39" s="104"/>
      <c r="EC39" s="104"/>
      <c r="ED39" s="104"/>
      <c r="EE39" s="104"/>
      <c r="EF39" s="104"/>
      <c r="EG39" s="104"/>
      <c r="EH39" s="104"/>
      <c r="EI39" s="104"/>
      <c r="EJ39" s="104"/>
      <c r="EK39" s="104"/>
      <c r="EL39" s="104"/>
      <c r="EM39" s="104"/>
      <c r="EN39" s="104"/>
      <c r="EO39" s="104"/>
      <c r="EP39" s="104"/>
      <c r="EQ39" s="104"/>
      <c r="ER39" s="104"/>
      <c r="ES39" s="104"/>
      <c r="ET39" s="104"/>
      <c r="EU39" s="104"/>
      <c r="EV39" s="104"/>
      <c r="EW39" s="104"/>
      <c r="EX39" s="104"/>
      <c r="EY39" s="104"/>
      <c r="EZ39" s="104"/>
      <c r="FA39" s="104"/>
      <c r="FB39" s="104"/>
      <c r="FC39" s="104"/>
      <c r="FD39" s="104"/>
      <c r="FE39" s="104"/>
      <c r="FF39" s="104"/>
      <c r="FG39" s="104"/>
      <c r="FH39" s="104"/>
      <c r="FI39" s="104"/>
      <c r="FJ39" s="104"/>
      <c r="FK39" s="104"/>
      <c r="FL39" s="104"/>
      <c r="FM39" s="104"/>
      <c r="FN39" s="104"/>
      <c r="FO39" s="104"/>
      <c r="FP39" s="104"/>
      <c r="FQ39" s="104"/>
      <c r="FR39" s="104"/>
      <c r="FS39" s="104"/>
      <c r="FT39" s="104"/>
      <c r="FU39" s="104"/>
      <c r="FV39" s="104"/>
      <c r="FW39" s="104"/>
      <c r="FX39" s="104"/>
      <c r="FY39" s="104"/>
      <c r="FZ39" s="104"/>
      <c r="GA39" s="104"/>
      <c r="GB39" s="104"/>
      <c r="GC39" s="104"/>
      <c r="GD39" s="104"/>
      <c r="GE39" s="104"/>
      <c r="GF39" s="104"/>
      <c r="GG39" s="104"/>
      <c r="GH39" s="104"/>
      <c r="GI39" s="104"/>
      <c r="GJ39" s="104"/>
      <c r="GK39" s="104"/>
      <c r="GL39" s="104"/>
      <c r="GM39" s="104"/>
      <c r="GN39" s="104"/>
      <c r="GO39" s="104"/>
      <c r="GP39" s="104"/>
      <c r="GQ39" s="104"/>
      <c r="GR39" s="104"/>
      <c r="GS39" s="104"/>
      <c r="GT39" s="104"/>
      <c r="GU39" s="104"/>
      <c r="GV39" s="104"/>
      <c r="GW39" s="104"/>
      <c r="GX39" s="104"/>
      <c r="GY39" s="104"/>
      <c r="GZ39" s="104"/>
      <c r="HA39" s="104"/>
      <c r="HB39" s="104"/>
      <c r="HC39" s="104"/>
      <c r="HD39" s="104"/>
      <c r="HE39" s="104"/>
      <c r="HF39" s="104"/>
      <c r="HG39" s="104"/>
      <c r="HH39" s="104"/>
      <c r="HI39" s="104"/>
      <c r="HJ39" s="104"/>
      <c r="HK39" s="104"/>
      <c r="HL39" s="104"/>
      <c r="HM39" s="104"/>
      <c r="HN39" s="104"/>
      <c r="HO39" s="104"/>
      <c r="HP39" s="104"/>
      <c r="HQ39" s="104"/>
      <c r="HR39" s="104"/>
      <c r="HS39" s="104"/>
      <c r="HT39" s="104"/>
      <c r="HU39" s="104"/>
      <c r="HV39" s="104"/>
      <c r="HW39" s="104"/>
      <c r="HX39" s="104"/>
      <c r="HY39" s="104"/>
      <c r="HZ39" s="104"/>
      <c r="IA39" s="104"/>
      <c r="IB39" s="104"/>
      <c r="IC39" s="104"/>
      <c r="ID39" s="104"/>
      <c r="IE39" s="104"/>
      <c r="IF39" s="104"/>
      <c r="IG39" s="104"/>
      <c r="IH39" s="104"/>
      <c r="II39" s="104"/>
      <c r="IJ39" s="104"/>
      <c r="IK39" s="104"/>
      <c r="IL39" s="104"/>
      <c r="IM39" s="104"/>
      <c r="IN39" s="104"/>
      <c r="IO39" s="104"/>
      <c r="IP39" s="104"/>
      <c r="IQ39" s="104"/>
      <c r="IR39" s="104"/>
      <c r="IS39" s="104"/>
      <c r="IT39" s="104"/>
      <c r="IU39" s="104"/>
      <c r="IV39" s="104"/>
      <c r="IW39" s="104"/>
      <c r="IX39" s="104"/>
      <c r="IY39" s="104"/>
    </row>
    <row r="40" spans="1:259" s="90" customFormat="1">
      <c r="A40" s="128" t="s">
        <v>70</v>
      </c>
      <c r="B40" s="92">
        <v>46007</v>
      </c>
      <c r="C40" s="93" t="s">
        <v>57</v>
      </c>
      <c r="D40" s="107">
        <v>58894</v>
      </c>
      <c r="E40" s="98">
        <v>8</v>
      </c>
      <c r="F40" s="96">
        <f t="shared" si="10"/>
        <v>7361.75</v>
      </c>
      <c r="G40" s="98">
        <v>6</v>
      </c>
      <c r="H40" s="96">
        <f t="shared" si="11"/>
        <v>9815.6666666666661</v>
      </c>
      <c r="I40" s="98">
        <v>78</v>
      </c>
      <c r="J40" s="97">
        <f t="shared" si="12"/>
        <v>1.3333333333333333</v>
      </c>
      <c r="K40" s="98"/>
      <c r="L40" s="98"/>
      <c r="M40" s="98">
        <v>22184</v>
      </c>
      <c r="N40" s="98"/>
      <c r="O40" s="98"/>
      <c r="P40" s="95"/>
      <c r="Q40" s="95"/>
      <c r="R40" s="99">
        <f t="shared" si="13"/>
        <v>7.6923076923076927E-2</v>
      </c>
      <c r="S40" s="100">
        <f t="shared" si="14"/>
        <v>0.48492012373805438</v>
      </c>
      <c r="T40" s="101">
        <f t="shared" si="15"/>
        <v>121450.9299923662</v>
      </c>
      <c r="U40" s="102">
        <f t="shared" si="16"/>
        <v>14.829173381241295</v>
      </c>
      <c r="V40" s="102">
        <f t="shared" si="17"/>
        <v>8.8268889174055332</v>
      </c>
      <c r="W40" s="101">
        <f t="shared" si="18"/>
        <v>58894</v>
      </c>
      <c r="X40" s="102">
        <f t="shared" si="21"/>
        <v>8</v>
      </c>
      <c r="Y40" s="102">
        <f t="shared" si="20"/>
        <v>6</v>
      </c>
      <c r="Z40" s="103">
        <v>0.75</v>
      </c>
      <c r="AA40" s="103">
        <v>0.75</v>
      </c>
      <c r="AB40" s="105"/>
      <c r="AC40" s="105"/>
      <c r="AD40" s="104"/>
      <c r="AE40" s="104"/>
      <c r="AF40" s="104"/>
      <c r="AG40" s="104"/>
      <c r="AH40" s="104"/>
      <c r="AI40" s="104"/>
      <c r="AJ40" s="104"/>
      <c r="AK40" s="104"/>
      <c r="AL40" s="104"/>
      <c r="AM40" s="104"/>
      <c r="AN40" s="104"/>
      <c r="AO40" s="104"/>
      <c r="AP40" s="104"/>
      <c r="AQ40" s="104"/>
      <c r="AR40" s="104"/>
      <c r="AS40" s="104"/>
      <c r="AT40" s="104"/>
      <c r="AU40" s="104"/>
      <c r="AV40" s="104"/>
      <c r="AW40" s="104"/>
      <c r="AX40" s="104"/>
      <c r="AY40" s="104"/>
      <c r="AZ40" s="104"/>
      <c r="BA40" s="104"/>
      <c r="BB40" s="104"/>
      <c r="BC40" s="104"/>
      <c r="BD40" s="104"/>
      <c r="BE40" s="104"/>
      <c r="BF40" s="104"/>
      <c r="BG40" s="104"/>
      <c r="BH40" s="104"/>
      <c r="BI40" s="104"/>
      <c r="BJ40" s="104"/>
      <c r="BK40" s="104"/>
      <c r="BL40" s="104"/>
      <c r="BM40" s="104"/>
      <c r="BN40" s="104"/>
      <c r="BO40" s="104"/>
      <c r="BP40" s="104"/>
      <c r="BQ40" s="104"/>
      <c r="BR40" s="104"/>
      <c r="BS40" s="104"/>
      <c r="BT40" s="104"/>
      <c r="BU40" s="104"/>
      <c r="BV40" s="104"/>
      <c r="BW40" s="104"/>
      <c r="BX40" s="104"/>
      <c r="BY40" s="104"/>
      <c r="BZ40" s="104"/>
      <c r="CA40" s="104"/>
      <c r="CB40" s="104"/>
      <c r="CC40" s="104"/>
      <c r="CD40" s="104"/>
      <c r="CE40" s="104"/>
      <c r="CF40" s="104"/>
      <c r="CG40" s="104"/>
      <c r="CH40" s="104"/>
      <c r="CI40" s="104"/>
      <c r="CJ40" s="104"/>
      <c r="CK40" s="104"/>
      <c r="CL40" s="104"/>
      <c r="CM40" s="104"/>
      <c r="CN40" s="104"/>
      <c r="CO40" s="104"/>
      <c r="CP40" s="104"/>
      <c r="CQ40" s="104"/>
      <c r="CR40" s="104"/>
      <c r="CS40" s="104"/>
      <c r="CT40" s="104"/>
      <c r="CU40" s="104"/>
      <c r="CV40" s="104"/>
      <c r="CW40" s="104"/>
      <c r="CX40" s="104"/>
      <c r="CY40" s="104"/>
      <c r="CZ40" s="104"/>
      <c r="DA40" s="104"/>
      <c r="DB40" s="104"/>
      <c r="DC40" s="104"/>
      <c r="DD40" s="104"/>
      <c r="DE40" s="104"/>
      <c r="DF40" s="104"/>
      <c r="DG40" s="104"/>
      <c r="DH40" s="104"/>
      <c r="DI40" s="104"/>
      <c r="DJ40" s="104"/>
      <c r="DK40" s="104"/>
      <c r="DL40" s="104"/>
      <c r="DM40" s="104"/>
      <c r="DN40" s="104"/>
      <c r="DO40" s="104"/>
      <c r="DP40" s="104"/>
      <c r="DQ40" s="104"/>
      <c r="DR40" s="104"/>
      <c r="DS40" s="104"/>
      <c r="DT40" s="104"/>
      <c r="DU40" s="104"/>
      <c r="DV40" s="104"/>
      <c r="DW40" s="104"/>
      <c r="DX40" s="104"/>
      <c r="DY40" s="104"/>
      <c r="DZ40" s="104"/>
      <c r="EA40" s="104"/>
      <c r="EB40" s="104"/>
      <c r="EC40" s="104"/>
      <c r="ED40" s="104"/>
      <c r="EE40" s="104"/>
      <c r="EF40" s="104"/>
      <c r="EG40" s="104"/>
      <c r="EH40" s="104"/>
      <c r="EI40" s="104"/>
      <c r="EJ40" s="104"/>
      <c r="EK40" s="104"/>
      <c r="EL40" s="104"/>
      <c r="EM40" s="104"/>
      <c r="EN40" s="104"/>
      <c r="EO40" s="104"/>
      <c r="EP40" s="104"/>
      <c r="EQ40" s="104"/>
      <c r="ER40" s="104"/>
      <c r="ES40" s="104"/>
      <c r="ET40" s="104"/>
      <c r="EU40" s="104"/>
      <c r="EV40" s="104"/>
      <c r="EW40" s="104"/>
      <c r="EX40" s="104"/>
      <c r="EY40" s="104"/>
      <c r="EZ40" s="104"/>
      <c r="FA40" s="104"/>
      <c r="FB40" s="104"/>
      <c r="FC40" s="104"/>
      <c r="FD40" s="104"/>
      <c r="FE40" s="104"/>
      <c r="FF40" s="104"/>
      <c r="FG40" s="104"/>
      <c r="FH40" s="104"/>
      <c r="FI40" s="104"/>
      <c r="FJ40" s="104"/>
      <c r="FK40" s="104"/>
      <c r="FL40" s="104"/>
      <c r="FM40" s="104"/>
      <c r="FN40" s="104"/>
      <c r="FO40" s="104"/>
      <c r="FP40" s="104"/>
      <c r="FQ40" s="104"/>
      <c r="FR40" s="104"/>
      <c r="FS40" s="104"/>
      <c r="FT40" s="104"/>
      <c r="FU40" s="104"/>
      <c r="FV40" s="104"/>
      <c r="FW40" s="104"/>
      <c r="FX40" s="104"/>
      <c r="FY40" s="104"/>
      <c r="FZ40" s="104"/>
      <c r="GA40" s="104"/>
      <c r="GB40" s="104"/>
      <c r="GC40" s="104"/>
      <c r="GD40" s="104"/>
      <c r="GE40" s="104"/>
      <c r="GF40" s="104"/>
      <c r="GG40" s="104"/>
      <c r="GH40" s="104"/>
      <c r="GI40" s="104"/>
      <c r="GJ40" s="104"/>
      <c r="GK40" s="104"/>
      <c r="GL40" s="104"/>
      <c r="GM40" s="104"/>
      <c r="GN40" s="104"/>
      <c r="GO40" s="104"/>
      <c r="GP40" s="104"/>
      <c r="GQ40" s="104"/>
      <c r="GR40" s="104"/>
      <c r="GS40" s="104"/>
      <c r="GT40" s="104"/>
      <c r="GU40" s="104"/>
      <c r="GV40" s="104"/>
      <c r="GW40" s="104"/>
      <c r="GX40" s="104"/>
      <c r="GY40" s="104"/>
      <c r="GZ40" s="104"/>
      <c r="HA40" s="104"/>
      <c r="HB40" s="104"/>
      <c r="HC40" s="104"/>
      <c r="HD40" s="104"/>
      <c r="HE40" s="104"/>
      <c r="HF40" s="104"/>
      <c r="HG40" s="104"/>
      <c r="HH40" s="104"/>
      <c r="HI40" s="104"/>
      <c r="HJ40" s="104"/>
      <c r="HK40" s="104"/>
      <c r="HL40" s="104"/>
      <c r="HM40" s="104"/>
      <c r="HN40" s="104"/>
      <c r="HO40" s="104"/>
      <c r="HP40" s="104"/>
      <c r="HQ40" s="104"/>
      <c r="HR40" s="104"/>
      <c r="HS40" s="104"/>
      <c r="HT40" s="104"/>
      <c r="HU40" s="104"/>
      <c r="HV40" s="104"/>
      <c r="HW40" s="104"/>
      <c r="HX40" s="104"/>
      <c r="HY40" s="104"/>
      <c r="HZ40" s="104"/>
      <c r="IA40" s="104"/>
      <c r="IB40" s="104"/>
      <c r="IC40" s="104"/>
      <c r="ID40" s="104"/>
      <c r="IE40" s="104"/>
      <c r="IF40" s="104"/>
      <c r="IG40" s="104"/>
      <c r="IH40" s="104"/>
      <c r="II40" s="104"/>
      <c r="IJ40" s="104"/>
      <c r="IK40" s="104"/>
      <c r="IL40" s="104"/>
      <c r="IM40" s="104"/>
      <c r="IN40" s="104"/>
      <c r="IO40" s="104"/>
      <c r="IP40" s="104"/>
      <c r="IQ40" s="104"/>
      <c r="IR40" s="104"/>
      <c r="IS40" s="104"/>
      <c r="IT40" s="104"/>
      <c r="IU40" s="104"/>
      <c r="IV40" s="104"/>
      <c r="IW40" s="104"/>
      <c r="IX40" s="104"/>
      <c r="IY40" s="104"/>
    </row>
    <row r="41" spans="1:259" s="90" customFormat="1">
      <c r="A41" s="128" t="s">
        <v>70</v>
      </c>
      <c r="B41" s="92">
        <v>46008</v>
      </c>
      <c r="C41" s="93" t="s">
        <v>59</v>
      </c>
      <c r="D41" s="107">
        <v>84716</v>
      </c>
      <c r="E41" s="98">
        <v>9</v>
      </c>
      <c r="F41" s="96">
        <f t="shared" si="10"/>
        <v>9412.8888888888887</v>
      </c>
      <c r="G41" s="98">
        <v>5</v>
      </c>
      <c r="H41" s="96">
        <f t="shared" si="11"/>
        <v>16943.2</v>
      </c>
      <c r="I41" s="98">
        <v>122</v>
      </c>
      <c r="J41" s="97">
        <f t="shared" si="12"/>
        <v>1.8</v>
      </c>
      <c r="K41" s="98"/>
      <c r="L41" s="98"/>
      <c r="M41" s="98"/>
      <c r="N41" s="98"/>
      <c r="O41" s="98">
        <v>41473</v>
      </c>
      <c r="P41" s="95"/>
      <c r="Q41" s="95"/>
      <c r="R41" s="99">
        <f t="shared" si="13"/>
        <v>4.0983606557377046E-2</v>
      </c>
      <c r="S41" s="100">
        <f t="shared" si="14"/>
        <v>0.54306182197159747</v>
      </c>
      <c r="T41" s="101">
        <f t="shared" si="15"/>
        <v>155996.97230130588</v>
      </c>
      <c r="U41" s="102">
        <f t="shared" si="16"/>
        <v>19.047249365238816</v>
      </c>
      <c r="V41" s="102">
        <f t="shared" si="17"/>
        <v>11.337648431689772</v>
      </c>
      <c r="W41" s="101">
        <f t="shared" si="18"/>
        <v>84716</v>
      </c>
      <c r="X41" s="102">
        <f t="shared" si="21"/>
        <v>9</v>
      </c>
      <c r="Y41" s="102">
        <f t="shared" si="20"/>
        <v>5</v>
      </c>
      <c r="Z41" s="103">
        <v>0.85</v>
      </c>
      <c r="AA41" s="103">
        <v>0.85</v>
      </c>
      <c r="AB41" s="105"/>
      <c r="AC41" s="105"/>
      <c r="AD41" s="104"/>
      <c r="AE41" s="104"/>
      <c r="AF41" s="104"/>
      <c r="AG41" s="104"/>
      <c r="AH41" s="104"/>
      <c r="AI41" s="104"/>
      <c r="AJ41" s="104"/>
      <c r="AK41" s="104"/>
      <c r="AL41" s="104"/>
      <c r="AM41" s="104"/>
      <c r="AN41" s="104"/>
    </row>
    <row r="42" spans="1:259" s="125" customFormat="1">
      <c r="A42" s="127" t="s">
        <v>74</v>
      </c>
      <c r="B42" s="112">
        <v>46009</v>
      </c>
      <c r="C42" s="113" t="s">
        <v>61</v>
      </c>
      <c r="D42" s="114">
        <v>70243.02</v>
      </c>
      <c r="E42" s="129">
        <v>11</v>
      </c>
      <c r="F42" s="116">
        <f t="shared" si="10"/>
        <v>6385.7290909090916</v>
      </c>
      <c r="G42" s="129">
        <v>7</v>
      </c>
      <c r="H42" s="116">
        <f t="shared" si="11"/>
        <v>10034.717142857144</v>
      </c>
      <c r="I42" s="129">
        <v>88</v>
      </c>
      <c r="J42" s="117">
        <f t="shared" si="12"/>
        <v>1.5714285714285714</v>
      </c>
      <c r="K42" s="115"/>
      <c r="L42" s="115"/>
      <c r="M42" s="115"/>
      <c r="N42" s="115"/>
      <c r="O42" s="115">
        <v>15066</v>
      </c>
      <c r="P42" s="118"/>
      <c r="Q42" s="118"/>
      <c r="R42" s="99">
        <f t="shared" si="13"/>
        <v>7.9545454545454544E-2</v>
      </c>
      <c r="S42" s="119">
        <f t="shared" si="14"/>
        <v>0.40164266344494903</v>
      </c>
      <c r="T42" s="120">
        <f t="shared" si="15"/>
        <v>174889.33918900733</v>
      </c>
      <c r="U42" s="121">
        <f t="shared" si="16"/>
        <v>21.354009668987462</v>
      </c>
      <c r="V42" s="121">
        <f t="shared" si="17"/>
        <v>12.710720041063967</v>
      </c>
      <c r="W42" s="120">
        <f t="shared" si="18"/>
        <v>70243.02</v>
      </c>
      <c r="X42" s="121">
        <f t="shared" si="21"/>
        <v>11</v>
      </c>
      <c r="Y42" s="121">
        <f t="shared" si="20"/>
        <v>7</v>
      </c>
      <c r="Z42" s="122">
        <v>0.9</v>
      </c>
      <c r="AA42" s="122">
        <v>0.9</v>
      </c>
      <c r="AB42" s="123"/>
      <c r="AC42" s="123"/>
      <c r="AD42" s="124"/>
      <c r="AE42" s="124"/>
      <c r="AF42" s="124"/>
      <c r="AG42" s="124"/>
      <c r="AH42" s="124"/>
      <c r="AI42" s="124"/>
      <c r="AJ42" s="124"/>
      <c r="AK42" s="124"/>
      <c r="AL42" s="124"/>
      <c r="AM42" s="124"/>
      <c r="AN42" s="124"/>
    </row>
    <row r="43" spans="1:259" s="125" customFormat="1">
      <c r="A43" s="127" t="s">
        <v>75</v>
      </c>
      <c r="B43" s="112">
        <v>46010</v>
      </c>
      <c r="C43" s="130" t="s">
        <v>63</v>
      </c>
      <c r="D43" s="117">
        <v>176827</v>
      </c>
      <c r="E43" s="115">
        <v>21</v>
      </c>
      <c r="F43" s="116">
        <f t="shared" si="10"/>
        <v>8420.3333333333339</v>
      </c>
      <c r="G43" s="115">
        <v>10</v>
      </c>
      <c r="H43" s="116">
        <f t="shared" si="11"/>
        <v>17682.7</v>
      </c>
      <c r="I43" s="115">
        <v>89</v>
      </c>
      <c r="J43" s="117">
        <f t="shared" si="12"/>
        <v>2.1</v>
      </c>
      <c r="K43" s="115">
        <f>'Доп сотрудник'!K32</f>
        <v>43070</v>
      </c>
      <c r="L43" s="115"/>
      <c r="M43" s="116">
        <v>25272</v>
      </c>
      <c r="N43" s="115">
        <f>'Козлова В. Э.'!N37+'Стекольщикова А. А.'!N38</f>
        <v>20397</v>
      </c>
      <c r="O43" s="115">
        <f>'Стекольщикова А. А.'!O38</f>
        <v>22172</v>
      </c>
      <c r="P43" s="118"/>
      <c r="Q43" s="118"/>
      <c r="R43" s="99">
        <f t="shared" si="13"/>
        <v>0.11235955056179775</v>
      </c>
      <c r="S43" s="119">
        <f t="shared" si="14"/>
        <v>1.011079353492774</v>
      </c>
      <c r="T43" s="120">
        <f t="shared" si="15"/>
        <v>174889.33918900733</v>
      </c>
      <c r="U43" s="121">
        <f t="shared" si="16"/>
        <v>21.354009668987462</v>
      </c>
      <c r="V43" s="121">
        <f t="shared" si="17"/>
        <v>12.710720041063967</v>
      </c>
      <c r="W43" s="120">
        <f t="shared" si="18"/>
        <v>176827</v>
      </c>
      <c r="X43" s="121">
        <f t="shared" si="21"/>
        <v>21</v>
      </c>
      <c r="Y43" s="121">
        <f t="shared" si="20"/>
        <v>10</v>
      </c>
      <c r="Z43" s="122">
        <v>0.9</v>
      </c>
      <c r="AA43" s="122">
        <v>0.9</v>
      </c>
      <c r="AB43" s="123"/>
      <c r="AC43" s="123"/>
      <c r="AD43" s="131"/>
      <c r="AE43" s="124"/>
      <c r="AF43" s="124"/>
      <c r="AG43" s="124"/>
      <c r="AH43" s="124"/>
      <c r="AI43" s="124"/>
      <c r="AJ43" s="124"/>
      <c r="AK43" s="124"/>
      <c r="AL43" s="124"/>
      <c r="AM43" s="124"/>
      <c r="AN43" s="124"/>
    </row>
    <row r="44" spans="1:259" s="125" customFormat="1">
      <c r="A44" s="127" t="s">
        <v>75</v>
      </c>
      <c r="B44" s="112">
        <v>46011</v>
      </c>
      <c r="C44" s="132" t="s">
        <v>65</v>
      </c>
      <c r="D44" s="117">
        <v>362391</v>
      </c>
      <c r="E44" s="115">
        <v>50</v>
      </c>
      <c r="F44" s="116">
        <f t="shared" si="10"/>
        <v>7247.82</v>
      </c>
      <c r="G44" s="115">
        <v>25</v>
      </c>
      <c r="H44" s="116">
        <f t="shared" si="11"/>
        <v>14495.64</v>
      </c>
      <c r="I44" s="115">
        <v>245</v>
      </c>
      <c r="J44" s="117">
        <f t="shared" si="12"/>
        <v>2</v>
      </c>
      <c r="K44" s="115">
        <f>'Стекольщикова А. А.'!K39+'Доп сотрудник'!K33</f>
        <v>27250</v>
      </c>
      <c r="L44" s="115">
        <f>'Свидовская С. А.'!L37</f>
        <v>10903</v>
      </c>
      <c r="M44" s="115">
        <f>'Свидовская С. А.'!M37</f>
        <v>16470</v>
      </c>
      <c r="N44" s="115"/>
      <c r="O44" s="115">
        <f>'Стекольщикова А. А.'!O39</f>
        <v>25611</v>
      </c>
      <c r="P44" s="118"/>
      <c r="Q44" s="118"/>
      <c r="R44" s="99">
        <f t="shared" si="13"/>
        <v>0.10204081632653061</v>
      </c>
      <c r="S44" s="119">
        <f t="shared" si="14"/>
        <v>1.6784139694345088</v>
      </c>
      <c r="T44" s="120">
        <f t="shared" si="15"/>
        <v>215912.76443087324</v>
      </c>
      <c r="U44" s="121">
        <f t="shared" si="16"/>
        <v>26.362974899984522</v>
      </c>
      <c r="V44" s="121">
        <f t="shared" si="17"/>
        <v>15.692246964276501</v>
      </c>
      <c r="W44" s="120">
        <f t="shared" si="18"/>
        <v>362391</v>
      </c>
      <c r="X44" s="121">
        <f t="shared" si="21"/>
        <v>50</v>
      </c>
      <c r="Y44" s="121">
        <f t="shared" si="20"/>
        <v>25</v>
      </c>
      <c r="Z44" s="122">
        <v>1</v>
      </c>
      <c r="AA44" s="122">
        <v>1</v>
      </c>
      <c r="AB44" s="123"/>
      <c r="AC44" s="123"/>
      <c r="AD44" s="131"/>
      <c r="AE44" s="124"/>
      <c r="AF44" s="124"/>
      <c r="AG44" s="124"/>
      <c r="AH44" s="124"/>
      <c r="AI44" s="124"/>
      <c r="AJ44" s="124"/>
      <c r="AK44" s="124"/>
      <c r="AL44" s="124"/>
      <c r="AM44" s="124"/>
      <c r="AN44" s="124"/>
    </row>
    <row r="45" spans="1:259" s="125" customFormat="1">
      <c r="A45" s="127" t="s">
        <v>76</v>
      </c>
      <c r="B45" s="112">
        <v>46012</v>
      </c>
      <c r="C45" s="130" t="s">
        <v>67</v>
      </c>
      <c r="D45" s="117">
        <v>51540</v>
      </c>
      <c r="E45" s="115">
        <v>6</v>
      </c>
      <c r="F45" s="116">
        <f t="shared" si="10"/>
        <v>8590</v>
      </c>
      <c r="G45" s="115">
        <v>3</v>
      </c>
      <c r="H45" s="116">
        <f t="shared" si="11"/>
        <v>17180</v>
      </c>
      <c r="I45" s="115">
        <v>101</v>
      </c>
      <c r="J45" s="117">
        <f t="shared" si="12"/>
        <v>2</v>
      </c>
      <c r="K45" s="115">
        <v>24172</v>
      </c>
      <c r="L45" s="115"/>
      <c r="M45" s="115"/>
      <c r="N45" s="115"/>
      <c r="O45" s="115"/>
      <c r="P45" s="118"/>
      <c r="Q45" s="118"/>
      <c r="R45" s="99">
        <f t="shared" si="13"/>
        <v>2.9702970297029702E-2</v>
      </c>
      <c r="S45" s="119">
        <f t="shared" si="14"/>
        <v>0.2387075175284557</v>
      </c>
      <c r="T45" s="120">
        <f t="shared" si="15"/>
        <v>215912.76443087324</v>
      </c>
      <c r="U45" s="121">
        <f t="shared" si="16"/>
        <v>26.362974899984522</v>
      </c>
      <c r="V45" s="121">
        <f t="shared" si="17"/>
        <v>15.692246964276501</v>
      </c>
      <c r="W45" s="120">
        <f t="shared" si="18"/>
        <v>51540</v>
      </c>
      <c r="X45" s="121">
        <f t="shared" si="21"/>
        <v>6</v>
      </c>
      <c r="Y45" s="121">
        <f t="shared" si="20"/>
        <v>3</v>
      </c>
      <c r="Z45" s="122">
        <v>1</v>
      </c>
      <c r="AA45" s="122">
        <v>1</v>
      </c>
      <c r="AB45" s="123"/>
      <c r="AC45" s="123"/>
      <c r="AD45" s="131"/>
      <c r="AE45" s="124"/>
      <c r="AF45" s="124"/>
      <c r="AG45" s="124"/>
      <c r="AH45" s="124"/>
      <c r="AI45" s="124"/>
      <c r="AJ45" s="124"/>
      <c r="AK45" s="124"/>
      <c r="AL45" s="124"/>
      <c r="AM45" s="124"/>
      <c r="AN45" s="124"/>
      <c r="AO45" s="124"/>
      <c r="AP45" s="124"/>
      <c r="AQ45" s="124"/>
      <c r="AR45" s="124"/>
      <c r="AS45" s="124"/>
      <c r="AT45" s="124"/>
      <c r="AU45" s="124"/>
      <c r="AV45" s="124"/>
      <c r="AW45" s="124"/>
      <c r="AX45" s="124"/>
      <c r="AY45" s="124"/>
      <c r="AZ45" s="124"/>
      <c r="BA45" s="124"/>
      <c r="BB45" s="124"/>
      <c r="BC45" s="124"/>
      <c r="BD45" s="124"/>
      <c r="BE45" s="124"/>
      <c r="BF45" s="124"/>
      <c r="BG45" s="124"/>
      <c r="BH45" s="124"/>
      <c r="BI45" s="124"/>
      <c r="BJ45" s="124"/>
      <c r="BK45" s="124"/>
      <c r="BL45" s="124"/>
      <c r="BM45" s="124"/>
      <c r="BN45" s="124"/>
      <c r="BO45" s="124"/>
      <c r="BP45" s="124"/>
      <c r="BQ45" s="124"/>
      <c r="BR45" s="124"/>
      <c r="BS45" s="124"/>
      <c r="BT45" s="124"/>
      <c r="BU45" s="124"/>
      <c r="BV45" s="124"/>
      <c r="BW45" s="124"/>
      <c r="BX45" s="124"/>
      <c r="BY45" s="124"/>
      <c r="BZ45" s="124"/>
      <c r="CA45" s="124"/>
      <c r="CB45" s="124"/>
      <c r="CC45" s="124"/>
      <c r="CD45" s="124"/>
      <c r="CE45" s="124"/>
      <c r="CF45" s="124"/>
      <c r="CG45" s="124"/>
      <c r="CH45" s="124"/>
      <c r="CI45" s="124"/>
      <c r="CJ45" s="124"/>
      <c r="CK45" s="124"/>
      <c r="CL45" s="124"/>
      <c r="CM45" s="124"/>
      <c r="CN45" s="124"/>
      <c r="CO45" s="124"/>
      <c r="CP45" s="124"/>
      <c r="CQ45" s="124"/>
      <c r="CR45" s="124"/>
      <c r="CS45" s="124"/>
      <c r="CT45" s="124"/>
      <c r="CU45" s="124"/>
      <c r="CV45" s="124"/>
      <c r="CW45" s="124"/>
      <c r="CX45" s="124"/>
      <c r="CY45" s="124"/>
      <c r="CZ45" s="124"/>
      <c r="DA45" s="124"/>
      <c r="DB45" s="124"/>
      <c r="DC45" s="124"/>
      <c r="DD45" s="124"/>
      <c r="DE45" s="124"/>
      <c r="DF45" s="124"/>
      <c r="DG45" s="124"/>
      <c r="DH45" s="124"/>
      <c r="DI45" s="124"/>
      <c r="DJ45" s="124"/>
      <c r="DK45" s="124"/>
      <c r="DL45" s="124"/>
      <c r="DM45" s="124"/>
      <c r="DN45" s="124"/>
      <c r="DO45" s="124"/>
      <c r="DP45" s="124"/>
      <c r="DQ45" s="124"/>
      <c r="DR45" s="124"/>
      <c r="DS45" s="124"/>
      <c r="DT45" s="124"/>
      <c r="DU45" s="124"/>
      <c r="DV45" s="124"/>
      <c r="DW45" s="124"/>
      <c r="DX45" s="124"/>
      <c r="DY45" s="124"/>
      <c r="DZ45" s="124"/>
      <c r="EA45" s="124"/>
      <c r="EB45" s="124"/>
      <c r="EC45" s="124"/>
      <c r="ED45" s="124"/>
      <c r="EE45" s="124"/>
      <c r="EF45" s="124"/>
      <c r="EG45" s="124"/>
      <c r="EH45" s="124"/>
      <c r="EI45" s="124"/>
      <c r="EJ45" s="124"/>
      <c r="EK45" s="124"/>
      <c r="EL45" s="124"/>
      <c r="EM45" s="124"/>
      <c r="EN45" s="124"/>
      <c r="EO45" s="124"/>
      <c r="EP45" s="124"/>
      <c r="EQ45" s="124"/>
      <c r="ER45" s="124"/>
      <c r="ES45" s="124"/>
      <c r="ET45" s="124"/>
      <c r="EU45" s="124"/>
      <c r="EV45" s="124"/>
      <c r="EW45" s="124"/>
      <c r="EX45" s="124"/>
      <c r="EY45" s="124"/>
      <c r="EZ45" s="124"/>
      <c r="FA45" s="124"/>
      <c r="FB45" s="124"/>
      <c r="FC45" s="124"/>
      <c r="FD45" s="124"/>
      <c r="FE45" s="124"/>
      <c r="FF45" s="124"/>
      <c r="FG45" s="124"/>
      <c r="FH45" s="124"/>
      <c r="FI45" s="124"/>
      <c r="FJ45" s="124"/>
      <c r="FK45" s="124"/>
      <c r="FL45" s="124"/>
      <c r="FM45" s="124"/>
      <c r="FN45" s="124"/>
      <c r="FO45" s="124"/>
      <c r="FP45" s="124"/>
      <c r="FQ45" s="124"/>
      <c r="FR45" s="124"/>
      <c r="FS45" s="124"/>
      <c r="FT45" s="124"/>
      <c r="FU45" s="124"/>
      <c r="FV45" s="124"/>
      <c r="FW45" s="124"/>
      <c r="FX45" s="124"/>
      <c r="FY45" s="124"/>
      <c r="FZ45" s="124"/>
      <c r="GA45" s="124"/>
      <c r="GB45" s="124"/>
      <c r="GC45" s="124"/>
      <c r="GD45" s="124"/>
      <c r="GE45" s="124"/>
      <c r="GF45" s="124"/>
      <c r="GG45" s="124"/>
      <c r="GH45" s="124"/>
      <c r="GI45" s="124"/>
      <c r="GJ45" s="124"/>
      <c r="GK45" s="124"/>
      <c r="GL45" s="124"/>
      <c r="GM45" s="124"/>
      <c r="GN45" s="124"/>
      <c r="GO45" s="124"/>
      <c r="GP45" s="124"/>
      <c r="GQ45" s="124"/>
      <c r="GR45" s="124"/>
      <c r="GS45" s="124"/>
      <c r="GT45" s="124"/>
      <c r="GU45" s="124"/>
      <c r="GV45" s="124"/>
      <c r="GW45" s="124"/>
      <c r="GX45" s="124"/>
      <c r="GY45" s="124"/>
      <c r="GZ45" s="124"/>
      <c r="HA45" s="124"/>
      <c r="HB45" s="124"/>
      <c r="HC45" s="124"/>
      <c r="HD45" s="124"/>
      <c r="HE45" s="124"/>
      <c r="HF45" s="124"/>
      <c r="HG45" s="124"/>
      <c r="HH45" s="124"/>
      <c r="HI45" s="124"/>
      <c r="HJ45" s="124"/>
      <c r="HK45" s="124"/>
      <c r="HL45" s="124"/>
      <c r="HM45" s="124"/>
      <c r="HN45" s="124"/>
      <c r="HO45" s="124"/>
      <c r="HP45" s="124"/>
      <c r="HQ45" s="124"/>
      <c r="HR45" s="124"/>
      <c r="HS45" s="124"/>
      <c r="HT45" s="124"/>
      <c r="HU45" s="124"/>
      <c r="HV45" s="124"/>
      <c r="HW45" s="124"/>
      <c r="HX45" s="124"/>
      <c r="HY45" s="124"/>
      <c r="HZ45" s="124"/>
      <c r="IA45" s="124"/>
      <c r="IB45" s="124"/>
      <c r="IC45" s="124"/>
      <c r="ID45" s="124"/>
      <c r="IE45" s="124"/>
      <c r="IF45" s="124"/>
      <c r="IG45" s="124"/>
      <c r="IH45" s="124"/>
      <c r="II45" s="124"/>
      <c r="IJ45" s="124"/>
      <c r="IK45" s="124"/>
      <c r="IL45" s="124"/>
      <c r="IM45" s="124"/>
      <c r="IN45" s="124"/>
      <c r="IO45" s="124"/>
      <c r="IP45" s="124"/>
      <c r="IQ45" s="124"/>
      <c r="IR45" s="124"/>
      <c r="IS45" s="124"/>
      <c r="IT45" s="124"/>
      <c r="IU45" s="124"/>
      <c r="IV45" s="124"/>
      <c r="IW45" s="124"/>
      <c r="IX45" s="124"/>
      <c r="IY45" s="124"/>
    </row>
    <row r="46" spans="1:259" s="125" customFormat="1">
      <c r="A46" s="127" t="s">
        <v>77</v>
      </c>
      <c r="B46" s="112">
        <v>46013</v>
      </c>
      <c r="C46" s="132" t="s">
        <v>55</v>
      </c>
      <c r="D46" s="117">
        <v>101508</v>
      </c>
      <c r="E46" s="115">
        <v>17</v>
      </c>
      <c r="F46" s="116">
        <f t="shared" si="10"/>
        <v>5971.0588235294117</v>
      </c>
      <c r="G46" s="115">
        <v>10</v>
      </c>
      <c r="H46" s="116">
        <f t="shared" si="11"/>
        <v>10150.799999999999</v>
      </c>
      <c r="I46" s="115">
        <v>92</v>
      </c>
      <c r="J46" s="117">
        <f t="shared" si="12"/>
        <v>1.7</v>
      </c>
      <c r="K46" s="115"/>
      <c r="L46" s="115"/>
      <c r="M46" s="115"/>
      <c r="N46" s="115"/>
      <c r="O46" s="115"/>
      <c r="P46" s="118"/>
      <c r="Q46" s="118">
        <f>'Доп сотрудник'!P35</f>
        <v>20889</v>
      </c>
      <c r="R46" s="99">
        <f t="shared" si="13"/>
        <v>0.10869565217391304</v>
      </c>
      <c r="S46" s="119">
        <f t="shared" si="14"/>
        <v>0.47013431682728912</v>
      </c>
      <c r="T46" s="120">
        <f t="shared" si="15"/>
        <v>215912.76443087324</v>
      </c>
      <c r="U46" s="121">
        <f t="shared" si="16"/>
        <v>26.362974899984522</v>
      </c>
      <c r="V46" s="121">
        <f t="shared" si="17"/>
        <v>15.692246964276501</v>
      </c>
      <c r="W46" s="120">
        <f t="shared" si="18"/>
        <v>101508</v>
      </c>
      <c r="X46" s="121">
        <f>IF(AA45&lt;&gt;"",IF(E45&lt;&gt;"",E45,($I$9-SUM($X$25:X44))*Z45*AA45/SUMPRODUCT($AA45:$AA$55,$Z45:$Z$55)),"")</f>
        <v>6</v>
      </c>
      <c r="Y46" s="121">
        <f>IF(AA45&lt;&gt;"",IF($I$12&lt;&gt;"",IF(G45&lt;&gt;"",G45,($I$9/$I$12-SUM($Y$25:Y44))*Z45*AA45/SUMPRODUCT($AA45:$AA$55,$Z45:$Z$55)),""),"")</f>
        <v>3</v>
      </c>
      <c r="Z46" s="122">
        <v>1</v>
      </c>
      <c r="AA46" s="122">
        <v>1</v>
      </c>
      <c r="AB46" s="123"/>
      <c r="AC46" s="123"/>
      <c r="AD46" s="131"/>
      <c r="AE46" s="124"/>
      <c r="AF46" s="124"/>
      <c r="AG46" s="124"/>
      <c r="AH46" s="124"/>
      <c r="AI46" s="124"/>
      <c r="AJ46" s="124"/>
      <c r="AK46" s="124"/>
      <c r="AL46" s="124"/>
      <c r="AM46" s="124"/>
      <c r="AN46" s="124"/>
      <c r="AO46" s="124"/>
      <c r="AP46" s="124"/>
      <c r="AQ46" s="124"/>
      <c r="AR46" s="124"/>
      <c r="AS46" s="124"/>
      <c r="AT46" s="124"/>
      <c r="AU46" s="124"/>
      <c r="AV46" s="124"/>
      <c r="AW46" s="124"/>
      <c r="AX46" s="124"/>
      <c r="AY46" s="124"/>
      <c r="AZ46" s="124"/>
      <c r="BA46" s="124"/>
      <c r="BB46" s="124"/>
      <c r="BC46" s="124"/>
      <c r="BD46" s="124"/>
      <c r="BE46" s="124"/>
      <c r="BF46" s="124"/>
      <c r="BG46" s="124"/>
      <c r="BH46" s="124"/>
      <c r="BI46" s="124"/>
      <c r="BJ46" s="124"/>
      <c r="BK46" s="124"/>
      <c r="BL46" s="124"/>
      <c r="BM46" s="124"/>
      <c r="BN46" s="124"/>
      <c r="BO46" s="124"/>
      <c r="BP46" s="124"/>
      <c r="BQ46" s="124"/>
      <c r="BR46" s="124"/>
      <c r="BS46" s="124"/>
      <c r="BT46" s="124"/>
      <c r="BU46" s="124"/>
      <c r="BV46" s="124"/>
      <c r="BW46" s="124"/>
      <c r="BX46" s="124"/>
      <c r="BY46" s="124"/>
      <c r="BZ46" s="124"/>
      <c r="CA46" s="124"/>
      <c r="CB46" s="124"/>
      <c r="CC46" s="124"/>
      <c r="CD46" s="124"/>
      <c r="CE46" s="124"/>
      <c r="CF46" s="124"/>
      <c r="CG46" s="124"/>
      <c r="CH46" s="124"/>
      <c r="CI46" s="124"/>
      <c r="CJ46" s="124"/>
      <c r="CK46" s="124"/>
      <c r="CL46" s="124"/>
      <c r="CM46" s="124"/>
      <c r="CN46" s="124"/>
      <c r="CO46" s="124"/>
      <c r="CP46" s="124"/>
      <c r="CQ46" s="124"/>
      <c r="CR46" s="124"/>
      <c r="CS46" s="124"/>
      <c r="CT46" s="124"/>
      <c r="CU46" s="124"/>
      <c r="CV46" s="124"/>
      <c r="CW46" s="124"/>
      <c r="CX46" s="124"/>
      <c r="CY46" s="124"/>
      <c r="CZ46" s="124"/>
      <c r="DA46" s="124"/>
      <c r="DB46" s="124"/>
      <c r="DC46" s="124"/>
      <c r="DD46" s="124"/>
      <c r="DE46" s="124"/>
      <c r="DF46" s="124"/>
      <c r="DG46" s="124"/>
      <c r="DH46" s="124"/>
      <c r="DI46" s="124"/>
      <c r="DJ46" s="124"/>
      <c r="DK46" s="124"/>
      <c r="DL46" s="124"/>
      <c r="DM46" s="124"/>
      <c r="DN46" s="124"/>
      <c r="DO46" s="124"/>
      <c r="DP46" s="124"/>
      <c r="DQ46" s="124"/>
      <c r="DR46" s="124"/>
      <c r="DS46" s="124"/>
      <c r="DT46" s="124"/>
      <c r="DU46" s="124"/>
      <c r="DV46" s="124"/>
      <c r="DW46" s="124"/>
      <c r="DX46" s="124"/>
      <c r="DY46" s="124"/>
      <c r="DZ46" s="124"/>
      <c r="EA46" s="124"/>
      <c r="EB46" s="124"/>
      <c r="EC46" s="124"/>
      <c r="ED46" s="124"/>
      <c r="EE46" s="124"/>
      <c r="EF46" s="124"/>
      <c r="EG46" s="124"/>
      <c r="EH46" s="124"/>
      <c r="EI46" s="124"/>
      <c r="EJ46" s="124"/>
      <c r="EK46" s="124"/>
      <c r="EL46" s="124"/>
      <c r="EM46" s="124"/>
      <c r="EN46" s="124"/>
      <c r="EO46" s="124"/>
      <c r="EP46" s="124"/>
      <c r="EQ46" s="124"/>
      <c r="ER46" s="124"/>
      <c r="ES46" s="124"/>
      <c r="ET46" s="124"/>
      <c r="EU46" s="124"/>
      <c r="EV46" s="124"/>
      <c r="EW46" s="124"/>
      <c r="EX46" s="124"/>
      <c r="EY46" s="124"/>
      <c r="EZ46" s="124"/>
      <c r="FA46" s="124"/>
      <c r="FB46" s="124"/>
      <c r="FC46" s="124"/>
      <c r="FD46" s="124"/>
      <c r="FE46" s="124"/>
      <c r="FF46" s="124"/>
      <c r="FG46" s="124"/>
      <c r="FH46" s="124"/>
      <c r="FI46" s="124"/>
      <c r="FJ46" s="124"/>
      <c r="FK46" s="124"/>
      <c r="FL46" s="124"/>
      <c r="FM46" s="124"/>
      <c r="FN46" s="124"/>
      <c r="FO46" s="124"/>
      <c r="FP46" s="124"/>
      <c r="FQ46" s="124"/>
      <c r="FR46" s="124"/>
      <c r="FS46" s="124"/>
      <c r="FT46" s="124"/>
      <c r="FU46" s="124"/>
      <c r="FV46" s="124"/>
      <c r="FW46" s="124"/>
      <c r="FX46" s="124"/>
      <c r="FY46" s="124"/>
      <c r="FZ46" s="124"/>
      <c r="GA46" s="124"/>
      <c r="GB46" s="124"/>
      <c r="GC46" s="124"/>
      <c r="GD46" s="124"/>
      <c r="GE46" s="124"/>
      <c r="GF46" s="124"/>
      <c r="GG46" s="124"/>
      <c r="GH46" s="124"/>
      <c r="GI46" s="124"/>
      <c r="GJ46" s="124"/>
      <c r="GK46" s="124"/>
      <c r="GL46" s="124"/>
      <c r="GM46" s="124"/>
      <c r="GN46" s="124"/>
      <c r="GO46" s="124"/>
      <c r="GP46" s="124"/>
      <c r="GQ46" s="124"/>
      <c r="GR46" s="124"/>
      <c r="GS46" s="124"/>
      <c r="GT46" s="124"/>
      <c r="GU46" s="124"/>
      <c r="GV46" s="124"/>
      <c r="GW46" s="124"/>
      <c r="GX46" s="124"/>
      <c r="GY46" s="124"/>
      <c r="GZ46" s="124"/>
      <c r="HA46" s="124"/>
      <c r="HB46" s="124"/>
      <c r="HC46" s="124"/>
      <c r="HD46" s="124"/>
      <c r="HE46" s="124"/>
      <c r="HF46" s="124"/>
      <c r="HG46" s="124"/>
      <c r="HH46" s="124"/>
      <c r="HI46" s="124"/>
      <c r="HJ46" s="124"/>
      <c r="HK46" s="124"/>
      <c r="HL46" s="124"/>
      <c r="HM46" s="124"/>
      <c r="HN46" s="124"/>
      <c r="HO46" s="124"/>
      <c r="HP46" s="124"/>
      <c r="HQ46" s="124"/>
      <c r="HR46" s="124"/>
      <c r="HS46" s="124"/>
      <c r="HT46" s="124"/>
      <c r="HU46" s="124"/>
      <c r="HV46" s="124"/>
      <c r="HW46" s="124"/>
      <c r="HX46" s="124"/>
      <c r="HY46" s="124"/>
      <c r="HZ46" s="124"/>
      <c r="IA46" s="124"/>
      <c r="IB46" s="124"/>
      <c r="IC46" s="124"/>
      <c r="ID46" s="124"/>
      <c r="IE46" s="124"/>
      <c r="IF46" s="124"/>
      <c r="IG46" s="124"/>
      <c r="IH46" s="124"/>
      <c r="II46" s="124"/>
      <c r="IJ46" s="124"/>
      <c r="IK46" s="124"/>
      <c r="IL46" s="124"/>
      <c r="IM46" s="124"/>
      <c r="IN46" s="124"/>
      <c r="IO46" s="124"/>
      <c r="IP46" s="124"/>
      <c r="IQ46" s="124"/>
      <c r="IR46" s="124"/>
      <c r="IS46" s="124"/>
      <c r="IT46" s="124"/>
      <c r="IU46" s="124"/>
      <c r="IV46" s="124"/>
      <c r="IW46" s="124"/>
      <c r="IX46" s="124"/>
      <c r="IY46" s="124"/>
    </row>
    <row r="47" spans="1:259" s="125" customFormat="1">
      <c r="A47" s="127" t="s">
        <v>78</v>
      </c>
      <c r="B47" s="112">
        <v>46014</v>
      </c>
      <c r="C47" s="132" t="s">
        <v>57</v>
      </c>
      <c r="D47" s="117">
        <v>60335.5</v>
      </c>
      <c r="E47" s="115">
        <v>10</v>
      </c>
      <c r="F47" s="116">
        <f t="shared" si="10"/>
        <v>6033.55</v>
      </c>
      <c r="G47" s="115">
        <v>6</v>
      </c>
      <c r="H47" s="116">
        <f t="shared" si="11"/>
        <v>10055.916666666666</v>
      </c>
      <c r="I47" s="115">
        <v>83</v>
      </c>
      <c r="J47" s="117">
        <f t="shared" si="12"/>
        <v>1.6666666666666667</v>
      </c>
      <c r="K47" s="115"/>
      <c r="L47" s="115"/>
      <c r="M47" s="115"/>
      <c r="N47" s="115"/>
      <c r="O47" s="115">
        <f>'Козлова В. Э.'!N40</f>
        <v>7490</v>
      </c>
      <c r="P47" s="118"/>
      <c r="Q47" s="118"/>
      <c r="R47" s="99">
        <f t="shared" si="13"/>
        <v>7.2289156626506021E-2</v>
      </c>
      <c r="S47" s="119">
        <f t="shared" si="14"/>
        <v>0.27944387706321572</v>
      </c>
      <c r="T47" s="120">
        <f t="shared" si="15"/>
        <v>215912.76443087324</v>
      </c>
      <c r="U47" s="121">
        <f t="shared" si="16"/>
        <v>26.362974899984522</v>
      </c>
      <c r="V47" s="121">
        <f t="shared" si="17"/>
        <v>15.692246964276501</v>
      </c>
      <c r="W47" s="120">
        <f t="shared" si="18"/>
        <v>60335.5</v>
      </c>
      <c r="X47" s="121">
        <f t="shared" ref="X47:X55" si="22">IF(AA47&lt;&gt;"",IF(E47&lt;&gt;"",E47,($I$9-SUM($X$25:X46))*Z47*AA47/SUMPRODUCT($AA47:$AA$55,$Z47:$Z$55)),"")</f>
        <v>10</v>
      </c>
      <c r="Y47" s="121">
        <f t="shared" ref="Y47:Y55" si="23">IF(AA47&lt;&gt;"",IF($I$12&lt;&gt;"",IF(G47&lt;&gt;"",G47,($I$9/$I$12-SUM($Y$25:Y46))*Z47*AA47/SUMPRODUCT($AA47:$AA$55,$Z47:$Z$55)),""),"")</f>
        <v>6</v>
      </c>
      <c r="Z47" s="122">
        <v>1</v>
      </c>
      <c r="AA47" s="122">
        <v>1</v>
      </c>
      <c r="AB47" s="123"/>
      <c r="AC47" s="123"/>
      <c r="AD47" s="131"/>
      <c r="AE47" s="124"/>
      <c r="AF47" s="124"/>
      <c r="AG47" s="124"/>
      <c r="AH47" s="124"/>
      <c r="AI47" s="124"/>
      <c r="AJ47" s="124"/>
      <c r="AK47" s="124"/>
      <c r="AL47" s="124"/>
      <c r="AM47" s="124"/>
      <c r="AN47" s="124"/>
      <c r="AO47" s="124"/>
      <c r="AP47" s="124"/>
      <c r="AQ47" s="124"/>
      <c r="AR47" s="124"/>
      <c r="AS47" s="124"/>
      <c r="AT47" s="124"/>
      <c r="AU47" s="124"/>
      <c r="AV47" s="124"/>
      <c r="AW47" s="124"/>
      <c r="AX47" s="124"/>
      <c r="AY47" s="124"/>
      <c r="AZ47" s="124"/>
      <c r="BA47" s="124"/>
      <c r="BB47" s="124"/>
      <c r="BC47" s="124"/>
      <c r="BD47" s="124"/>
      <c r="BE47" s="124"/>
      <c r="BF47" s="124"/>
      <c r="BG47" s="124"/>
      <c r="BH47" s="124"/>
      <c r="BI47" s="124"/>
      <c r="BJ47" s="124"/>
      <c r="BK47" s="124"/>
      <c r="BL47" s="124"/>
      <c r="BM47" s="124"/>
      <c r="BN47" s="124"/>
      <c r="BO47" s="124"/>
      <c r="BP47" s="124"/>
      <c r="BQ47" s="124"/>
      <c r="BR47" s="124"/>
      <c r="BS47" s="124"/>
      <c r="BT47" s="124"/>
      <c r="BU47" s="124"/>
      <c r="BV47" s="124"/>
      <c r="BW47" s="124"/>
      <c r="BX47" s="124"/>
      <c r="BY47" s="124"/>
      <c r="BZ47" s="124"/>
      <c r="CA47" s="124"/>
      <c r="CB47" s="124"/>
      <c r="CC47" s="124"/>
      <c r="CD47" s="124"/>
      <c r="CE47" s="124"/>
      <c r="CF47" s="124"/>
      <c r="CG47" s="124"/>
      <c r="CH47" s="124"/>
      <c r="CI47" s="124"/>
      <c r="CJ47" s="124"/>
      <c r="CK47" s="124"/>
      <c r="CL47" s="124"/>
      <c r="CM47" s="124"/>
      <c r="CN47" s="124"/>
      <c r="CO47" s="124"/>
      <c r="CP47" s="124"/>
      <c r="CQ47" s="124"/>
      <c r="CR47" s="124"/>
      <c r="CS47" s="124"/>
      <c r="CT47" s="124"/>
      <c r="CU47" s="124"/>
      <c r="CV47" s="124"/>
      <c r="CW47" s="124"/>
      <c r="CX47" s="124"/>
      <c r="CY47" s="124"/>
      <c r="CZ47" s="124"/>
      <c r="DA47" s="124"/>
      <c r="DB47" s="124"/>
      <c r="DC47" s="124"/>
      <c r="DD47" s="124"/>
      <c r="DE47" s="124"/>
      <c r="DF47" s="124"/>
      <c r="DG47" s="124"/>
      <c r="DH47" s="124"/>
      <c r="DI47" s="124"/>
      <c r="DJ47" s="124"/>
      <c r="DK47" s="124"/>
      <c r="DL47" s="124"/>
      <c r="DM47" s="124"/>
      <c r="DN47" s="124"/>
      <c r="DO47" s="124"/>
      <c r="DP47" s="124"/>
      <c r="DQ47" s="124"/>
      <c r="DR47" s="124"/>
      <c r="DS47" s="124"/>
      <c r="DT47" s="124"/>
      <c r="DU47" s="124"/>
      <c r="DV47" s="124"/>
      <c r="DW47" s="124"/>
      <c r="DX47" s="124"/>
      <c r="DY47" s="124"/>
      <c r="DZ47" s="124"/>
      <c r="EA47" s="124"/>
      <c r="EB47" s="124"/>
      <c r="EC47" s="124"/>
      <c r="ED47" s="124"/>
      <c r="EE47" s="124"/>
      <c r="EF47" s="124"/>
      <c r="EG47" s="124"/>
      <c r="EH47" s="124"/>
      <c r="EI47" s="124"/>
      <c r="EJ47" s="124"/>
      <c r="EK47" s="124"/>
      <c r="EL47" s="124"/>
      <c r="EM47" s="124"/>
      <c r="EN47" s="124"/>
      <c r="EO47" s="124"/>
      <c r="EP47" s="124"/>
      <c r="EQ47" s="124"/>
      <c r="ER47" s="124"/>
      <c r="ES47" s="124"/>
      <c r="ET47" s="124"/>
      <c r="EU47" s="124"/>
      <c r="EV47" s="124"/>
      <c r="EW47" s="124"/>
      <c r="EX47" s="124"/>
      <c r="EY47" s="124"/>
      <c r="EZ47" s="124"/>
      <c r="FA47" s="124"/>
      <c r="FB47" s="124"/>
      <c r="FC47" s="124"/>
      <c r="FD47" s="124"/>
      <c r="FE47" s="124"/>
      <c r="FF47" s="124"/>
      <c r="FG47" s="124"/>
      <c r="FH47" s="124"/>
      <c r="FI47" s="124"/>
      <c r="FJ47" s="124"/>
      <c r="FK47" s="124"/>
      <c r="FL47" s="124"/>
      <c r="FM47" s="124"/>
      <c r="FN47" s="124"/>
      <c r="FO47" s="124"/>
      <c r="FP47" s="124"/>
      <c r="FQ47" s="124"/>
      <c r="FR47" s="124"/>
      <c r="FS47" s="124"/>
      <c r="FT47" s="124"/>
      <c r="FU47" s="124"/>
      <c r="FV47" s="124"/>
      <c r="FW47" s="124"/>
      <c r="FX47" s="124"/>
      <c r="FY47" s="124"/>
      <c r="FZ47" s="124"/>
      <c r="GA47" s="124"/>
      <c r="GB47" s="124"/>
      <c r="GC47" s="124"/>
      <c r="GD47" s="124"/>
      <c r="GE47" s="124"/>
      <c r="GF47" s="124"/>
      <c r="GG47" s="124"/>
      <c r="GH47" s="124"/>
      <c r="GI47" s="124"/>
      <c r="GJ47" s="124"/>
      <c r="GK47" s="124"/>
      <c r="GL47" s="124"/>
      <c r="GM47" s="124"/>
      <c r="GN47" s="124"/>
      <c r="GO47" s="124"/>
      <c r="GP47" s="124"/>
      <c r="GQ47" s="124"/>
      <c r="GR47" s="124"/>
      <c r="GS47" s="124"/>
      <c r="GT47" s="124"/>
      <c r="GU47" s="124"/>
      <c r="GV47" s="124"/>
      <c r="GW47" s="124"/>
      <c r="GX47" s="124"/>
      <c r="GY47" s="124"/>
      <c r="GZ47" s="124"/>
      <c r="HA47" s="124"/>
      <c r="HB47" s="124"/>
      <c r="HC47" s="124"/>
      <c r="HD47" s="124"/>
      <c r="HE47" s="124"/>
      <c r="HF47" s="124"/>
      <c r="HG47" s="124"/>
      <c r="HH47" s="124"/>
      <c r="HI47" s="124"/>
      <c r="HJ47" s="124"/>
      <c r="HK47" s="124"/>
      <c r="HL47" s="124"/>
      <c r="HM47" s="124"/>
      <c r="HN47" s="124"/>
      <c r="HO47" s="124"/>
      <c r="HP47" s="124"/>
      <c r="HQ47" s="124"/>
      <c r="HR47" s="124"/>
      <c r="HS47" s="124"/>
      <c r="HT47" s="124"/>
      <c r="HU47" s="124"/>
      <c r="HV47" s="124"/>
      <c r="HW47" s="124"/>
      <c r="HX47" s="124"/>
      <c r="HY47" s="124"/>
      <c r="HZ47" s="124"/>
      <c r="IA47" s="124"/>
      <c r="IB47" s="124"/>
      <c r="IC47" s="124"/>
      <c r="ID47" s="124"/>
      <c r="IE47" s="124"/>
      <c r="IF47" s="124"/>
      <c r="IG47" s="124"/>
      <c r="IH47" s="124"/>
      <c r="II47" s="124"/>
      <c r="IJ47" s="124"/>
      <c r="IK47" s="124"/>
      <c r="IL47" s="124"/>
      <c r="IM47" s="124"/>
      <c r="IN47" s="124"/>
      <c r="IO47" s="124"/>
      <c r="IP47" s="124"/>
      <c r="IQ47" s="124"/>
      <c r="IR47" s="124"/>
      <c r="IS47" s="124"/>
      <c r="IT47" s="124"/>
      <c r="IU47" s="124"/>
      <c r="IV47" s="124"/>
      <c r="IW47" s="124"/>
      <c r="IX47" s="124"/>
      <c r="IY47" s="124"/>
    </row>
    <row r="48" spans="1:259" s="125" customFormat="1">
      <c r="A48" s="127" t="s">
        <v>79</v>
      </c>
      <c r="B48" s="112">
        <v>46015</v>
      </c>
      <c r="C48" s="130" t="s">
        <v>59</v>
      </c>
      <c r="D48" s="117">
        <v>108323</v>
      </c>
      <c r="E48" s="115">
        <v>9</v>
      </c>
      <c r="F48" s="116">
        <f t="shared" si="10"/>
        <v>12035.888888888889</v>
      </c>
      <c r="G48" s="115">
        <v>7</v>
      </c>
      <c r="H48" s="116">
        <f t="shared" si="11"/>
        <v>15474.714285714286</v>
      </c>
      <c r="I48" s="115">
        <v>80</v>
      </c>
      <c r="J48" s="117">
        <f t="shared" si="12"/>
        <v>1.2857142857142858</v>
      </c>
      <c r="K48" s="115"/>
      <c r="L48" s="115"/>
      <c r="M48" s="115"/>
      <c r="N48" s="115"/>
      <c r="O48" s="115"/>
      <c r="P48" s="118"/>
      <c r="Q48" s="118"/>
      <c r="R48" s="99">
        <f t="shared" si="13"/>
        <v>8.7499999999999994E-2</v>
      </c>
      <c r="S48" s="119">
        <f t="shared" si="14"/>
        <v>0.50169799032275719</v>
      </c>
      <c r="T48" s="120">
        <f t="shared" si="15"/>
        <v>215912.76443087324</v>
      </c>
      <c r="U48" s="121">
        <f t="shared" si="16"/>
        <v>26.362974899984522</v>
      </c>
      <c r="V48" s="121">
        <f t="shared" si="17"/>
        <v>15.692246964276501</v>
      </c>
      <c r="W48" s="120">
        <f t="shared" si="18"/>
        <v>108323</v>
      </c>
      <c r="X48" s="121">
        <f t="shared" si="22"/>
        <v>9</v>
      </c>
      <c r="Y48" s="121">
        <f t="shared" si="23"/>
        <v>7</v>
      </c>
      <c r="Z48" s="122">
        <v>1</v>
      </c>
      <c r="AA48" s="122">
        <v>1</v>
      </c>
      <c r="AB48" s="123"/>
      <c r="AC48" s="123"/>
      <c r="AD48" s="131"/>
      <c r="AE48" s="124"/>
      <c r="AF48" s="124"/>
      <c r="AG48" s="124"/>
      <c r="AH48" s="124"/>
      <c r="AI48" s="124"/>
      <c r="AJ48" s="124"/>
      <c r="AK48" s="124"/>
      <c r="AL48" s="124"/>
      <c r="AM48" s="124"/>
      <c r="AN48" s="124"/>
    </row>
    <row r="49" spans="1:259" s="125" customFormat="1">
      <c r="A49" s="127" t="s">
        <v>80</v>
      </c>
      <c r="B49" s="112">
        <v>46016</v>
      </c>
      <c r="C49" s="132" t="s">
        <v>61</v>
      </c>
      <c r="D49" s="117">
        <v>71891</v>
      </c>
      <c r="E49" s="115">
        <v>9</v>
      </c>
      <c r="F49" s="116">
        <f t="shared" si="10"/>
        <v>7987.8888888888887</v>
      </c>
      <c r="G49" s="115">
        <v>7</v>
      </c>
      <c r="H49" s="116">
        <f t="shared" si="11"/>
        <v>10270.142857142857</v>
      </c>
      <c r="I49" s="115">
        <v>102</v>
      </c>
      <c r="J49" s="117">
        <f t="shared" si="12"/>
        <v>1.2857142857142858</v>
      </c>
      <c r="K49" s="115"/>
      <c r="L49" s="115"/>
      <c r="M49" s="115"/>
      <c r="N49" s="115"/>
      <c r="O49" s="115"/>
      <c r="P49" s="118"/>
      <c r="Q49" s="118"/>
      <c r="R49" s="99">
        <f t="shared" si="13"/>
        <v>6.8627450980392163E-2</v>
      </c>
      <c r="S49" s="119">
        <f t="shared" si="14"/>
        <v>0.33296317700112937</v>
      </c>
      <c r="T49" s="120">
        <f t="shared" si="15"/>
        <v>215912.76443087324</v>
      </c>
      <c r="U49" s="121">
        <f t="shared" si="16"/>
        <v>26.362974899984522</v>
      </c>
      <c r="V49" s="121">
        <f t="shared" si="17"/>
        <v>15.692246964276501</v>
      </c>
      <c r="W49" s="120">
        <f t="shared" si="18"/>
        <v>71891</v>
      </c>
      <c r="X49" s="121">
        <f t="shared" si="22"/>
        <v>9</v>
      </c>
      <c r="Y49" s="121">
        <f t="shared" si="23"/>
        <v>7</v>
      </c>
      <c r="Z49" s="122">
        <v>1</v>
      </c>
      <c r="AA49" s="122">
        <v>1</v>
      </c>
      <c r="AB49" s="123"/>
      <c r="AC49" s="123"/>
      <c r="AD49" s="131"/>
      <c r="AE49" s="124"/>
      <c r="AF49" s="124"/>
      <c r="AG49" s="124"/>
      <c r="AH49" s="124"/>
      <c r="AI49" s="124"/>
      <c r="AJ49" s="124"/>
      <c r="AK49" s="124"/>
      <c r="AL49" s="124"/>
      <c r="AM49" s="124"/>
      <c r="AN49" s="124"/>
    </row>
    <row r="50" spans="1:259" s="125" customFormat="1">
      <c r="A50" s="127" t="s">
        <v>80</v>
      </c>
      <c r="B50" s="112">
        <v>46017</v>
      </c>
      <c r="C50" s="130" t="s">
        <v>63</v>
      </c>
      <c r="D50" s="117">
        <v>98940.37</v>
      </c>
      <c r="E50" s="115">
        <v>12</v>
      </c>
      <c r="F50" s="133">
        <f t="shared" si="10"/>
        <v>8245.0308333333323</v>
      </c>
      <c r="G50" s="129">
        <v>9</v>
      </c>
      <c r="H50" s="116">
        <f t="shared" si="11"/>
        <v>10993.374444444444</v>
      </c>
      <c r="I50" s="115">
        <v>100</v>
      </c>
      <c r="J50" s="117">
        <f t="shared" si="12"/>
        <v>1.3333333333333333</v>
      </c>
      <c r="K50" s="115">
        <f>'Корж А. А.'!K40+'Доп сотрудник'!K38</f>
        <v>38465</v>
      </c>
      <c r="L50" s="115"/>
      <c r="M50" s="115"/>
      <c r="N50" s="115"/>
      <c r="O50" s="115">
        <f>'Свидовская С. А.'!O41</f>
        <v>6027.5</v>
      </c>
      <c r="P50" s="118"/>
      <c r="Q50" s="118">
        <f>'Стекольщикова А. А.'!Q43</f>
        <v>9602</v>
      </c>
      <c r="R50" s="99">
        <f t="shared" si="13"/>
        <v>0.09</v>
      </c>
      <c r="S50" s="119">
        <f t="shared" si="14"/>
        <v>0.31822384590780212</v>
      </c>
      <c r="T50" s="120">
        <f t="shared" si="15"/>
        <v>310914.3807804574</v>
      </c>
      <c r="U50" s="121">
        <f t="shared" si="16"/>
        <v>37.962683855977708</v>
      </c>
      <c r="V50" s="121">
        <f t="shared" si="17"/>
        <v>22.596835628558161</v>
      </c>
      <c r="W50" s="120">
        <f t="shared" si="18"/>
        <v>98940.37</v>
      </c>
      <c r="X50" s="121">
        <f t="shared" si="22"/>
        <v>12</v>
      </c>
      <c r="Y50" s="121">
        <f t="shared" si="23"/>
        <v>9</v>
      </c>
      <c r="Z50" s="122">
        <v>1.2</v>
      </c>
      <c r="AA50" s="122">
        <v>1.2</v>
      </c>
      <c r="AB50" s="123"/>
      <c r="AC50" s="123"/>
      <c r="AD50" s="131"/>
      <c r="AE50" s="124"/>
      <c r="AF50" s="124"/>
      <c r="AG50" s="124"/>
      <c r="AH50" s="124"/>
      <c r="AI50" s="124"/>
      <c r="AJ50" s="124"/>
      <c r="AK50" s="124"/>
      <c r="AL50" s="124"/>
      <c r="AM50" s="124"/>
      <c r="AN50" s="124"/>
    </row>
    <row r="51" spans="1:259" s="125" customFormat="1">
      <c r="A51" s="127" t="s">
        <v>81</v>
      </c>
      <c r="B51" s="112">
        <v>46018</v>
      </c>
      <c r="C51" s="132" t="s">
        <v>65</v>
      </c>
      <c r="D51" s="117">
        <v>159218</v>
      </c>
      <c r="E51" s="115">
        <v>16</v>
      </c>
      <c r="F51" s="116">
        <f t="shared" si="10"/>
        <v>9951.125</v>
      </c>
      <c r="G51" s="115">
        <v>16</v>
      </c>
      <c r="H51" s="116">
        <f t="shared" si="11"/>
        <v>9951.125</v>
      </c>
      <c r="I51" s="115">
        <v>113</v>
      </c>
      <c r="J51" s="117">
        <f t="shared" si="12"/>
        <v>1</v>
      </c>
      <c r="K51" s="115"/>
      <c r="L51" s="115"/>
      <c r="M51" s="115"/>
      <c r="N51" s="115"/>
      <c r="O51" s="115"/>
      <c r="P51" s="118"/>
      <c r="Q51" s="118"/>
      <c r="R51" s="99">
        <f t="shared" si="13"/>
        <v>0.1415929203539823</v>
      </c>
      <c r="S51" s="119">
        <f t="shared" si="14"/>
        <v>0.51209596545624847</v>
      </c>
      <c r="T51" s="120">
        <f t="shared" si="15"/>
        <v>310914.3807804574</v>
      </c>
      <c r="U51" s="121">
        <f t="shared" si="16"/>
        <v>37.962683855977708</v>
      </c>
      <c r="V51" s="121">
        <f t="shared" si="17"/>
        <v>22.596835628558161</v>
      </c>
      <c r="W51" s="120">
        <f t="shared" si="18"/>
        <v>159218</v>
      </c>
      <c r="X51" s="121">
        <f t="shared" si="22"/>
        <v>16</v>
      </c>
      <c r="Y51" s="121">
        <f t="shared" si="23"/>
        <v>16</v>
      </c>
      <c r="Z51" s="122">
        <v>1.2</v>
      </c>
      <c r="AA51" s="122">
        <v>1.2</v>
      </c>
      <c r="AB51" s="123"/>
      <c r="AC51" s="123"/>
      <c r="AD51" s="131"/>
      <c r="AE51" s="124"/>
      <c r="AF51" s="124"/>
      <c r="AG51" s="124"/>
      <c r="AH51" s="124"/>
      <c r="AI51" s="124"/>
      <c r="AJ51" s="124"/>
      <c r="AK51" s="124"/>
      <c r="AL51" s="124"/>
      <c r="AM51" s="124"/>
      <c r="AN51" s="124"/>
    </row>
    <row r="52" spans="1:259" s="125" customFormat="1">
      <c r="A52" s="127" t="s">
        <v>82</v>
      </c>
      <c r="B52" s="112">
        <v>46019</v>
      </c>
      <c r="C52" s="130" t="s">
        <v>67</v>
      </c>
      <c r="D52" s="117">
        <v>151582</v>
      </c>
      <c r="E52" s="115">
        <v>21</v>
      </c>
      <c r="F52" s="116">
        <f t="shared" si="10"/>
        <v>7218.1904761904761</v>
      </c>
      <c r="G52" s="115">
        <v>13</v>
      </c>
      <c r="H52" s="116">
        <f t="shared" si="11"/>
        <v>11660.153846153846</v>
      </c>
      <c r="I52" s="115">
        <v>137</v>
      </c>
      <c r="J52" s="117">
        <f t="shared" si="12"/>
        <v>1.6153846153846154</v>
      </c>
      <c r="K52" s="115">
        <f>'Стекольщикова А. А.'!K46+'Доп сотрудник'!K40</f>
        <v>39573</v>
      </c>
      <c r="L52" s="115"/>
      <c r="M52" s="115">
        <f>'Доп сотрудник'!M40</f>
        <v>16293</v>
      </c>
      <c r="N52" s="115"/>
      <c r="O52" s="115"/>
      <c r="P52" s="118"/>
      <c r="Q52" s="118">
        <f>'Доп сотрудник'!P40</f>
        <v>7093</v>
      </c>
      <c r="R52" s="99">
        <f t="shared" si="13"/>
        <v>9.4890510948905105E-2</v>
      </c>
      <c r="S52" s="119">
        <f t="shared" si="14"/>
        <v>0.48753614940389312</v>
      </c>
      <c r="T52" s="120">
        <f t="shared" si="15"/>
        <v>310914.3807804574</v>
      </c>
      <c r="U52" s="121">
        <f t="shared" si="16"/>
        <v>37.962683855977708</v>
      </c>
      <c r="V52" s="121">
        <f t="shared" si="17"/>
        <v>22.596835628558161</v>
      </c>
      <c r="W52" s="120">
        <f t="shared" si="18"/>
        <v>151582</v>
      </c>
      <c r="X52" s="121">
        <f t="shared" si="22"/>
        <v>21</v>
      </c>
      <c r="Y52" s="121">
        <f t="shared" si="23"/>
        <v>13</v>
      </c>
      <c r="Z52" s="122">
        <v>1.2</v>
      </c>
      <c r="AA52" s="122">
        <v>1.2</v>
      </c>
      <c r="AB52" s="123"/>
      <c r="AC52" s="123"/>
      <c r="AD52" s="131"/>
      <c r="AE52" s="124"/>
      <c r="AF52" s="124"/>
      <c r="AG52" s="124"/>
      <c r="AH52" s="124"/>
      <c r="AI52" s="124"/>
      <c r="AJ52" s="124"/>
      <c r="AK52" s="124"/>
      <c r="AL52" s="124"/>
      <c r="AM52" s="124"/>
      <c r="AN52" s="124"/>
      <c r="AO52" s="124"/>
      <c r="AP52" s="124"/>
      <c r="AQ52" s="124"/>
      <c r="AR52" s="124"/>
      <c r="AS52" s="124"/>
      <c r="AT52" s="124"/>
      <c r="AU52" s="124"/>
      <c r="AV52" s="124"/>
      <c r="AW52" s="124"/>
      <c r="AX52" s="124"/>
      <c r="AY52" s="124"/>
      <c r="AZ52" s="124"/>
      <c r="BA52" s="124"/>
      <c r="BB52" s="124"/>
      <c r="BC52" s="124"/>
      <c r="BD52" s="124"/>
      <c r="BE52" s="124"/>
      <c r="BF52" s="124"/>
      <c r="BG52" s="124"/>
      <c r="BH52" s="124"/>
      <c r="BI52" s="124"/>
      <c r="BJ52" s="124"/>
      <c r="BK52" s="124"/>
      <c r="BL52" s="124"/>
      <c r="BM52" s="124"/>
      <c r="BN52" s="124"/>
      <c r="BO52" s="124"/>
      <c r="BP52" s="124"/>
      <c r="BQ52" s="124"/>
      <c r="BR52" s="124"/>
      <c r="BS52" s="124"/>
      <c r="BT52" s="124"/>
      <c r="BU52" s="124"/>
      <c r="BV52" s="124"/>
      <c r="BW52" s="124"/>
      <c r="BX52" s="124"/>
      <c r="BY52" s="124"/>
      <c r="BZ52" s="124"/>
      <c r="CA52" s="124"/>
      <c r="CB52" s="124"/>
      <c r="CC52" s="124"/>
      <c r="CD52" s="124"/>
      <c r="CE52" s="124"/>
      <c r="CF52" s="124"/>
      <c r="CG52" s="124"/>
      <c r="CH52" s="124"/>
      <c r="CI52" s="124"/>
      <c r="CJ52" s="124"/>
      <c r="CK52" s="124"/>
      <c r="CL52" s="124"/>
      <c r="CM52" s="124"/>
      <c r="CN52" s="124"/>
      <c r="CO52" s="124"/>
      <c r="CP52" s="124"/>
      <c r="CQ52" s="124"/>
      <c r="CR52" s="124"/>
      <c r="CS52" s="124"/>
      <c r="CT52" s="124"/>
      <c r="CU52" s="124"/>
      <c r="CV52" s="124"/>
      <c r="CW52" s="124"/>
      <c r="CX52" s="124"/>
      <c r="CY52" s="124"/>
      <c r="CZ52" s="124"/>
      <c r="DA52" s="124"/>
      <c r="DB52" s="124"/>
      <c r="DC52" s="124"/>
      <c r="DD52" s="124"/>
      <c r="DE52" s="124"/>
      <c r="DF52" s="124"/>
      <c r="DG52" s="124"/>
      <c r="DH52" s="124"/>
      <c r="DI52" s="124"/>
      <c r="DJ52" s="124"/>
      <c r="DK52" s="124"/>
      <c r="DL52" s="124"/>
      <c r="DM52" s="124"/>
      <c r="DN52" s="124"/>
      <c r="DO52" s="124"/>
      <c r="DP52" s="124"/>
      <c r="DQ52" s="124"/>
      <c r="DR52" s="124"/>
      <c r="DS52" s="124"/>
      <c r="DT52" s="124"/>
      <c r="DU52" s="124"/>
      <c r="DV52" s="124"/>
      <c r="DW52" s="124"/>
      <c r="DX52" s="124"/>
      <c r="DY52" s="124"/>
      <c r="DZ52" s="124"/>
      <c r="EA52" s="124"/>
      <c r="EB52" s="124"/>
      <c r="EC52" s="124"/>
      <c r="ED52" s="124"/>
      <c r="EE52" s="124"/>
      <c r="EF52" s="124"/>
      <c r="EG52" s="124"/>
      <c r="EH52" s="124"/>
      <c r="EI52" s="124"/>
      <c r="EJ52" s="124"/>
      <c r="EK52" s="124"/>
      <c r="EL52" s="124"/>
      <c r="EM52" s="124"/>
      <c r="EN52" s="124"/>
      <c r="EO52" s="124"/>
      <c r="EP52" s="124"/>
      <c r="EQ52" s="124"/>
      <c r="ER52" s="124"/>
      <c r="ES52" s="124"/>
      <c r="ET52" s="124"/>
      <c r="EU52" s="124"/>
      <c r="EV52" s="124"/>
      <c r="EW52" s="124"/>
      <c r="EX52" s="124"/>
      <c r="EY52" s="124"/>
      <c r="EZ52" s="124"/>
      <c r="FA52" s="124"/>
      <c r="FB52" s="124"/>
      <c r="FC52" s="124"/>
      <c r="FD52" s="124"/>
      <c r="FE52" s="124"/>
      <c r="FF52" s="124"/>
      <c r="FG52" s="124"/>
      <c r="FH52" s="124"/>
      <c r="FI52" s="124"/>
      <c r="FJ52" s="124"/>
      <c r="FK52" s="124"/>
      <c r="FL52" s="124"/>
      <c r="FM52" s="124"/>
      <c r="FN52" s="124"/>
      <c r="FO52" s="124"/>
      <c r="FP52" s="124"/>
      <c r="FQ52" s="124"/>
      <c r="FR52" s="124"/>
      <c r="FS52" s="124"/>
      <c r="FT52" s="124"/>
      <c r="FU52" s="124"/>
      <c r="FV52" s="124"/>
      <c r="FW52" s="124"/>
      <c r="FX52" s="124"/>
      <c r="FY52" s="124"/>
      <c r="FZ52" s="124"/>
      <c r="GA52" s="124"/>
      <c r="GB52" s="124"/>
      <c r="GC52" s="124"/>
      <c r="GD52" s="124"/>
      <c r="GE52" s="124"/>
      <c r="GF52" s="124"/>
      <c r="GG52" s="124"/>
      <c r="GH52" s="124"/>
      <c r="GI52" s="124"/>
      <c r="GJ52" s="124"/>
      <c r="GK52" s="124"/>
      <c r="GL52" s="124"/>
      <c r="GM52" s="124"/>
      <c r="GN52" s="124"/>
      <c r="GO52" s="124"/>
      <c r="GP52" s="124"/>
      <c r="GQ52" s="124"/>
      <c r="GR52" s="124"/>
      <c r="GS52" s="124"/>
      <c r="GT52" s="124"/>
      <c r="GU52" s="124"/>
      <c r="GV52" s="124"/>
      <c r="GW52" s="124"/>
      <c r="GX52" s="124"/>
      <c r="GY52" s="124"/>
      <c r="GZ52" s="124"/>
      <c r="HA52" s="124"/>
      <c r="HB52" s="124"/>
      <c r="HC52" s="124"/>
      <c r="HD52" s="124"/>
      <c r="HE52" s="124"/>
      <c r="HF52" s="124"/>
      <c r="HG52" s="124"/>
      <c r="HH52" s="124"/>
      <c r="HI52" s="124"/>
      <c r="HJ52" s="124"/>
      <c r="HK52" s="124"/>
      <c r="HL52" s="124"/>
      <c r="HM52" s="124"/>
      <c r="HN52" s="124"/>
      <c r="HO52" s="124"/>
      <c r="HP52" s="124"/>
      <c r="HQ52" s="124"/>
      <c r="HR52" s="124"/>
      <c r="HS52" s="124"/>
      <c r="HT52" s="124"/>
      <c r="HU52" s="124"/>
      <c r="HV52" s="124"/>
      <c r="HW52" s="124"/>
      <c r="HX52" s="124"/>
      <c r="HY52" s="124"/>
      <c r="HZ52" s="124"/>
      <c r="IA52" s="124"/>
      <c r="IB52" s="124"/>
      <c r="IC52" s="124"/>
      <c r="ID52" s="124"/>
      <c r="IE52" s="124"/>
      <c r="IF52" s="124"/>
      <c r="IG52" s="124"/>
      <c r="IH52" s="124"/>
      <c r="II52" s="124"/>
      <c r="IJ52" s="124"/>
      <c r="IK52" s="124"/>
      <c r="IL52" s="124"/>
      <c r="IM52" s="124"/>
      <c r="IN52" s="124"/>
      <c r="IO52" s="124"/>
      <c r="IP52" s="124"/>
      <c r="IQ52" s="124"/>
      <c r="IR52" s="124"/>
      <c r="IS52" s="124"/>
      <c r="IT52" s="124"/>
      <c r="IU52" s="124"/>
      <c r="IV52" s="124"/>
      <c r="IW52" s="124"/>
      <c r="IX52" s="124"/>
      <c r="IY52" s="124"/>
    </row>
    <row r="53" spans="1:259" s="125" customFormat="1">
      <c r="A53" s="127" t="s">
        <v>83</v>
      </c>
      <c r="B53" s="112">
        <v>46020</v>
      </c>
      <c r="C53" s="132" t="s">
        <v>55</v>
      </c>
      <c r="D53" s="117">
        <f>162656+6203</f>
        <v>168859</v>
      </c>
      <c r="E53" s="115">
        <v>25</v>
      </c>
      <c r="F53" s="116">
        <f t="shared" si="10"/>
        <v>6754.36</v>
      </c>
      <c r="G53" s="115">
        <v>14</v>
      </c>
      <c r="H53" s="116">
        <f t="shared" si="11"/>
        <v>12061.357142857143</v>
      </c>
      <c r="I53" s="115">
        <v>102</v>
      </c>
      <c r="J53" s="117">
        <f t="shared" si="12"/>
        <v>1.7857142857142858</v>
      </c>
      <c r="K53" s="115"/>
      <c r="L53" s="115">
        <v>6203</v>
      </c>
      <c r="M53" s="115"/>
      <c r="N53" s="115"/>
      <c r="O53" s="115"/>
      <c r="P53" s="118"/>
      <c r="Q53" s="118"/>
      <c r="R53" s="99">
        <f t="shared" si="13"/>
        <v>0.13725490196078433</v>
      </c>
      <c r="S53" s="119">
        <f t="shared" si="14"/>
        <v>0.54310450219809736</v>
      </c>
      <c r="T53" s="120">
        <f t="shared" si="15"/>
        <v>310914.3807804574</v>
      </c>
      <c r="U53" s="121">
        <f t="shared" si="16"/>
        <v>37.962683855977708</v>
      </c>
      <c r="V53" s="121">
        <f t="shared" si="17"/>
        <v>22.596835628558161</v>
      </c>
      <c r="W53" s="120">
        <f t="shared" si="18"/>
        <v>168859</v>
      </c>
      <c r="X53" s="121">
        <f t="shared" si="22"/>
        <v>25</v>
      </c>
      <c r="Y53" s="121">
        <f t="shared" si="23"/>
        <v>14</v>
      </c>
      <c r="Z53" s="122">
        <v>1.2</v>
      </c>
      <c r="AA53" s="122">
        <v>1.2</v>
      </c>
      <c r="AB53" s="123"/>
      <c r="AC53" s="123"/>
      <c r="AD53" s="131"/>
      <c r="AE53" s="124"/>
      <c r="AF53" s="124"/>
      <c r="AG53" s="124"/>
      <c r="AH53" s="124"/>
      <c r="AI53" s="124"/>
      <c r="AJ53" s="124"/>
      <c r="AK53" s="124"/>
      <c r="AL53" s="124"/>
      <c r="AM53" s="124"/>
      <c r="AN53" s="124"/>
      <c r="AO53" s="124"/>
      <c r="AP53" s="124"/>
      <c r="AQ53" s="124"/>
      <c r="AR53" s="124"/>
      <c r="AS53" s="124"/>
      <c r="AT53" s="124"/>
      <c r="AU53" s="124"/>
      <c r="AV53" s="124"/>
      <c r="AW53" s="124"/>
      <c r="AX53" s="124"/>
      <c r="AY53" s="124"/>
      <c r="AZ53" s="124"/>
      <c r="BA53" s="124"/>
      <c r="BB53" s="124"/>
      <c r="BC53" s="124"/>
      <c r="BD53" s="124"/>
      <c r="BE53" s="124"/>
      <c r="BF53" s="124"/>
      <c r="BG53" s="124"/>
      <c r="BH53" s="124"/>
      <c r="BI53" s="124"/>
      <c r="BJ53" s="124"/>
      <c r="BK53" s="124"/>
      <c r="BL53" s="124"/>
      <c r="BM53" s="124"/>
      <c r="BN53" s="124"/>
      <c r="BO53" s="124"/>
      <c r="BP53" s="124"/>
      <c r="BQ53" s="124"/>
      <c r="BR53" s="124"/>
      <c r="BS53" s="124"/>
      <c r="BT53" s="124"/>
      <c r="BU53" s="124"/>
      <c r="BV53" s="124"/>
      <c r="BW53" s="124"/>
      <c r="BX53" s="124"/>
      <c r="BY53" s="124"/>
      <c r="BZ53" s="124"/>
      <c r="CA53" s="124"/>
      <c r="CB53" s="124"/>
      <c r="CC53" s="124"/>
      <c r="CD53" s="124"/>
      <c r="CE53" s="124"/>
      <c r="CF53" s="124"/>
      <c r="CG53" s="124"/>
      <c r="CH53" s="124"/>
      <c r="CI53" s="124"/>
      <c r="CJ53" s="124"/>
      <c r="CK53" s="124"/>
      <c r="CL53" s="124"/>
      <c r="CM53" s="124"/>
      <c r="CN53" s="124"/>
      <c r="CO53" s="124"/>
      <c r="CP53" s="124"/>
      <c r="CQ53" s="124"/>
      <c r="CR53" s="124"/>
      <c r="CS53" s="124"/>
      <c r="CT53" s="124"/>
      <c r="CU53" s="124"/>
      <c r="CV53" s="124"/>
      <c r="CW53" s="124"/>
      <c r="CX53" s="124"/>
      <c r="CY53" s="124"/>
      <c r="CZ53" s="124"/>
      <c r="DA53" s="124"/>
      <c r="DB53" s="124"/>
      <c r="DC53" s="124"/>
      <c r="DD53" s="124"/>
      <c r="DE53" s="124"/>
      <c r="DF53" s="124"/>
      <c r="DG53" s="124"/>
      <c r="DH53" s="124"/>
      <c r="DI53" s="124"/>
      <c r="DJ53" s="124"/>
      <c r="DK53" s="124"/>
      <c r="DL53" s="124"/>
      <c r="DM53" s="124"/>
      <c r="DN53" s="124"/>
      <c r="DO53" s="124"/>
      <c r="DP53" s="124"/>
      <c r="DQ53" s="124"/>
      <c r="DR53" s="124"/>
      <c r="DS53" s="124"/>
      <c r="DT53" s="124"/>
      <c r="DU53" s="124"/>
      <c r="DV53" s="124"/>
      <c r="DW53" s="124"/>
      <c r="DX53" s="124"/>
      <c r="DY53" s="124"/>
      <c r="DZ53" s="124"/>
      <c r="EA53" s="124"/>
      <c r="EB53" s="124"/>
      <c r="EC53" s="124"/>
      <c r="ED53" s="124"/>
      <c r="EE53" s="124"/>
      <c r="EF53" s="124"/>
      <c r="EG53" s="124"/>
      <c r="EH53" s="124"/>
      <c r="EI53" s="124"/>
      <c r="EJ53" s="124"/>
      <c r="EK53" s="124"/>
      <c r="EL53" s="124"/>
      <c r="EM53" s="124"/>
      <c r="EN53" s="124"/>
      <c r="EO53" s="124"/>
      <c r="EP53" s="124"/>
      <c r="EQ53" s="124"/>
      <c r="ER53" s="124"/>
      <c r="ES53" s="124"/>
      <c r="ET53" s="124"/>
      <c r="EU53" s="124"/>
      <c r="EV53" s="124"/>
      <c r="EW53" s="124"/>
      <c r="EX53" s="124"/>
      <c r="EY53" s="124"/>
      <c r="EZ53" s="124"/>
      <c r="FA53" s="124"/>
      <c r="FB53" s="124"/>
      <c r="FC53" s="124"/>
      <c r="FD53" s="124"/>
      <c r="FE53" s="124"/>
      <c r="FF53" s="124"/>
      <c r="FG53" s="124"/>
      <c r="FH53" s="124"/>
      <c r="FI53" s="124"/>
      <c r="FJ53" s="124"/>
      <c r="FK53" s="124"/>
      <c r="FL53" s="124"/>
      <c r="FM53" s="124"/>
      <c r="FN53" s="124"/>
      <c r="FO53" s="124"/>
      <c r="FP53" s="124"/>
      <c r="FQ53" s="124"/>
      <c r="FR53" s="124"/>
      <c r="FS53" s="124"/>
      <c r="FT53" s="124"/>
      <c r="FU53" s="124"/>
      <c r="FV53" s="124"/>
      <c r="FW53" s="124"/>
      <c r="FX53" s="124"/>
      <c r="FY53" s="124"/>
      <c r="FZ53" s="124"/>
      <c r="GA53" s="124"/>
      <c r="GB53" s="124"/>
      <c r="GC53" s="124"/>
      <c r="GD53" s="124"/>
      <c r="GE53" s="124"/>
      <c r="GF53" s="124"/>
      <c r="GG53" s="124"/>
      <c r="GH53" s="124"/>
      <c r="GI53" s="124"/>
      <c r="GJ53" s="124"/>
      <c r="GK53" s="124"/>
      <c r="GL53" s="124"/>
      <c r="GM53" s="124"/>
      <c r="GN53" s="124"/>
      <c r="GO53" s="124"/>
      <c r="GP53" s="124"/>
      <c r="GQ53" s="124"/>
      <c r="GR53" s="124"/>
      <c r="GS53" s="124"/>
      <c r="GT53" s="124"/>
      <c r="GU53" s="124"/>
      <c r="GV53" s="124"/>
      <c r="GW53" s="124"/>
      <c r="GX53" s="124"/>
      <c r="GY53" s="124"/>
      <c r="GZ53" s="124"/>
      <c r="HA53" s="124"/>
      <c r="HB53" s="124"/>
      <c r="HC53" s="124"/>
      <c r="HD53" s="124"/>
      <c r="HE53" s="124"/>
      <c r="HF53" s="124"/>
      <c r="HG53" s="124"/>
      <c r="HH53" s="124"/>
      <c r="HI53" s="124"/>
      <c r="HJ53" s="124"/>
      <c r="HK53" s="124"/>
      <c r="HL53" s="124"/>
      <c r="HM53" s="124"/>
      <c r="HN53" s="124"/>
      <c r="HO53" s="124"/>
      <c r="HP53" s="124"/>
      <c r="HQ53" s="124"/>
      <c r="HR53" s="124"/>
      <c r="HS53" s="124"/>
      <c r="HT53" s="124"/>
      <c r="HU53" s="124"/>
      <c r="HV53" s="124"/>
      <c r="HW53" s="124"/>
      <c r="HX53" s="124"/>
      <c r="HY53" s="124"/>
      <c r="HZ53" s="124"/>
      <c r="IA53" s="124"/>
      <c r="IB53" s="124"/>
      <c r="IC53" s="124"/>
      <c r="ID53" s="124"/>
      <c r="IE53" s="124"/>
      <c r="IF53" s="124"/>
      <c r="IG53" s="124"/>
      <c r="IH53" s="124"/>
      <c r="II53" s="124"/>
      <c r="IJ53" s="124"/>
      <c r="IK53" s="124"/>
      <c r="IL53" s="124"/>
      <c r="IM53" s="124"/>
      <c r="IN53" s="124"/>
      <c r="IO53" s="124"/>
      <c r="IP53" s="124"/>
      <c r="IQ53" s="124"/>
      <c r="IR53" s="124"/>
      <c r="IS53" s="124"/>
      <c r="IT53" s="124"/>
      <c r="IU53" s="124"/>
      <c r="IV53" s="124"/>
      <c r="IW53" s="124"/>
      <c r="IX53" s="124"/>
      <c r="IY53" s="124"/>
    </row>
    <row r="54" spans="1:259" s="125" customFormat="1" ht="15" customHeight="1">
      <c r="A54" s="127" t="s">
        <v>83</v>
      </c>
      <c r="B54" s="112">
        <v>46021</v>
      </c>
      <c r="C54" s="130" t="s">
        <v>57</v>
      </c>
      <c r="D54" s="117">
        <v>237382</v>
      </c>
      <c r="E54" s="115">
        <v>25</v>
      </c>
      <c r="F54" s="116">
        <f t="shared" si="10"/>
        <v>9495.2800000000007</v>
      </c>
      <c r="G54" s="115">
        <v>17</v>
      </c>
      <c r="H54" s="116">
        <f t="shared" si="11"/>
        <v>13963.64705882353</v>
      </c>
      <c r="I54" s="115">
        <v>93</v>
      </c>
      <c r="J54" s="117">
        <f t="shared" si="12"/>
        <v>1.4705882352941178</v>
      </c>
      <c r="K54" s="115">
        <f>'Свидовская С. А.'!K44+'Стекольщикова А. А.'!K48</f>
        <v>125557</v>
      </c>
      <c r="L54" s="115"/>
      <c r="M54" s="115"/>
      <c r="N54" s="115"/>
      <c r="O54" s="115"/>
      <c r="P54" s="118"/>
      <c r="Q54" s="118">
        <f>'Козлова В. Э.'!Q44</f>
        <v>7785</v>
      </c>
      <c r="R54" s="99">
        <f t="shared" si="13"/>
        <v>0.18279569892473119</v>
      </c>
      <c r="S54" s="119">
        <f t="shared" si="14"/>
        <v>0.76349636644057317</v>
      </c>
      <c r="T54" s="120">
        <f t="shared" si="15"/>
        <v>310914.3807804574</v>
      </c>
      <c r="U54" s="121">
        <f t="shared" si="16"/>
        <v>37.962683855977708</v>
      </c>
      <c r="V54" s="121">
        <f t="shared" si="17"/>
        <v>22.596835628558161</v>
      </c>
      <c r="W54" s="120">
        <f t="shared" si="18"/>
        <v>237382</v>
      </c>
      <c r="X54" s="121">
        <f t="shared" si="22"/>
        <v>25</v>
      </c>
      <c r="Y54" s="121">
        <f t="shared" si="23"/>
        <v>17</v>
      </c>
      <c r="Z54" s="122">
        <v>1.2</v>
      </c>
      <c r="AA54" s="122">
        <v>1.2</v>
      </c>
      <c r="AB54" s="123"/>
      <c r="AC54" s="123"/>
      <c r="AD54" s="131"/>
      <c r="AE54" s="124"/>
      <c r="AF54" s="124"/>
      <c r="AG54" s="124"/>
      <c r="AH54" s="124"/>
      <c r="AI54" s="124"/>
      <c r="AJ54" s="124"/>
      <c r="AK54" s="124"/>
      <c r="AL54" s="124"/>
      <c r="AM54" s="124"/>
      <c r="AN54" s="124"/>
      <c r="AO54" s="124"/>
      <c r="AP54" s="124"/>
      <c r="AQ54" s="124"/>
      <c r="AR54" s="124"/>
      <c r="AS54" s="124"/>
      <c r="AT54" s="124"/>
      <c r="AU54" s="124"/>
      <c r="AV54" s="124"/>
      <c r="AW54" s="124"/>
      <c r="AX54" s="124"/>
      <c r="AY54" s="124"/>
      <c r="AZ54" s="124"/>
      <c r="BA54" s="124"/>
      <c r="BB54" s="124"/>
      <c r="BC54" s="124"/>
      <c r="BD54" s="124"/>
      <c r="BE54" s="124"/>
      <c r="BF54" s="124"/>
      <c r="BG54" s="124"/>
      <c r="BH54" s="124"/>
      <c r="BI54" s="124"/>
      <c r="BJ54" s="124"/>
      <c r="BK54" s="124"/>
      <c r="BL54" s="124"/>
      <c r="BM54" s="124"/>
      <c r="BN54" s="124"/>
      <c r="BO54" s="124"/>
      <c r="BP54" s="124"/>
      <c r="BQ54" s="124"/>
      <c r="BR54" s="124"/>
      <c r="BS54" s="124"/>
      <c r="BT54" s="124"/>
      <c r="BU54" s="124"/>
      <c r="BV54" s="124"/>
      <c r="BW54" s="124"/>
      <c r="BX54" s="124"/>
      <c r="BY54" s="124"/>
      <c r="BZ54" s="124"/>
      <c r="CA54" s="124"/>
      <c r="CB54" s="124"/>
      <c r="CC54" s="124"/>
      <c r="CD54" s="124"/>
      <c r="CE54" s="124"/>
      <c r="CF54" s="124"/>
      <c r="CG54" s="124"/>
      <c r="CH54" s="124"/>
      <c r="CI54" s="124"/>
      <c r="CJ54" s="124"/>
      <c r="CK54" s="124"/>
      <c r="CL54" s="124"/>
      <c r="CM54" s="124"/>
      <c r="CN54" s="124"/>
      <c r="CO54" s="124"/>
      <c r="CP54" s="124"/>
      <c r="CQ54" s="124"/>
      <c r="CR54" s="124"/>
      <c r="CS54" s="124"/>
      <c r="CT54" s="124"/>
      <c r="CU54" s="124"/>
      <c r="CV54" s="124"/>
      <c r="CW54" s="124"/>
      <c r="CX54" s="124"/>
      <c r="CY54" s="124"/>
      <c r="CZ54" s="124"/>
      <c r="DA54" s="124"/>
      <c r="DB54" s="124"/>
      <c r="DC54" s="124"/>
      <c r="DD54" s="124"/>
      <c r="DE54" s="124"/>
      <c r="DF54" s="124"/>
      <c r="DG54" s="124"/>
      <c r="DH54" s="124"/>
      <c r="DI54" s="124"/>
      <c r="DJ54" s="124"/>
      <c r="DK54" s="124"/>
      <c r="DL54" s="124"/>
      <c r="DM54" s="124"/>
      <c r="DN54" s="124"/>
      <c r="DO54" s="124"/>
      <c r="DP54" s="124"/>
      <c r="DQ54" s="124"/>
      <c r="DR54" s="124"/>
      <c r="DS54" s="124"/>
      <c r="DT54" s="124"/>
      <c r="DU54" s="124"/>
      <c r="DV54" s="124"/>
      <c r="DW54" s="124"/>
      <c r="DX54" s="124"/>
      <c r="DY54" s="124"/>
      <c r="DZ54" s="124"/>
      <c r="EA54" s="124"/>
      <c r="EB54" s="124"/>
      <c r="EC54" s="124"/>
      <c r="ED54" s="124"/>
      <c r="EE54" s="124"/>
      <c r="EF54" s="124"/>
      <c r="EG54" s="124"/>
      <c r="EH54" s="124"/>
      <c r="EI54" s="124"/>
      <c r="EJ54" s="124"/>
      <c r="EK54" s="124"/>
      <c r="EL54" s="124"/>
      <c r="EM54" s="124"/>
      <c r="EN54" s="124"/>
      <c r="EO54" s="124"/>
      <c r="EP54" s="124"/>
      <c r="EQ54" s="124"/>
      <c r="ER54" s="124"/>
      <c r="ES54" s="124"/>
      <c r="ET54" s="124"/>
      <c r="EU54" s="124"/>
      <c r="EV54" s="124"/>
      <c r="EW54" s="124"/>
      <c r="EX54" s="124"/>
      <c r="EY54" s="124"/>
      <c r="EZ54" s="124"/>
      <c r="FA54" s="124"/>
      <c r="FB54" s="124"/>
      <c r="FC54" s="124"/>
      <c r="FD54" s="124"/>
      <c r="FE54" s="124"/>
      <c r="FF54" s="124"/>
      <c r="FG54" s="124"/>
      <c r="FH54" s="124"/>
      <c r="FI54" s="124"/>
      <c r="FJ54" s="124"/>
      <c r="FK54" s="124"/>
      <c r="FL54" s="124"/>
      <c r="FM54" s="124"/>
      <c r="FN54" s="124"/>
      <c r="FO54" s="124"/>
      <c r="FP54" s="124"/>
      <c r="FQ54" s="124"/>
      <c r="FR54" s="124"/>
      <c r="FS54" s="124"/>
      <c r="FT54" s="124"/>
      <c r="FU54" s="124"/>
      <c r="FV54" s="124"/>
      <c r="FW54" s="124"/>
      <c r="FX54" s="124"/>
      <c r="FY54" s="124"/>
      <c r="FZ54" s="124"/>
      <c r="GA54" s="124"/>
      <c r="GB54" s="124"/>
      <c r="GC54" s="124"/>
      <c r="GD54" s="124"/>
      <c r="GE54" s="124"/>
      <c r="GF54" s="124"/>
      <c r="GG54" s="124"/>
      <c r="GH54" s="124"/>
      <c r="GI54" s="124"/>
      <c r="GJ54" s="124"/>
      <c r="GK54" s="124"/>
      <c r="GL54" s="124"/>
      <c r="GM54" s="124"/>
      <c r="GN54" s="124"/>
      <c r="GO54" s="124"/>
      <c r="GP54" s="124"/>
      <c r="GQ54" s="124"/>
      <c r="GR54" s="124"/>
      <c r="GS54" s="124"/>
      <c r="GT54" s="124"/>
      <c r="GU54" s="124"/>
      <c r="GV54" s="124"/>
      <c r="GW54" s="124"/>
      <c r="GX54" s="124"/>
      <c r="GY54" s="124"/>
      <c r="GZ54" s="124"/>
      <c r="HA54" s="124"/>
      <c r="HB54" s="124"/>
      <c r="HC54" s="124"/>
      <c r="HD54" s="124"/>
      <c r="HE54" s="124"/>
      <c r="HF54" s="124"/>
      <c r="HG54" s="124"/>
      <c r="HH54" s="124"/>
      <c r="HI54" s="124"/>
      <c r="HJ54" s="124"/>
      <c r="HK54" s="124"/>
      <c r="HL54" s="124"/>
      <c r="HM54" s="124"/>
      <c r="HN54" s="124"/>
      <c r="HO54" s="124"/>
      <c r="HP54" s="124"/>
      <c r="HQ54" s="124"/>
      <c r="HR54" s="124"/>
      <c r="HS54" s="124"/>
      <c r="HT54" s="124"/>
      <c r="HU54" s="124"/>
      <c r="HV54" s="124"/>
      <c r="HW54" s="124"/>
      <c r="HX54" s="124"/>
      <c r="HY54" s="124"/>
      <c r="HZ54" s="124"/>
      <c r="IA54" s="124"/>
      <c r="IB54" s="124"/>
      <c r="IC54" s="124"/>
      <c r="ID54" s="124"/>
      <c r="IE54" s="124"/>
      <c r="IF54" s="124"/>
      <c r="IG54" s="124"/>
      <c r="IH54" s="124"/>
      <c r="II54" s="124"/>
      <c r="IJ54" s="124"/>
      <c r="IK54" s="124"/>
      <c r="IL54" s="124"/>
      <c r="IM54" s="124"/>
      <c r="IN54" s="124"/>
      <c r="IO54" s="124"/>
      <c r="IP54" s="124"/>
      <c r="IQ54" s="124"/>
      <c r="IR54" s="124"/>
      <c r="IS54" s="124"/>
      <c r="IT54" s="124"/>
      <c r="IU54" s="124"/>
      <c r="IV54" s="124"/>
      <c r="IW54" s="124"/>
      <c r="IX54" s="124"/>
      <c r="IY54" s="124"/>
    </row>
    <row r="55" spans="1:259" s="125" customFormat="1" ht="15" customHeight="1">
      <c r="A55" s="127" t="s">
        <v>83</v>
      </c>
      <c r="B55" s="112">
        <v>46022</v>
      </c>
      <c r="C55" s="132" t="s">
        <v>59</v>
      </c>
      <c r="D55" s="117">
        <v>58039</v>
      </c>
      <c r="E55" s="115">
        <v>7</v>
      </c>
      <c r="F55" s="116">
        <f t="shared" si="10"/>
        <v>8291.2857142857138</v>
      </c>
      <c r="G55" s="115">
        <v>7</v>
      </c>
      <c r="H55" s="116">
        <f t="shared" si="11"/>
        <v>8291.2857142857138</v>
      </c>
      <c r="I55" s="115">
        <v>92</v>
      </c>
      <c r="J55" s="117">
        <f t="shared" si="12"/>
        <v>1</v>
      </c>
      <c r="K55" s="115"/>
      <c r="L55" s="115"/>
      <c r="M55" s="115"/>
      <c r="N55" s="115"/>
      <c r="O55" s="115"/>
      <c r="P55" s="118"/>
      <c r="Q55" s="118"/>
      <c r="R55" s="99">
        <f t="shared" si="13"/>
        <v>7.6086956521739135E-2</v>
      </c>
      <c r="S55" s="119">
        <f t="shared" si="14"/>
        <v>0.26880763697776561</v>
      </c>
      <c r="T55" s="120">
        <f t="shared" si="15"/>
        <v>215912.76443087324</v>
      </c>
      <c r="U55" s="121">
        <f t="shared" si="16"/>
        <v>26.362974899984522</v>
      </c>
      <c r="V55" s="121">
        <f t="shared" si="17"/>
        <v>15.692246964276501</v>
      </c>
      <c r="W55" s="120">
        <f t="shared" si="18"/>
        <v>58039</v>
      </c>
      <c r="X55" s="121">
        <f t="shared" si="22"/>
        <v>7</v>
      </c>
      <c r="Y55" s="121">
        <f t="shared" si="23"/>
        <v>7</v>
      </c>
      <c r="Z55" s="122">
        <v>1</v>
      </c>
      <c r="AA55" s="122">
        <v>1</v>
      </c>
      <c r="AB55" s="123"/>
      <c r="AC55" s="123"/>
      <c r="AD55" s="124"/>
      <c r="AE55" s="124"/>
      <c r="AF55" s="124"/>
      <c r="AG55" s="124"/>
      <c r="AH55" s="124"/>
      <c r="AI55" s="124"/>
      <c r="AJ55" s="124"/>
      <c r="AK55" s="124"/>
      <c r="AL55" s="124"/>
      <c r="AM55" s="124"/>
      <c r="AN55" s="124"/>
    </row>
    <row r="56" spans="1:259" ht="17" customHeight="1">
      <c r="A56" s="134"/>
      <c r="B56" s="810" t="s">
        <v>84</v>
      </c>
      <c r="C56" s="810"/>
      <c r="D56" s="117">
        <f>SUM(D25:D55)</f>
        <v>3087288.89</v>
      </c>
      <c r="E56" s="116">
        <f>SUM(E25:E55)</f>
        <v>398</v>
      </c>
      <c r="F56" s="116">
        <f>IF(AND(E56&lt;&gt;"", E56&lt;&gt;0), D56/E56, "")</f>
        <v>7757.0072613065331</v>
      </c>
      <c r="G56" s="116">
        <f>SUM(G25:G55)</f>
        <v>252</v>
      </c>
      <c r="H56" s="116">
        <f>IF(AND(G56&lt;&gt;"", G56&lt;&gt;0), D56/G56, "")</f>
        <v>12251.14638888889</v>
      </c>
      <c r="I56" s="116">
        <f>SUM(I25:I55)*0.9</f>
        <v>2859.3</v>
      </c>
      <c r="J56" s="117">
        <f>E56/G56</f>
        <v>1.5793650793650793</v>
      </c>
      <c r="K56" s="116">
        <f>SUM(K25:K55)</f>
        <v>434529</v>
      </c>
      <c r="L56" s="116">
        <f>SUM(L25:L55)</f>
        <v>23110.010000000002</v>
      </c>
      <c r="M56" s="116">
        <f t="shared" ref="M56:P56" si="24">SUM(M25:M55)</f>
        <v>203392</v>
      </c>
      <c r="N56" s="116">
        <f t="shared" si="24"/>
        <v>182681</v>
      </c>
      <c r="O56" s="116">
        <f t="shared" si="24"/>
        <v>207041.5</v>
      </c>
      <c r="P56" s="116">
        <f t="shared" si="24"/>
        <v>49850</v>
      </c>
      <c r="Q56" s="116"/>
      <c r="R56" s="135">
        <f t="shared" si="13"/>
        <v>8.8133459238275091E-2</v>
      </c>
      <c r="S56" s="136">
        <f t="shared" si="14"/>
        <v>0.50672983399383598</v>
      </c>
      <c r="T56" s="121">
        <f t="shared" ref="T56:Y56" si="25">SUM(T25:T55)</f>
        <v>6092573.7599999979</v>
      </c>
      <c r="U56" s="121">
        <f t="shared" si="25"/>
        <v>743.904</v>
      </c>
      <c r="V56" s="121">
        <f t="shared" si="25"/>
        <v>442.79999999999978</v>
      </c>
      <c r="W56" s="121">
        <f t="shared" si="25"/>
        <v>3087288.89</v>
      </c>
      <c r="X56" s="121">
        <f t="shared" si="25"/>
        <v>385</v>
      </c>
      <c r="Y56" s="121">
        <f t="shared" si="25"/>
        <v>245</v>
      </c>
      <c r="Z56" s="137"/>
      <c r="AA56" s="137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</row>
    <row r="57" spans="1:259">
      <c r="B57" s="138"/>
      <c r="C57" s="139"/>
      <c r="D57" s="140">
        <f>SUMIF(D25:D55,"",T25:T55)+D56</f>
        <v>3087288.89</v>
      </c>
      <c r="E57" s="141"/>
      <c r="F57" s="139"/>
      <c r="G57" s="139"/>
      <c r="H57" s="142"/>
      <c r="I57" s="143"/>
      <c r="J57" s="142"/>
      <c r="L57" s="144"/>
      <c r="M57" s="141"/>
      <c r="N57" s="141"/>
      <c r="O57" s="141"/>
      <c r="P57" s="144"/>
      <c r="Q57" s="144"/>
      <c r="R57" s="144"/>
      <c r="S57" s="144"/>
      <c r="T57" s="144"/>
      <c r="U57" s="145"/>
    </row>
    <row r="58" spans="1:259">
      <c r="D58" s="146">
        <f>'Доп сотрудник'!D48+'Свидовская С. А.'!J8+'Корж А. А.'!J8+'Козлова В. Э.'!J8+'Стекольщикова А. А.'!J8</f>
        <v>3087288.89</v>
      </c>
      <c r="I58" s="147">
        <f>'Козлова В. Э.'!I49+'Корж А. А.'!I48+'Свидовская С. А.'!I48+'Стекольщикова А. А.'!I50+'Доп сотрудник'!I48</f>
        <v>2748</v>
      </c>
    </row>
    <row r="59" spans="1:259">
      <c r="C59" s="146"/>
      <c r="D59" s="146">
        <f>SUM(D25:D31)</f>
        <v>656729</v>
      </c>
    </row>
    <row r="60" spans="1:259">
      <c r="D60" s="147">
        <f>SUM(D43:D46)</f>
        <v>692266</v>
      </c>
      <c r="E60" s="148"/>
    </row>
    <row r="61" spans="1:259">
      <c r="D61" s="147">
        <f>SUM(D48:D52)</f>
        <v>589954.37</v>
      </c>
    </row>
    <row r="62" spans="1:259">
      <c r="D62" s="146">
        <f>D59+D60+D61</f>
        <v>1938949.37</v>
      </c>
      <c r="E62" s="146">
        <f>D58-D62</f>
        <v>1148339.52</v>
      </c>
    </row>
    <row r="64" spans="1:259">
      <c r="H64" s="149"/>
    </row>
  </sheetData>
  <mergeCells count="28">
    <mergeCell ref="A23:A24"/>
    <mergeCell ref="B56:C56"/>
    <mergeCell ref="F18:H18"/>
    <mergeCell ref="F19:H19"/>
    <mergeCell ref="F20:H20"/>
    <mergeCell ref="A22:P22"/>
    <mergeCell ref="T22:AA22"/>
    <mergeCell ref="F13:H13"/>
    <mergeCell ref="F14:H14"/>
    <mergeCell ref="F15:H15"/>
    <mergeCell ref="F16:H16"/>
    <mergeCell ref="V16:V17"/>
    <mergeCell ref="F17:H17"/>
    <mergeCell ref="F8:H8"/>
    <mergeCell ref="F9:H9"/>
    <mergeCell ref="F10:H10"/>
    <mergeCell ref="F11:H11"/>
    <mergeCell ref="F12:H12"/>
    <mergeCell ref="J5:P5"/>
    <mergeCell ref="C6:D6"/>
    <mergeCell ref="F6:R6"/>
    <mergeCell ref="F7:H7"/>
    <mergeCell ref="P7:R7"/>
    <mergeCell ref="B1:C1"/>
    <mergeCell ref="U1:X4"/>
    <mergeCell ref="B2:C2"/>
    <mergeCell ref="I3:O4"/>
    <mergeCell ref="C4:D4"/>
  </mergeCells>
  <conditionalFormatting sqref="D58">
    <cfRule type="cellIs" dxfId="247" priority="63" operator="notEqual">
      <formula>$D$56</formula>
    </cfRule>
    <cfRule type="cellIs" dxfId="246" priority="64" operator="equal">
      <formula>$D$56</formula>
    </cfRule>
  </conditionalFormatting>
  <conditionalFormatting sqref="I58">
    <cfRule type="cellIs" dxfId="245" priority="1" operator="notEqual">
      <formula>$I$56</formula>
    </cfRule>
  </conditionalFormatting>
  <conditionalFormatting sqref="J16">
    <cfRule type="cellIs" dxfId="244" priority="66" operator="lessThan">
      <formula>0</formula>
    </cfRule>
    <cfRule type="cellIs" dxfId="243" priority="67" operator="greaterThan">
      <formula>0</formula>
    </cfRule>
  </conditionalFormatting>
  <conditionalFormatting sqref="J25:J55">
    <cfRule type="cellIs" dxfId="242" priority="6" operator="lessThan">
      <formula>$I$12</formula>
    </cfRule>
    <cfRule type="cellIs" dxfId="241" priority="7" operator="greaterThan">
      <formula>$I$12</formula>
    </cfRule>
  </conditionalFormatting>
  <conditionalFormatting sqref="K10:K12 K15">
    <cfRule type="cellIs" dxfId="240" priority="70" operator="lessThan">
      <formula>1</formula>
    </cfRule>
    <cfRule type="cellIs" dxfId="239" priority="71" operator="greaterThan">
      <formula>1</formula>
    </cfRule>
  </conditionalFormatting>
  <conditionalFormatting sqref="K20">
    <cfRule type="cellIs" dxfId="238" priority="4" operator="lessThan">
      <formula>1</formula>
    </cfRule>
    <cfRule type="cellIs" dxfId="237" priority="5" operator="greaterThan">
      <formula>1</formula>
    </cfRule>
  </conditionalFormatting>
  <conditionalFormatting sqref="M9:M15">
    <cfRule type="cellIs" dxfId="236" priority="68" operator="lessThan">
      <formula>1</formula>
    </cfRule>
    <cfRule type="cellIs" dxfId="235" priority="69" operator="greaterThan">
      <formula>1</formula>
    </cfRule>
  </conditionalFormatting>
  <conditionalFormatting sqref="P10:R10">
    <cfRule type="cellIs" dxfId="234" priority="77" operator="lessThan">
      <formula>0</formula>
    </cfRule>
  </conditionalFormatting>
  <conditionalFormatting sqref="R25:R55">
    <cfRule type="cellIs" dxfId="233" priority="2" operator="lessThan">
      <formula>$I$20</formula>
    </cfRule>
    <cfRule type="cellIs" dxfId="232" priority="3" operator="greaterThan">
      <formula>$I$20</formula>
    </cfRule>
    <cfRule type="cellIs" dxfId="231" priority="80" operator="lessThan">
      <formula>$I$20</formula>
    </cfRule>
  </conditionalFormatting>
  <conditionalFormatting sqref="S25:S55">
    <cfRule type="cellIs" dxfId="230" priority="8" operator="between">
      <formula>0.9001</formula>
      <formula>0.9999</formula>
    </cfRule>
    <cfRule type="cellIs" dxfId="229" priority="9" operator="lessThan">
      <formula>0.9</formula>
    </cfRule>
    <cfRule type="cellIs" dxfId="228" priority="10" operator="greaterThan">
      <formula>1</formula>
    </cfRule>
    <cfRule type="cellIs" dxfId="227" priority="11" operator="greaterThan">
      <formula>100</formula>
    </cfRule>
    <cfRule type="cellIs" dxfId="226" priority="12" operator="between">
      <formula>0.85</formula>
      <formula>1</formula>
    </cfRule>
    <cfRule type="cellIs" dxfId="225" priority="13" operator="between">
      <formula>0.01</formula>
      <formula>0.99</formula>
    </cfRule>
  </conditionalFormatting>
  <dataValidations count="1">
    <dataValidation type="decimal" allowBlank="1" showErrorMessage="1" sqref="O10:O11 J8:J13 I8:I14" xr:uid="{00E00031-009E-48A1-8BBE-000100BD001E}">
      <formula1>0</formula1>
      <formula2>1000000000000000</formula2>
    </dataValidation>
  </dataValidations>
  <printOptions gridLines="1"/>
  <pageMargins left="0.7" right="0.7" top="0.75" bottom="0.75" header="0.51200000000000001" footer="0.51200000000000001"/>
  <pageSetup paperSize="9" firstPageNumber="0"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DBDBDB"/>
  </sheetPr>
  <dimension ref="A1:L17"/>
  <sheetViews>
    <sheetView topLeftCell="A9" workbookViewId="0">
      <selection activeCell="A26" sqref="A26"/>
    </sheetView>
  </sheetViews>
  <sheetFormatPr baseColWidth="10" defaultRowHeight="15" outlineLevelCol="1"/>
  <cols>
    <col min="1" max="1" width="14.6640625" customWidth="1"/>
    <col min="2" max="11" width="10.83203125" customWidth="1" outlineLevel="1"/>
  </cols>
  <sheetData>
    <row r="1" spans="1:12" s="150" customFormat="1" ht="20" customHeight="1">
      <c r="A1" s="812" t="s">
        <v>85</v>
      </c>
      <c r="B1" s="813"/>
      <c r="C1" s="813"/>
      <c r="D1" s="813"/>
      <c r="E1" s="813"/>
      <c r="F1" s="813"/>
      <c r="G1" s="813"/>
      <c r="H1" s="813"/>
      <c r="I1" s="813"/>
      <c r="J1" s="813"/>
      <c r="K1" s="813"/>
      <c r="L1" s="814"/>
    </row>
    <row r="2" spans="1:12" s="150" customFormat="1" ht="20" customHeight="1">
      <c r="A2" s="815"/>
      <c r="B2" s="816"/>
      <c r="C2" s="816"/>
      <c r="D2" s="816"/>
      <c r="E2" s="816"/>
      <c r="F2" s="816"/>
      <c r="G2" s="816"/>
      <c r="H2" s="816"/>
      <c r="I2" s="816"/>
      <c r="J2" s="816"/>
      <c r="K2" s="816"/>
      <c r="L2" s="817"/>
    </row>
    <row r="3" spans="1:12" s="151" customFormat="1" ht="30" customHeight="1">
      <c r="A3" s="152" t="s">
        <v>86</v>
      </c>
      <c r="B3" s="153">
        <v>45282</v>
      </c>
      <c r="C3" s="153">
        <v>45283</v>
      </c>
      <c r="D3" s="153">
        <v>45284</v>
      </c>
      <c r="E3" s="153">
        <v>45285</v>
      </c>
      <c r="F3" s="153">
        <v>45286</v>
      </c>
      <c r="G3" s="153">
        <v>45287</v>
      </c>
      <c r="H3" s="153">
        <v>45288</v>
      </c>
      <c r="I3" s="153">
        <v>45289</v>
      </c>
      <c r="J3" s="153">
        <v>45290</v>
      </c>
      <c r="K3" s="154">
        <v>45291</v>
      </c>
      <c r="L3" s="152" t="s">
        <v>87</v>
      </c>
    </row>
    <row r="4" spans="1:12" s="150" customFormat="1" ht="33" customHeight="1">
      <c r="A4" s="155" t="s">
        <v>88</v>
      </c>
      <c r="B4" s="156">
        <f>'Доп сотрудник'!S35</f>
        <v>0.6503944237845386</v>
      </c>
      <c r="C4" s="156"/>
      <c r="D4" s="156">
        <v>0.27</v>
      </c>
      <c r="E4" s="157">
        <v>0.56999999999999995</v>
      </c>
      <c r="F4" s="157">
        <v>0.73</v>
      </c>
      <c r="G4" s="157">
        <v>0.88</v>
      </c>
      <c r="H4" s="157">
        <v>0.98</v>
      </c>
      <c r="I4" s="156"/>
      <c r="J4" s="156"/>
      <c r="K4" s="158"/>
      <c r="L4" s="159"/>
    </row>
    <row r="5" spans="1:12" s="150" customFormat="1" ht="30" customHeight="1">
      <c r="A5" s="160" t="s">
        <v>89</v>
      </c>
      <c r="B5" s="161"/>
      <c r="C5" s="162">
        <v>0.25</v>
      </c>
      <c r="D5" s="163">
        <v>0.79</v>
      </c>
      <c r="E5" s="162">
        <v>0.33</v>
      </c>
      <c r="F5" s="162">
        <v>0.13</v>
      </c>
      <c r="G5" s="162">
        <v>0.75</v>
      </c>
      <c r="H5" s="162">
        <v>0.67</v>
      </c>
      <c r="I5" s="162">
        <v>0.74</v>
      </c>
      <c r="J5" s="163">
        <v>1.72</v>
      </c>
      <c r="K5" s="164">
        <v>0.33</v>
      </c>
      <c r="L5" s="165"/>
    </row>
    <row r="6" spans="1:12" s="150" customFormat="1" ht="32" customHeight="1">
      <c r="A6" s="160" t="s">
        <v>90</v>
      </c>
      <c r="B6" s="163">
        <f>'Свидовская С. А.'!R39</f>
        <v>0.64951175901608893</v>
      </c>
      <c r="C6" s="162"/>
      <c r="D6" s="162"/>
      <c r="E6" s="162">
        <v>0.25</v>
      </c>
      <c r="F6" s="162">
        <v>0.25</v>
      </c>
      <c r="G6" s="162"/>
      <c r="H6" s="166">
        <v>0.38</v>
      </c>
      <c r="I6" s="167">
        <v>1.1100000000000001</v>
      </c>
      <c r="J6" s="163">
        <v>1.17</v>
      </c>
      <c r="K6" s="168">
        <v>0.34</v>
      </c>
      <c r="L6" s="165"/>
    </row>
    <row r="7" spans="1:12" s="150" customFormat="1" ht="32" customHeight="1">
      <c r="A7" s="169" t="s">
        <v>91</v>
      </c>
      <c r="B7" s="170"/>
      <c r="C7" s="170">
        <v>0.33</v>
      </c>
      <c r="D7" s="170">
        <v>0.56999999999999995</v>
      </c>
      <c r="E7" s="170">
        <v>0.08</v>
      </c>
      <c r="F7" s="170">
        <v>0.45</v>
      </c>
      <c r="G7" s="170">
        <v>0.4</v>
      </c>
      <c r="H7" s="170">
        <v>0.24</v>
      </c>
      <c r="I7" s="171">
        <v>0.25</v>
      </c>
      <c r="J7" s="170">
        <v>0.28000000000000003</v>
      </c>
      <c r="K7" s="172">
        <v>0.23</v>
      </c>
      <c r="L7" s="165"/>
    </row>
    <row r="8" spans="1:12" s="150" customFormat="1" ht="33" customHeight="1">
      <c r="A8" s="173" t="s">
        <v>92</v>
      </c>
      <c r="B8" s="174">
        <f>'Козлова В. Э.'!S39</f>
        <v>0.42155460885244361</v>
      </c>
      <c r="C8" s="175">
        <v>0.52</v>
      </c>
      <c r="D8" s="174">
        <v>0.31</v>
      </c>
      <c r="E8" s="174"/>
      <c r="F8" s="174"/>
      <c r="G8" s="174">
        <v>0.28999999999999998</v>
      </c>
      <c r="H8" s="174"/>
      <c r="I8" s="174">
        <v>0.49</v>
      </c>
      <c r="J8" s="174">
        <v>0.23</v>
      </c>
      <c r="K8" s="176">
        <v>0.1</v>
      </c>
      <c r="L8" s="165"/>
    </row>
    <row r="9" spans="1:12" s="150" customFormat="1" ht="30" customHeight="1">
      <c r="A9" s="177"/>
      <c r="B9" s="178"/>
      <c r="C9" s="178"/>
      <c r="D9" s="178"/>
      <c r="E9" s="178"/>
      <c r="F9" s="178"/>
      <c r="G9" s="178"/>
      <c r="H9" s="178"/>
      <c r="I9" s="178"/>
      <c r="J9" s="178"/>
      <c r="K9" s="178"/>
      <c r="L9" s="178"/>
    </row>
    <row r="10" spans="1:12" s="151" customFormat="1" ht="10" customHeight="1">
      <c r="A10" s="812" t="s">
        <v>93</v>
      </c>
      <c r="B10" s="813"/>
      <c r="C10" s="813"/>
      <c r="D10" s="813"/>
      <c r="E10" s="813"/>
      <c r="F10" s="813"/>
      <c r="G10" s="813"/>
      <c r="H10" s="813"/>
      <c r="I10" s="813"/>
      <c r="J10" s="813"/>
      <c r="K10" s="813"/>
      <c r="L10" s="814"/>
    </row>
    <row r="11" spans="1:12" s="150" customFormat="1" ht="29" customHeight="1">
      <c r="A11" s="815"/>
      <c r="B11" s="816"/>
      <c r="C11" s="816"/>
      <c r="D11" s="816"/>
      <c r="E11" s="816"/>
      <c r="F11" s="816"/>
      <c r="G11" s="816"/>
      <c r="H11" s="816"/>
      <c r="I11" s="816"/>
      <c r="J11" s="816"/>
      <c r="K11" s="816"/>
      <c r="L11" s="817"/>
    </row>
    <row r="12" spans="1:12" s="150" customFormat="1" ht="32" customHeight="1">
      <c r="A12" s="152" t="s">
        <v>86</v>
      </c>
      <c r="B12" s="153">
        <v>45282</v>
      </c>
      <c r="C12" s="153">
        <v>45283</v>
      </c>
      <c r="D12" s="153">
        <v>45284</v>
      </c>
      <c r="E12" s="153">
        <v>45285</v>
      </c>
      <c r="F12" s="153">
        <v>45286</v>
      </c>
      <c r="G12" s="153">
        <v>45287</v>
      </c>
      <c r="H12" s="153">
        <v>45288</v>
      </c>
      <c r="I12" s="153">
        <v>45289</v>
      </c>
      <c r="J12" s="153">
        <v>45290</v>
      </c>
      <c r="K12" s="154">
        <v>45291</v>
      </c>
      <c r="L12" s="152" t="s">
        <v>87</v>
      </c>
    </row>
    <row r="13" spans="1:12" s="150" customFormat="1" ht="33" customHeight="1">
      <c r="A13" s="155" t="s">
        <v>88</v>
      </c>
      <c r="B13" s="179">
        <v>0</v>
      </c>
      <c r="C13" s="156"/>
      <c r="D13" s="179">
        <v>0</v>
      </c>
      <c r="E13" s="180">
        <v>1</v>
      </c>
      <c r="F13" s="180">
        <v>1</v>
      </c>
      <c r="G13" s="180">
        <v>1</v>
      </c>
      <c r="H13" s="180">
        <v>1</v>
      </c>
      <c r="I13" s="156"/>
      <c r="J13" s="156"/>
      <c r="K13" s="181"/>
      <c r="L13" s="182">
        <f t="shared" ref="L13:L17" si="0">SUM(B13:K13)</f>
        <v>4</v>
      </c>
    </row>
    <row r="14" spans="1:12" s="150" customFormat="1" ht="34" customHeight="1">
      <c r="A14" s="160" t="s">
        <v>89</v>
      </c>
      <c r="B14" s="183"/>
      <c r="C14" s="184">
        <v>0</v>
      </c>
      <c r="D14" s="185">
        <v>1</v>
      </c>
      <c r="E14" s="184">
        <v>0</v>
      </c>
      <c r="F14" s="184">
        <v>0</v>
      </c>
      <c r="G14" s="184">
        <v>0</v>
      </c>
      <c r="H14" s="184">
        <v>0</v>
      </c>
      <c r="I14" s="184">
        <v>0</v>
      </c>
      <c r="J14" s="185">
        <v>2</v>
      </c>
      <c r="K14" s="186">
        <v>0</v>
      </c>
      <c r="L14" s="187">
        <f t="shared" si="0"/>
        <v>3</v>
      </c>
    </row>
    <row r="15" spans="1:12" s="150" customFormat="1" ht="34" customHeight="1">
      <c r="A15" s="160" t="s">
        <v>90</v>
      </c>
      <c r="B15" s="185">
        <v>1</v>
      </c>
      <c r="C15" s="184"/>
      <c r="D15" s="184"/>
      <c r="E15" s="184">
        <v>0</v>
      </c>
      <c r="F15" s="184">
        <v>0</v>
      </c>
      <c r="G15" s="184"/>
      <c r="H15" s="184">
        <v>0</v>
      </c>
      <c r="I15" s="185">
        <v>2</v>
      </c>
      <c r="J15" s="184">
        <v>1</v>
      </c>
      <c r="K15" s="186">
        <v>1</v>
      </c>
      <c r="L15" s="188">
        <f t="shared" si="0"/>
        <v>5</v>
      </c>
    </row>
    <row r="16" spans="1:12" ht="34" customHeight="1">
      <c r="A16" s="169" t="s">
        <v>91</v>
      </c>
      <c r="B16" s="189"/>
      <c r="C16" s="189">
        <v>0</v>
      </c>
      <c r="D16" s="189">
        <v>0</v>
      </c>
      <c r="E16" s="189">
        <v>0</v>
      </c>
      <c r="F16" s="189">
        <v>0</v>
      </c>
      <c r="G16" s="189">
        <v>0</v>
      </c>
      <c r="H16" s="189">
        <v>0</v>
      </c>
      <c r="I16" s="189">
        <v>0</v>
      </c>
      <c r="J16" s="189">
        <v>0</v>
      </c>
      <c r="K16" s="190">
        <v>0</v>
      </c>
      <c r="L16" s="191">
        <f t="shared" si="0"/>
        <v>0</v>
      </c>
    </row>
    <row r="17" spans="1:12" ht="34" customHeight="1">
      <c r="A17" s="173" t="s">
        <v>92</v>
      </c>
      <c r="B17" s="192">
        <v>0</v>
      </c>
      <c r="C17" s="193">
        <v>1</v>
      </c>
      <c r="D17" s="192">
        <v>0</v>
      </c>
      <c r="E17" s="192"/>
      <c r="F17" s="192"/>
      <c r="G17" s="192">
        <v>0</v>
      </c>
      <c r="H17" s="192"/>
      <c r="I17" s="192">
        <v>0</v>
      </c>
      <c r="J17" s="192">
        <v>0</v>
      </c>
      <c r="K17" s="194">
        <v>0</v>
      </c>
      <c r="L17" s="195">
        <f t="shared" si="0"/>
        <v>1</v>
      </c>
    </row>
  </sheetData>
  <mergeCells count="2">
    <mergeCell ref="A1:L2"/>
    <mergeCell ref="A10:L11"/>
  </mergeCell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BDBDB"/>
  </sheetPr>
  <dimension ref="A1:R12"/>
  <sheetViews>
    <sheetView workbookViewId="0">
      <selection activeCell="A7" sqref="A7:XFD7"/>
    </sheetView>
  </sheetViews>
  <sheetFormatPr baseColWidth="10" defaultColWidth="10" defaultRowHeight="15"/>
  <cols>
    <col min="1" max="1" width="10.83203125" style="1"/>
    <col min="2" max="2" width="10.1640625" style="1" customWidth="1"/>
    <col min="3" max="3" width="10.83203125" style="1" hidden="1" customWidth="1"/>
    <col min="4" max="4" width="11.1640625" style="1" customWidth="1"/>
    <col min="5" max="5" width="13.6640625" style="1" customWidth="1"/>
    <col min="6" max="6" width="12" style="1" customWidth="1"/>
    <col min="7" max="8" width="12" style="196" customWidth="1"/>
    <col min="9" max="9" width="12" style="1" customWidth="1"/>
    <col min="10" max="12" width="12" style="196" customWidth="1"/>
    <col min="13" max="13" width="12.33203125" customWidth="1"/>
    <col min="14" max="14" width="11.1640625" customWidth="1"/>
    <col min="15" max="15" width="11.83203125" customWidth="1"/>
    <col min="16" max="18" width="12" customWidth="1"/>
  </cols>
  <sheetData>
    <row r="1" spans="1:18" ht="25" customHeight="1">
      <c r="A1" s="818" t="s">
        <v>94</v>
      </c>
      <c r="B1" s="819"/>
      <c r="C1" s="819"/>
      <c r="D1" s="819"/>
      <c r="E1" s="819"/>
      <c r="F1" s="819"/>
      <c r="G1" s="819"/>
      <c r="H1" s="819"/>
      <c r="I1" s="819"/>
      <c r="J1" s="819"/>
      <c r="K1" s="819"/>
      <c r="L1" s="819"/>
      <c r="M1" s="819"/>
      <c r="N1" s="819"/>
      <c r="O1" s="819"/>
      <c r="P1" s="819"/>
      <c r="Q1" s="819"/>
      <c r="R1" s="820"/>
    </row>
    <row r="2" spans="1:18" ht="27" customHeight="1">
      <c r="A2" s="821" t="s">
        <v>5</v>
      </c>
      <c r="B2" s="822"/>
      <c r="C2" s="823"/>
      <c r="D2" s="827" t="str">
        <f>Центрум!I3</f>
        <v>ТРК Центрум</v>
      </c>
      <c r="E2" s="828"/>
      <c r="F2" s="828"/>
      <c r="G2" s="829" t="str">
        <f>График!B27</f>
        <v>Свидовская София</v>
      </c>
      <c r="H2" s="830"/>
      <c r="I2" s="830"/>
      <c r="J2" s="831" t="str">
        <f>График!B25</f>
        <v>Корж Анастасия</v>
      </c>
      <c r="K2" s="830"/>
      <c r="L2" s="832"/>
      <c r="M2" s="831" t="str">
        <f>График!B26</f>
        <v>Козлова Валерия</v>
      </c>
      <c r="N2" s="830"/>
      <c r="O2" s="832"/>
      <c r="P2" s="829" t="str">
        <f>График!B28</f>
        <v>Стекольщикова Алла</v>
      </c>
      <c r="Q2" s="830"/>
      <c r="R2" s="833"/>
    </row>
    <row r="3" spans="1:18">
      <c r="A3" s="824"/>
      <c r="B3" s="825"/>
      <c r="C3" s="826"/>
      <c r="D3" s="834" t="s">
        <v>95</v>
      </c>
      <c r="E3" s="835"/>
      <c r="F3" s="197" t="s">
        <v>96</v>
      </c>
      <c r="G3" s="836" t="s">
        <v>7</v>
      </c>
      <c r="H3" s="837"/>
      <c r="I3" s="198" t="s">
        <v>96</v>
      </c>
      <c r="J3" s="836" t="s">
        <v>7</v>
      </c>
      <c r="K3" s="837"/>
      <c r="L3" s="199" t="s">
        <v>96</v>
      </c>
      <c r="M3" s="836" t="s">
        <v>7</v>
      </c>
      <c r="N3" s="837"/>
      <c r="O3" s="199" t="s">
        <v>96</v>
      </c>
      <c r="P3" s="829" t="s">
        <v>7</v>
      </c>
      <c r="Q3" s="838"/>
      <c r="R3" s="199" t="s">
        <v>96</v>
      </c>
    </row>
    <row r="4" spans="1:18">
      <c r="A4" s="839" t="s">
        <v>14</v>
      </c>
      <c r="B4" s="839"/>
      <c r="C4" s="839"/>
      <c r="D4" s="200">
        <f>Центрум!K8</f>
        <v>0.50672983399383587</v>
      </c>
      <c r="E4" s="201">
        <f>Центрум!J8</f>
        <v>3087288.89</v>
      </c>
      <c r="F4" s="202">
        <f>Центрум!M8</f>
        <v>0.50672983399383598</v>
      </c>
      <c r="G4" s="203">
        <f>'Свидовская С. А.'!K8</f>
        <v>0.53568739974475488</v>
      </c>
      <c r="H4" s="204">
        <f>'Свидовская С. А.'!J8</f>
        <v>657954.52</v>
      </c>
      <c r="I4" s="202">
        <f>'Свидовская С. А.'!M8</f>
        <v>0.55288890304782567</v>
      </c>
      <c r="J4" s="203">
        <f>'Корж А. А.'!K8</f>
        <v>0.36611768626430169</v>
      </c>
      <c r="K4" s="204">
        <f>'Корж А. А.'!J8</f>
        <v>460812.37</v>
      </c>
      <c r="L4" s="205">
        <f>'Корж А. А.'!M8</f>
        <v>0.37639352897954215</v>
      </c>
      <c r="M4" s="203">
        <f>'Козлова В. Э.'!K8</f>
        <v>0.35464809480953879</v>
      </c>
      <c r="N4" s="204">
        <f>'Козлова В. Э.'!J8</f>
        <v>439907</v>
      </c>
      <c r="O4" s="205">
        <f>'Козлова В. Э.'!M8</f>
        <v>0.36559716131864201</v>
      </c>
      <c r="P4" s="203">
        <f>'Стекольщикова А. А.'!K8</f>
        <v>0.61807695149004038</v>
      </c>
      <c r="Q4" s="204">
        <f>'Стекольщикова А. А.'!J8</f>
        <v>875652</v>
      </c>
      <c r="R4" s="205">
        <f>'Стекольщикова А. А.'!M8</f>
        <v>0.62541457701714886</v>
      </c>
    </row>
    <row r="5" spans="1:18">
      <c r="A5" s="801" t="s">
        <v>15</v>
      </c>
      <c r="B5" s="801"/>
      <c r="C5" s="801"/>
      <c r="D5" s="206">
        <f>Центрум!K9</f>
        <v>0.53501527078762856</v>
      </c>
      <c r="E5" s="207">
        <f>Центрум!J9</f>
        <v>398</v>
      </c>
      <c r="F5" s="208">
        <f>Центрум!M9</f>
        <v>0.53501527078762856</v>
      </c>
      <c r="G5" s="209">
        <f>'Свидовская С. А.'!K9</f>
        <v>0.58678922479936724</v>
      </c>
      <c r="H5" s="210">
        <f>'Свидовская С. А.'!J9</f>
        <v>88</v>
      </c>
      <c r="I5" s="211">
        <f>'Свидовская С. А.'!M9</f>
        <v>0.59630054838208812</v>
      </c>
      <c r="J5" s="209">
        <f>'Корж А. А.'!K9</f>
        <v>0.42295468388316265</v>
      </c>
      <c r="K5" s="210">
        <f>'Корж А. А.'!J9</f>
        <v>65</v>
      </c>
      <c r="L5" s="212">
        <f>'Корж А. А.'!M9</f>
        <v>0.42831093706345735</v>
      </c>
      <c r="M5" s="209">
        <f>'Козлова В. Э.'!K9</f>
        <v>0.38295580201366902</v>
      </c>
      <c r="N5" s="210">
        <f>'Козлова В. Э.'!J9</f>
        <v>58</v>
      </c>
      <c r="O5" s="212">
        <f>'Козлова В. Э.'!M9</f>
        <v>0.38876219765134518</v>
      </c>
      <c r="P5" s="209">
        <f>'Стекольщикова А. А.'!K9</f>
        <v>0.57230837483114261</v>
      </c>
      <c r="Q5" s="210">
        <f>'Стекольщикова А. А.'!J9</f>
        <v>99</v>
      </c>
      <c r="R5" s="212">
        <f>'Стекольщикова А. А.'!M9</f>
        <v>0.57150148477835527</v>
      </c>
    </row>
    <row r="6" spans="1:18">
      <c r="A6" s="802" t="s">
        <v>16</v>
      </c>
      <c r="B6" s="802"/>
      <c r="C6" s="802"/>
      <c r="D6" s="206">
        <f>Центрум!K10</f>
        <v>0.89039670830345452</v>
      </c>
      <c r="E6" s="213">
        <f>Центрум!J10</f>
        <v>12251.14638888889</v>
      </c>
      <c r="F6" s="208">
        <f>Центрум!M10</f>
        <v>0.89039670830345452</v>
      </c>
      <c r="G6" s="209">
        <f>'Свидовская С. А.'!K10</f>
        <v>0.85391504281810404</v>
      </c>
      <c r="H6" s="214">
        <f>'Свидовская С. А.'!J10</f>
        <v>11749.187857142857</v>
      </c>
      <c r="I6" s="211">
        <f>'Свидовская С. А.'!M10</f>
        <v>0.85391504281810404</v>
      </c>
      <c r="J6" s="209">
        <f>'Корж А. А.'!K10</f>
        <v>0.81685898144957381</v>
      </c>
      <c r="K6" s="214">
        <f>'Корж А. А.'!J10</f>
        <v>11239.326097560976</v>
      </c>
      <c r="L6" s="212">
        <f>'Корж А. А.'!M10</f>
        <v>0.81685898144957381</v>
      </c>
      <c r="M6" s="209">
        <f>'Козлова В. Э.'!K10</f>
        <v>0.81979087931468886</v>
      </c>
      <c r="N6" s="214">
        <f>'Козлова В. Э.'!J10</f>
        <v>11279.666666666666</v>
      </c>
      <c r="O6" s="212">
        <f>'Козлова В. Э.'!M10</f>
        <v>0.81979087931468886</v>
      </c>
      <c r="P6" s="209">
        <f>'Стекольщикова А. А.'!K10</f>
        <v>0.93590000102605153</v>
      </c>
      <c r="Q6" s="214">
        <f>'Стекольщикова А. А.'!J10</f>
        <v>12877.235294117647</v>
      </c>
      <c r="R6" s="212">
        <f>'Стекольщикова А. А.'!M10</f>
        <v>0.93590000102605153</v>
      </c>
    </row>
    <row r="7" spans="1:18">
      <c r="A7" s="801" t="s">
        <v>17</v>
      </c>
      <c r="B7" s="801"/>
      <c r="C7" s="801"/>
      <c r="D7" s="206">
        <f>Центрум!K11</f>
        <v>0.94713153373706138</v>
      </c>
      <c r="E7" s="213">
        <f>Центрум!J11</f>
        <v>7757.0072613065331</v>
      </c>
      <c r="F7" s="208">
        <f>Центрум!M11</f>
        <v>0.9471315337370616</v>
      </c>
      <c r="G7" s="209">
        <f>'Свидовская С. А.'!K11</f>
        <v>0.91291280941280939</v>
      </c>
      <c r="H7" s="214">
        <f>'Свидовская С. А.'!J11</f>
        <v>7476.755909090909</v>
      </c>
      <c r="I7" s="211">
        <f>'Свидовская С. А.'!M11</f>
        <v>0.91291280941280939</v>
      </c>
      <c r="J7" s="209">
        <f>'Корж А. А.'!K11</f>
        <v>0.86561917911148678</v>
      </c>
      <c r="K7" s="214">
        <f>'Корж А. А.'!J11</f>
        <v>7089.4210769230767</v>
      </c>
      <c r="L7" s="212">
        <f>'Корж А. А.'!M11</f>
        <v>0.86561917911148678</v>
      </c>
      <c r="M7" s="209">
        <f>'Козлова В. Э.'!K11</f>
        <v>0.92608100711548991</v>
      </c>
      <c r="N7" s="214">
        <f>'Козлова В. Э.'!J11</f>
        <v>7584.6034482758623</v>
      </c>
      <c r="O7" s="212">
        <f>'Козлова В. Э.'!M11</f>
        <v>0.92608100711548991</v>
      </c>
      <c r="P7" s="209">
        <f>'Стекольщикова А. А.'!K11</f>
        <v>1.0799718799718798</v>
      </c>
      <c r="Q7" s="214">
        <f>'Стекольщикова А. А.'!J11</f>
        <v>8844.9696969696961</v>
      </c>
      <c r="R7" s="212">
        <f>'Стекольщикова А. А.'!M11</f>
        <v>1.0799718799718798</v>
      </c>
    </row>
    <row r="8" spans="1:18">
      <c r="A8" s="801" t="s">
        <v>18</v>
      </c>
      <c r="B8" s="801"/>
      <c r="C8" s="801"/>
      <c r="D8" s="206">
        <f>Центрум!K12</f>
        <v>0.94009826152683296</v>
      </c>
      <c r="E8" s="215">
        <f>Центрум!J12</f>
        <v>1.5793650793650793</v>
      </c>
      <c r="F8" s="208">
        <f>Центрум!M12</f>
        <v>0.94009826152683296</v>
      </c>
      <c r="G8" s="209">
        <f>'Свидовская С. А.'!K12</f>
        <v>0.93537414965986398</v>
      </c>
      <c r="H8" s="216">
        <f>'Свидовская С. А.'!J12</f>
        <v>1.5714285714285714</v>
      </c>
      <c r="I8" s="211">
        <f>'Свидовская С. А.'!M12</f>
        <v>0.93537414965986398</v>
      </c>
      <c r="J8" s="209">
        <f>'Корж А. А.'!K12</f>
        <v>0.94367015098722429</v>
      </c>
      <c r="K8" s="216">
        <f>'Корж А. А.'!J12</f>
        <v>1.5853658536585367</v>
      </c>
      <c r="L8" s="212">
        <f>'Корж А. А.'!M12</f>
        <v>0.94367015098722429</v>
      </c>
      <c r="M8" s="209">
        <f>'Козлова В. Э.'!K12</f>
        <v>0.8852258852258853</v>
      </c>
      <c r="N8" s="216">
        <f>'Козлова В. Э.'!J12</f>
        <v>1.4871794871794872</v>
      </c>
      <c r="O8" s="212">
        <f>'Козлова В. Э.'!M12</f>
        <v>0.8852258852258853</v>
      </c>
      <c r="P8" s="209">
        <f>'Стекольщикова А. А.'!K12</f>
        <v>0.86659663865546221</v>
      </c>
      <c r="Q8" s="216">
        <f>'Стекольщикова А. А.'!J12</f>
        <v>1.4558823529411764</v>
      </c>
      <c r="R8" s="212">
        <f>'Стекольщикова А. А.'!M12</f>
        <v>0.86659663865546221</v>
      </c>
    </row>
    <row r="9" spans="1:18">
      <c r="A9" s="801" t="s">
        <v>19</v>
      </c>
      <c r="B9" s="801"/>
      <c r="C9" s="801"/>
      <c r="D9" s="206">
        <f>Центрум!K13</f>
        <v>0.56910569105691056</v>
      </c>
      <c r="E9" s="207">
        <f>Центрум!J13</f>
        <v>252</v>
      </c>
      <c r="F9" s="208">
        <f>Центрум!M13</f>
        <v>0.56910569105691089</v>
      </c>
      <c r="G9" s="209">
        <f>'Свидовская С. А.'!K13</f>
        <v>0.62733102578550526</v>
      </c>
      <c r="H9" s="210">
        <f>'Свидовская С. А.'!J13</f>
        <v>56</v>
      </c>
      <c r="I9" s="211">
        <f>'Свидовская С. А.'!M13</f>
        <v>0.64027620117851469</v>
      </c>
      <c r="J9" s="209">
        <f>'Корж А. А.'!K13</f>
        <v>0.4482018250134191</v>
      </c>
      <c r="K9" s="210">
        <f>'Корж А. А.'!J13</f>
        <v>41</v>
      </c>
      <c r="L9" s="212">
        <f>'Корж А. А.'!M13</f>
        <v>0.45580001212812526</v>
      </c>
      <c r="M9" s="209">
        <f>'Козлова В. Э.'!K13</f>
        <v>0.43260800255061366</v>
      </c>
      <c r="N9" s="210">
        <f>'Козлова В. Э.'!J13</f>
        <v>39</v>
      </c>
      <c r="O9" s="212">
        <f>'Козлова В. Э.'!M13</f>
        <v>0.44105927899756225</v>
      </c>
      <c r="P9" s="209">
        <f>'Стекольщикова А. А.'!K13</f>
        <v>0.66040917919908815</v>
      </c>
      <c r="Q9" s="210">
        <f>'Стекольщикова А. А.'!J13</f>
        <v>68</v>
      </c>
      <c r="R9" s="212">
        <f>'Стекольщикова А. А.'!M13</f>
        <v>0.66192359012527047</v>
      </c>
    </row>
    <row r="10" spans="1:18">
      <c r="A10" s="801" t="s">
        <v>97</v>
      </c>
      <c r="B10" s="801"/>
      <c r="C10" s="801"/>
      <c r="D10" s="206">
        <f>Центрум!K14</f>
        <v>1</v>
      </c>
      <c r="E10" s="207">
        <f>Центрум!J14</f>
        <v>31</v>
      </c>
      <c r="F10" s="208"/>
      <c r="G10" s="209">
        <f>'Свидовская С. А.'!K14</f>
        <v>1</v>
      </c>
      <c r="H10" s="210">
        <f>'Свидовская С. А.'!J14</f>
        <v>21</v>
      </c>
      <c r="I10" s="211"/>
      <c r="J10" s="209">
        <f>'Корж А. А.'!K14</f>
        <v>1</v>
      </c>
      <c r="K10" s="210">
        <f>'Корж А. А.'!J14</f>
        <v>21</v>
      </c>
      <c r="L10" s="212"/>
      <c r="M10" s="209">
        <f>'Козлова В. Э.'!K14</f>
        <v>1</v>
      </c>
      <c r="N10" s="210">
        <f>'Козлова В. Э.'!J14</f>
        <v>21</v>
      </c>
      <c r="O10" s="212"/>
      <c r="P10" s="209">
        <f>'Стекольщикова А. А.'!K14</f>
        <v>1</v>
      </c>
      <c r="Q10" s="210">
        <f>'Стекольщикова А. А.'!J14</f>
        <v>25</v>
      </c>
      <c r="R10" s="212"/>
    </row>
    <row r="11" spans="1:18">
      <c r="A11" s="848" t="s">
        <v>21</v>
      </c>
      <c r="B11" s="848"/>
      <c r="C11" s="848"/>
      <c r="D11" s="217">
        <f>Центрум!K15</f>
        <v>0.50672983399383587</v>
      </c>
      <c r="E11" s="218">
        <f>Центрум!J15</f>
        <v>99589.964193548396</v>
      </c>
      <c r="F11" s="219">
        <f>Центрум!M15</f>
        <v>0.50672983399383587</v>
      </c>
      <c r="G11" s="220">
        <f>'Свидовская С. А.'!K15</f>
        <v>0.15941804472966714</v>
      </c>
      <c r="H11" s="221">
        <f>'Свидовская С. А.'!J15</f>
        <v>31331.167619047621</v>
      </c>
      <c r="I11" s="222">
        <f>'Свидовская С. А.'!M15</f>
        <v>0.15941804472966714</v>
      </c>
      <c r="J11" s="220">
        <f>'Корж А. А.'!K15</f>
        <v>0.11165180081541794</v>
      </c>
      <c r="K11" s="221">
        <f>'Корж А. А.'!J15</f>
        <v>21943.446190476192</v>
      </c>
      <c r="L11" s="223">
        <f>'Корж А. А.'!M15</f>
        <v>0.11165180081541794</v>
      </c>
      <c r="M11" s="220">
        <f>'Козлова В. Э.'!K15</f>
        <v>0.10658656741638263</v>
      </c>
      <c r="N11" s="221">
        <f>'Козлова В. Э.'!J15</f>
        <v>20947.952380952382</v>
      </c>
      <c r="O11" s="223">
        <f>'Козлова В. Э.'!M15</f>
        <v>0.10658656741638263</v>
      </c>
      <c r="P11" s="220">
        <f>'Стекольщикова А. А.'!K15</f>
        <v>0.1782183561122779</v>
      </c>
      <c r="Q11" s="221">
        <f>'Стекольщикова А. А.'!J15</f>
        <v>35026.080000000002</v>
      </c>
      <c r="R11" s="223">
        <f>'Стекольщикова А. А.'!M15</f>
        <v>0.1782183561122779</v>
      </c>
    </row>
    <row r="12" spans="1:18">
      <c r="A12" s="849" t="s">
        <v>22</v>
      </c>
      <c r="B12" s="849"/>
      <c r="C12" s="849"/>
      <c r="D12" s="850">
        <f>Центрум!J16</f>
        <v>-3005284.8699999996</v>
      </c>
      <c r="E12" s="851"/>
      <c r="F12" s="852"/>
      <c r="G12" s="840">
        <f>'Свидовская С. А.'!N8</f>
        <v>-549161.25957416964</v>
      </c>
      <c r="H12" s="841"/>
      <c r="I12" s="841"/>
      <c r="J12" s="842">
        <f>'Корж А. А.'!N8</f>
        <v>-784899.46440561535</v>
      </c>
      <c r="K12" s="843"/>
      <c r="L12" s="844"/>
      <c r="M12" s="842">
        <f>'Козлова В. Э.'!N8</f>
        <v>-786915.97005667584</v>
      </c>
      <c r="N12" s="843"/>
      <c r="O12" s="844"/>
      <c r="P12" s="845">
        <f>'Стекольщикова А. А.'!N8</f>
        <v>-530688.73384621751</v>
      </c>
      <c r="Q12" s="846"/>
      <c r="R12" s="847"/>
    </row>
  </sheetData>
  <mergeCells count="26">
    <mergeCell ref="G12:I12"/>
    <mergeCell ref="J12:L12"/>
    <mergeCell ref="M12:O12"/>
    <mergeCell ref="P12:R12"/>
    <mergeCell ref="A9:C9"/>
    <mergeCell ref="A10:C10"/>
    <mergeCell ref="A11:C11"/>
    <mergeCell ref="A12:C12"/>
    <mergeCell ref="D12:F12"/>
    <mergeCell ref="A4:C4"/>
    <mergeCell ref="A5:C5"/>
    <mergeCell ref="A6:C6"/>
    <mergeCell ref="A7:C7"/>
    <mergeCell ref="A8:C8"/>
    <mergeCell ref="A1:R1"/>
    <mergeCell ref="A2:C3"/>
    <mergeCell ref="D2:F2"/>
    <mergeCell ref="G2:I2"/>
    <mergeCell ref="J2:L2"/>
    <mergeCell ref="M2:O2"/>
    <mergeCell ref="P2:R2"/>
    <mergeCell ref="D3:E3"/>
    <mergeCell ref="G3:H3"/>
    <mergeCell ref="J3:K3"/>
    <mergeCell ref="M3:N3"/>
    <mergeCell ref="P3:Q3"/>
  </mergeCells>
  <conditionalFormatting sqref="D12:R12">
    <cfRule type="cellIs" dxfId="224" priority="32" operator="lessThan">
      <formula>0</formula>
    </cfRule>
    <cfRule type="cellIs" dxfId="223" priority="33" operator="greaterThan">
      <formula>0</formula>
    </cfRule>
  </conditionalFormatting>
  <conditionalFormatting sqref="F4:G9 I4:J9 D4:D11 G10 J10 F11:G11 I11:J11">
    <cfRule type="cellIs" dxfId="222" priority="12" operator="greaterThan">
      <formula>1</formula>
    </cfRule>
  </conditionalFormatting>
  <conditionalFormatting sqref="I4:I11 L4:L11 O4:O11">
    <cfRule type="cellIs" dxfId="221" priority="5" operator="between">
      <formula>0.95</formula>
      <formula>1</formula>
    </cfRule>
  </conditionalFormatting>
  <conditionalFormatting sqref="I4:I11 L4:M11">
    <cfRule type="cellIs" dxfId="220" priority="6" operator="greaterThan">
      <formula>1</formula>
    </cfRule>
  </conditionalFormatting>
  <conditionalFormatting sqref="I4:J9 L4:L9 I11:J11 L11 F4:G9 D4:D11 G10 J10 F11:G11">
    <cfRule type="cellIs" dxfId="219" priority="11" operator="lessThan">
      <formula>1</formula>
    </cfRule>
  </conditionalFormatting>
  <conditionalFormatting sqref="O4:O9 O11 M4:M11">
    <cfRule type="cellIs" dxfId="218" priority="7" operator="lessThan">
      <formula>1</formula>
    </cfRule>
  </conditionalFormatting>
  <conditionalFormatting sqref="O4:P11">
    <cfRule type="cellIs" dxfId="217" priority="4" operator="greaterThan">
      <formula>1</formula>
    </cfRule>
  </conditionalFormatting>
  <conditionalFormatting sqref="R4:R9 R11 P4:P11">
    <cfRule type="cellIs" dxfId="216" priority="3" operator="lessThan">
      <formula>1</formula>
    </cfRule>
  </conditionalFormatting>
  <conditionalFormatting sqref="R4:R11">
    <cfRule type="cellIs" dxfId="215" priority="1" operator="between">
      <formula>0.95</formula>
      <formula>1</formula>
    </cfRule>
    <cfRule type="cellIs" dxfId="214" priority="2" operator="greaterThan">
      <formula>1</formula>
    </cfRule>
  </conditionalFormatting>
  <dataValidations count="1">
    <dataValidation type="decimal" allowBlank="1" showErrorMessage="1" sqref="F4:F11 D4:E12" xr:uid="{006800CA-002D-4B62-868F-001D00740040}">
      <formula1>0</formula1>
      <formula2>1000000000000000</formula2>
    </dataValidation>
  </dataValidation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DBDBDB"/>
    <pageSetUpPr fitToPage="1"/>
  </sheetPr>
  <dimension ref="A1:A3"/>
  <sheetViews>
    <sheetView showGridLines="0" showZeros="0" workbookViewId="0">
      <selection activeCell="A3" sqref="A3"/>
    </sheetView>
  </sheetViews>
  <sheetFormatPr baseColWidth="10" defaultColWidth="8.6640625" defaultRowHeight="15"/>
  <sheetData>
    <row r="1" spans="1:1">
      <c r="A1" t="s">
        <v>98</v>
      </c>
    </row>
    <row r="2" spans="1:1">
      <c r="A2" t="s">
        <v>99</v>
      </c>
    </row>
    <row r="3" spans="1:1">
      <c r="A3" t="s">
        <v>100</v>
      </c>
    </row>
  </sheetData>
  <printOptions gridLines="1"/>
  <pageMargins left="0.7" right="0.7" top="0.75" bottom="0.75" header="0.51200000000000001" footer="0.51200000000000001"/>
  <pageSetup paperSize="9" firstPageNumber="0"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DBDBDB"/>
    <pageSetUpPr fitToPage="1"/>
  </sheetPr>
  <dimension ref="A1:D7"/>
  <sheetViews>
    <sheetView showGridLines="0" showZeros="0" zoomScale="166" workbookViewId="0">
      <selection activeCell="D2" sqref="D2"/>
    </sheetView>
  </sheetViews>
  <sheetFormatPr baseColWidth="10" defaultColWidth="11.5" defaultRowHeight="15"/>
  <cols>
    <col min="1" max="4" width="11.5" style="1"/>
  </cols>
  <sheetData>
    <row r="1" spans="1:4">
      <c r="A1" s="802" t="s">
        <v>14</v>
      </c>
      <c r="B1" s="802"/>
      <c r="C1" s="802"/>
      <c r="D1" s="224">
        <f>681244</f>
        <v>681244</v>
      </c>
    </row>
    <row r="2" spans="1:4">
      <c r="A2" s="801" t="s">
        <v>15</v>
      </c>
      <c r="B2" s="801"/>
      <c r="C2" s="801"/>
      <c r="D2" s="29">
        <f>D1/D4</f>
        <v>83.179975579975576</v>
      </c>
    </row>
    <row r="3" spans="1:4">
      <c r="A3" s="802" t="s">
        <v>16</v>
      </c>
      <c r="B3" s="802"/>
      <c r="C3" s="802"/>
      <c r="D3" s="38">
        <f>D4*D5</f>
        <v>13759.199999999999</v>
      </c>
    </row>
    <row r="4" spans="1:4">
      <c r="A4" s="801" t="s">
        <v>17</v>
      </c>
      <c r="B4" s="801"/>
      <c r="C4" s="801"/>
      <c r="D4" s="45">
        <f>Центрум!I11</f>
        <v>8190</v>
      </c>
    </row>
    <row r="5" spans="1:4">
      <c r="A5" s="801" t="s">
        <v>18</v>
      </c>
      <c r="B5" s="801"/>
      <c r="C5" s="801"/>
      <c r="D5" s="47">
        <f>Центрум!I12</f>
        <v>1.68</v>
      </c>
    </row>
    <row r="6" spans="1:4">
      <c r="A6" s="801" t="s">
        <v>19</v>
      </c>
      <c r="B6" s="801"/>
      <c r="C6" s="801"/>
      <c r="D6" s="29">
        <f>IF(D5&lt;&gt;0,D2/D5,"")</f>
        <v>49.511890226175943</v>
      </c>
    </row>
    <row r="7" spans="1:4">
      <c r="A7" s="801" t="s">
        <v>25</v>
      </c>
      <c r="B7" s="801"/>
      <c r="C7" s="801"/>
      <c r="D7" s="225">
        <f>Центрум!I20</f>
        <v>0.123</v>
      </c>
    </row>
  </sheetData>
  <mergeCells count="7">
    <mergeCell ref="A6:C6"/>
    <mergeCell ref="A7:C7"/>
    <mergeCell ref="A1:C1"/>
    <mergeCell ref="A2:C2"/>
    <mergeCell ref="A3:C3"/>
    <mergeCell ref="A4:C4"/>
    <mergeCell ref="A5:C5"/>
  </mergeCells>
  <dataValidations count="1">
    <dataValidation type="decimal" allowBlank="1" showErrorMessage="1" sqref="D1:D7" xr:uid="{002B0028-0094-46FD-87D6-005D00E00046}">
      <formula1>0</formula1>
      <formula2>1000000000000000</formula2>
    </dataValidation>
  </dataValidations>
  <printOptions gridLines="1"/>
  <pageMargins left="0.78800000000000003" right="0.78800000000000003" top="0.78800000000000003" bottom="0.78800000000000003" header="0.51200000000000001" footer="0.51200000000000001"/>
  <pageSetup paperSize="9" firstPageNumber="0"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DBDBDB"/>
    <pageSetUpPr fitToPage="1"/>
  </sheetPr>
  <dimension ref="A1:IY54"/>
  <sheetViews>
    <sheetView showGridLines="0" showZeros="0" topLeftCell="A5" workbookViewId="0">
      <selection activeCell="I24" sqref="I24"/>
    </sheetView>
  </sheetViews>
  <sheetFormatPr baseColWidth="10" defaultColWidth="9.1640625" defaultRowHeight="15"/>
  <cols>
    <col min="1" max="1" width="4" style="1" customWidth="1"/>
    <col min="2" max="2" width="10.33203125" style="1" customWidth="1"/>
    <col min="3" max="3" width="10.83203125" style="1" customWidth="1"/>
    <col min="4" max="4" width="10.33203125" style="1" customWidth="1"/>
    <col min="5" max="5" width="10.1640625" style="1" customWidth="1"/>
    <col min="6" max="6" width="11.33203125" style="1" customWidth="1"/>
    <col min="7" max="7" width="9.83203125" style="1" customWidth="1"/>
    <col min="8" max="8" width="9.5" style="1" customWidth="1"/>
    <col min="9" max="9" width="11" style="1" customWidth="1"/>
    <col min="10" max="10" width="8.83203125" style="1" customWidth="1"/>
    <col min="11" max="14" width="12.6640625" style="1" customWidth="1"/>
    <col min="15" max="15" width="10.1640625" style="1" customWidth="1"/>
    <col min="16" max="17" width="10.83203125" style="1" customWidth="1"/>
    <col min="18" max="18" width="11.6640625" style="1" customWidth="1"/>
    <col min="19" max="19" width="12.83203125" style="1" customWidth="1"/>
    <col min="20" max="20" width="10.33203125" style="1" customWidth="1"/>
    <col min="21" max="22" width="11.33203125" style="1" customWidth="1"/>
    <col min="23" max="23" width="11" style="1" customWidth="1"/>
    <col min="24" max="24" width="9.5" style="1" customWidth="1"/>
    <col min="25" max="25" width="9.1640625" style="1"/>
    <col min="26" max="27" width="10.5" style="1" customWidth="1"/>
    <col min="28" max="37" width="9.1640625" style="1"/>
    <col min="38" max="259" width="9.1640625" style="2"/>
  </cols>
  <sheetData>
    <row r="1" spans="2:27" ht="15.75" customHeight="1">
      <c r="B1" s="780">
        <f ca="1">TODAY()-1</f>
        <v>46031</v>
      </c>
      <c r="C1" s="780"/>
      <c r="D1" s="3"/>
      <c r="E1" s="3"/>
      <c r="F1" s="4"/>
      <c r="G1" s="4"/>
      <c r="H1" s="4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781"/>
      <c r="V1" s="781"/>
      <c r="W1" s="781"/>
      <c r="X1" s="781"/>
      <c r="Y1" s="4"/>
      <c r="Z1" s="4"/>
      <c r="AA1" s="4"/>
    </row>
    <row r="2" spans="2:27" ht="21.75" customHeight="1">
      <c r="B2" s="782" t="s">
        <v>0</v>
      </c>
      <c r="C2" s="782"/>
      <c r="D2" s="3"/>
      <c r="E2" s="3"/>
      <c r="F2" s="4"/>
      <c r="G2" s="4"/>
      <c r="H2" s="4"/>
      <c r="I2" s="4"/>
      <c r="J2" s="853" t="s">
        <v>1</v>
      </c>
      <c r="K2" s="853"/>
      <c r="L2" s="853"/>
      <c r="M2" s="853"/>
      <c r="N2" s="853"/>
      <c r="O2" s="853"/>
      <c r="P2" s="853"/>
      <c r="Q2" s="853"/>
      <c r="R2" s="853"/>
      <c r="S2" s="853"/>
      <c r="T2" s="853"/>
      <c r="U2" s="781"/>
      <c r="V2" s="781"/>
      <c r="W2" s="781"/>
      <c r="X2" s="781"/>
      <c r="Y2" s="4"/>
      <c r="Z2" s="4"/>
      <c r="AA2" s="4"/>
    </row>
    <row r="3" spans="2:27" ht="14" customHeight="1">
      <c r="B3" s="7" t="s">
        <v>2</v>
      </c>
      <c r="C3" s="3"/>
      <c r="D3" s="3"/>
      <c r="E3" s="3"/>
      <c r="F3" s="4"/>
      <c r="G3" s="4"/>
      <c r="H3" s="4"/>
      <c r="I3" s="4"/>
      <c r="J3" s="854" t="str">
        <f>График!B26</f>
        <v>Козлова Валерия</v>
      </c>
      <c r="K3" s="854"/>
      <c r="L3" s="854"/>
      <c r="M3" s="854"/>
      <c r="N3" s="854"/>
      <c r="O3" s="854"/>
      <c r="P3" s="854"/>
      <c r="Q3" s="854"/>
      <c r="R3" s="854"/>
      <c r="S3" s="5"/>
      <c r="T3" s="8"/>
      <c r="U3" s="781"/>
      <c r="V3" s="781"/>
      <c r="W3" s="781"/>
      <c r="X3" s="781"/>
      <c r="Y3" s="4"/>
      <c r="Z3" s="4"/>
      <c r="AA3" s="4"/>
    </row>
    <row r="4" spans="2:27" ht="15" customHeight="1">
      <c r="B4" s="3"/>
      <c r="C4" s="855">
        <f>I8-D49</f>
        <v>800497.23856287426</v>
      </c>
      <c r="D4" s="855"/>
      <c r="E4" s="226">
        <f>IF(I8&lt;&gt;0,C4/I8,0)</f>
        <v>0.64535190519046126</v>
      </c>
      <c r="F4" s="4"/>
      <c r="G4" s="4"/>
      <c r="H4" s="4"/>
      <c r="I4" s="4"/>
      <c r="J4" s="854"/>
      <c r="K4" s="854"/>
      <c r="L4" s="854"/>
      <c r="M4" s="854"/>
      <c r="N4" s="854"/>
      <c r="O4" s="854"/>
      <c r="P4" s="854"/>
      <c r="Q4" s="854"/>
      <c r="R4" s="854"/>
      <c r="S4" s="4"/>
      <c r="T4" s="4"/>
      <c r="U4" s="781"/>
      <c r="V4" s="781"/>
      <c r="W4" s="781"/>
      <c r="X4" s="781"/>
      <c r="Y4" s="4"/>
      <c r="Z4" s="4"/>
      <c r="AA4" s="4"/>
    </row>
    <row r="5" spans="2:27">
      <c r="B5" s="4"/>
      <c r="C5" s="4"/>
      <c r="D5" s="4"/>
      <c r="E5" s="4"/>
      <c r="F5" s="4"/>
      <c r="G5" s="4"/>
      <c r="H5" s="4"/>
      <c r="I5" s="4"/>
      <c r="J5" s="791"/>
      <c r="K5" s="791"/>
      <c r="L5" s="791"/>
      <c r="M5" s="791"/>
      <c r="N5" s="791"/>
      <c r="O5" s="791"/>
      <c r="P5" s="791"/>
      <c r="Q5" s="791"/>
      <c r="R5" s="791"/>
      <c r="S5" s="4"/>
      <c r="T5" s="4"/>
      <c r="U5" s="4"/>
      <c r="V5" s="4"/>
      <c r="W5" s="4"/>
      <c r="X5" s="4"/>
      <c r="Y5" s="4"/>
      <c r="Z5" s="4"/>
      <c r="AA5" s="4"/>
    </row>
    <row r="6" spans="2:27" ht="24" customHeight="1">
      <c r="B6" s="11"/>
      <c r="C6" s="4"/>
      <c r="D6" s="4"/>
      <c r="E6" s="4"/>
      <c r="F6" s="793" t="s">
        <v>4</v>
      </c>
      <c r="G6" s="794"/>
      <c r="H6" s="794"/>
      <c r="I6" s="794"/>
      <c r="J6" s="794"/>
      <c r="K6" s="794"/>
      <c r="L6" s="794"/>
      <c r="M6" s="794"/>
      <c r="N6" s="794"/>
      <c r="O6" s="794"/>
      <c r="P6" s="794"/>
      <c r="Q6" s="794"/>
      <c r="R6" s="795"/>
      <c r="S6" s="4"/>
      <c r="T6" s="4"/>
      <c r="U6" s="4"/>
      <c r="V6" s="12"/>
      <c r="W6" s="12"/>
      <c r="X6" s="4"/>
      <c r="Y6" s="4"/>
      <c r="Z6" s="4"/>
      <c r="AA6" s="4"/>
    </row>
    <row r="7" spans="2:27" ht="50.75" customHeight="1">
      <c r="B7" s="11"/>
      <c r="C7" s="4"/>
      <c r="D7" s="4"/>
      <c r="E7" s="13"/>
      <c r="F7" s="856" t="s">
        <v>5</v>
      </c>
      <c r="G7" s="856"/>
      <c r="H7" s="856"/>
      <c r="I7" s="14" t="s">
        <v>6</v>
      </c>
      <c r="J7" s="15" t="s">
        <v>7</v>
      </c>
      <c r="K7" s="16" t="s">
        <v>8</v>
      </c>
      <c r="L7" s="17" t="s">
        <v>9</v>
      </c>
      <c r="M7" s="17" t="s">
        <v>10</v>
      </c>
      <c r="N7" s="18" t="s">
        <v>11</v>
      </c>
      <c r="O7" s="18" t="s">
        <v>12</v>
      </c>
      <c r="P7" s="857" t="s">
        <v>13</v>
      </c>
      <c r="Q7" s="857"/>
      <c r="R7" s="857"/>
      <c r="S7" s="4"/>
      <c r="T7" s="4"/>
      <c r="U7" s="4"/>
      <c r="V7" s="4"/>
      <c r="W7" s="4"/>
      <c r="X7" s="4"/>
    </row>
    <row r="8" spans="2:27" ht="15.75" customHeight="1">
      <c r="B8" s="11"/>
      <c r="C8" s="4"/>
      <c r="D8" s="4"/>
      <c r="E8" s="4"/>
      <c r="F8" s="802" t="s">
        <v>14</v>
      </c>
      <c r="G8" s="802"/>
      <c r="H8" s="802"/>
      <c r="I8" s="227">
        <f>Центрум!I8/График!AJ29*График!AJ26</f>
        <v>1240404.2385628743</v>
      </c>
      <c r="J8" s="21">
        <f>D49</f>
        <v>439907</v>
      </c>
      <c r="K8" s="228">
        <f t="shared" ref="K8:K9" si="0">IF(AND(I8&lt;&gt;"",I8&lt;&gt;0,J8&lt;&gt;""),J8/I8,"")</f>
        <v>0.35464809480953879</v>
      </c>
      <c r="L8" s="23">
        <f>IF(SUMIF($D$25:$D$47,"&gt;=0",$T$25:$T$47)&lt;&gt;0,I8*D49/SUMIF($D$25:$D$47,"&gt;=0",$T$25:$T$47),0)</f>
        <v>453488.26850619842</v>
      </c>
      <c r="M8" s="229">
        <f>L8/I8</f>
        <v>0.36559716131864201</v>
      </c>
      <c r="N8" s="25">
        <f t="shared" ref="N8:N9" si="1">IF(AND(J8&lt;&gt;0,J8&lt;&gt;"",I8&lt;&gt;0,I8&lt;&gt;""),L8-I8,"")</f>
        <v>-786915.97005667584</v>
      </c>
      <c r="O8" s="26"/>
      <c r="P8" s="25" t="str">
        <f t="shared" ref="P8:P9" si="2">IF(AND(O8&lt;&gt;"",O8&lt;&gt;0,L8&lt;&gt;"",L8&lt;&gt;0),-O8+L8,"")</f>
        <v/>
      </c>
      <c r="Q8" s="28" t="str">
        <f t="shared" ref="Q8:Q9" si="3">IF(AND(P8&lt;&gt;"",P8&lt;&gt;0,O8&lt;&gt;0,O8&lt;&gt;""),P8/O8,"")</f>
        <v/>
      </c>
      <c r="R8" s="12"/>
      <c r="S8" s="12"/>
      <c r="T8" s="4"/>
      <c r="U8" s="4"/>
      <c r="V8" s="4"/>
      <c r="W8" s="4"/>
    </row>
    <row r="9" spans="2:27" ht="15.75" customHeight="1">
      <c r="B9" s="11"/>
      <c r="C9" s="4"/>
      <c r="D9" s="4"/>
      <c r="E9" s="4"/>
      <c r="F9" s="801" t="s">
        <v>15</v>
      </c>
      <c r="G9" s="801"/>
      <c r="H9" s="801"/>
      <c r="I9" s="29">
        <f>I8/I11</f>
        <v>151.45350898203594</v>
      </c>
      <c r="J9" s="30">
        <f>E49</f>
        <v>58</v>
      </c>
      <c r="K9" s="230">
        <f t="shared" si="0"/>
        <v>0.38295580201366902</v>
      </c>
      <c r="L9" s="57">
        <f>IF(SUMIF($E$25:$E$47,"&gt;=0",$U$25:$U$47)&lt;&gt;0,I9*E49/SUMIF($E$25:$E$47,"&gt;=0",$U$25:$U$47),0)</f>
        <v>58.879398993864037</v>
      </c>
      <c r="M9" s="231">
        <f>IF(AND(I9&lt;&gt;"",I9&lt;&gt;0,L9&lt;&gt;"",L9&lt;&gt;0),L9/I9,"")</f>
        <v>0.38876219765134518</v>
      </c>
      <c r="N9" s="34">
        <f t="shared" si="1"/>
        <v>-92.574109988171898</v>
      </c>
      <c r="O9" s="35" t="e">
        <f>O8/O11</f>
        <v>#DIV/0!</v>
      </c>
      <c r="P9" s="34" t="e">
        <f t="shared" si="2"/>
        <v>#DIV/0!</v>
      </c>
      <c r="Q9" s="37" t="e">
        <f t="shared" si="3"/>
        <v>#DIV/0!</v>
      </c>
      <c r="R9" s="12"/>
      <c r="S9" s="12"/>
      <c r="T9" s="4"/>
      <c r="U9" s="4"/>
      <c r="V9" s="4"/>
      <c r="W9" s="4"/>
    </row>
    <row r="10" spans="2:27" ht="15.75" customHeight="1">
      <c r="B10" s="11"/>
      <c r="C10" s="4"/>
      <c r="D10" s="4"/>
      <c r="E10" s="4"/>
      <c r="F10" s="802" t="s">
        <v>16</v>
      </c>
      <c r="G10" s="802"/>
      <c r="H10" s="802"/>
      <c r="I10" s="38">
        <f>I11*I12</f>
        <v>13759.199999999999</v>
      </c>
      <c r="J10" s="39">
        <f>H49</f>
        <v>11279.666666666666</v>
      </c>
      <c r="K10" s="232">
        <f t="shared" ref="K10:K19" si="4">IF(AND(I10&lt;&gt;"",I10&lt;&gt;0,J10&lt;&gt;""),J10/I10,"")</f>
        <v>0.81979087931468886</v>
      </c>
      <c r="L10" s="57">
        <f t="shared" ref="L10:L12" si="5">J10</f>
        <v>11279.666666666666</v>
      </c>
      <c r="M10" s="233">
        <f t="shared" ref="M10:M20" si="6">IF(AND(I10&lt;&gt;"",I10&lt;&gt;0,L10&lt;&gt;"",L10&lt;&gt;0),L10/I10,"")</f>
        <v>0.81979087931468886</v>
      </c>
      <c r="N10" s="42">
        <f t="shared" ref="N10:N20" si="7">IF(AND(J10&lt;&gt;0,J10&lt;&gt;"",I10&lt;&gt;0,I10&lt;&gt;""),L10-I10,"")</f>
        <v>-2479.5333333333328</v>
      </c>
      <c r="O10" s="38">
        <f>O11*O12</f>
        <v>0</v>
      </c>
      <c r="P10" s="42" t="str">
        <f t="shared" ref="P10:P20" si="8">IF(AND(O10&lt;&gt;"",O10&lt;&gt;0,L10&lt;&gt;"",L10&lt;&gt;0),-O10+L10,"")</f>
        <v/>
      </c>
      <c r="Q10" s="44" t="str">
        <f t="shared" ref="Q10:Q20" si="9">IF(AND(P10&lt;&gt;"",P10&lt;&gt;0,O10&lt;&gt;0,O10&lt;&gt;""),P10/O10,"")</f>
        <v/>
      </c>
      <c r="R10" s="12"/>
      <c r="S10" s="12"/>
      <c r="T10" s="4"/>
      <c r="U10" s="4"/>
      <c r="V10" s="4"/>
      <c r="W10" s="4"/>
    </row>
    <row r="11" spans="2:27" ht="15.75" customHeight="1">
      <c r="B11" s="11"/>
      <c r="C11" s="4"/>
      <c r="D11" s="4"/>
      <c r="E11" s="4"/>
      <c r="F11" s="801" t="s">
        <v>17</v>
      </c>
      <c r="G11" s="801"/>
      <c r="H11" s="801"/>
      <c r="I11" s="45">
        <f>Центрум!I11</f>
        <v>8190</v>
      </c>
      <c r="J11" s="30">
        <f>F49</f>
        <v>7584.6034482758623</v>
      </c>
      <c r="K11" s="230">
        <f t="shared" si="4"/>
        <v>0.92608100711548991</v>
      </c>
      <c r="L11" s="57">
        <f t="shared" si="5"/>
        <v>7584.6034482758623</v>
      </c>
      <c r="M11" s="231">
        <f t="shared" si="6"/>
        <v>0.92608100711548991</v>
      </c>
      <c r="N11" s="34">
        <f t="shared" si="7"/>
        <v>-605.39655172413768</v>
      </c>
      <c r="O11" s="46"/>
      <c r="P11" s="34" t="str">
        <f t="shared" si="8"/>
        <v/>
      </c>
      <c r="Q11" s="37" t="str">
        <f t="shared" si="9"/>
        <v/>
      </c>
      <c r="R11" s="12"/>
      <c r="S11" s="4"/>
      <c r="T11" s="4"/>
      <c r="U11" s="4"/>
      <c r="V11" s="4"/>
      <c r="W11" s="4"/>
    </row>
    <row r="12" spans="2:27" ht="15.75" customHeight="1">
      <c r="B12" s="11"/>
      <c r="C12" s="4"/>
      <c r="D12" s="4"/>
      <c r="E12" s="4"/>
      <c r="F12" s="801" t="s">
        <v>18</v>
      </c>
      <c r="G12" s="801"/>
      <c r="H12" s="801"/>
      <c r="I12" s="47">
        <f>Центрум!I12</f>
        <v>1.68</v>
      </c>
      <c r="J12" s="48">
        <f>J49</f>
        <v>1.4871794871794872</v>
      </c>
      <c r="K12" s="230">
        <f t="shared" si="4"/>
        <v>0.8852258852258853</v>
      </c>
      <c r="L12" s="57">
        <f t="shared" si="5"/>
        <v>1.4871794871794872</v>
      </c>
      <c r="M12" s="231">
        <f t="shared" si="6"/>
        <v>0.8852258852258853</v>
      </c>
      <c r="N12" s="50">
        <f t="shared" si="7"/>
        <v>-0.19282051282051271</v>
      </c>
      <c r="O12" s="51"/>
      <c r="P12" s="34" t="str">
        <f t="shared" si="8"/>
        <v/>
      </c>
      <c r="Q12" s="37" t="str">
        <f t="shared" si="9"/>
        <v/>
      </c>
      <c r="R12" s="12"/>
      <c r="S12" s="4"/>
      <c r="T12" s="4"/>
      <c r="U12" s="4"/>
      <c r="V12" s="4"/>
      <c r="W12" s="4"/>
    </row>
    <row r="13" spans="2:27" ht="15.75" customHeight="1">
      <c r="B13" s="11"/>
      <c r="C13" s="4"/>
      <c r="D13" s="4"/>
      <c r="E13" s="4"/>
      <c r="F13" s="801" t="s">
        <v>19</v>
      </c>
      <c r="G13" s="801"/>
      <c r="H13" s="801"/>
      <c r="I13" s="29">
        <f>IF(I12&lt;&gt;0,I9/I12,"")</f>
        <v>90.150898203592831</v>
      </c>
      <c r="J13" s="30">
        <f>G49</f>
        <v>39</v>
      </c>
      <c r="K13" s="230">
        <f t="shared" si="4"/>
        <v>0.43260800255061366</v>
      </c>
      <c r="L13" s="57">
        <f>IF(SUMIF($G$25:$G$47,"&gt;=0",$V$25:$V$47)&lt;&gt;0,I13*G49/SUMIF($G$25:$G$47,"&gt;=0",$V$25:$V$47),"")</f>
        <v>39.761890162659284</v>
      </c>
      <c r="M13" s="231">
        <f t="shared" si="6"/>
        <v>0.44105927899756225</v>
      </c>
      <c r="N13" s="50">
        <f t="shared" si="7"/>
        <v>-50.389008040933547</v>
      </c>
      <c r="O13" s="52"/>
      <c r="P13" s="34" t="str">
        <f t="shared" si="8"/>
        <v/>
      </c>
      <c r="Q13" s="37" t="str">
        <f t="shared" si="9"/>
        <v/>
      </c>
      <c r="R13" s="12"/>
      <c r="S13" s="4"/>
      <c r="T13" s="4"/>
      <c r="U13" s="4"/>
      <c r="V13" s="4"/>
      <c r="W13" s="4"/>
    </row>
    <row r="14" spans="2:27" ht="15.75" customHeight="1">
      <c r="B14" s="11"/>
      <c r="C14" s="4"/>
      <c r="D14" s="4"/>
      <c r="E14" s="4"/>
      <c r="F14" s="801" t="s">
        <v>97</v>
      </c>
      <c r="G14" s="801"/>
      <c r="H14" s="801"/>
      <c r="I14" s="45">
        <f>График!AI26</f>
        <v>21</v>
      </c>
      <c r="J14" s="53">
        <v>21</v>
      </c>
      <c r="K14" s="230">
        <f t="shared" si="4"/>
        <v>1</v>
      </c>
      <c r="L14" s="57">
        <f>IF(SUMIF($D$25:$D$47,"&gt;=0",$T$25:$T$47),I49*I8/SUMIF($D$25:$D$47,"&gt;=0",$T$25:$T$47),"")</f>
        <v>598.93723901211229</v>
      </c>
      <c r="M14" s="231"/>
      <c r="N14" s="34">
        <f t="shared" si="7"/>
        <v>577.93723901211229</v>
      </c>
      <c r="O14" s="52"/>
      <c r="P14" s="34" t="str">
        <f t="shared" si="8"/>
        <v/>
      </c>
      <c r="Q14" s="37" t="str">
        <f t="shared" si="9"/>
        <v/>
      </c>
      <c r="R14" s="12"/>
      <c r="S14" s="54"/>
      <c r="T14" s="4"/>
      <c r="U14" s="4"/>
      <c r="V14" s="4"/>
      <c r="W14" s="4"/>
    </row>
    <row r="15" spans="2:27" ht="15.75" customHeight="1">
      <c r="B15" s="11"/>
      <c r="C15" s="4"/>
      <c r="D15" s="4"/>
      <c r="E15" s="4"/>
      <c r="F15" s="801" t="s">
        <v>21</v>
      </c>
      <c r="G15" s="801"/>
      <c r="H15" s="801"/>
      <c r="I15" s="234">
        <f>Центрум!I15</f>
        <v>196534.63741935484</v>
      </c>
      <c r="J15" s="62">
        <f>J8/J14</f>
        <v>20947.952380952382</v>
      </c>
      <c r="K15" s="235">
        <f t="shared" si="4"/>
        <v>0.10658656741638263</v>
      </c>
      <c r="L15" s="63">
        <f t="shared" ref="L15:L16" si="10">J15</f>
        <v>20947.952380952382</v>
      </c>
      <c r="M15" s="231">
        <f t="shared" si="6"/>
        <v>0.10658656741638263</v>
      </c>
      <c r="N15" s="34">
        <f t="shared" si="7"/>
        <v>-175586.68503840244</v>
      </c>
      <c r="O15" s="65"/>
      <c r="P15" s="34" t="str">
        <f t="shared" si="8"/>
        <v/>
      </c>
      <c r="Q15" s="37" t="str">
        <f t="shared" si="9"/>
        <v/>
      </c>
      <c r="R15" s="12"/>
      <c r="S15" s="12"/>
      <c r="T15" s="4"/>
      <c r="U15" s="4"/>
      <c r="V15" s="4"/>
      <c r="W15" s="4"/>
    </row>
    <row r="16" spans="2:27" ht="15.75" customHeight="1">
      <c r="B16" s="11"/>
      <c r="C16" s="4"/>
      <c r="D16" s="4"/>
      <c r="E16" s="4"/>
      <c r="F16" s="801" t="s">
        <v>22</v>
      </c>
      <c r="G16" s="801"/>
      <c r="H16" s="801"/>
      <c r="I16" s="234"/>
      <c r="J16" s="62">
        <f>J8-I15*J14</f>
        <v>-3687320.3858064516</v>
      </c>
      <c r="K16" s="235" t="str">
        <f t="shared" si="4"/>
        <v/>
      </c>
      <c r="L16" s="63">
        <f t="shared" si="10"/>
        <v>-3687320.3858064516</v>
      </c>
      <c r="M16" s="236" t="str">
        <f t="shared" si="6"/>
        <v/>
      </c>
      <c r="N16" s="34" t="str">
        <f t="shared" si="7"/>
        <v/>
      </c>
      <c r="O16" s="65"/>
      <c r="P16" s="34" t="str">
        <f t="shared" si="8"/>
        <v/>
      </c>
      <c r="Q16" s="37" t="str">
        <f t="shared" si="9"/>
        <v/>
      </c>
      <c r="R16" s="12"/>
      <c r="S16" s="858" t="s">
        <v>23</v>
      </c>
      <c r="T16" s="4"/>
      <c r="U16" s="4"/>
      <c r="V16" s="4"/>
      <c r="W16" s="4"/>
    </row>
    <row r="17" spans="1:259" ht="15.75" customHeight="1">
      <c r="B17" s="11"/>
      <c r="C17" s="4"/>
      <c r="D17" s="4"/>
      <c r="E17" s="4"/>
      <c r="F17" s="801" t="s">
        <v>24</v>
      </c>
      <c r="G17" s="801"/>
      <c r="H17" s="801"/>
      <c r="I17" s="234">
        <f>Центрум!I17/График!AJ29*График!AJ26</f>
        <v>732.93413173652698</v>
      </c>
      <c r="J17" s="62">
        <f>I49</f>
        <v>581</v>
      </c>
      <c r="K17" s="235">
        <f t="shared" si="4"/>
        <v>0.79270424836601305</v>
      </c>
      <c r="L17" s="63">
        <f>J17/J14*I14</f>
        <v>581</v>
      </c>
      <c r="M17" s="236">
        <f t="shared" si="6"/>
        <v>0.79270424836601305</v>
      </c>
      <c r="N17" s="34">
        <f t="shared" si="7"/>
        <v>-151.93413173652698</v>
      </c>
      <c r="O17" s="65"/>
      <c r="P17" s="34" t="str">
        <f t="shared" si="8"/>
        <v/>
      </c>
      <c r="Q17" s="37" t="str">
        <f t="shared" si="9"/>
        <v/>
      </c>
      <c r="R17" s="12"/>
      <c r="S17" s="858"/>
      <c r="T17" s="4"/>
      <c r="U17" s="4"/>
      <c r="V17" s="4"/>
      <c r="W17" s="4"/>
    </row>
    <row r="18" spans="1:259" ht="15.75" customHeight="1">
      <c r="B18" s="11"/>
      <c r="C18" s="4"/>
      <c r="D18" s="4"/>
      <c r="E18" s="4"/>
      <c r="F18" s="801"/>
      <c r="G18" s="801"/>
      <c r="H18" s="801"/>
      <c r="I18" s="61"/>
      <c r="J18" s="62"/>
      <c r="K18" s="235" t="str">
        <f t="shared" si="4"/>
        <v/>
      </c>
      <c r="L18" s="63">
        <f t="shared" ref="L18:L19" si="11">J18</f>
        <v>0</v>
      </c>
      <c r="M18" s="236" t="str">
        <f t="shared" si="6"/>
        <v/>
      </c>
      <c r="N18" s="34" t="str">
        <f t="shared" si="7"/>
        <v/>
      </c>
      <c r="O18" s="237">
        <v>0</v>
      </c>
      <c r="P18" s="34" t="str">
        <f t="shared" si="8"/>
        <v/>
      </c>
      <c r="Q18" s="37" t="str">
        <f t="shared" si="9"/>
        <v/>
      </c>
      <c r="R18" s="12"/>
      <c r="S18" s="60"/>
      <c r="T18" s="4"/>
      <c r="U18" s="4"/>
      <c r="V18" s="4"/>
      <c r="W18" s="4"/>
    </row>
    <row r="19" spans="1:259" ht="15.75" customHeight="1">
      <c r="B19" s="11"/>
      <c r="C19" s="4"/>
      <c r="D19" s="4"/>
      <c r="E19" s="4"/>
      <c r="F19" s="801"/>
      <c r="G19" s="801"/>
      <c r="H19" s="801"/>
      <c r="I19" s="61"/>
      <c r="J19" s="62">
        <f>P49</f>
        <v>0</v>
      </c>
      <c r="K19" s="235" t="str">
        <f t="shared" si="4"/>
        <v/>
      </c>
      <c r="L19" s="63">
        <f t="shared" si="11"/>
        <v>0</v>
      </c>
      <c r="M19" s="236" t="str">
        <f t="shared" si="6"/>
        <v/>
      </c>
      <c r="N19" s="34" t="str">
        <f t="shared" si="7"/>
        <v/>
      </c>
      <c r="O19" s="65">
        <v>0</v>
      </c>
      <c r="P19" s="34" t="str">
        <f t="shared" si="8"/>
        <v/>
      </c>
      <c r="Q19" s="37" t="str">
        <f t="shared" si="9"/>
        <v/>
      </c>
      <c r="R19" s="12"/>
      <c r="S19" s="31" t="e">
        <f>S18/I16</f>
        <v>#DIV/0!</v>
      </c>
      <c r="T19" s="4"/>
      <c r="U19" s="4"/>
      <c r="V19" s="4"/>
      <c r="W19" s="4"/>
    </row>
    <row r="20" spans="1:259" ht="15.75" customHeight="1">
      <c r="B20" s="11"/>
      <c r="C20" s="4"/>
      <c r="D20" s="4"/>
      <c r="E20" s="4"/>
      <c r="F20" s="811" t="s">
        <v>101</v>
      </c>
      <c r="G20" s="811"/>
      <c r="H20" s="811"/>
      <c r="I20" s="238">
        <f>Центрум!I20</f>
        <v>0.123</v>
      </c>
      <c r="J20" s="239">
        <f>R49</f>
        <v>6.7125645438898457E-2</v>
      </c>
      <c r="K20" s="67">
        <f>J20/I20</f>
        <v>0.54573695478779238</v>
      </c>
      <c r="L20" s="68">
        <f>IF(AND(K8&lt;&gt;0,I14&lt;&gt;0,I49&lt;&gt;0),(I49*R49+(I49/K8-I49)*I20)/(I49/K8),0)</f>
        <v>0.10318426660619266</v>
      </c>
      <c r="M20" s="240">
        <f t="shared" si="6"/>
        <v>0.83889647647311105</v>
      </c>
      <c r="N20" s="70">
        <f t="shared" si="7"/>
        <v>-1.9815733393807336E-2</v>
      </c>
      <c r="O20" s="71"/>
      <c r="P20" s="72" t="str">
        <f t="shared" si="8"/>
        <v/>
      </c>
      <c r="Q20" s="74" t="str">
        <f t="shared" si="9"/>
        <v/>
      </c>
      <c r="R20" s="12"/>
      <c r="S20" s="12"/>
      <c r="T20" s="4"/>
      <c r="U20" s="4"/>
      <c r="V20" s="4"/>
      <c r="W20" s="4"/>
    </row>
    <row r="21" spans="1:259" ht="15.75" customHeight="1">
      <c r="B21" s="11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12"/>
      <c r="W21" s="12"/>
      <c r="X21" s="4"/>
      <c r="Y21" s="4"/>
      <c r="Z21" s="4"/>
      <c r="AA21" s="4"/>
    </row>
    <row r="22" spans="1:259" ht="16.5" customHeight="1">
      <c r="B22" s="859" t="s">
        <v>26</v>
      </c>
      <c r="C22" s="859"/>
      <c r="D22" s="859"/>
      <c r="E22" s="859"/>
      <c r="F22" s="859"/>
      <c r="G22" s="859"/>
      <c r="H22" s="859"/>
      <c r="I22" s="859"/>
      <c r="J22" s="859"/>
      <c r="K22" s="859"/>
      <c r="L22" s="859"/>
      <c r="M22" s="859"/>
      <c r="N22" s="859"/>
      <c r="O22" s="859"/>
      <c r="P22" s="859"/>
      <c r="Q22" s="859"/>
      <c r="R22" s="859"/>
      <c r="S22" s="861" t="s">
        <v>45</v>
      </c>
      <c r="T22" s="859" t="s">
        <v>27</v>
      </c>
      <c r="U22" s="859"/>
      <c r="V22" s="859"/>
      <c r="W22" s="859"/>
      <c r="X22" s="859"/>
      <c r="Y22" s="859"/>
      <c r="Z22" s="859"/>
      <c r="AA22" s="859"/>
    </row>
    <row r="23" spans="1:259" ht="36">
      <c r="B23" s="241" t="s">
        <v>29</v>
      </c>
      <c r="C23" s="241" t="s">
        <v>30</v>
      </c>
      <c r="D23" s="241" t="s">
        <v>31</v>
      </c>
      <c r="E23" s="241" t="s">
        <v>32</v>
      </c>
      <c r="F23" s="241" t="s">
        <v>33</v>
      </c>
      <c r="G23" s="241" t="s">
        <v>34</v>
      </c>
      <c r="H23" s="241" t="s">
        <v>35</v>
      </c>
      <c r="I23" s="241" t="s">
        <v>24</v>
      </c>
      <c r="J23" s="241" t="s">
        <v>36</v>
      </c>
      <c r="K23" s="242" t="s">
        <v>37</v>
      </c>
      <c r="L23" s="78" t="s">
        <v>38</v>
      </c>
      <c r="M23" s="242" t="s">
        <v>39</v>
      </c>
      <c r="N23" s="78" t="s">
        <v>40</v>
      </c>
      <c r="O23" s="242" t="s">
        <v>41</v>
      </c>
      <c r="P23" s="78" t="s">
        <v>42</v>
      </c>
      <c r="Q23" s="78" t="s">
        <v>43</v>
      </c>
      <c r="R23" s="241" t="s">
        <v>44</v>
      </c>
      <c r="S23" s="861"/>
      <c r="T23" s="241" t="s">
        <v>46</v>
      </c>
      <c r="U23" s="241" t="s">
        <v>47</v>
      </c>
      <c r="V23" s="241" t="s">
        <v>48</v>
      </c>
      <c r="W23" s="241" t="s">
        <v>49</v>
      </c>
      <c r="X23" s="241" t="s">
        <v>50</v>
      </c>
      <c r="Y23" s="241" t="s">
        <v>51</v>
      </c>
      <c r="Z23" s="243" t="s">
        <v>52</v>
      </c>
      <c r="AA23" s="243" t="s">
        <v>53</v>
      </c>
      <c r="AB23" s="147"/>
    </row>
    <row r="24" spans="1:259">
      <c r="A24" s="244"/>
      <c r="B24" s="245">
        <v>1</v>
      </c>
      <c r="C24" s="246">
        <v>2</v>
      </c>
      <c r="D24" s="247">
        <v>3</v>
      </c>
      <c r="E24" s="247" t="s">
        <v>102</v>
      </c>
      <c r="F24" s="246">
        <v>5</v>
      </c>
      <c r="G24" s="247">
        <v>6</v>
      </c>
      <c r="H24" s="246">
        <v>7</v>
      </c>
      <c r="I24" s="247">
        <v>8</v>
      </c>
      <c r="J24" s="247">
        <v>9</v>
      </c>
      <c r="K24" s="84">
        <v>10</v>
      </c>
      <c r="L24" s="84">
        <v>11</v>
      </c>
      <c r="M24" s="84">
        <v>12</v>
      </c>
      <c r="N24" s="84">
        <v>13</v>
      </c>
      <c r="O24" s="84">
        <v>14</v>
      </c>
      <c r="P24" s="84">
        <v>15</v>
      </c>
      <c r="Q24" s="84"/>
      <c r="R24" s="247">
        <v>13</v>
      </c>
      <c r="S24" s="861"/>
      <c r="T24" s="248">
        <v>1</v>
      </c>
      <c r="U24" s="248">
        <v>2</v>
      </c>
      <c r="V24" s="248">
        <v>3</v>
      </c>
      <c r="W24" s="248">
        <v>4</v>
      </c>
      <c r="X24" s="248">
        <v>5</v>
      </c>
      <c r="Y24" s="248">
        <v>6</v>
      </c>
      <c r="Z24" s="248">
        <v>10</v>
      </c>
      <c r="AA24" s="248">
        <v>11</v>
      </c>
    </row>
    <row r="25" spans="1:259" s="90" customFormat="1">
      <c r="A25" s="128">
        <v>1</v>
      </c>
      <c r="B25" s="92">
        <v>45992</v>
      </c>
      <c r="C25" s="93" t="s">
        <v>55</v>
      </c>
      <c r="D25" s="97">
        <v>13572</v>
      </c>
      <c r="E25" s="96">
        <v>2</v>
      </c>
      <c r="F25" s="96">
        <f t="shared" ref="F25:F49" si="12">IF(AND(E25&lt;&gt;"",E25&lt;&gt;0),D25/E25,"")</f>
        <v>6786</v>
      </c>
      <c r="G25" s="96">
        <v>1</v>
      </c>
      <c r="H25" s="96">
        <f t="shared" ref="H25:H49" si="13">IF(AND(G25&lt;&gt;"",G25&lt;&gt;0),D25/G25,"")</f>
        <v>13572</v>
      </c>
      <c r="I25" s="108">
        <v>32</v>
      </c>
      <c r="J25" s="97">
        <f t="shared" ref="J25:J49" si="14">IF(AND(G25&lt;&gt;"",G25&lt;&gt;0),E25/G25,"")</f>
        <v>2</v>
      </c>
      <c r="K25" s="98"/>
      <c r="L25" s="98"/>
      <c r="M25" s="98"/>
      <c r="N25" s="98"/>
      <c r="O25" s="98"/>
      <c r="P25" s="98"/>
      <c r="Q25" s="98"/>
      <c r="R25" s="249">
        <f t="shared" ref="R25:R49" si="15">IF(AND(I25&lt;&gt;"",I25&lt;&gt;0),G25/I25,"")</f>
        <v>3.125E-2</v>
      </c>
      <c r="S25" s="100">
        <f t="shared" ref="S25:S49" si="16">D25/T25</f>
        <v>0.23382945689657367</v>
      </c>
      <c r="T25" s="101">
        <f t="shared" ref="T25:T37" si="17">$I$8*Z25*AA25/SUMPRODUCT($AA$25:$AA$56,$Z$25:$Z$56)</f>
        <v>58042.302198063531</v>
      </c>
      <c r="U25" s="102">
        <f t="shared" ref="U25:U37" si="18">$I$9*Z25*AA25/SUMPRODUCT($AA$25:$AA$56,$Z$25:$Z$56)</f>
        <v>7.0869721853557426</v>
      </c>
      <c r="V25" s="102">
        <f t="shared" ref="V25:V48" si="19">IF($I$12="","",U25/$I$12)</f>
        <v>4.2184358246165132</v>
      </c>
      <c r="W25" s="101">
        <f>IF(AA25&lt;&gt;"",IF(D25&lt;&gt;"",D25,($I$8-SUM($W24:W$25))*Z25*AA25/SUMPRODUCT($AA25:$AA$56,$Z25:$Z$56)),"")</f>
        <v>13572</v>
      </c>
      <c r="X25" s="102">
        <f>IF(AA25&lt;&gt;"",IF(E25&lt;&gt;"",E25,($I$9-SUM($X24:X$25))*Z25*AA25/SUMPRODUCT($AA25:$AA$56,$Z25:$Z$56)),"")</f>
        <v>2</v>
      </c>
      <c r="Y25" s="102">
        <f>IF(AA25&lt;&gt;"",IF($I$12&lt;&gt;"",IF(G25&lt;&gt;"",G25,($I$9/$I$12-SUM($Y24:Y$25))*Z25*AA25/SUMPRODUCT($AA25:$AA$56,$Z25:$Z$56)),""),"")</f>
        <v>1</v>
      </c>
      <c r="Z25" s="250">
        <v>1</v>
      </c>
      <c r="AA25" s="250">
        <v>1</v>
      </c>
      <c r="AB25" s="105"/>
      <c r="AC25" s="105"/>
      <c r="AD25" s="251"/>
      <c r="AE25" s="104"/>
      <c r="AF25" s="104"/>
      <c r="AG25" s="104"/>
      <c r="AH25" s="104"/>
      <c r="AI25" s="104"/>
      <c r="AJ25" s="104"/>
      <c r="AK25" s="104"/>
    </row>
    <row r="26" spans="1:259" s="90" customFormat="1">
      <c r="A26" s="91">
        <v>2</v>
      </c>
      <c r="B26" s="92">
        <v>45995</v>
      </c>
      <c r="C26" s="252" t="s">
        <v>61</v>
      </c>
      <c r="D26" s="253">
        <v>11892</v>
      </c>
      <c r="E26" s="108">
        <v>2</v>
      </c>
      <c r="F26" s="254">
        <f t="shared" si="12"/>
        <v>5946</v>
      </c>
      <c r="G26" s="108">
        <v>2</v>
      </c>
      <c r="H26" s="254">
        <f t="shared" si="13"/>
        <v>5946</v>
      </c>
      <c r="I26" s="108">
        <v>21</v>
      </c>
      <c r="J26" s="97">
        <f t="shared" si="14"/>
        <v>1</v>
      </c>
      <c r="K26" s="98"/>
      <c r="L26" s="98"/>
      <c r="M26" s="98">
        <v>8699</v>
      </c>
      <c r="N26" s="98"/>
      <c r="O26" s="98"/>
      <c r="P26" s="98"/>
      <c r="Q26" s="98"/>
      <c r="R26" s="249">
        <f t="shared" si="15"/>
        <v>9.5238095238095233E-2</v>
      </c>
      <c r="S26" s="100">
        <f t="shared" si="16"/>
        <v>0.28151919200258013</v>
      </c>
      <c r="T26" s="101">
        <f t="shared" si="17"/>
        <v>42242.235477469716</v>
      </c>
      <c r="U26" s="102">
        <f t="shared" si="18"/>
        <v>5.157782109581162</v>
      </c>
      <c r="V26" s="102">
        <f t="shared" si="19"/>
        <v>3.0701083985602158</v>
      </c>
      <c r="W26" s="101">
        <f>IF(AA26&lt;&gt;"",IF(D26&lt;&gt;"",D26,($I$8-SUM($W$25:W25))*Z26*AA26/SUMPRODUCT($AA26:$AA$56,$Z26:$Z$56)),"")</f>
        <v>11892</v>
      </c>
      <c r="X26" s="102">
        <f>IF(AA26&lt;&gt;"",IF(E26&lt;&gt;"",E26,($I$9-SUM($X$25:X25))*Z26*AA26/SUMPRODUCT($AA26:$AA$56,$Z26:$Z$56)),"")</f>
        <v>2</v>
      </c>
      <c r="Y26" s="102">
        <f>IF(AA26&lt;&gt;"",IF($I$12&lt;&gt;"",IF(G26&lt;&gt;"",G26,($I$9/$I$12-SUM($Y$25:Y25))*Z26*AA26/SUMPRODUCT($AA26:$AA$56,$Z26:$Z$56)),""),"")</f>
        <v>2</v>
      </c>
      <c r="Z26" s="255">
        <v>0.85310233682514103</v>
      </c>
      <c r="AA26" s="255">
        <v>0.85310233682514103</v>
      </c>
      <c r="AB26" s="105"/>
      <c r="AC26" s="109"/>
      <c r="AD26" s="104"/>
      <c r="AE26" s="104"/>
      <c r="AF26" s="104"/>
      <c r="AG26" s="104"/>
      <c r="AH26" s="104"/>
      <c r="AI26" s="104"/>
      <c r="AJ26" s="104"/>
      <c r="AK26" s="104"/>
      <c r="AL26" s="104"/>
      <c r="AM26" s="104"/>
      <c r="AN26" s="104"/>
    </row>
    <row r="27" spans="1:259" s="125" customFormat="1">
      <c r="A27" s="127">
        <v>3</v>
      </c>
      <c r="B27" s="112">
        <v>45996</v>
      </c>
      <c r="C27" s="113" t="s">
        <v>63</v>
      </c>
      <c r="D27" s="256">
        <v>27997</v>
      </c>
      <c r="E27" s="129">
        <v>3</v>
      </c>
      <c r="F27" s="116">
        <f t="shared" si="12"/>
        <v>9332.3333333333339</v>
      </c>
      <c r="G27" s="129">
        <v>3</v>
      </c>
      <c r="H27" s="116">
        <f t="shared" si="13"/>
        <v>9332.3333333333339</v>
      </c>
      <c r="I27" s="129">
        <v>39</v>
      </c>
      <c r="J27" s="117">
        <f t="shared" si="14"/>
        <v>1</v>
      </c>
      <c r="K27" s="115"/>
      <c r="L27" s="115"/>
      <c r="M27" s="115">
        <v>15922</v>
      </c>
      <c r="N27" s="115"/>
      <c r="O27" s="115"/>
      <c r="P27" s="115"/>
      <c r="Q27" s="115"/>
      <c r="R27" s="99">
        <f t="shared" si="15"/>
        <v>7.6923076923076927E-2</v>
      </c>
      <c r="S27" s="119">
        <f t="shared" si="16"/>
        <v>1.9802659499221955</v>
      </c>
      <c r="T27" s="257">
        <v>14138</v>
      </c>
      <c r="U27" s="258">
        <v>4</v>
      </c>
      <c r="V27" s="258">
        <v>2</v>
      </c>
      <c r="W27" s="257">
        <v>16611</v>
      </c>
      <c r="X27" s="258">
        <v>3</v>
      </c>
      <c r="Y27" s="258">
        <v>3</v>
      </c>
      <c r="Z27" s="259">
        <v>0.94</v>
      </c>
      <c r="AA27" s="259">
        <v>0.94</v>
      </c>
      <c r="AB27" s="123"/>
      <c r="AC27" s="123"/>
      <c r="AD27" s="124"/>
      <c r="AE27" s="124"/>
      <c r="AF27" s="124"/>
      <c r="AG27" s="124"/>
      <c r="AH27" s="124"/>
      <c r="AI27" s="124"/>
      <c r="AJ27" s="124"/>
      <c r="AK27" s="124"/>
      <c r="AL27" s="124"/>
      <c r="AM27" s="124"/>
      <c r="AN27" s="124"/>
      <c r="AO27" s="124"/>
      <c r="AP27" s="124"/>
      <c r="AQ27" s="124"/>
      <c r="AR27" s="124"/>
      <c r="AS27" s="124"/>
      <c r="AT27" s="124"/>
      <c r="AU27" s="124"/>
      <c r="AV27" s="124"/>
      <c r="AW27" s="124"/>
      <c r="AX27" s="124"/>
      <c r="AY27" s="124"/>
      <c r="AZ27" s="124"/>
      <c r="BA27" s="124"/>
      <c r="BB27" s="124"/>
      <c r="BC27" s="124"/>
      <c r="BD27" s="124"/>
      <c r="BE27" s="124"/>
      <c r="BF27" s="124"/>
      <c r="BG27" s="124"/>
      <c r="BH27" s="124"/>
      <c r="BI27" s="124"/>
      <c r="BJ27" s="124"/>
      <c r="BK27" s="124"/>
      <c r="BL27" s="124"/>
      <c r="BM27" s="124"/>
      <c r="BN27" s="124"/>
      <c r="BO27" s="124"/>
      <c r="BP27" s="124"/>
      <c r="BQ27" s="124"/>
      <c r="BR27" s="124"/>
      <c r="BS27" s="124"/>
      <c r="BT27" s="124"/>
      <c r="BU27" s="124"/>
      <c r="BV27" s="124"/>
      <c r="BW27" s="124"/>
      <c r="BX27" s="124"/>
      <c r="BY27" s="124"/>
      <c r="BZ27" s="124"/>
      <c r="CA27" s="124"/>
      <c r="CB27" s="124"/>
      <c r="CC27" s="124"/>
      <c r="CD27" s="124"/>
      <c r="CE27" s="124"/>
      <c r="CF27" s="124"/>
      <c r="CG27" s="124"/>
      <c r="CH27" s="124"/>
      <c r="CI27" s="124"/>
      <c r="CJ27" s="124"/>
      <c r="CK27" s="124"/>
      <c r="CL27" s="124"/>
      <c r="CM27" s="124"/>
      <c r="CN27" s="124"/>
      <c r="CO27" s="124"/>
      <c r="CP27" s="124"/>
      <c r="CQ27" s="124"/>
      <c r="CR27" s="124"/>
      <c r="CS27" s="124"/>
      <c r="CT27" s="124"/>
      <c r="CU27" s="124"/>
      <c r="CV27" s="124"/>
      <c r="CW27" s="124"/>
      <c r="CX27" s="124"/>
      <c r="CY27" s="124"/>
      <c r="CZ27" s="124"/>
      <c r="DA27" s="124"/>
      <c r="DB27" s="124"/>
      <c r="DC27" s="124"/>
      <c r="DD27" s="124"/>
      <c r="DE27" s="124"/>
      <c r="DF27" s="124"/>
      <c r="DG27" s="124"/>
      <c r="DH27" s="124"/>
      <c r="DI27" s="124"/>
      <c r="DJ27" s="124"/>
      <c r="DK27" s="124"/>
      <c r="DL27" s="124"/>
      <c r="DM27" s="124"/>
      <c r="DN27" s="124"/>
      <c r="DO27" s="124"/>
      <c r="DP27" s="124"/>
      <c r="DQ27" s="124"/>
      <c r="DR27" s="124"/>
      <c r="DS27" s="124"/>
      <c r="DT27" s="124"/>
      <c r="DU27" s="124"/>
      <c r="DV27" s="124"/>
      <c r="DW27" s="124"/>
      <c r="DX27" s="124"/>
      <c r="DY27" s="124"/>
      <c r="DZ27" s="124"/>
      <c r="EA27" s="124"/>
      <c r="EB27" s="124"/>
      <c r="EC27" s="124"/>
      <c r="ED27" s="124"/>
      <c r="EE27" s="124"/>
      <c r="EF27" s="124"/>
      <c r="EG27" s="124"/>
      <c r="EH27" s="124"/>
      <c r="EI27" s="124"/>
      <c r="EJ27" s="124"/>
      <c r="EK27" s="124"/>
      <c r="EL27" s="124"/>
      <c r="EM27" s="124"/>
      <c r="EN27" s="124"/>
      <c r="EO27" s="124"/>
      <c r="EP27" s="124"/>
      <c r="EQ27" s="124"/>
      <c r="ER27" s="124"/>
      <c r="ES27" s="124"/>
      <c r="ET27" s="124"/>
      <c r="EU27" s="124"/>
      <c r="EV27" s="124"/>
      <c r="EW27" s="124"/>
      <c r="EX27" s="124"/>
      <c r="EY27" s="124"/>
      <c r="EZ27" s="124"/>
      <c r="FA27" s="124"/>
      <c r="FB27" s="124"/>
      <c r="FC27" s="124"/>
      <c r="FD27" s="124"/>
      <c r="FE27" s="124"/>
      <c r="FF27" s="124"/>
      <c r="FG27" s="124"/>
      <c r="FH27" s="124"/>
      <c r="FI27" s="124"/>
      <c r="FJ27" s="124"/>
      <c r="FK27" s="124"/>
      <c r="FL27" s="124"/>
      <c r="FM27" s="124"/>
      <c r="FN27" s="124"/>
      <c r="FO27" s="124"/>
      <c r="FP27" s="124"/>
      <c r="FQ27" s="124"/>
      <c r="FR27" s="124"/>
      <c r="FS27" s="124"/>
      <c r="FT27" s="124"/>
      <c r="FU27" s="124"/>
      <c r="FV27" s="124"/>
      <c r="FW27" s="124"/>
      <c r="FX27" s="124"/>
      <c r="FY27" s="124"/>
      <c r="FZ27" s="124"/>
      <c r="GA27" s="124"/>
      <c r="GB27" s="124"/>
      <c r="GC27" s="124"/>
      <c r="GD27" s="124"/>
      <c r="GE27" s="124"/>
      <c r="GF27" s="124"/>
      <c r="GG27" s="124"/>
      <c r="GH27" s="124"/>
      <c r="GI27" s="124"/>
      <c r="GJ27" s="124"/>
      <c r="GK27" s="124"/>
      <c r="GL27" s="124"/>
      <c r="GM27" s="124"/>
      <c r="GN27" s="124"/>
      <c r="GO27" s="124"/>
      <c r="GP27" s="124"/>
      <c r="GQ27" s="124"/>
      <c r="GR27" s="124"/>
      <c r="GS27" s="124"/>
      <c r="GT27" s="124"/>
      <c r="GU27" s="124"/>
      <c r="GV27" s="124"/>
      <c r="GW27" s="124"/>
      <c r="GX27" s="124"/>
      <c r="GY27" s="124"/>
      <c r="GZ27" s="124"/>
      <c r="HA27" s="124"/>
      <c r="HB27" s="124"/>
      <c r="HC27" s="124"/>
      <c r="HD27" s="124"/>
      <c r="HE27" s="124"/>
      <c r="HF27" s="124"/>
      <c r="HG27" s="124"/>
      <c r="HH27" s="124"/>
      <c r="HI27" s="124"/>
      <c r="HJ27" s="124"/>
      <c r="HK27" s="124"/>
      <c r="HL27" s="124"/>
      <c r="HM27" s="124"/>
      <c r="HN27" s="124"/>
      <c r="HO27" s="124"/>
      <c r="HP27" s="124"/>
      <c r="HQ27" s="124"/>
      <c r="HR27" s="124"/>
      <c r="HS27" s="124"/>
      <c r="HT27" s="124"/>
      <c r="HU27" s="124"/>
      <c r="HV27" s="124"/>
      <c r="HW27" s="124"/>
      <c r="HX27" s="124"/>
      <c r="HY27" s="124"/>
      <c r="HZ27" s="124"/>
      <c r="IA27" s="124"/>
      <c r="IB27" s="124"/>
      <c r="IC27" s="124"/>
      <c r="ID27" s="124"/>
      <c r="IE27" s="124"/>
      <c r="IF27" s="124"/>
      <c r="IG27" s="124"/>
      <c r="IH27" s="124"/>
      <c r="II27" s="124"/>
      <c r="IJ27" s="124"/>
      <c r="IK27" s="124"/>
      <c r="IL27" s="124"/>
      <c r="IM27" s="124"/>
      <c r="IN27" s="124"/>
      <c r="IO27" s="124"/>
      <c r="IP27" s="124"/>
      <c r="IQ27" s="124"/>
      <c r="IR27" s="124"/>
      <c r="IS27" s="124"/>
      <c r="IT27" s="124"/>
      <c r="IU27" s="124"/>
      <c r="IV27" s="124"/>
      <c r="IW27" s="124"/>
      <c r="IX27" s="124"/>
      <c r="IY27" s="124"/>
    </row>
    <row r="28" spans="1:259" s="125" customFormat="1">
      <c r="A28" s="111">
        <v>4</v>
      </c>
      <c r="B28" s="112">
        <v>45997</v>
      </c>
      <c r="C28" s="260" t="s">
        <v>65</v>
      </c>
      <c r="D28" s="256">
        <v>16020</v>
      </c>
      <c r="E28" s="129">
        <v>3</v>
      </c>
      <c r="F28" s="133">
        <f t="shared" si="12"/>
        <v>5340</v>
      </c>
      <c r="G28" s="129">
        <v>2</v>
      </c>
      <c r="H28" s="133">
        <f t="shared" si="13"/>
        <v>8010</v>
      </c>
      <c r="I28" s="129">
        <v>36</v>
      </c>
      <c r="J28" s="117">
        <f t="shared" si="14"/>
        <v>1.5</v>
      </c>
      <c r="K28" s="115"/>
      <c r="L28" s="115"/>
      <c r="M28" s="115"/>
      <c r="N28" s="115"/>
      <c r="O28" s="115"/>
      <c r="P28" s="115"/>
      <c r="Q28" s="115"/>
      <c r="R28" s="99">
        <f t="shared" si="15"/>
        <v>5.5555555555555552E-2</v>
      </c>
      <c r="S28" s="119">
        <f t="shared" si="16"/>
        <v>0.24658554484763026</v>
      </c>
      <c r="T28" s="120">
        <f t="shared" si="17"/>
        <v>64967.311891291327</v>
      </c>
      <c r="U28" s="121">
        <f t="shared" si="18"/>
        <v>7.9325167144433859</v>
      </c>
      <c r="V28" s="121">
        <f t="shared" si="19"/>
        <v>4.7217361395496349</v>
      </c>
      <c r="W28" s="120">
        <f t="shared" ref="W28:W48" si="20">IF(AA28&lt;&gt;"",IF(D28&lt;&gt;"",D28,($I$8-SUM($W$25:W27))*Z28*AA28/SUMPRODUCT($AA28:$AA$56,$Z28:$Z$56)),"")</f>
        <v>16020</v>
      </c>
      <c r="X28" s="121">
        <f t="shared" ref="X28:X48" si="21">IF(AA28&lt;&gt;"",IF(E28&lt;&gt;"",E28,($I$9-SUM($X$25:X27))*Z28*AA28/SUMPRODUCT($AA28:$AA$56,$Z28:$Z$56)),"")</f>
        <v>3</v>
      </c>
      <c r="Y28" s="121">
        <f t="shared" ref="Y28:Y48" si="22">IF(AA28&lt;&gt;"",IF($I$12&lt;&gt;"",IF(G28&lt;&gt;"",G28,($I$9/$I$12-SUM($Y$25:Y27))*Z28*AA28/SUMPRODUCT($AA28:$AA$56,$Z28:$Z$56)),""),"")</f>
        <v>2</v>
      </c>
      <c r="Z28" s="261">
        <v>1.05797433831278</v>
      </c>
      <c r="AA28" s="261">
        <v>1.05797433831278</v>
      </c>
      <c r="AB28" s="123"/>
      <c r="AC28" s="123"/>
      <c r="AD28" s="124"/>
      <c r="AE28" s="124"/>
      <c r="AF28" s="124"/>
      <c r="AG28" s="124"/>
      <c r="AH28" s="124"/>
      <c r="AI28" s="124"/>
      <c r="AJ28" s="124"/>
      <c r="AK28" s="124"/>
      <c r="AL28" s="124"/>
      <c r="AM28" s="124"/>
      <c r="AN28" s="124"/>
    </row>
    <row r="29" spans="1:259" s="90" customFormat="1">
      <c r="A29" s="128">
        <v>5</v>
      </c>
      <c r="B29" s="92">
        <v>46000</v>
      </c>
      <c r="C29" s="93" t="s">
        <v>57</v>
      </c>
      <c r="D29" s="253">
        <v>47734</v>
      </c>
      <c r="E29" s="108">
        <v>5</v>
      </c>
      <c r="F29" s="96">
        <f t="shared" si="12"/>
        <v>9546.7999999999993</v>
      </c>
      <c r="G29" s="108">
        <v>1</v>
      </c>
      <c r="H29" s="96">
        <f t="shared" si="13"/>
        <v>47734</v>
      </c>
      <c r="I29" s="108">
        <v>22</v>
      </c>
      <c r="J29" s="97">
        <f t="shared" si="14"/>
        <v>5</v>
      </c>
      <c r="K29" s="98">
        <v>13990</v>
      </c>
      <c r="L29" s="108"/>
      <c r="M29" s="108">
        <v>9782</v>
      </c>
      <c r="N29" s="108">
        <v>33744</v>
      </c>
      <c r="O29" s="98"/>
      <c r="P29" s="98"/>
      <c r="Q29" s="98"/>
      <c r="R29" s="249">
        <f t="shared" si="15"/>
        <v>4.5454545454545456E-2</v>
      </c>
      <c r="S29" s="100">
        <f t="shared" si="16"/>
        <v>0.82240018387128266</v>
      </c>
      <c r="T29" s="101">
        <f t="shared" si="17"/>
        <v>58042.302198063531</v>
      </c>
      <c r="U29" s="102">
        <f t="shared" si="18"/>
        <v>7.0869721853557426</v>
      </c>
      <c r="V29" s="102">
        <f t="shared" si="19"/>
        <v>4.2184358246165132</v>
      </c>
      <c r="W29" s="101">
        <f t="shared" si="20"/>
        <v>47734</v>
      </c>
      <c r="X29" s="102">
        <f t="shared" si="21"/>
        <v>5</v>
      </c>
      <c r="Y29" s="102">
        <f t="shared" si="22"/>
        <v>1</v>
      </c>
      <c r="Z29" s="250">
        <v>1</v>
      </c>
      <c r="AA29" s="250">
        <v>1</v>
      </c>
      <c r="AB29" s="105"/>
      <c r="AC29" s="105"/>
      <c r="AD29" s="104"/>
      <c r="AE29" s="104"/>
      <c r="AF29" s="104"/>
      <c r="AG29" s="104"/>
      <c r="AH29" s="104"/>
      <c r="AI29" s="104"/>
      <c r="AJ29" s="104"/>
      <c r="AK29" s="104"/>
    </row>
    <row r="30" spans="1:259" s="90" customFormat="1">
      <c r="A30" s="128">
        <v>6</v>
      </c>
      <c r="B30" s="92">
        <v>46001</v>
      </c>
      <c r="C30" s="252" t="s">
        <v>59</v>
      </c>
      <c r="D30" s="253">
        <v>0</v>
      </c>
      <c r="E30" s="262">
        <v>0</v>
      </c>
      <c r="F30" s="254" t="str">
        <f t="shared" si="12"/>
        <v/>
      </c>
      <c r="G30" s="108">
        <v>0</v>
      </c>
      <c r="H30" s="254" t="str">
        <f t="shared" si="13"/>
        <v/>
      </c>
      <c r="I30" s="108">
        <v>27</v>
      </c>
      <c r="J30" s="97" t="str">
        <f t="shared" si="14"/>
        <v/>
      </c>
      <c r="K30" s="98"/>
      <c r="L30" s="98"/>
      <c r="M30" s="98"/>
      <c r="N30" s="98"/>
      <c r="O30" s="98"/>
      <c r="P30" s="98"/>
      <c r="Q30" s="98"/>
      <c r="R30" s="249">
        <f t="shared" si="15"/>
        <v>0</v>
      </c>
      <c r="S30" s="100">
        <f t="shared" si="16"/>
        <v>0</v>
      </c>
      <c r="T30" s="101">
        <f t="shared" si="17"/>
        <v>58042.302198063531</v>
      </c>
      <c r="U30" s="102">
        <f t="shared" si="18"/>
        <v>7.0869721853557426</v>
      </c>
      <c r="V30" s="102">
        <f t="shared" si="19"/>
        <v>4.2184358246165132</v>
      </c>
      <c r="W30" s="101">
        <f t="shared" si="20"/>
        <v>0</v>
      </c>
      <c r="X30" s="102">
        <f t="shared" si="21"/>
        <v>0</v>
      </c>
      <c r="Y30" s="102">
        <f t="shared" si="22"/>
        <v>0</v>
      </c>
      <c r="Z30" s="250">
        <v>1</v>
      </c>
      <c r="AA30" s="250">
        <v>1</v>
      </c>
      <c r="AB30" s="105"/>
      <c r="AC30" s="105"/>
      <c r="AD30" s="251"/>
      <c r="AE30" s="104"/>
      <c r="AF30" s="104"/>
      <c r="AG30" s="104"/>
      <c r="AH30" s="104"/>
      <c r="AI30" s="104"/>
      <c r="AJ30" s="104"/>
      <c r="AK30" s="104"/>
    </row>
    <row r="31" spans="1:259" s="90" customFormat="1">
      <c r="A31" s="128">
        <v>7</v>
      </c>
      <c r="B31" s="92">
        <v>46002</v>
      </c>
      <c r="C31" s="93" t="s">
        <v>61</v>
      </c>
      <c r="D31" s="253">
        <v>17930</v>
      </c>
      <c r="E31" s="108">
        <v>3</v>
      </c>
      <c r="F31" s="96">
        <f t="shared" si="12"/>
        <v>5976.666666666667</v>
      </c>
      <c r="G31" s="108">
        <v>2</v>
      </c>
      <c r="H31" s="96">
        <f t="shared" si="13"/>
        <v>8965</v>
      </c>
      <c r="I31" s="108">
        <v>28</v>
      </c>
      <c r="J31" s="97">
        <f t="shared" si="14"/>
        <v>1.5</v>
      </c>
      <c r="K31" s="98"/>
      <c r="L31" s="98"/>
      <c r="M31" s="98">
        <v>14437</v>
      </c>
      <c r="N31" s="98"/>
      <c r="O31" s="98"/>
      <c r="P31" s="98"/>
      <c r="Q31" s="98"/>
      <c r="R31" s="249">
        <f t="shared" si="15"/>
        <v>7.1428571428571425E-2</v>
      </c>
      <c r="S31" s="100">
        <f t="shared" si="16"/>
        <v>0.30891262615351944</v>
      </c>
      <c r="T31" s="101">
        <f t="shared" si="17"/>
        <v>58042.302198063531</v>
      </c>
      <c r="U31" s="102">
        <f t="shared" si="18"/>
        <v>7.0869721853557426</v>
      </c>
      <c r="V31" s="102">
        <f t="shared" si="19"/>
        <v>4.2184358246165132</v>
      </c>
      <c r="W31" s="101">
        <f t="shared" si="20"/>
        <v>17930</v>
      </c>
      <c r="X31" s="102">
        <f t="shared" si="21"/>
        <v>3</v>
      </c>
      <c r="Y31" s="102">
        <f t="shared" si="22"/>
        <v>2</v>
      </c>
      <c r="Z31" s="250">
        <v>1</v>
      </c>
      <c r="AA31" s="250">
        <v>1</v>
      </c>
      <c r="AB31" s="105"/>
      <c r="AC31" s="105"/>
      <c r="AD31" s="251"/>
      <c r="AE31" s="104"/>
      <c r="AF31" s="104"/>
      <c r="AG31" s="104"/>
      <c r="AH31" s="104"/>
      <c r="AI31" s="104"/>
      <c r="AJ31" s="104"/>
      <c r="AK31" s="104"/>
    </row>
    <row r="32" spans="1:259" s="125" customFormat="1">
      <c r="A32" s="127">
        <v>8</v>
      </c>
      <c r="B32" s="112">
        <v>46003</v>
      </c>
      <c r="C32" s="260" t="s">
        <v>63</v>
      </c>
      <c r="D32" s="117">
        <v>0</v>
      </c>
      <c r="E32" s="129">
        <v>0</v>
      </c>
      <c r="F32" s="133" t="str">
        <f t="shared" si="12"/>
        <v/>
      </c>
      <c r="G32" s="129">
        <v>0</v>
      </c>
      <c r="H32" s="133" t="str">
        <f t="shared" si="13"/>
        <v/>
      </c>
      <c r="I32" s="263">
        <v>31</v>
      </c>
      <c r="J32" s="264" t="str">
        <f t="shared" si="14"/>
        <v/>
      </c>
      <c r="K32" s="265"/>
      <c r="L32" s="265"/>
      <c r="M32" s="265"/>
      <c r="N32" s="265"/>
      <c r="O32" s="265"/>
      <c r="P32" s="265"/>
      <c r="Q32" s="265"/>
      <c r="R32" s="99">
        <f t="shared" si="15"/>
        <v>0</v>
      </c>
      <c r="S32" s="119">
        <f t="shared" si="16"/>
        <v>0</v>
      </c>
      <c r="T32" s="120">
        <f t="shared" si="17"/>
        <v>58042.302198063531</v>
      </c>
      <c r="U32" s="121">
        <f t="shared" si="18"/>
        <v>7.0869721853557426</v>
      </c>
      <c r="V32" s="121">
        <f t="shared" si="19"/>
        <v>4.2184358246165132</v>
      </c>
      <c r="W32" s="120">
        <f t="shared" si="20"/>
        <v>0</v>
      </c>
      <c r="X32" s="121">
        <f t="shared" si="21"/>
        <v>0</v>
      </c>
      <c r="Y32" s="121">
        <f t="shared" si="22"/>
        <v>0</v>
      </c>
      <c r="Z32" s="266">
        <v>1</v>
      </c>
      <c r="AA32" s="266">
        <v>1</v>
      </c>
      <c r="AB32" s="123"/>
      <c r="AC32" s="123"/>
      <c r="AD32" s="124"/>
      <c r="AE32" s="124"/>
      <c r="AF32" s="124"/>
      <c r="AG32" s="124"/>
      <c r="AH32" s="124"/>
      <c r="AI32" s="124"/>
      <c r="AJ32" s="124"/>
      <c r="AK32" s="124"/>
    </row>
    <row r="33" spans="1:259" s="125" customFormat="1">
      <c r="A33" s="127">
        <v>9</v>
      </c>
      <c r="B33" s="112">
        <v>46005</v>
      </c>
      <c r="C33" s="113" t="s">
        <v>67</v>
      </c>
      <c r="D33" s="267">
        <v>10120</v>
      </c>
      <c r="E33" s="129">
        <v>2</v>
      </c>
      <c r="F33" s="116">
        <f t="shared" si="12"/>
        <v>5060</v>
      </c>
      <c r="G33" s="129">
        <v>1</v>
      </c>
      <c r="H33" s="116">
        <f t="shared" si="13"/>
        <v>10120</v>
      </c>
      <c r="I33" s="116">
        <v>40</v>
      </c>
      <c r="J33" s="117">
        <f t="shared" si="14"/>
        <v>2</v>
      </c>
      <c r="K33" s="116"/>
      <c r="L33" s="116"/>
      <c r="M33" s="116"/>
      <c r="N33" s="116"/>
      <c r="O33" s="116"/>
      <c r="P33" s="116"/>
      <c r="Q33" s="116"/>
      <c r="R33" s="99">
        <f t="shared" si="15"/>
        <v>2.5000000000000001E-2</v>
      </c>
      <c r="S33" s="268">
        <f t="shared" si="16"/>
        <v>0.17435559267560607</v>
      </c>
      <c r="T33" s="120">
        <f t="shared" si="17"/>
        <v>58042.302198063531</v>
      </c>
      <c r="U33" s="269">
        <f t="shared" si="18"/>
        <v>7.0869721853557426</v>
      </c>
      <c r="V33" s="121">
        <f t="shared" si="19"/>
        <v>4.2184358246165132</v>
      </c>
      <c r="W33" s="120">
        <f t="shared" si="20"/>
        <v>10120</v>
      </c>
      <c r="X33" s="121">
        <f t="shared" si="21"/>
        <v>2</v>
      </c>
      <c r="Y33" s="269">
        <f t="shared" si="22"/>
        <v>1</v>
      </c>
      <c r="Z33" s="266">
        <v>1</v>
      </c>
      <c r="AA33" s="266">
        <v>1</v>
      </c>
      <c r="AB33" s="123"/>
      <c r="AC33" s="123"/>
      <c r="AD33" s="124"/>
      <c r="AE33" s="124"/>
      <c r="AF33" s="124"/>
      <c r="AG33" s="124"/>
      <c r="AH33" s="124"/>
      <c r="AI33" s="124"/>
      <c r="AJ33" s="124"/>
      <c r="AK33" s="124"/>
    </row>
    <row r="34" spans="1:259" s="90" customFormat="1">
      <c r="A34" s="91">
        <v>10</v>
      </c>
      <c r="B34" s="92">
        <v>46006</v>
      </c>
      <c r="C34" s="93" t="s">
        <v>55</v>
      </c>
      <c r="D34" s="97">
        <v>0</v>
      </c>
      <c r="E34" s="108">
        <v>0</v>
      </c>
      <c r="F34" s="270" t="str">
        <f t="shared" si="12"/>
        <v/>
      </c>
      <c r="G34" s="108">
        <v>0</v>
      </c>
      <c r="H34" s="96" t="str">
        <f t="shared" si="13"/>
        <v/>
      </c>
      <c r="I34" s="96">
        <v>44</v>
      </c>
      <c r="J34" s="97" t="str">
        <f t="shared" si="14"/>
        <v/>
      </c>
      <c r="K34" s="96"/>
      <c r="L34" s="96"/>
      <c r="M34" s="96"/>
      <c r="N34" s="96"/>
      <c r="O34" s="96"/>
      <c r="P34" s="96"/>
      <c r="Q34" s="254"/>
      <c r="R34" s="271">
        <f t="shared" si="15"/>
        <v>0</v>
      </c>
      <c r="S34" s="100">
        <f t="shared" si="16"/>
        <v>0</v>
      </c>
      <c r="T34" s="272">
        <f t="shared" si="17"/>
        <v>58042.302198063531</v>
      </c>
      <c r="U34" s="102">
        <f t="shared" si="18"/>
        <v>7.0869721853557426</v>
      </c>
      <c r="V34" s="273">
        <f t="shared" si="19"/>
        <v>4.2184358246165132</v>
      </c>
      <c r="W34" s="101">
        <f t="shared" si="20"/>
        <v>0</v>
      </c>
      <c r="X34" s="273">
        <f t="shared" si="21"/>
        <v>0</v>
      </c>
      <c r="Y34" s="102">
        <f t="shared" si="22"/>
        <v>0</v>
      </c>
      <c r="Z34" s="250">
        <v>1</v>
      </c>
      <c r="AA34" s="250">
        <v>1</v>
      </c>
      <c r="AB34" s="105"/>
      <c r="AC34" s="105"/>
      <c r="AD34" s="251"/>
      <c r="AE34" s="104"/>
      <c r="AF34" s="104"/>
      <c r="AG34" s="104"/>
      <c r="AH34" s="104"/>
      <c r="AI34" s="104"/>
      <c r="AJ34" s="104"/>
      <c r="AK34" s="104"/>
      <c r="AL34" s="104"/>
      <c r="AM34" s="104"/>
      <c r="AN34" s="104"/>
      <c r="AO34" s="104"/>
      <c r="AP34" s="104"/>
      <c r="AQ34" s="104"/>
      <c r="AR34" s="104"/>
      <c r="AS34" s="104"/>
      <c r="AT34" s="104"/>
      <c r="AU34" s="104"/>
      <c r="AV34" s="104"/>
      <c r="AW34" s="104"/>
      <c r="AX34" s="104"/>
      <c r="AY34" s="104"/>
      <c r="AZ34" s="104"/>
      <c r="BA34" s="104"/>
      <c r="BB34" s="104"/>
      <c r="BC34" s="104"/>
      <c r="BD34" s="104"/>
      <c r="BE34" s="104"/>
      <c r="BF34" s="104"/>
      <c r="BG34" s="104"/>
      <c r="BH34" s="104"/>
      <c r="BI34" s="104"/>
      <c r="BJ34" s="104"/>
      <c r="BK34" s="104"/>
      <c r="BL34" s="104"/>
      <c r="BM34" s="104"/>
      <c r="BN34" s="104"/>
      <c r="BO34" s="104"/>
      <c r="BP34" s="104"/>
      <c r="BQ34" s="104"/>
      <c r="BR34" s="104"/>
      <c r="BS34" s="104"/>
      <c r="BT34" s="104"/>
      <c r="BU34" s="104"/>
      <c r="BV34" s="104"/>
      <c r="BW34" s="104"/>
      <c r="BX34" s="104"/>
      <c r="BY34" s="104"/>
      <c r="BZ34" s="104"/>
      <c r="CA34" s="104"/>
      <c r="CB34" s="104"/>
      <c r="CC34" s="104"/>
      <c r="CD34" s="104"/>
      <c r="CE34" s="104"/>
      <c r="CF34" s="104"/>
      <c r="CG34" s="104"/>
      <c r="CH34" s="104"/>
      <c r="CI34" s="104"/>
      <c r="CJ34" s="104"/>
      <c r="CK34" s="104"/>
      <c r="CL34" s="104"/>
      <c r="CM34" s="104"/>
      <c r="CN34" s="104"/>
      <c r="CO34" s="104"/>
      <c r="CP34" s="104"/>
      <c r="CQ34" s="104"/>
      <c r="CR34" s="104"/>
      <c r="CS34" s="104"/>
      <c r="CT34" s="104"/>
      <c r="CU34" s="104"/>
      <c r="CV34" s="104"/>
      <c r="CW34" s="104"/>
      <c r="CX34" s="104"/>
      <c r="CY34" s="104"/>
      <c r="CZ34" s="104"/>
      <c r="DA34" s="104"/>
      <c r="DB34" s="104"/>
      <c r="DC34" s="104"/>
      <c r="DD34" s="104"/>
      <c r="DE34" s="104"/>
      <c r="DF34" s="104"/>
      <c r="DG34" s="104"/>
      <c r="DH34" s="104"/>
      <c r="DI34" s="104"/>
      <c r="DJ34" s="104"/>
      <c r="DK34" s="104"/>
      <c r="DL34" s="104"/>
      <c r="DM34" s="104"/>
      <c r="DN34" s="104"/>
      <c r="DO34" s="104"/>
      <c r="DP34" s="104"/>
      <c r="DQ34" s="104"/>
      <c r="DR34" s="104"/>
      <c r="DS34" s="104"/>
      <c r="DT34" s="104"/>
      <c r="DU34" s="104"/>
      <c r="DV34" s="104"/>
      <c r="DW34" s="104"/>
      <c r="DX34" s="104"/>
      <c r="DY34" s="104"/>
      <c r="DZ34" s="104"/>
      <c r="EA34" s="104"/>
      <c r="EB34" s="104"/>
      <c r="EC34" s="104"/>
      <c r="ED34" s="104"/>
      <c r="EE34" s="104"/>
      <c r="EF34" s="104"/>
      <c r="EG34" s="104"/>
      <c r="EH34" s="104"/>
      <c r="EI34" s="104"/>
      <c r="EJ34" s="104"/>
      <c r="EK34" s="104"/>
      <c r="EL34" s="104"/>
      <c r="EM34" s="104"/>
      <c r="EN34" s="104"/>
      <c r="EO34" s="104"/>
      <c r="EP34" s="104"/>
      <c r="EQ34" s="104"/>
      <c r="ER34" s="104"/>
      <c r="ES34" s="104"/>
      <c r="ET34" s="104"/>
      <c r="EU34" s="104"/>
      <c r="EV34" s="104"/>
      <c r="EW34" s="104"/>
      <c r="EX34" s="104"/>
      <c r="EY34" s="104"/>
      <c r="EZ34" s="104"/>
      <c r="FA34" s="104"/>
      <c r="FB34" s="104"/>
      <c r="FC34" s="104"/>
      <c r="FD34" s="104"/>
      <c r="FE34" s="104"/>
      <c r="FF34" s="104"/>
      <c r="FG34" s="104"/>
      <c r="FH34" s="104"/>
      <c r="FI34" s="104"/>
      <c r="FJ34" s="104"/>
      <c r="FK34" s="104"/>
      <c r="FL34" s="104"/>
      <c r="FM34" s="104"/>
      <c r="FN34" s="104"/>
      <c r="FO34" s="104"/>
      <c r="FP34" s="104"/>
      <c r="FQ34" s="104"/>
      <c r="FR34" s="104"/>
      <c r="FS34" s="104"/>
      <c r="FT34" s="104"/>
      <c r="FU34" s="104"/>
      <c r="FV34" s="104"/>
      <c r="FW34" s="104"/>
      <c r="FX34" s="104"/>
      <c r="FY34" s="104"/>
      <c r="FZ34" s="104"/>
      <c r="GA34" s="104"/>
      <c r="GB34" s="104"/>
      <c r="GC34" s="104"/>
      <c r="GD34" s="104"/>
      <c r="GE34" s="104"/>
      <c r="GF34" s="104"/>
      <c r="GG34" s="104"/>
      <c r="GH34" s="104"/>
      <c r="GI34" s="104"/>
      <c r="GJ34" s="104"/>
      <c r="GK34" s="104"/>
      <c r="GL34" s="104"/>
      <c r="GM34" s="104"/>
      <c r="GN34" s="104"/>
      <c r="GO34" s="104"/>
      <c r="GP34" s="104"/>
      <c r="GQ34" s="104"/>
      <c r="GR34" s="104"/>
      <c r="GS34" s="104"/>
      <c r="GT34" s="104"/>
      <c r="GU34" s="104"/>
      <c r="GV34" s="104"/>
      <c r="GW34" s="104"/>
      <c r="GX34" s="104"/>
      <c r="GY34" s="104"/>
      <c r="GZ34" s="104"/>
      <c r="HA34" s="104"/>
      <c r="HB34" s="104"/>
      <c r="HC34" s="104"/>
      <c r="HD34" s="104"/>
      <c r="HE34" s="104"/>
      <c r="HF34" s="104"/>
      <c r="HG34" s="104"/>
      <c r="HH34" s="104"/>
      <c r="HI34" s="104"/>
      <c r="HJ34" s="104"/>
      <c r="HK34" s="104"/>
      <c r="HL34" s="104"/>
      <c r="HM34" s="104"/>
      <c r="HN34" s="104"/>
      <c r="HO34" s="104"/>
      <c r="HP34" s="104"/>
      <c r="HQ34" s="104"/>
      <c r="HR34" s="104"/>
      <c r="HS34" s="104"/>
      <c r="HT34" s="104"/>
      <c r="HU34" s="104"/>
      <c r="HV34" s="104"/>
      <c r="HW34" s="104"/>
      <c r="HX34" s="104"/>
      <c r="HY34" s="104"/>
      <c r="HZ34" s="104"/>
      <c r="IA34" s="104"/>
      <c r="IB34" s="104"/>
      <c r="IC34" s="104"/>
      <c r="ID34" s="104"/>
      <c r="IE34" s="104"/>
      <c r="IF34" s="104"/>
      <c r="IG34" s="104"/>
      <c r="IH34" s="104"/>
      <c r="II34" s="104"/>
      <c r="IJ34" s="104"/>
      <c r="IK34" s="104"/>
      <c r="IL34" s="104"/>
      <c r="IM34" s="104"/>
      <c r="IN34" s="104"/>
      <c r="IO34" s="104"/>
      <c r="IP34" s="104"/>
      <c r="IQ34" s="104"/>
      <c r="IR34" s="104"/>
      <c r="IS34" s="104"/>
      <c r="IT34" s="104"/>
      <c r="IU34" s="104"/>
      <c r="IV34" s="104"/>
      <c r="IW34" s="104"/>
      <c r="IX34" s="104"/>
      <c r="IY34" s="104"/>
    </row>
    <row r="35" spans="1:259" s="90" customFormat="1">
      <c r="A35" s="91">
        <v>11</v>
      </c>
      <c r="B35" s="92">
        <v>46007</v>
      </c>
      <c r="C35" s="252" t="s">
        <v>57</v>
      </c>
      <c r="D35" s="97">
        <v>6982</v>
      </c>
      <c r="E35" s="108">
        <v>1</v>
      </c>
      <c r="F35" s="96">
        <f t="shared" si="12"/>
        <v>6982</v>
      </c>
      <c r="G35" s="108">
        <v>1</v>
      </c>
      <c r="H35" s="96">
        <f t="shared" si="13"/>
        <v>6982</v>
      </c>
      <c r="I35" s="96">
        <v>26</v>
      </c>
      <c r="J35" s="97">
        <f t="shared" si="14"/>
        <v>1</v>
      </c>
      <c r="K35" s="96"/>
      <c r="L35" s="96"/>
      <c r="M35" s="96"/>
      <c r="N35" s="96"/>
      <c r="O35" s="96"/>
      <c r="P35" s="96"/>
      <c r="Q35" s="96"/>
      <c r="R35" s="249">
        <f t="shared" si="15"/>
        <v>3.8461538461538464E-2</v>
      </c>
      <c r="S35" s="274">
        <f t="shared" si="16"/>
        <v>0.12029157589536379</v>
      </c>
      <c r="T35" s="101">
        <f t="shared" si="17"/>
        <v>58042.302198063531</v>
      </c>
      <c r="U35" s="273">
        <f t="shared" si="18"/>
        <v>7.0869721853557426</v>
      </c>
      <c r="V35" s="102">
        <f t="shared" si="19"/>
        <v>4.2184358246165132</v>
      </c>
      <c r="W35" s="101">
        <f t="shared" si="20"/>
        <v>6982</v>
      </c>
      <c r="X35" s="102">
        <f t="shared" si="21"/>
        <v>1</v>
      </c>
      <c r="Y35" s="102">
        <f t="shared" si="22"/>
        <v>1</v>
      </c>
      <c r="Z35" s="250">
        <v>1</v>
      </c>
      <c r="AA35" s="250">
        <v>1</v>
      </c>
      <c r="AB35" s="105"/>
      <c r="AC35" s="105"/>
      <c r="AD35" s="251"/>
      <c r="AE35" s="104"/>
      <c r="AF35" s="104"/>
      <c r="AG35" s="104"/>
      <c r="AH35" s="104"/>
      <c r="AI35" s="104"/>
      <c r="AJ35" s="104"/>
      <c r="AK35" s="104"/>
    </row>
    <row r="36" spans="1:259" s="90" customFormat="1">
      <c r="A36" s="91">
        <v>12</v>
      </c>
      <c r="B36" s="92">
        <v>46008</v>
      </c>
      <c r="C36" s="93" t="s">
        <v>59</v>
      </c>
      <c r="D36" s="275">
        <f>41473+14185+7493</f>
        <v>63151</v>
      </c>
      <c r="E36" s="108">
        <v>6</v>
      </c>
      <c r="F36" s="254">
        <f t="shared" si="12"/>
        <v>10525.166666666666</v>
      </c>
      <c r="G36" s="108">
        <v>3</v>
      </c>
      <c r="H36" s="96">
        <f t="shared" si="13"/>
        <v>21050.333333333332</v>
      </c>
      <c r="I36" s="96">
        <v>40</v>
      </c>
      <c r="J36" s="97">
        <f t="shared" si="14"/>
        <v>2</v>
      </c>
      <c r="K36" s="96"/>
      <c r="L36" s="96"/>
      <c r="M36" s="96"/>
      <c r="N36" s="96"/>
      <c r="O36" s="96">
        <v>41473</v>
      </c>
      <c r="P36" s="96"/>
      <c r="Q36" s="96"/>
      <c r="R36" s="249">
        <f t="shared" si="15"/>
        <v>7.4999999999999997E-2</v>
      </c>
      <c r="S36" s="100">
        <f t="shared" si="16"/>
        <v>1.0880168016854941</v>
      </c>
      <c r="T36" s="101">
        <f t="shared" si="17"/>
        <v>58042.302198063531</v>
      </c>
      <c r="U36" s="102">
        <f t="shared" si="18"/>
        <v>7.0869721853557426</v>
      </c>
      <c r="V36" s="102">
        <f t="shared" si="19"/>
        <v>4.2184358246165132</v>
      </c>
      <c r="W36" s="101">
        <f t="shared" si="20"/>
        <v>63151</v>
      </c>
      <c r="X36" s="102">
        <f t="shared" si="21"/>
        <v>6</v>
      </c>
      <c r="Y36" s="102">
        <f t="shared" si="22"/>
        <v>3</v>
      </c>
      <c r="Z36" s="250">
        <v>1</v>
      </c>
      <c r="AA36" s="250">
        <v>1</v>
      </c>
      <c r="AB36" s="105"/>
      <c r="AC36" s="105"/>
      <c r="AD36" s="251"/>
      <c r="AE36" s="104"/>
      <c r="AF36" s="104"/>
      <c r="AG36" s="104"/>
      <c r="AH36" s="104"/>
      <c r="AI36" s="104"/>
      <c r="AJ36" s="104"/>
      <c r="AK36" s="104"/>
    </row>
    <row r="37" spans="1:259" s="125" customFormat="1">
      <c r="A37" s="111">
        <v>13</v>
      </c>
      <c r="B37" s="112">
        <v>46010</v>
      </c>
      <c r="C37" s="132" t="s">
        <v>63</v>
      </c>
      <c r="D37" s="117">
        <v>16056</v>
      </c>
      <c r="E37" s="129">
        <v>3</v>
      </c>
      <c r="F37" s="116">
        <f t="shared" si="12"/>
        <v>5352</v>
      </c>
      <c r="G37" s="129">
        <v>2</v>
      </c>
      <c r="H37" s="116">
        <f t="shared" si="13"/>
        <v>8028</v>
      </c>
      <c r="I37" s="116">
        <v>22</v>
      </c>
      <c r="J37" s="117">
        <f t="shared" si="14"/>
        <v>1.5</v>
      </c>
      <c r="K37" s="116"/>
      <c r="L37" s="116"/>
      <c r="M37" s="116"/>
      <c r="N37" s="116">
        <v>14707</v>
      </c>
      <c r="O37" s="116"/>
      <c r="P37" s="116"/>
      <c r="Q37" s="116"/>
      <c r="R37" s="99">
        <f t="shared" si="15"/>
        <v>9.0909090909090912E-2</v>
      </c>
      <c r="S37" s="119">
        <f t="shared" si="16"/>
        <v>0.27662582964422244</v>
      </c>
      <c r="T37" s="120">
        <f t="shared" si="17"/>
        <v>58042.302198063531</v>
      </c>
      <c r="U37" s="269">
        <f t="shared" si="18"/>
        <v>7.0869721853557426</v>
      </c>
      <c r="V37" s="121">
        <f t="shared" si="19"/>
        <v>4.2184358246165132</v>
      </c>
      <c r="W37" s="120">
        <f t="shared" si="20"/>
        <v>16056</v>
      </c>
      <c r="X37" s="121">
        <f t="shared" si="21"/>
        <v>3</v>
      </c>
      <c r="Y37" s="121">
        <f t="shared" si="22"/>
        <v>2</v>
      </c>
      <c r="Z37" s="266">
        <v>1</v>
      </c>
      <c r="AA37" s="266">
        <v>1</v>
      </c>
      <c r="AB37" s="123"/>
      <c r="AC37" s="123"/>
      <c r="AD37" s="131"/>
      <c r="AE37" s="124"/>
      <c r="AF37" s="124"/>
      <c r="AG37" s="124"/>
      <c r="AH37" s="124"/>
      <c r="AI37" s="124"/>
      <c r="AJ37" s="124"/>
      <c r="AK37" s="124"/>
      <c r="AL37" s="124"/>
      <c r="AM37" s="124"/>
      <c r="AN37" s="124"/>
      <c r="AO37" s="124"/>
      <c r="AP37" s="124"/>
      <c r="AQ37" s="124"/>
      <c r="AR37" s="124"/>
      <c r="AS37" s="124"/>
      <c r="AT37" s="124"/>
      <c r="AU37" s="124"/>
      <c r="AV37" s="124"/>
      <c r="AW37" s="124"/>
      <c r="AX37" s="124"/>
      <c r="AY37" s="124"/>
      <c r="AZ37" s="124"/>
      <c r="BA37" s="124"/>
      <c r="BB37" s="124"/>
      <c r="BC37" s="124"/>
      <c r="BD37" s="124"/>
      <c r="BE37" s="124"/>
      <c r="BF37" s="124"/>
      <c r="BG37" s="124"/>
      <c r="BH37" s="124"/>
      <c r="BI37" s="124"/>
      <c r="BJ37" s="124"/>
      <c r="BK37" s="124"/>
      <c r="BL37" s="124"/>
      <c r="BM37" s="124"/>
      <c r="BN37" s="124"/>
      <c r="BO37" s="124"/>
      <c r="BP37" s="124"/>
      <c r="BQ37" s="124"/>
      <c r="BR37" s="124"/>
      <c r="BS37" s="124"/>
      <c r="BT37" s="124"/>
      <c r="BU37" s="124"/>
      <c r="BV37" s="124"/>
      <c r="BW37" s="124"/>
      <c r="BX37" s="124"/>
      <c r="BY37" s="124"/>
      <c r="BZ37" s="124"/>
      <c r="CA37" s="124"/>
      <c r="CB37" s="124"/>
      <c r="CC37" s="124"/>
      <c r="CD37" s="124"/>
      <c r="CE37" s="124"/>
      <c r="CF37" s="124"/>
      <c r="CG37" s="124"/>
      <c r="CH37" s="124"/>
      <c r="CI37" s="124"/>
      <c r="CJ37" s="124"/>
      <c r="CK37" s="124"/>
      <c r="CL37" s="124"/>
      <c r="CM37" s="124"/>
      <c r="CN37" s="124"/>
      <c r="CO37" s="124"/>
      <c r="CP37" s="124"/>
      <c r="CQ37" s="124"/>
      <c r="CR37" s="124"/>
      <c r="CS37" s="124"/>
      <c r="CT37" s="124"/>
      <c r="CU37" s="124"/>
      <c r="CV37" s="124"/>
      <c r="CW37" s="124"/>
      <c r="CX37" s="124"/>
      <c r="CY37" s="124"/>
      <c r="CZ37" s="124"/>
      <c r="DA37" s="124"/>
      <c r="DB37" s="124"/>
      <c r="DC37" s="124"/>
      <c r="DD37" s="124"/>
      <c r="DE37" s="124"/>
      <c r="DF37" s="124"/>
      <c r="DG37" s="124"/>
      <c r="DH37" s="124"/>
      <c r="DI37" s="124"/>
      <c r="DJ37" s="124"/>
      <c r="DK37" s="124"/>
      <c r="DL37" s="124"/>
      <c r="DM37" s="124"/>
      <c r="DN37" s="124"/>
      <c r="DO37" s="124"/>
      <c r="DP37" s="124"/>
      <c r="DQ37" s="124"/>
      <c r="DR37" s="124"/>
      <c r="DS37" s="124"/>
      <c r="DT37" s="124"/>
      <c r="DU37" s="124"/>
      <c r="DV37" s="124"/>
      <c r="DW37" s="124"/>
      <c r="DX37" s="124"/>
      <c r="DY37" s="124"/>
      <c r="DZ37" s="124"/>
      <c r="EA37" s="124"/>
      <c r="EB37" s="124"/>
      <c r="EC37" s="124"/>
      <c r="ED37" s="124"/>
      <c r="EE37" s="124"/>
      <c r="EF37" s="124"/>
      <c r="EG37" s="124"/>
      <c r="EH37" s="124"/>
      <c r="EI37" s="124"/>
      <c r="EJ37" s="124"/>
      <c r="EK37" s="124"/>
      <c r="EL37" s="124"/>
      <c r="EM37" s="124"/>
      <c r="EN37" s="124"/>
      <c r="EO37" s="124"/>
      <c r="EP37" s="124"/>
      <c r="EQ37" s="124"/>
      <c r="ER37" s="124"/>
      <c r="ES37" s="124"/>
      <c r="ET37" s="124"/>
      <c r="EU37" s="124"/>
      <c r="EV37" s="124"/>
      <c r="EW37" s="124"/>
      <c r="EX37" s="124"/>
      <c r="EY37" s="124"/>
      <c r="EZ37" s="124"/>
      <c r="FA37" s="124"/>
      <c r="FB37" s="124"/>
      <c r="FC37" s="124"/>
      <c r="FD37" s="124"/>
      <c r="FE37" s="124"/>
      <c r="FF37" s="124"/>
      <c r="FG37" s="124"/>
      <c r="FH37" s="124"/>
      <c r="FI37" s="124"/>
      <c r="FJ37" s="124"/>
      <c r="FK37" s="124"/>
      <c r="FL37" s="124"/>
      <c r="FM37" s="124"/>
      <c r="FN37" s="124"/>
      <c r="FO37" s="124"/>
      <c r="FP37" s="124"/>
      <c r="FQ37" s="124"/>
      <c r="FR37" s="124"/>
      <c r="FS37" s="124"/>
      <c r="FT37" s="124"/>
      <c r="FU37" s="124"/>
      <c r="FV37" s="124"/>
      <c r="FW37" s="124"/>
      <c r="FX37" s="124"/>
      <c r="FY37" s="124"/>
      <c r="FZ37" s="124"/>
      <c r="GA37" s="124"/>
      <c r="GB37" s="124"/>
      <c r="GC37" s="124"/>
      <c r="GD37" s="124"/>
      <c r="GE37" s="124"/>
      <c r="GF37" s="124"/>
      <c r="GG37" s="124"/>
      <c r="GH37" s="124"/>
      <c r="GI37" s="124"/>
      <c r="GJ37" s="124"/>
      <c r="GK37" s="124"/>
      <c r="GL37" s="124"/>
      <c r="GM37" s="124"/>
      <c r="GN37" s="124"/>
      <c r="GO37" s="124"/>
      <c r="GP37" s="124"/>
      <c r="GQ37" s="124"/>
      <c r="GR37" s="124"/>
      <c r="GS37" s="124"/>
      <c r="GT37" s="124"/>
      <c r="GU37" s="124"/>
      <c r="GV37" s="124"/>
      <c r="GW37" s="124"/>
      <c r="GX37" s="124"/>
      <c r="GY37" s="124"/>
      <c r="GZ37" s="124"/>
      <c r="HA37" s="124"/>
      <c r="HB37" s="124"/>
      <c r="HC37" s="124"/>
      <c r="HD37" s="124"/>
      <c r="HE37" s="124"/>
      <c r="HF37" s="124"/>
      <c r="HG37" s="124"/>
      <c r="HH37" s="124"/>
      <c r="HI37" s="124"/>
      <c r="HJ37" s="124"/>
      <c r="HK37" s="124"/>
      <c r="HL37" s="124"/>
      <c r="HM37" s="124"/>
      <c r="HN37" s="124"/>
      <c r="HO37" s="124"/>
      <c r="HP37" s="124"/>
      <c r="HQ37" s="124"/>
      <c r="HR37" s="124"/>
      <c r="HS37" s="124"/>
      <c r="HT37" s="124"/>
      <c r="HU37" s="124"/>
      <c r="HV37" s="124"/>
      <c r="HW37" s="124"/>
      <c r="HX37" s="124"/>
      <c r="HY37" s="124"/>
      <c r="HZ37" s="124"/>
      <c r="IA37" s="124"/>
      <c r="IB37" s="124"/>
      <c r="IC37" s="124"/>
      <c r="ID37" s="124"/>
      <c r="IE37" s="124"/>
      <c r="IF37" s="124"/>
      <c r="IG37" s="124"/>
      <c r="IH37" s="124"/>
      <c r="II37" s="124"/>
      <c r="IJ37" s="124"/>
      <c r="IK37" s="124"/>
      <c r="IL37" s="124"/>
      <c r="IM37" s="124"/>
      <c r="IN37" s="124"/>
      <c r="IO37" s="124"/>
      <c r="IP37" s="124"/>
      <c r="IQ37" s="124"/>
      <c r="IR37" s="124"/>
      <c r="IS37" s="124"/>
      <c r="IT37" s="124"/>
      <c r="IU37" s="124"/>
      <c r="IV37" s="124"/>
      <c r="IW37" s="124"/>
      <c r="IX37" s="124"/>
      <c r="IY37" s="124"/>
    </row>
    <row r="38" spans="1:259" s="125" customFormat="1">
      <c r="A38" s="111">
        <v>14</v>
      </c>
      <c r="B38" s="112">
        <v>46011</v>
      </c>
      <c r="C38" s="132" t="s">
        <v>65</v>
      </c>
      <c r="D38" s="117">
        <f>6298+6589+12354+5894+24676+12482</f>
        <v>68293</v>
      </c>
      <c r="E38" s="129">
        <f>1+1+2+1+3+1</f>
        <v>9</v>
      </c>
      <c r="F38" s="265">
        <f t="shared" si="12"/>
        <v>7588.1111111111113</v>
      </c>
      <c r="G38" s="129">
        <v>6</v>
      </c>
      <c r="H38" s="116">
        <f t="shared" si="13"/>
        <v>11382.166666666666</v>
      </c>
      <c r="I38" s="116">
        <v>62</v>
      </c>
      <c r="J38" s="117">
        <f t="shared" si="14"/>
        <v>1.5</v>
      </c>
      <c r="K38" s="116"/>
      <c r="L38" s="116"/>
      <c r="M38" s="116"/>
      <c r="N38" s="116"/>
      <c r="O38" s="116"/>
      <c r="P38" s="116"/>
      <c r="Q38" s="116"/>
      <c r="R38" s="276">
        <f t="shared" si="15"/>
        <v>9.6774193548387094E-2</v>
      </c>
      <c r="S38" s="119">
        <f t="shared" si="16"/>
        <v>1.1766073607307477</v>
      </c>
      <c r="T38" s="120">
        <f t="shared" ref="T38:T48" si="23">$I$8*Z38*AA38/SUMPRODUCT($AA$25:$AA$46,$Z$25:$Z$46)</f>
        <v>58042.302198063531</v>
      </c>
      <c r="U38" s="121">
        <f t="shared" ref="U38:U48" si="24">$I$9*Z38*AA38/SUMPRODUCT($AA$25:$AA$46,$Z$25:$Z$46)</f>
        <v>7.0869721853557426</v>
      </c>
      <c r="V38" s="121">
        <f t="shared" si="19"/>
        <v>4.2184358246165132</v>
      </c>
      <c r="W38" s="120">
        <f t="shared" si="20"/>
        <v>68293</v>
      </c>
      <c r="X38" s="121">
        <f t="shared" si="21"/>
        <v>9</v>
      </c>
      <c r="Y38" s="121">
        <f t="shared" si="22"/>
        <v>6</v>
      </c>
      <c r="Z38" s="266">
        <v>1</v>
      </c>
      <c r="AA38" s="266">
        <v>1</v>
      </c>
      <c r="AB38" s="277"/>
      <c r="AC38" s="277"/>
    </row>
    <row r="39" spans="1:259" s="278" customFormat="1">
      <c r="A39" s="111">
        <v>15</v>
      </c>
      <c r="B39" s="279">
        <v>46013</v>
      </c>
      <c r="C39" s="280" t="s">
        <v>55</v>
      </c>
      <c r="D39" s="281">
        <f>10684+13784</f>
        <v>24468</v>
      </c>
      <c r="E39" s="282">
        <f>2</f>
        <v>2</v>
      </c>
      <c r="F39" s="283">
        <f t="shared" si="12"/>
        <v>12234</v>
      </c>
      <c r="G39" s="284">
        <v>1</v>
      </c>
      <c r="H39" s="285">
        <f t="shared" si="13"/>
        <v>24468</v>
      </c>
      <c r="I39" s="285">
        <v>40</v>
      </c>
      <c r="J39" s="281">
        <f t="shared" si="14"/>
        <v>2</v>
      </c>
      <c r="K39" s="285"/>
      <c r="L39" s="285"/>
      <c r="M39" s="285"/>
      <c r="N39" s="285"/>
      <c r="O39" s="285"/>
      <c r="P39" s="285"/>
      <c r="Q39" s="285"/>
      <c r="R39" s="286">
        <f t="shared" si="15"/>
        <v>2.5000000000000001E-2</v>
      </c>
      <c r="S39" s="287">
        <f t="shared" si="16"/>
        <v>0.42155460885244361</v>
      </c>
      <c r="T39" s="288">
        <f t="shared" si="23"/>
        <v>58042.302198063531</v>
      </c>
      <c r="U39" s="289">
        <f t="shared" si="24"/>
        <v>7.0869721853557426</v>
      </c>
      <c r="V39" s="289">
        <f t="shared" si="19"/>
        <v>4.2184358246165132</v>
      </c>
      <c r="W39" s="288">
        <f t="shared" si="20"/>
        <v>24468</v>
      </c>
      <c r="X39" s="289">
        <f t="shared" si="21"/>
        <v>2</v>
      </c>
      <c r="Y39" s="289">
        <f t="shared" si="22"/>
        <v>1</v>
      </c>
      <c r="Z39" s="261">
        <v>1</v>
      </c>
      <c r="AA39" s="261">
        <v>1</v>
      </c>
      <c r="AB39" s="290"/>
      <c r="AC39" s="290"/>
      <c r="AD39" s="291"/>
    </row>
    <row r="40" spans="1:259" s="278" customFormat="1">
      <c r="A40" s="111">
        <v>16</v>
      </c>
      <c r="B40" s="112">
        <v>46014</v>
      </c>
      <c r="C40" s="132" t="s">
        <v>57</v>
      </c>
      <c r="D40" s="281">
        <f>13784+4593+10974</f>
        <v>29351</v>
      </c>
      <c r="E40" s="292">
        <v>5</v>
      </c>
      <c r="F40" s="293">
        <f t="shared" si="12"/>
        <v>5870.2</v>
      </c>
      <c r="G40" s="292">
        <v>3</v>
      </c>
      <c r="H40" s="285">
        <f t="shared" si="13"/>
        <v>9783.6666666666661</v>
      </c>
      <c r="I40" s="285">
        <v>23</v>
      </c>
      <c r="J40" s="281">
        <f t="shared" si="14"/>
        <v>1.6666666666666667</v>
      </c>
      <c r="K40" s="285"/>
      <c r="L40" s="285"/>
      <c r="M40" s="285"/>
      <c r="N40" s="285">
        <v>7490</v>
      </c>
      <c r="O40" s="285"/>
      <c r="P40" s="285"/>
      <c r="Q40" s="285"/>
      <c r="R40" s="286">
        <f t="shared" si="15"/>
        <v>0.13043478260869565</v>
      </c>
      <c r="S40" s="287">
        <f t="shared" si="16"/>
        <v>0.5056829051997741</v>
      </c>
      <c r="T40" s="288">
        <f t="shared" si="23"/>
        <v>58042.302198063531</v>
      </c>
      <c r="U40" s="289">
        <f t="shared" si="24"/>
        <v>7.0869721853557426</v>
      </c>
      <c r="V40" s="289">
        <f t="shared" si="19"/>
        <v>4.2184358246165132</v>
      </c>
      <c r="W40" s="288">
        <f t="shared" si="20"/>
        <v>29351</v>
      </c>
      <c r="X40" s="289">
        <f t="shared" si="21"/>
        <v>5</v>
      </c>
      <c r="Y40" s="289">
        <f t="shared" si="22"/>
        <v>3</v>
      </c>
      <c r="Z40" s="261">
        <v>1</v>
      </c>
      <c r="AA40" s="261">
        <v>1</v>
      </c>
      <c r="AB40" s="290"/>
      <c r="AC40" s="290"/>
      <c r="AD40" s="291"/>
    </row>
    <row r="41" spans="1:259" s="278" customFormat="1">
      <c r="A41" s="111">
        <v>17</v>
      </c>
      <c r="B41" s="112">
        <v>46015</v>
      </c>
      <c r="C41" s="132" t="s">
        <v>59</v>
      </c>
      <c r="D41" s="281">
        <f>4693+13084</f>
        <v>17777</v>
      </c>
      <c r="E41" s="292">
        <f>1+2</f>
        <v>3</v>
      </c>
      <c r="F41" s="285">
        <f t="shared" si="12"/>
        <v>5925.666666666667</v>
      </c>
      <c r="G41" s="292">
        <v>2</v>
      </c>
      <c r="H41" s="285">
        <f t="shared" si="13"/>
        <v>8888.5</v>
      </c>
      <c r="I41" s="285">
        <v>20</v>
      </c>
      <c r="J41" s="281">
        <f t="shared" si="14"/>
        <v>1.5</v>
      </c>
      <c r="K41" s="285"/>
      <c r="L41" s="285"/>
      <c r="M41" s="285"/>
      <c r="N41" s="285"/>
      <c r="O41" s="285"/>
      <c r="P41" s="285"/>
      <c r="Q41" s="285"/>
      <c r="R41" s="286">
        <f t="shared" si="15"/>
        <v>0.1</v>
      </c>
      <c r="S41" s="287">
        <f t="shared" si="16"/>
        <v>0.30627661768717879</v>
      </c>
      <c r="T41" s="288">
        <f t="shared" si="23"/>
        <v>58042.302198063531</v>
      </c>
      <c r="U41" s="289">
        <f t="shared" si="24"/>
        <v>7.0869721853557426</v>
      </c>
      <c r="V41" s="289">
        <f t="shared" si="19"/>
        <v>4.2184358246165132</v>
      </c>
      <c r="W41" s="288">
        <f t="shared" si="20"/>
        <v>17777</v>
      </c>
      <c r="X41" s="289">
        <f t="shared" si="21"/>
        <v>3</v>
      </c>
      <c r="Y41" s="289">
        <f t="shared" si="22"/>
        <v>2</v>
      </c>
      <c r="Z41" s="261">
        <v>1</v>
      </c>
      <c r="AA41" s="261">
        <v>1</v>
      </c>
      <c r="AB41" s="290"/>
      <c r="AC41" s="290"/>
      <c r="AD41" s="291"/>
    </row>
    <row r="42" spans="1:259" s="278" customFormat="1">
      <c r="A42" s="111">
        <v>18</v>
      </c>
      <c r="B42" s="112">
        <v>46018</v>
      </c>
      <c r="C42" s="132" t="s">
        <v>65</v>
      </c>
      <c r="D42" s="281">
        <f>10482+6074</f>
        <v>16556</v>
      </c>
      <c r="E42" s="292">
        <v>2</v>
      </c>
      <c r="F42" s="285">
        <f t="shared" si="12"/>
        <v>8278</v>
      </c>
      <c r="G42" s="292">
        <v>2</v>
      </c>
      <c r="H42" s="285">
        <f t="shared" si="13"/>
        <v>8278</v>
      </c>
      <c r="I42" s="292">
        <v>28</v>
      </c>
      <c r="J42" s="281">
        <f t="shared" si="14"/>
        <v>1</v>
      </c>
      <c r="K42" s="285"/>
      <c r="L42" s="285"/>
      <c r="M42" s="285">
        <v>10482</v>
      </c>
      <c r="N42" s="285"/>
      <c r="O42" s="285"/>
      <c r="P42" s="285"/>
      <c r="Q42" s="285"/>
      <c r="R42" s="286">
        <f t="shared" si="15"/>
        <v>7.1428571428571425E-2</v>
      </c>
      <c r="S42" s="287">
        <f t="shared" si="16"/>
        <v>0.28524023639696977</v>
      </c>
      <c r="T42" s="288">
        <f t="shared" si="23"/>
        <v>58042.302198063531</v>
      </c>
      <c r="U42" s="289">
        <f t="shared" si="24"/>
        <v>7.0869721853557426</v>
      </c>
      <c r="V42" s="289">
        <f t="shared" si="19"/>
        <v>4.2184358246165132</v>
      </c>
      <c r="W42" s="288">
        <f t="shared" si="20"/>
        <v>16556</v>
      </c>
      <c r="X42" s="289">
        <f t="shared" si="21"/>
        <v>2</v>
      </c>
      <c r="Y42" s="289">
        <f t="shared" si="22"/>
        <v>2</v>
      </c>
      <c r="Z42" s="261">
        <v>1</v>
      </c>
      <c r="AA42" s="261">
        <v>1</v>
      </c>
      <c r="AB42" s="290"/>
      <c r="AC42" s="290"/>
      <c r="AD42" s="291"/>
    </row>
    <row r="43" spans="1:259" s="278" customFormat="1" ht="15" customHeight="1">
      <c r="A43" s="111">
        <v>19</v>
      </c>
      <c r="B43" s="112">
        <v>46020</v>
      </c>
      <c r="C43" s="132" t="s">
        <v>55</v>
      </c>
      <c r="D43" s="294">
        <f>4193+5001+4582+14184</f>
        <v>27960</v>
      </c>
      <c r="E43" s="295">
        <v>4</v>
      </c>
      <c r="F43" s="285">
        <f t="shared" si="12"/>
        <v>6990</v>
      </c>
      <c r="G43" s="295">
        <v>4</v>
      </c>
      <c r="H43" s="285">
        <f t="shared" si="13"/>
        <v>6990</v>
      </c>
      <c r="I43" s="295"/>
      <c r="J43" s="281">
        <f t="shared" si="14"/>
        <v>1</v>
      </c>
      <c r="K43" s="285"/>
      <c r="L43" s="285"/>
      <c r="M43" s="285"/>
      <c r="N43" s="285"/>
      <c r="O43" s="285"/>
      <c r="P43" s="285"/>
      <c r="Q43" s="285"/>
      <c r="R43" s="286" t="str">
        <f t="shared" si="15"/>
        <v/>
      </c>
      <c r="S43" s="287">
        <f t="shared" si="16"/>
        <v>0.48171762561363102</v>
      </c>
      <c r="T43" s="288">
        <f t="shared" si="23"/>
        <v>58042.302198063531</v>
      </c>
      <c r="U43" s="289">
        <f t="shared" si="24"/>
        <v>7.0869721853557426</v>
      </c>
      <c r="V43" s="289">
        <f t="shared" si="19"/>
        <v>4.2184358246165132</v>
      </c>
      <c r="W43" s="288">
        <f t="shared" si="20"/>
        <v>27960</v>
      </c>
      <c r="X43" s="289">
        <f t="shared" si="21"/>
        <v>4</v>
      </c>
      <c r="Y43" s="289">
        <f t="shared" si="22"/>
        <v>4</v>
      </c>
      <c r="Z43" s="261">
        <v>1</v>
      </c>
      <c r="AA43" s="261">
        <v>1</v>
      </c>
      <c r="AB43" s="290"/>
      <c r="AC43" s="290"/>
      <c r="AD43" s="291"/>
    </row>
    <row r="44" spans="1:259" s="278" customFormat="1">
      <c r="A44" s="111">
        <v>20</v>
      </c>
      <c r="B44" s="112">
        <v>46021</v>
      </c>
      <c r="C44" s="132" t="s">
        <v>57</v>
      </c>
      <c r="D44" s="294">
        <f>8081+7785</f>
        <v>15866</v>
      </c>
      <c r="E44" s="295">
        <v>2</v>
      </c>
      <c r="F44" s="285">
        <f t="shared" si="12"/>
        <v>7933</v>
      </c>
      <c r="G44" s="295">
        <v>2</v>
      </c>
      <c r="H44" s="285">
        <f t="shared" si="13"/>
        <v>7933</v>
      </c>
      <c r="I44" s="295"/>
      <c r="J44" s="281">
        <f t="shared" si="14"/>
        <v>1</v>
      </c>
      <c r="K44" s="285"/>
      <c r="L44" s="285"/>
      <c r="M44" s="285"/>
      <c r="N44" s="285"/>
      <c r="O44" s="285"/>
      <c r="P44" s="285"/>
      <c r="Q44" s="285">
        <v>7785</v>
      </c>
      <c r="R44" s="286" t="str">
        <f t="shared" si="15"/>
        <v/>
      </c>
      <c r="S44" s="287">
        <f t="shared" si="16"/>
        <v>0.2277936292318154</v>
      </c>
      <c r="T44" s="288">
        <f t="shared" si="23"/>
        <v>69650.762637676235</v>
      </c>
      <c r="U44" s="289">
        <f t="shared" si="24"/>
        <v>8.5043666224268915</v>
      </c>
      <c r="V44" s="289">
        <f t="shared" si="19"/>
        <v>5.0621229895398168</v>
      </c>
      <c r="W44" s="288">
        <f t="shared" si="20"/>
        <v>15866</v>
      </c>
      <c r="X44" s="289">
        <f t="shared" si="21"/>
        <v>2</v>
      </c>
      <c r="Y44" s="289">
        <f t="shared" si="22"/>
        <v>2</v>
      </c>
      <c r="Z44" s="261">
        <v>1.2</v>
      </c>
      <c r="AA44" s="261">
        <v>1</v>
      </c>
      <c r="AB44" s="290"/>
      <c r="AC44" s="290"/>
      <c r="AD44" s="291"/>
    </row>
    <row r="45" spans="1:259" s="278" customFormat="1">
      <c r="A45" s="111">
        <v>21</v>
      </c>
      <c r="B45" s="112">
        <v>46022</v>
      </c>
      <c r="C45" s="132" t="s">
        <v>59</v>
      </c>
      <c r="D45" s="294">
        <f>8182</f>
        <v>8182</v>
      </c>
      <c r="E45" s="295">
        <v>1</v>
      </c>
      <c r="F45" s="285">
        <f t="shared" si="12"/>
        <v>8182</v>
      </c>
      <c r="G45" s="295">
        <v>1</v>
      </c>
      <c r="H45" s="285">
        <f t="shared" si="13"/>
        <v>8182</v>
      </c>
      <c r="I45" s="295"/>
      <c r="J45" s="281">
        <f t="shared" si="14"/>
        <v>1</v>
      </c>
      <c r="K45" s="285"/>
      <c r="L45" s="285"/>
      <c r="M45" s="285"/>
      <c r="N45" s="285"/>
      <c r="O45" s="285"/>
      <c r="P45" s="285"/>
      <c r="Q45" s="285"/>
      <c r="R45" s="286" t="str">
        <f t="shared" si="15"/>
        <v/>
      </c>
      <c r="S45" s="287">
        <f t="shared" si="16"/>
        <v>9.7893161181914864E-2</v>
      </c>
      <c r="T45" s="288">
        <f t="shared" si="23"/>
        <v>83580.915165211482</v>
      </c>
      <c r="U45" s="289">
        <f t="shared" si="24"/>
        <v>10.20523994691227</v>
      </c>
      <c r="V45" s="289">
        <f t="shared" si="19"/>
        <v>6.0745475874477801</v>
      </c>
      <c r="W45" s="288">
        <f t="shared" si="20"/>
        <v>8182</v>
      </c>
      <c r="X45" s="289">
        <f t="shared" si="21"/>
        <v>1</v>
      </c>
      <c r="Y45" s="289">
        <f t="shared" si="22"/>
        <v>1</v>
      </c>
      <c r="Z45" s="261">
        <v>1.2</v>
      </c>
      <c r="AA45" s="261">
        <v>1.2</v>
      </c>
      <c r="AB45" s="290"/>
      <c r="AC45" s="290"/>
      <c r="AD45" s="291"/>
    </row>
    <row r="46" spans="1:259" s="125" customFormat="1">
      <c r="A46" s="111"/>
      <c r="B46" s="112"/>
      <c r="C46" s="132"/>
      <c r="D46" s="256"/>
      <c r="E46" s="129"/>
      <c r="F46" s="116" t="str">
        <f t="shared" si="12"/>
        <v/>
      </c>
      <c r="G46" s="129"/>
      <c r="H46" s="116" t="str">
        <f t="shared" si="13"/>
        <v/>
      </c>
      <c r="I46" s="129"/>
      <c r="J46" s="117" t="str">
        <f t="shared" si="14"/>
        <v/>
      </c>
      <c r="K46" s="116"/>
      <c r="L46" s="116"/>
      <c r="M46" s="116"/>
      <c r="N46" s="116"/>
      <c r="O46" s="116"/>
      <c r="P46" s="116"/>
      <c r="Q46" s="116"/>
      <c r="R46" s="276" t="str">
        <f t="shared" si="15"/>
        <v/>
      </c>
      <c r="S46" s="287" t="e">
        <f t="shared" si="16"/>
        <v>#DIV/0!</v>
      </c>
      <c r="T46" s="288">
        <f t="shared" si="23"/>
        <v>0</v>
      </c>
      <c r="U46" s="289">
        <f t="shared" si="24"/>
        <v>0</v>
      </c>
      <c r="V46" s="289">
        <f t="shared" si="19"/>
        <v>0</v>
      </c>
      <c r="W46" s="288" t="str">
        <f t="shared" si="20"/>
        <v/>
      </c>
      <c r="X46" s="289" t="str">
        <f t="shared" si="21"/>
        <v/>
      </c>
      <c r="Y46" s="289" t="str">
        <f t="shared" si="22"/>
        <v/>
      </c>
      <c r="Z46" s="261"/>
      <c r="AA46" s="261"/>
      <c r="AB46" s="277"/>
      <c r="AC46" s="296"/>
    </row>
    <row r="47" spans="1:259" s="278" customFormat="1">
      <c r="A47" s="111"/>
      <c r="B47" s="279"/>
      <c r="C47" s="280"/>
      <c r="D47" s="281"/>
      <c r="E47" s="285"/>
      <c r="F47" s="285" t="str">
        <f t="shared" si="12"/>
        <v/>
      </c>
      <c r="G47" s="285"/>
      <c r="H47" s="285" t="str">
        <f t="shared" si="13"/>
        <v/>
      </c>
      <c r="I47" s="285"/>
      <c r="J47" s="281" t="str">
        <f t="shared" si="14"/>
        <v/>
      </c>
      <c r="K47" s="285"/>
      <c r="L47" s="285"/>
      <c r="M47" s="285"/>
      <c r="N47" s="285"/>
      <c r="O47" s="285"/>
      <c r="P47" s="285"/>
      <c r="Q47" s="285"/>
      <c r="R47" s="286" t="str">
        <f t="shared" si="15"/>
        <v/>
      </c>
      <c r="S47" s="287" t="e">
        <f t="shared" si="16"/>
        <v>#DIV/0!</v>
      </c>
      <c r="T47" s="288">
        <f t="shared" si="23"/>
        <v>0</v>
      </c>
      <c r="U47" s="289">
        <f t="shared" si="24"/>
        <v>0</v>
      </c>
      <c r="V47" s="289">
        <f t="shared" si="19"/>
        <v>0</v>
      </c>
      <c r="W47" s="288" t="str">
        <f t="shared" si="20"/>
        <v/>
      </c>
      <c r="X47" s="289" t="str">
        <f t="shared" si="21"/>
        <v/>
      </c>
      <c r="Y47" s="289" t="str">
        <f t="shared" si="22"/>
        <v/>
      </c>
      <c r="Z47" s="261"/>
      <c r="AA47" s="261"/>
      <c r="AB47" s="290"/>
      <c r="AC47" s="290"/>
    </row>
    <row r="48" spans="1:259" s="278" customFormat="1">
      <c r="A48" s="111"/>
      <c r="B48" s="279"/>
      <c r="C48" s="280"/>
      <c r="D48" s="281"/>
      <c r="E48" s="285"/>
      <c r="F48" s="285" t="str">
        <f t="shared" si="12"/>
        <v/>
      </c>
      <c r="G48" s="285"/>
      <c r="H48" s="285" t="str">
        <f t="shared" si="13"/>
        <v/>
      </c>
      <c r="I48" s="285"/>
      <c r="J48" s="281" t="str">
        <f t="shared" si="14"/>
        <v/>
      </c>
      <c r="K48" s="285"/>
      <c r="L48" s="285"/>
      <c r="M48" s="285"/>
      <c r="N48" s="285"/>
      <c r="O48" s="285"/>
      <c r="P48" s="285"/>
      <c r="Q48" s="285"/>
      <c r="R48" s="286" t="str">
        <f t="shared" si="15"/>
        <v/>
      </c>
      <c r="S48" s="297" t="e">
        <f t="shared" si="16"/>
        <v>#DIV/0!</v>
      </c>
      <c r="T48" s="288">
        <f t="shared" si="23"/>
        <v>0</v>
      </c>
      <c r="U48" s="289">
        <f t="shared" si="24"/>
        <v>0</v>
      </c>
      <c r="V48" s="289">
        <f t="shared" si="19"/>
        <v>0</v>
      </c>
      <c r="W48" s="288" t="str">
        <f t="shared" si="20"/>
        <v/>
      </c>
      <c r="X48" s="289" t="str">
        <f t="shared" si="21"/>
        <v/>
      </c>
      <c r="Y48" s="289" t="str">
        <f t="shared" si="22"/>
        <v/>
      </c>
      <c r="Z48" s="261"/>
      <c r="AA48" s="261"/>
      <c r="AB48" s="290"/>
      <c r="AC48" s="290"/>
    </row>
    <row r="49" spans="2:27" ht="15" customHeight="1">
      <c r="B49" s="860" t="s">
        <v>84</v>
      </c>
      <c r="C49" s="860"/>
      <c r="D49" s="298">
        <f>SUM(D25:D47)</f>
        <v>439907</v>
      </c>
      <c r="E49" s="298">
        <f>SUM(E25:E47)</f>
        <v>58</v>
      </c>
      <c r="F49" s="298">
        <f t="shared" si="12"/>
        <v>7584.6034482758623</v>
      </c>
      <c r="G49" s="298">
        <f>SUM(G25:G47)</f>
        <v>39</v>
      </c>
      <c r="H49" s="298">
        <f t="shared" si="13"/>
        <v>11279.666666666666</v>
      </c>
      <c r="I49" s="298">
        <f>SUM(I25:I47)</f>
        <v>581</v>
      </c>
      <c r="J49" s="299">
        <f t="shared" si="14"/>
        <v>1.4871794871794872</v>
      </c>
      <c r="K49" s="298">
        <f>SUM(K25:K47)</f>
        <v>13990</v>
      </c>
      <c r="L49" s="298"/>
      <c r="M49" s="298"/>
      <c r="N49" s="298"/>
      <c r="O49" s="298">
        <f>SUM(O25:O47)</f>
        <v>41473</v>
      </c>
      <c r="P49" s="298">
        <f>SUM(P25:P47)</f>
        <v>0</v>
      </c>
      <c r="Q49" s="298">
        <f>SUM(Q25:Q47)</f>
        <v>7785</v>
      </c>
      <c r="R49" s="135">
        <f t="shared" si="15"/>
        <v>6.7125645438898457E-2</v>
      </c>
      <c r="S49" s="300">
        <f t="shared" si="16"/>
        <v>0.36559716131864201</v>
      </c>
      <c r="T49" s="301">
        <f t="shared" ref="T49:Y49" si="25">SUM(T25:T47)</f>
        <v>1203256.0603406657</v>
      </c>
      <c r="U49" s="301">
        <f t="shared" si="25"/>
        <v>149.19146035905561</v>
      </c>
      <c r="V49" s="301">
        <f t="shared" si="25"/>
        <v>88.423488308961652</v>
      </c>
      <c r="W49" s="301">
        <f t="shared" si="25"/>
        <v>428521</v>
      </c>
      <c r="X49" s="301">
        <f t="shared" si="25"/>
        <v>58</v>
      </c>
      <c r="Y49" s="301">
        <f t="shared" si="25"/>
        <v>39</v>
      </c>
      <c r="Z49" s="302"/>
      <c r="AA49" s="302"/>
    </row>
    <row r="50" spans="2:27">
      <c r="B50" s="138"/>
      <c r="C50" s="139"/>
      <c r="D50" s="140">
        <f>SUMIF(D25:D47,"",T25:T47)+D49</f>
        <v>439907</v>
      </c>
      <c r="E50" s="141"/>
      <c r="F50" s="139"/>
      <c r="G50" s="139"/>
      <c r="H50" s="142"/>
      <c r="I50" s="143"/>
      <c r="J50" s="142"/>
      <c r="O50" s="144"/>
      <c r="P50" s="141"/>
      <c r="Q50" s="141"/>
      <c r="R50" s="144"/>
      <c r="S50" s="144"/>
      <c r="T50" s="144"/>
      <c r="U50" s="145"/>
    </row>
    <row r="51" spans="2:27">
      <c r="D51" s="147"/>
    </row>
    <row r="53" spans="2:27">
      <c r="D53" s="147"/>
    </row>
    <row r="54" spans="2:27">
      <c r="D54" s="147"/>
    </row>
  </sheetData>
  <mergeCells count="28">
    <mergeCell ref="T22:AA22"/>
    <mergeCell ref="B49:C49"/>
    <mergeCell ref="F18:H18"/>
    <mergeCell ref="F19:H19"/>
    <mergeCell ref="F20:H20"/>
    <mergeCell ref="B22:R22"/>
    <mergeCell ref="S22:S24"/>
    <mergeCell ref="F14:H14"/>
    <mergeCell ref="F15:H15"/>
    <mergeCell ref="F16:H16"/>
    <mergeCell ref="S16:S17"/>
    <mergeCell ref="F17:H17"/>
    <mergeCell ref="F9:H9"/>
    <mergeCell ref="F10:H10"/>
    <mergeCell ref="F11:H11"/>
    <mergeCell ref="F12:H12"/>
    <mergeCell ref="F13:H13"/>
    <mergeCell ref="J5:R5"/>
    <mergeCell ref="F6:R6"/>
    <mergeCell ref="F7:H7"/>
    <mergeCell ref="P7:R7"/>
    <mergeCell ref="F8:H8"/>
    <mergeCell ref="B1:C1"/>
    <mergeCell ref="U1:X4"/>
    <mergeCell ref="B2:C2"/>
    <mergeCell ref="J2:T2"/>
    <mergeCell ref="J3:R4"/>
    <mergeCell ref="C4:D4"/>
  </mergeCells>
  <conditionalFormatting sqref="J16">
    <cfRule type="cellIs" dxfId="213" priority="356" operator="greaterThan">
      <formula>0</formula>
    </cfRule>
    <cfRule type="cellIs" dxfId="212" priority="355" operator="lessThan">
      <formula>0</formula>
    </cfRule>
  </conditionalFormatting>
  <conditionalFormatting sqref="J25:J36">
    <cfRule type="cellIs" dxfId="211" priority="3" operator="lessThan">
      <formula>$I$12</formula>
    </cfRule>
    <cfRule type="cellIs" dxfId="210" priority="4" operator="greaterThan">
      <formula>$I$12</formula>
    </cfRule>
  </conditionalFormatting>
  <conditionalFormatting sqref="J33:J37">
    <cfRule type="cellIs" dxfId="209" priority="382" operator="lessThan">
      <formula>$I$12</formula>
    </cfRule>
  </conditionalFormatting>
  <conditionalFormatting sqref="J37:J48">
    <cfRule type="cellIs" dxfId="208" priority="140" operator="greaterThan">
      <formula>$I$12</formula>
    </cfRule>
  </conditionalFormatting>
  <conditionalFormatting sqref="J38:J48">
    <cfRule type="cellIs" dxfId="207" priority="139" operator="lessThan">
      <formula>$I$12</formula>
    </cfRule>
  </conditionalFormatting>
  <conditionalFormatting sqref="K10:K12">
    <cfRule type="cellIs" dxfId="206" priority="26" operator="greaterThan">
      <formula>1</formula>
    </cfRule>
    <cfRule type="cellIs" dxfId="205" priority="25" operator="lessThan">
      <formula>1</formula>
    </cfRule>
  </conditionalFormatting>
  <conditionalFormatting sqref="K15">
    <cfRule type="cellIs" dxfId="204" priority="28" operator="greaterThan">
      <formula>1</formula>
    </cfRule>
    <cfRule type="cellIs" dxfId="203" priority="27" operator="lessThan">
      <formula>1</formula>
    </cfRule>
  </conditionalFormatting>
  <conditionalFormatting sqref="K20">
    <cfRule type="cellIs" dxfId="202" priority="2" operator="greaterThan">
      <formula>1</formula>
    </cfRule>
    <cfRule type="cellIs" dxfId="201" priority="1" operator="lessThan">
      <formula>1</formula>
    </cfRule>
  </conditionalFormatting>
  <conditionalFormatting sqref="M9:M15">
    <cfRule type="cellIs" dxfId="200" priority="29" operator="lessThan">
      <formula>1</formula>
    </cfRule>
    <cfRule type="cellIs" dxfId="199" priority="30" operator="greaterThan">
      <formula>1</formula>
    </cfRule>
  </conditionalFormatting>
  <conditionalFormatting sqref="P10:Q10">
    <cfRule type="cellIs" dxfId="198" priority="357" operator="lessThan">
      <formula>0</formula>
    </cfRule>
  </conditionalFormatting>
  <conditionalFormatting sqref="R25:R36">
    <cfRule type="cellIs" dxfId="197" priority="12" operator="greaterThanOrEqual">
      <formula>0.25</formula>
    </cfRule>
    <cfRule type="cellIs" dxfId="196" priority="11" operator="between">
      <formula>0.2</formula>
      <formula>0.25</formula>
    </cfRule>
  </conditionalFormatting>
  <conditionalFormatting sqref="R25:R48">
    <cfRule type="cellIs" dxfId="195" priority="13" operator="lessThan">
      <formula>0.2</formula>
    </cfRule>
  </conditionalFormatting>
  <conditionalFormatting sqref="R33:R35">
    <cfRule type="cellIs" dxfId="194" priority="388" operator="between">
      <formula>0.2</formula>
      <formula>0.25</formula>
    </cfRule>
  </conditionalFormatting>
  <conditionalFormatting sqref="R37">
    <cfRule type="cellIs" dxfId="193" priority="405" operator="between">
      <formula>0.2</formula>
      <formula>0.25</formula>
    </cfRule>
  </conditionalFormatting>
  <conditionalFormatting sqref="R37:R48">
    <cfRule type="cellIs" dxfId="192" priority="137" operator="greaterThanOrEqual">
      <formula>0.25</formula>
    </cfRule>
  </conditionalFormatting>
  <conditionalFormatting sqref="R38:R48">
    <cfRule type="cellIs" dxfId="191" priority="136" operator="between">
      <formula>0.2</formula>
      <formula>0.25</formula>
    </cfRule>
  </conditionalFormatting>
  <conditionalFormatting sqref="S25:S31">
    <cfRule type="cellIs" dxfId="190" priority="10" operator="between">
      <formula>0.01</formula>
      <formula>0.99</formula>
    </cfRule>
  </conditionalFormatting>
  <conditionalFormatting sqref="S25:S32">
    <cfRule type="cellIs" dxfId="189" priority="5" operator="between">
      <formula>0.9001</formula>
      <formula>0.9999</formula>
    </cfRule>
    <cfRule type="cellIs" dxfId="188" priority="6" operator="lessThan">
      <formula>0.9</formula>
    </cfRule>
    <cfRule type="cellIs" dxfId="187" priority="9" operator="between">
      <formula>0.85</formula>
      <formula>1</formula>
    </cfRule>
  </conditionalFormatting>
  <conditionalFormatting sqref="S25:S48">
    <cfRule type="cellIs" dxfId="186" priority="7" operator="greaterThan">
      <formula>1</formula>
    </cfRule>
    <cfRule type="cellIs" dxfId="185" priority="8" operator="greaterThan">
      <formula>100</formula>
    </cfRule>
  </conditionalFormatting>
  <conditionalFormatting sqref="S32:S36">
    <cfRule type="cellIs" dxfId="184" priority="124" operator="between">
      <formula>0.01</formula>
      <formula>0.99</formula>
    </cfRule>
  </conditionalFormatting>
  <conditionalFormatting sqref="S33:S35">
    <cfRule type="cellIs" dxfId="183" priority="392" operator="between">
      <formula>0.85</formula>
      <formula>1</formula>
    </cfRule>
    <cfRule type="cellIs" dxfId="182" priority="398" operator="lessThan">
      <formula>0.9</formula>
    </cfRule>
    <cfRule type="cellIs" dxfId="181" priority="400" operator="between">
      <formula>0.9001</formula>
      <formula>0.9999</formula>
    </cfRule>
  </conditionalFormatting>
  <conditionalFormatting sqref="S35:S36">
    <cfRule type="cellIs" dxfId="180" priority="120" operator="lessThan">
      <formula>0.9</formula>
    </cfRule>
    <cfRule type="cellIs" dxfId="179" priority="119" operator="between">
      <formula>0.9001</formula>
      <formula>0.9999</formula>
    </cfRule>
  </conditionalFormatting>
  <conditionalFormatting sqref="S36">
    <cfRule type="cellIs" dxfId="178" priority="123" operator="between">
      <formula>0.85</formula>
      <formula>1</formula>
    </cfRule>
  </conditionalFormatting>
  <conditionalFormatting sqref="S37:S48">
    <cfRule type="cellIs" dxfId="177" priority="352" operator="between">
      <formula>0.01</formula>
      <formula>0.99</formula>
    </cfRule>
    <cfRule type="cellIs" dxfId="176" priority="407" operator="between">
      <formula>0.85</formula>
      <formula>1</formula>
    </cfRule>
    <cfRule type="cellIs" dxfId="175" priority="410" operator="lessThan">
      <formula>0.9</formula>
    </cfRule>
    <cfRule type="cellIs" dxfId="174" priority="411" operator="between">
      <formula>0.9001</formula>
      <formula>0.9999</formula>
    </cfRule>
  </conditionalFormatting>
  <conditionalFormatting sqref="S38:S45 S47:S48">
    <cfRule type="cellIs" dxfId="173" priority="351" operator="between">
      <formula>0.85</formula>
      <formula>1</formula>
    </cfRule>
  </conditionalFormatting>
  <conditionalFormatting sqref="S38:S48">
    <cfRule type="cellIs" dxfId="172" priority="349" operator="lessThan">
      <formula>0.9</formula>
    </cfRule>
    <cfRule type="cellIs" dxfId="171" priority="348" operator="between">
      <formula>0.9001</formula>
      <formula>0.9999</formula>
    </cfRule>
  </conditionalFormatting>
  <conditionalFormatting sqref="S46">
    <cfRule type="cellIs" dxfId="170" priority="347" operator="between">
      <formula>0.01</formula>
      <formula>0.99</formula>
    </cfRule>
    <cfRule type="cellIs" dxfId="169" priority="346" operator="between">
      <formula>0.85</formula>
      <formula>1</formula>
    </cfRule>
  </conditionalFormatting>
  <dataValidations count="1">
    <dataValidation type="decimal" allowBlank="1" showErrorMessage="1" sqref="I8:J13 L10:L11 I14" xr:uid="{0027000D-0068-406D-B8D3-00EB008B009E}">
      <formula1>0</formula1>
      <formula2>1000000000000000</formula2>
    </dataValidation>
  </dataValidations>
  <printOptions gridLines="1"/>
  <pageMargins left="0.7" right="0.7" top="0.75" bottom="0.75" header="0.51200000000000001" footer="0.51200000000000001"/>
  <pageSetup paperSize="9" firstPageNumber="0" fitToHeight="0" orientation="landscape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DBDBDB"/>
    <pageSetUpPr fitToPage="1"/>
  </sheetPr>
  <dimension ref="A1:IX53"/>
  <sheetViews>
    <sheetView showGridLines="0" showZeros="0" zoomScale="82" workbookViewId="0">
      <selection activeCell="V40" sqref="V40"/>
    </sheetView>
  </sheetViews>
  <sheetFormatPr baseColWidth="10" defaultColWidth="9.1640625" defaultRowHeight="15"/>
  <cols>
    <col min="1" max="1" width="4" style="1" customWidth="1"/>
    <col min="2" max="2" width="10.33203125" style="1" customWidth="1"/>
    <col min="3" max="3" width="10.83203125" style="1" customWidth="1"/>
    <col min="4" max="4" width="10.33203125" style="1" customWidth="1"/>
    <col min="5" max="5" width="10.1640625" style="1" customWidth="1"/>
    <col min="6" max="6" width="11.33203125" style="1" customWidth="1"/>
    <col min="7" max="7" width="9.83203125" style="1" customWidth="1"/>
    <col min="8" max="8" width="9.5" style="1" customWidth="1"/>
    <col min="9" max="9" width="11" style="1" customWidth="1"/>
    <col min="10" max="10" width="8.83203125" style="1" customWidth="1"/>
    <col min="11" max="14" width="12.6640625" style="1" customWidth="1"/>
    <col min="15" max="15" width="10.1640625" style="1" customWidth="1"/>
    <col min="16" max="16" width="10.83203125" style="1" customWidth="1"/>
    <col min="17" max="17" width="11.6640625" style="1" customWidth="1"/>
    <col min="18" max="18" width="12.83203125" style="1" customWidth="1"/>
    <col min="19" max="19" width="10.33203125" style="1" customWidth="1"/>
    <col min="20" max="21" width="11.33203125" style="1" customWidth="1"/>
    <col min="22" max="22" width="11" style="1" customWidth="1"/>
    <col min="23" max="23" width="9.5" style="1" customWidth="1"/>
    <col min="24" max="24" width="9.1640625" style="1"/>
    <col min="25" max="26" width="10.5" style="303" customWidth="1"/>
    <col min="27" max="36" width="9.1640625" style="1"/>
    <col min="37" max="258" width="9.1640625" style="2"/>
  </cols>
  <sheetData>
    <row r="1" spans="2:26" ht="15.75" customHeight="1">
      <c r="B1" s="780">
        <f ca="1">TODAY()-1</f>
        <v>46031</v>
      </c>
      <c r="C1" s="780"/>
      <c r="D1" s="3"/>
      <c r="E1" s="3"/>
      <c r="F1" s="4"/>
      <c r="G1" s="4"/>
      <c r="H1" s="4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781"/>
      <c r="U1" s="781"/>
      <c r="V1" s="781"/>
      <c r="W1" s="781"/>
      <c r="X1" s="4"/>
      <c r="Y1" s="304"/>
      <c r="Z1" s="304"/>
    </row>
    <row r="2" spans="2:26" ht="21.75" customHeight="1">
      <c r="B2" s="782" t="s">
        <v>0</v>
      </c>
      <c r="C2" s="782"/>
      <c r="D2" s="3"/>
      <c r="E2" s="3"/>
      <c r="F2" s="4"/>
      <c r="G2" s="4"/>
      <c r="H2" s="4"/>
      <c r="I2" s="4"/>
      <c r="J2" s="853" t="s">
        <v>1</v>
      </c>
      <c r="K2" s="853"/>
      <c r="L2" s="853"/>
      <c r="M2" s="853"/>
      <c r="N2" s="853"/>
      <c r="O2" s="853"/>
      <c r="P2" s="853"/>
      <c r="Q2" s="853"/>
      <c r="R2" s="853"/>
      <c r="S2" s="853"/>
      <c r="T2" s="781"/>
      <c r="U2" s="781"/>
      <c r="V2" s="781"/>
      <c r="W2" s="781"/>
      <c r="X2" s="4"/>
      <c r="Y2" s="304"/>
      <c r="Z2" s="304"/>
    </row>
    <row r="3" spans="2:26" ht="14" customHeight="1">
      <c r="B3" s="7" t="s">
        <v>2</v>
      </c>
      <c r="C3" s="3"/>
      <c r="D3" s="3"/>
      <c r="E3" s="3"/>
      <c r="F3" s="4"/>
      <c r="G3" s="4"/>
      <c r="H3" s="4"/>
      <c r="I3" s="4"/>
      <c r="J3" s="854" t="str">
        <f>График!B25</f>
        <v>Корж Анастасия</v>
      </c>
      <c r="K3" s="854"/>
      <c r="L3" s="854"/>
      <c r="M3" s="854"/>
      <c r="N3" s="854"/>
      <c r="O3" s="854"/>
      <c r="P3" s="854"/>
      <c r="Q3" s="854"/>
      <c r="R3" s="5"/>
      <c r="S3" s="8"/>
      <c r="T3" s="781"/>
      <c r="U3" s="781"/>
      <c r="V3" s="781"/>
      <c r="W3" s="781"/>
      <c r="X3" s="4"/>
      <c r="Y3" s="304"/>
      <c r="Z3" s="304"/>
    </row>
    <row r="4" spans="2:26" ht="15" customHeight="1">
      <c r="B4" s="3"/>
      <c r="C4" s="855">
        <f>I8-D48</f>
        <v>797833.10736526956</v>
      </c>
      <c r="D4" s="855"/>
      <c r="E4" s="226">
        <f>IF(I8&lt;&gt;0,C4/I8,0)</f>
        <v>0.63388231373569826</v>
      </c>
      <c r="F4" s="4"/>
      <c r="G4" s="4"/>
      <c r="H4" s="4"/>
      <c r="I4" s="4"/>
      <c r="J4" s="854"/>
      <c r="K4" s="854"/>
      <c r="L4" s="854"/>
      <c r="M4" s="854"/>
      <c r="N4" s="854"/>
      <c r="O4" s="854"/>
      <c r="P4" s="854"/>
      <c r="Q4" s="854"/>
      <c r="R4" s="4"/>
      <c r="S4" s="4"/>
      <c r="T4" s="781"/>
      <c r="U4" s="781"/>
      <c r="V4" s="781"/>
      <c r="W4" s="781"/>
      <c r="X4" s="4"/>
      <c r="Y4" s="304"/>
      <c r="Z4" s="304"/>
    </row>
    <row r="5" spans="2:26">
      <c r="B5" s="4"/>
      <c r="C5" s="4"/>
      <c r="D5" s="4"/>
      <c r="E5" s="4"/>
      <c r="F5" s="4"/>
      <c r="G5" s="4"/>
      <c r="H5" s="4"/>
      <c r="I5" s="4"/>
      <c r="J5" s="791"/>
      <c r="K5" s="791"/>
      <c r="L5" s="791"/>
      <c r="M5" s="791"/>
      <c r="N5" s="791"/>
      <c r="O5" s="791"/>
      <c r="P5" s="791"/>
      <c r="Q5" s="791"/>
      <c r="R5" s="4"/>
      <c r="S5" s="4"/>
      <c r="T5" s="4"/>
      <c r="U5" s="4"/>
      <c r="V5" s="4"/>
      <c r="W5" s="4"/>
      <c r="X5" s="4"/>
      <c r="Y5" s="304"/>
      <c r="Z5" s="304"/>
    </row>
    <row r="6" spans="2:26" ht="15.75" customHeight="1">
      <c r="B6" s="11"/>
      <c r="C6" s="4"/>
      <c r="D6" s="4"/>
      <c r="E6" s="4"/>
      <c r="F6" s="862" t="s">
        <v>4</v>
      </c>
      <c r="G6" s="863"/>
      <c r="H6" s="863"/>
      <c r="I6" s="863"/>
      <c r="J6" s="863"/>
      <c r="K6" s="863"/>
      <c r="L6" s="863"/>
      <c r="M6" s="863"/>
      <c r="N6" s="863"/>
      <c r="O6" s="863"/>
      <c r="P6" s="863"/>
      <c r="Q6" s="864"/>
      <c r="R6" s="12"/>
      <c r="S6" s="4"/>
      <c r="T6" s="4"/>
      <c r="U6" s="12"/>
      <c r="V6" s="12"/>
      <c r="W6" s="4"/>
      <c r="X6" s="4"/>
      <c r="Y6" s="304"/>
      <c r="Z6" s="304"/>
    </row>
    <row r="7" spans="2:26" ht="50.75" customHeight="1">
      <c r="B7" s="11"/>
      <c r="C7" s="4"/>
      <c r="D7" s="4"/>
      <c r="E7" s="13"/>
      <c r="F7" s="865" t="s">
        <v>5</v>
      </c>
      <c r="G7" s="865"/>
      <c r="H7" s="865"/>
      <c r="I7" s="305" t="s">
        <v>6</v>
      </c>
      <c r="J7" s="306" t="s">
        <v>7</v>
      </c>
      <c r="K7" s="307" t="s">
        <v>8</v>
      </c>
      <c r="L7" s="308" t="s">
        <v>9</v>
      </c>
      <c r="M7" s="308" t="s">
        <v>10</v>
      </c>
      <c r="N7" s="309" t="s">
        <v>11</v>
      </c>
      <c r="O7" s="309" t="s">
        <v>12</v>
      </c>
      <c r="P7" s="866" t="s">
        <v>13</v>
      </c>
      <c r="Q7" s="866"/>
      <c r="R7" s="12"/>
      <c r="S7" s="12"/>
      <c r="T7" s="4"/>
      <c r="U7" s="4"/>
      <c r="V7" s="4"/>
      <c r="W7" s="4"/>
      <c r="X7" s="4"/>
      <c r="Y7" s="304"/>
      <c r="Z7" s="304"/>
    </row>
    <row r="8" spans="2:26" ht="15.75" customHeight="1">
      <c r="B8" s="11"/>
      <c r="C8" s="4"/>
      <c r="D8" s="4"/>
      <c r="E8" s="4"/>
      <c r="F8" s="802" t="s">
        <v>14</v>
      </c>
      <c r="G8" s="802"/>
      <c r="H8" s="802"/>
      <c r="I8" s="227">
        <f>Центрум!I8/График!AJ29*График!AJ25</f>
        <v>1258645.4773652696</v>
      </c>
      <c r="J8" s="21">
        <f>D48</f>
        <v>460812.37</v>
      </c>
      <c r="K8" s="228">
        <f t="shared" ref="K8:K9" si="0">IF(AND(I8&lt;&gt;"",I8&lt;&gt;0,J8&lt;&gt;""),J8/I8,"")</f>
        <v>0.36611768626430169</v>
      </c>
      <c r="L8" s="23">
        <f>IF(SUMIF($D$25:$D$47,"&gt;=0",$S$25:$S$47)&lt;&gt;0,I8*D48/SUMIF($D$25:$D$47,"&gt;=0",$S$25:$S$47),0)</f>
        <v>473746.01295965427</v>
      </c>
      <c r="M8" s="229">
        <f>L8/I8</f>
        <v>0.37639352897954215</v>
      </c>
      <c r="N8" s="25">
        <f t="shared" ref="N8:N9" si="1">IF(AND(J8&lt;&gt;0,J8&lt;&gt;"",I8&lt;&gt;0,I8&lt;&gt;""),L8-I8,"")</f>
        <v>-784899.46440561535</v>
      </c>
      <c r="O8" s="26"/>
      <c r="P8" s="25" t="str">
        <f t="shared" ref="P8:P9" si="2">IF(AND(O8&lt;&gt;"",O8&lt;&gt;0,L8&lt;&gt;"",L8&lt;&gt;0),-O8+L8,"")</f>
        <v/>
      </c>
      <c r="Q8" s="28" t="str">
        <f t="shared" ref="Q8:Q9" si="3">IF(AND(P8&lt;&gt;"",P8&lt;&gt;0,O8&lt;&gt;0,O8&lt;&gt;""),P8/O8,"")</f>
        <v/>
      </c>
      <c r="R8" s="12"/>
      <c r="S8" s="12"/>
      <c r="T8" s="4"/>
      <c r="U8" s="4"/>
      <c r="V8" s="4"/>
      <c r="W8" s="4"/>
      <c r="X8" s="4"/>
      <c r="Y8" s="304"/>
      <c r="Z8" s="304"/>
    </row>
    <row r="9" spans="2:26" ht="15.75" customHeight="1">
      <c r="B9" s="11"/>
      <c r="C9" s="4"/>
      <c r="D9" s="4"/>
      <c r="E9" s="4"/>
      <c r="F9" s="801" t="s">
        <v>15</v>
      </c>
      <c r="G9" s="801"/>
      <c r="H9" s="801"/>
      <c r="I9" s="29">
        <f>I8/I11</f>
        <v>153.68076646706589</v>
      </c>
      <c r="J9" s="30">
        <f>E48</f>
        <v>65</v>
      </c>
      <c r="K9" s="230">
        <f t="shared" si="0"/>
        <v>0.42295468388316265</v>
      </c>
      <c r="L9" s="57">
        <f>IF(SUMIF($E$25:$E$47,"&gt;=0",$T$25:$T$47)&lt;&gt;0,I9*E48/SUMIF($E$25:$E$47,"&gt;=0",$T$25:$T$47),0)</f>
        <v>65.823153094139343</v>
      </c>
      <c r="M9" s="231">
        <f>IF(AND(I9&lt;&gt;"",I9&lt;&gt;0,L9&lt;&gt;"",L9&lt;&gt;0),L9/I9,"")</f>
        <v>0.42831093706345735</v>
      </c>
      <c r="N9" s="34">
        <f t="shared" si="1"/>
        <v>-87.857613372926551</v>
      </c>
      <c r="O9" s="35" t="e">
        <f>O8/O11</f>
        <v>#DIV/0!</v>
      </c>
      <c r="P9" s="34" t="e">
        <f t="shared" si="2"/>
        <v>#DIV/0!</v>
      </c>
      <c r="Q9" s="37" t="e">
        <f t="shared" si="3"/>
        <v>#DIV/0!</v>
      </c>
      <c r="R9" s="12"/>
      <c r="S9" s="12"/>
      <c r="T9" s="4"/>
      <c r="U9" s="4"/>
      <c r="V9" s="4"/>
      <c r="W9" s="4"/>
      <c r="X9" s="4"/>
      <c r="Y9" s="304"/>
      <c r="Z9" s="304"/>
    </row>
    <row r="10" spans="2:26" ht="15.75" customHeight="1">
      <c r="B10" s="11"/>
      <c r="C10" s="4"/>
      <c r="D10" s="4"/>
      <c r="E10" s="4"/>
      <c r="F10" s="802" t="s">
        <v>16</v>
      </c>
      <c r="G10" s="802"/>
      <c r="H10" s="802"/>
      <c r="I10" s="38">
        <f>I11*I12</f>
        <v>13759.199999999999</v>
      </c>
      <c r="J10" s="39">
        <f>H48</f>
        <v>11239.326097560976</v>
      </c>
      <c r="K10" s="232">
        <f t="shared" ref="K10:K19" si="4">IF(AND(I10&lt;&gt;"",I10&lt;&gt;0,J10&lt;&gt;""),J10/I10,"")</f>
        <v>0.81685898144957381</v>
      </c>
      <c r="L10" s="57">
        <f t="shared" ref="L10:L12" si="5">J10</f>
        <v>11239.326097560976</v>
      </c>
      <c r="M10" s="233">
        <f t="shared" ref="M10:M20" si="6">IF(AND(I10&lt;&gt;"",I10&lt;&gt;0,L10&lt;&gt;"",L10&lt;&gt;0),L10/I10,"")</f>
        <v>0.81685898144957381</v>
      </c>
      <c r="N10" s="42">
        <f t="shared" ref="N10:N20" si="7">IF(AND(J10&lt;&gt;0,J10&lt;&gt;"",I10&lt;&gt;0,I10&lt;&gt;""),L10-I10,"")</f>
        <v>-2519.8739024390234</v>
      </c>
      <c r="O10" s="38">
        <f>O11*O12</f>
        <v>0</v>
      </c>
      <c r="P10" s="42" t="str">
        <f t="shared" ref="P10:P20" si="8">IF(AND(O10&lt;&gt;"",O10&lt;&gt;0,L10&lt;&gt;"",L10&lt;&gt;0),-O10+L10,"")</f>
        <v/>
      </c>
      <c r="Q10" s="44" t="str">
        <f t="shared" ref="Q10:Q20" si="9">IF(AND(P10&lt;&gt;"",P10&lt;&gt;0,O10&lt;&gt;0,O10&lt;&gt;""),P10/O10,"")</f>
        <v/>
      </c>
      <c r="R10" s="12"/>
      <c r="S10" s="12"/>
      <c r="T10" s="4"/>
      <c r="U10" s="4"/>
      <c r="V10" s="4"/>
      <c r="W10" s="4"/>
      <c r="X10" s="4"/>
      <c r="Y10" s="304"/>
      <c r="Z10" s="304"/>
    </row>
    <row r="11" spans="2:26" ht="15.75" customHeight="1">
      <c r="B11" s="11"/>
      <c r="C11" s="4"/>
      <c r="D11" s="4"/>
      <c r="E11" s="4"/>
      <c r="F11" s="801" t="s">
        <v>17</v>
      </c>
      <c r="G11" s="801"/>
      <c r="H11" s="801"/>
      <c r="I11" s="45">
        <f>Центрум!I11</f>
        <v>8190</v>
      </c>
      <c r="J11" s="30">
        <f>F48</f>
        <v>7089.4210769230767</v>
      </c>
      <c r="K11" s="230">
        <f t="shared" si="4"/>
        <v>0.86561917911148678</v>
      </c>
      <c r="L11" s="57">
        <f t="shared" si="5"/>
        <v>7089.4210769230767</v>
      </c>
      <c r="M11" s="231">
        <f t="shared" si="6"/>
        <v>0.86561917911148678</v>
      </c>
      <c r="N11" s="34">
        <f t="shared" si="7"/>
        <v>-1100.5789230769233</v>
      </c>
      <c r="O11" s="46"/>
      <c r="P11" s="34" t="str">
        <f t="shared" si="8"/>
        <v/>
      </c>
      <c r="Q11" s="37" t="str">
        <f t="shared" si="9"/>
        <v/>
      </c>
      <c r="R11" s="12"/>
      <c r="S11" s="4"/>
      <c r="T11" s="4"/>
      <c r="U11" s="4"/>
      <c r="V11" s="4"/>
      <c r="W11" s="4"/>
      <c r="X11" s="4"/>
      <c r="Y11" s="304"/>
      <c r="Z11" s="304"/>
    </row>
    <row r="12" spans="2:26" ht="15.75" customHeight="1">
      <c r="B12" s="11"/>
      <c r="C12" s="4"/>
      <c r="D12" s="4"/>
      <c r="E12" s="4"/>
      <c r="F12" s="801" t="s">
        <v>18</v>
      </c>
      <c r="G12" s="801"/>
      <c r="H12" s="801"/>
      <c r="I12" s="47">
        <f>Центрум!I12</f>
        <v>1.68</v>
      </c>
      <c r="J12" s="48">
        <f>J48</f>
        <v>1.5853658536585367</v>
      </c>
      <c r="K12" s="230">
        <f t="shared" si="4"/>
        <v>0.94367015098722429</v>
      </c>
      <c r="L12" s="57">
        <f t="shared" si="5"/>
        <v>1.5853658536585367</v>
      </c>
      <c r="M12" s="231">
        <f t="shared" si="6"/>
        <v>0.94367015098722429</v>
      </c>
      <c r="N12" s="50">
        <f t="shared" si="7"/>
        <v>-9.4634146341463277E-2</v>
      </c>
      <c r="O12" s="51"/>
      <c r="P12" s="34" t="str">
        <f t="shared" si="8"/>
        <v/>
      </c>
      <c r="Q12" s="37" t="str">
        <f t="shared" si="9"/>
        <v/>
      </c>
      <c r="R12" s="12"/>
      <c r="S12" s="4"/>
      <c r="T12" s="4"/>
      <c r="U12" s="4"/>
      <c r="V12" s="4"/>
      <c r="W12" s="4"/>
      <c r="X12" s="4"/>
      <c r="Y12" s="304"/>
      <c r="Z12" s="304"/>
    </row>
    <row r="13" spans="2:26" ht="15.75" customHeight="1">
      <c r="B13" s="11"/>
      <c r="C13" s="4"/>
      <c r="D13" s="4"/>
      <c r="E13" s="4"/>
      <c r="F13" s="801" t="s">
        <v>19</v>
      </c>
      <c r="G13" s="801"/>
      <c r="H13" s="801"/>
      <c r="I13" s="29">
        <f>IF(I12&lt;&gt;0,I9/I12,"")</f>
        <v>91.476646706586848</v>
      </c>
      <c r="J13" s="30">
        <f>G48</f>
        <v>41</v>
      </c>
      <c r="K13" s="230">
        <f t="shared" si="4"/>
        <v>0.4482018250134191</v>
      </c>
      <c r="L13" s="57">
        <f>IF(SUMIF($G$25:$G$47,"&gt;=0",$U$25:$U$47)&lt;&gt;0,I13*G48/SUMIF($G$25:$G$47,"&gt;=0",$U$25:$U$47),"")</f>
        <v>41.695056678302514</v>
      </c>
      <c r="M13" s="231">
        <f t="shared" si="6"/>
        <v>0.45580001212812526</v>
      </c>
      <c r="N13" s="50">
        <f t="shared" si="7"/>
        <v>-49.781590028284334</v>
      </c>
      <c r="O13" s="52"/>
      <c r="P13" s="34" t="str">
        <f t="shared" si="8"/>
        <v/>
      </c>
      <c r="Q13" s="37" t="str">
        <f t="shared" si="9"/>
        <v/>
      </c>
      <c r="R13" s="12"/>
      <c r="S13" s="4"/>
      <c r="T13" s="4"/>
      <c r="U13" s="4"/>
      <c r="V13" s="4"/>
      <c r="W13" s="4"/>
      <c r="X13" s="4"/>
      <c r="Y13" s="304"/>
      <c r="Z13" s="304"/>
    </row>
    <row r="14" spans="2:26" ht="15.75" customHeight="1">
      <c r="B14" s="11"/>
      <c r="C14" s="4"/>
      <c r="D14" s="4"/>
      <c r="E14" s="4"/>
      <c r="F14" s="801" t="s">
        <v>97</v>
      </c>
      <c r="G14" s="801"/>
      <c r="H14" s="801"/>
      <c r="I14" s="45">
        <f>График!AI25</f>
        <v>21</v>
      </c>
      <c r="J14" s="53">
        <v>21</v>
      </c>
      <c r="K14" s="230">
        <f t="shared" si="4"/>
        <v>1</v>
      </c>
      <c r="L14" s="57">
        <f>IF(SUMIF($D$25:$D$47,"&gt;=0",$S$25:$S$47),I48*I8/SUMIF($D$25:$D$47,"&gt;=0",$S$25:$S$47),"")</f>
        <v>538.7071332109831</v>
      </c>
      <c r="M14" s="231"/>
      <c r="N14" s="34">
        <f t="shared" si="7"/>
        <v>517.7071332109831</v>
      </c>
      <c r="O14" s="52"/>
      <c r="P14" s="34" t="str">
        <f t="shared" si="8"/>
        <v/>
      </c>
      <c r="Q14" s="37" t="str">
        <f t="shared" si="9"/>
        <v/>
      </c>
      <c r="R14" s="12"/>
      <c r="S14" s="54"/>
      <c r="T14" s="4"/>
      <c r="U14" s="4"/>
      <c r="V14" s="4"/>
      <c r="W14" s="4"/>
      <c r="X14" s="4"/>
      <c r="Y14" s="304"/>
      <c r="Z14" s="304"/>
    </row>
    <row r="15" spans="2:26" ht="15.75" customHeight="1">
      <c r="B15" s="11"/>
      <c r="C15" s="4"/>
      <c r="D15" s="4"/>
      <c r="E15" s="4"/>
      <c r="F15" s="801" t="s">
        <v>21</v>
      </c>
      <c r="G15" s="801"/>
      <c r="H15" s="801"/>
      <c r="I15" s="234">
        <f>Центрум!I15</f>
        <v>196534.63741935484</v>
      </c>
      <c r="J15" s="62">
        <f>J8/J14</f>
        <v>21943.446190476192</v>
      </c>
      <c r="K15" s="235">
        <f t="shared" si="4"/>
        <v>0.11165180081541794</v>
      </c>
      <c r="L15" s="63">
        <f t="shared" ref="L15:L16" si="10">J15</f>
        <v>21943.446190476192</v>
      </c>
      <c r="M15" s="231">
        <f t="shared" si="6"/>
        <v>0.11165180081541794</v>
      </c>
      <c r="N15" s="34">
        <f t="shared" si="7"/>
        <v>-174591.19122887866</v>
      </c>
      <c r="O15" s="65"/>
      <c r="P15" s="34" t="str">
        <f t="shared" si="8"/>
        <v/>
      </c>
      <c r="Q15" s="37" t="str">
        <f t="shared" si="9"/>
        <v/>
      </c>
      <c r="R15" s="12"/>
      <c r="S15" s="12"/>
      <c r="T15" s="4"/>
      <c r="U15" s="4"/>
      <c r="V15" s="4"/>
      <c r="W15" s="4"/>
      <c r="X15" s="4"/>
      <c r="Y15" s="304"/>
      <c r="Z15" s="304"/>
    </row>
    <row r="16" spans="2:26" ht="15.75" customHeight="1">
      <c r="B16" s="11"/>
      <c r="C16" s="4"/>
      <c r="D16" s="4"/>
      <c r="E16" s="4"/>
      <c r="F16" s="801" t="s">
        <v>22</v>
      </c>
      <c r="G16" s="801"/>
      <c r="H16" s="801"/>
      <c r="I16" s="234"/>
      <c r="J16" s="62">
        <f>J8-I15*J14</f>
        <v>-3666415.0158064514</v>
      </c>
      <c r="K16" s="235" t="str">
        <f t="shared" si="4"/>
        <v/>
      </c>
      <c r="L16" s="63">
        <f t="shared" si="10"/>
        <v>-3666415.0158064514</v>
      </c>
      <c r="M16" s="236" t="str">
        <f t="shared" si="6"/>
        <v/>
      </c>
      <c r="N16" s="34" t="str">
        <f t="shared" si="7"/>
        <v/>
      </c>
      <c r="O16" s="65"/>
      <c r="P16" s="34" t="str">
        <f t="shared" si="8"/>
        <v/>
      </c>
      <c r="Q16" s="37" t="str">
        <f t="shared" si="9"/>
        <v/>
      </c>
      <c r="R16" s="12"/>
      <c r="S16" s="858" t="s">
        <v>23</v>
      </c>
      <c r="T16" s="4"/>
      <c r="U16" s="4"/>
      <c r="V16" s="4"/>
      <c r="W16" s="4"/>
      <c r="X16" s="4"/>
      <c r="Y16" s="304"/>
      <c r="Z16" s="304"/>
    </row>
    <row r="17" spans="1:258" ht="15.75" customHeight="1">
      <c r="B17" s="11"/>
      <c r="C17" s="4"/>
      <c r="D17" s="4"/>
      <c r="E17" s="4"/>
      <c r="F17" s="801" t="s">
        <v>24</v>
      </c>
      <c r="G17" s="801"/>
      <c r="H17" s="801"/>
      <c r="I17" s="234">
        <f>Центрум!I17/График!AJ29*График!AJ25</f>
        <v>743.71257485029935</v>
      </c>
      <c r="J17" s="62">
        <f>I48</f>
        <v>524</v>
      </c>
      <c r="K17" s="235">
        <f t="shared" si="4"/>
        <v>0.70457326892109506</v>
      </c>
      <c r="L17" s="63">
        <f>J17/J14*I14</f>
        <v>524</v>
      </c>
      <c r="M17" s="236">
        <f t="shared" si="6"/>
        <v>0.70457326892109506</v>
      </c>
      <c r="N17" s="34">
        <f t="shared" si="7"/>
        <v>-219.71257485029935</v>
      </c>
      <c r="O17" s="65"/>
      <c r="P17" s="34" t="str">
        <f t="shared" si="8"/>
        <v/>
      </c>
      <c r="Q17" s="37" t="str">
        <f t="shared" si="9"/>
        <v/>
      </c>
      <c r="R17" s="12"/>
      <c r="S17" s="858"/>
      <c r="T17" s="4"/>
      <c r="U17" s="4"/>
      <c r="V17" s="4"/>
      <c r="W17" s="4"/>
      <c r="X17" s="4"/>
      <c r="Y17" s="304"/>
      <c r="Z17" s="304"/>
    </row>
    <row r="18" spans="1:258" ht="15.75" customHeight="1">
      <c r="B18" s="11"/>
      <c r="C18" s="4"/>
      <c r="D18" s="4"/>
      <c r="E18" s="4"/>
      <c r="F18" s="801"/>
      <c r="G18" s="801"/>
      <c r="H18" s="801"/>
      <c r="I18" s="61"/>
      <c r="J18" s="62"/>
      <c r="K18" s="235" t="str">
        <f t="shared" si="4"/>
        <v/>
      </c>
      <c r="L18" s="63">
        <f t="shared" ref="L18:L19" si="11">J18</f>
        <v>0</v>
      </c>
      <c r="M18" s="236" t="str">
        <f t="shared" si="6"/>
        <v/>
      </c>
      <c r="N18" s="34" t="str">
        <f t="shared" si="7"/>
        <v/>
      </c>
      <c r="O18" s="237">
        <v>0</v>
      </c>
      <c r="P18" s="34" t="str">
        <f t="shared" si="8"/>
        <v/>
      </c>
      <c r="Q18" s="37" t="str">
        <f t="shared" si="9"/>
        <v/>
      </c>
      <c r="R18" s="12"/>
      <c r="S18" s="60"/>
      <c r="T18" s="4"/>
      <c r="U18" s="4"/>
      <c r="V18" s="4"/>
      <c r="W18" s="4"/>
      <c r="X18" s="4"/>
      <c r="Y18" s="304"/>
      <c r="Z18" s="304"/>
    </row>
    <row r="19" spans="1:258" ht="15.75" customHeight="1">
      <c r="B19" s="11"/>
      <c r="C19" s="4"/>
      <c r="D19" s="4"/>
      <c r="E19" s="4"/>
      <c r="F19" s="801"/>
      <c r="G19" s="801"/>
      <c r="H19" s="801"/>
      <c r="I19" s="61"/>
      <c r="J19" s="62">
        <f>P48</f>
        <v>0</v>
      </c>
      <c r="K19" s="235" t="str">
        <f t="shared" si="4"/>
        <v/>
      </c>
      <c r="L19" s="63">
        <f t="shared" si="11"/>
        <v>0</v>
      </c>
      <c r="M19" s="236" t="str">
        <f t="shared" si="6"/>
        <v/>
      </c>
      <c r="N19" s="34" t="str">
        <f t="shared" si="7"/>
        <v/>
      </c>
      <c r="O19" s="65">
        <v>0</v>
      </c>
      <c r="P19" s="34" t="str">
        <f t="shared" si="8"/>
        <v/>
      </c>
      <c r="Q19" s="37" t="str">
        <f t="shared" si="9"/>
        <v/>
      </c>
      <c r="R19" s="12"/>
      <c r="S19" s="31" t="e">
        <f>S18/I16</f>
        <v>#DIV/0!</v>
      </c>
      <c r="T19" s="4"/>
      <c r="U19" s="4"/>
      <c r="V19" s="4"/>
      <c r="W19" s="4"/>
      <c r="X19" s="4"/>
      <c r="Y19" s="304"/>
      <c r="Z19" s="304"/>
    </row>
    <row r="20" spans="1:258" ht="15.75" customHeight="1">
      <c r="B20" s="11"/>
      <c r="C20" s="4"/>
      <c r="D20" s="4"/>
      <c r="E20" s="4"/>
      <c r="F20" s="811" t="s">
        <v>101</v>
      </c>
      <c r="G20" s="811"/>
      <c r="H20" s="811"/>
      <c r="I20" s="238">
        <f>Центрум!I20</f>
        <v>0.123</v>
      </c>
      <c r="J20" s="239">
        <f>Q48</f>
        <v>7.8244274809160311E-2</v>
      </c>
      <c r="K20" s="67">
        <f>J20/I20</f>
        <v>0.63613231552162852</v>
      </c>
      <c r="L20" s="68">
        <f>IF(AND(K8&lt;&gt;0,I14&lt;&gt;0,I48&lt;&gt;0),(I48*Q48+(I48/K8-I48)*I20)/(I48/K8),0)</f>
        <v>0.10661413744604885</v>
      </c>
      <c r="M20" s="240">
        <f t="shared" si="6"/>
        <v>0.86678160525242964</v>
      </c>
      <c r="N20" s="70">
        <f t="shared" si="7"/>
        <v>-1.638586255395115E-2</v>
      </c>
      <c r="O20" s="71"/>
      <c r="P20" s="72" t="str">
        <f t="shared" si="8"/>
        <v/>
      </c>
      <c r="Q20" s="74" t="str">
        <f t="shared" si="9"/>
        <v/>
      </c>
      <c r="R20" s="12"/>
      <c r="S20" s="12"/>
      <c r="T20" s="4"/>
      <c r="U20" s="4"/>
      <c r="V20" s="4"/>
      <c r="W20" s="4"/>
      <c r="X20" s="4"/>
      <c r="Y20" s="304"/>
      <c r="Z20" s="304"/>
    </row>
    <row r="21" spans="1:258" ht="15.75" customHeight="1">
      <c r="B21" s="11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12"/>
      <c r="V21" s="12"/>
      <c r="W21" s="4"/>
      <c r="X21" s="4"/>
      <c r="Y21" s="304"/>
      <c r="Z21" s="304"/>
    </row>
    <row r="22" spans="1:258" ht="16.5" customHeight="1">
      <c r="B22" s="859" t="s">
        <v>26</v>
      </c>
      <c r="C22" s="859"/>
      <c r="D22" s="859"/>
      <c r="E22" s="859"/>
      <c r="F22" s="859"/>
      <c r="G22" s="859"/>
      <c r="H22" s="859"/>
      <c r="I22" s="859"/>
      <c r="J22" s="859"/>
      <c r="K22" s="859"/>
      <c r="L22" s="859"/>
      <c r="M22" s="859"/>
      <c r="N22" s="859"/>
      <c r="O22" s="859"/>
      <c r="P22" s="859"/>
      <c r="Q22" s="859"/>
      <c r="R22" s="861" t="s">
        <v>45</v>
      </c>
      <c r="S22" s="859" t="s">
        <v>27</v>
      </c>
      <c r="T22" s="859"/>
      <c r="U22" s="859"/>
      <c r="V22" s="859"/>
      <c r="W22" s="859"/>
      <c r="X22" s="859"/>
      <c r="Y22" s="859"/>
      <c r="Z22" s="859"/>
    </row>
    <row r="23" spans="1:258" ht="36">
      <c r="B23" s="241" t="s">
        <v>29</v>
      </c>
      <c r="C23" s="241" t="s">
        <v>30</v>
      </c>
      <c r="D23" s="241" t="s">
        <v>31</v>
      </c>
      <c r="E23" s="241" t="s">
        <v>32</v>
      </c>
      <c r="F23" s="241" t="s">
        <v>33</v>
      </c>
      <c r="G23" s="241" t="s">
        <v>34</v>
      </c>
      <c r="H23" s="241" t="s">
        <v>35</v>
      </c>
      <c r="I23" s="241" t="s">
        <v>24</v>
      </c>
      <c r="J23" s="241" t="s">
        <v>36</v>
      </c>
      <c r="K23" s="78" t="s">
        <v>37</v>
      </c>
      <c r="L23" s="78" t="s">
        <v>38</v>
      </c>
      <c r="M23" s="78" t="s">
        <v>39</v>
      </c>
      <c r="N23" s="242" t="s">
        <v>40</v>
      </c>
      <c r="O23" s="78" t="s">
        <v>41</v>
      </c>
      <c r="P23" s="242" t="s">
        <v>42</v>
      </c>
      <c r="Q23" s="241" t="s">
        <v>44</v>
      </c>
      <c r="R23" s="861"/>
      <c r="S23" s="241" t="s">
        <v>46</v>
      </c>
      <c r="T23" s="241" t="s">
        <v>47</v>
      </c>
      <c r="U23" s="241" t="s">
        <v>48</v>
      </c>
      <c r="V23" s="241" t="s">
        <v>49</v>
      </c>
      <c r="W23" s="241" t="s">
        <v>50</v>
      </c>
      <c r="X23" s="241" t="s">
        <v>51</v>
      </c>
      <c r="Y23" s="310" t="s">
        <v>52</v>
      </c>
      <c r="Z23" s="310" t="s">
        <v>53</v>
      </c>
      <c r="AA23" s="147"/>
    </row>
    <row r="24" spans="1:258">
      <c r="A24" s="244"/>
      <c r="B24" s="245">
        <v>1</v>
      </c>
      <c r="C24" s="246">
        <v>2</v>
      </c>
      <c r="D24" s="247">
        <v>3</v>
      </c>
      <c r="E24" s="247" t="s">
        <v>102</v>
      </c>
      <c r="F24" s="246">
        <v>5</v>
      </c>
      <c r="G24" s="247">
        <v>6</v>
      </c>
      <c r="H24" s="246">
        <v>7</v>
      </c>
      <c r="I24" s="247">
        <v>8</v>
      </c>
      <c r="J24" s="247">
        <v>9</v>
      </c>
      <c r="K24" s="84">
        <v>10</v>
      </c>
      <c r="L24" s="84">
        <v>11</v>
      </c>
      <c r="M24" s="84">
        <v>12</v>
      </c>
      <c r="N24" s="84">
        <v>13</v>
      </c>
      <c r="O24" s="84">
        <v>14</v>
      </c>
      <c r="P24" s="84">
        <v>15</v>
      </c>
      <c r="Q24" s="247">
        <v>13</v>
      </c>
      <c r="R24" s="861"/>
      <c r="S24" s="248">
        <v>1</v>
      </c>
      <c r="T24" s="248">
        <v>2</v>
      </c>
      <c r="U24" s="248">
        <v>3</v>
      </c>
      <c r="V24" s="248">
        <v>4</v>
      </c>
      <c r="W24" s="248">
        <v>5</v>
      </c>
      <c r="X24" s="248">
        <v>6</v>
      </c>
      <c r="Y24" s="311">
        <v>10</v>
      </c>
      <c r="Z24" s="311">
        <v>11</v>
      </c>
    </row>
    <row r="25" spans="1:258" s="90" customFormat="1">
      <c r="A25" s="128">
        <v>1</v>
      </c>
      <c r="B25" s="92">
        <v>45994</v>
      </c>
      <c r="C25" s="93" t="s">
        <v>59</v>
      </c>
      <c r="D25" s="253">
        <v>6330</v>
      </c>
      <c r="E25" s="108">
        <v>1</v>
      </c>
      <c r="F25" s="96">
        <f t="shared" ref="F25:F48" si="12">IF(AND(E25&lt;&gt;"",E25&lt;&gt;0),D25/E25,"")</f>
        <v>6330</v>
      </c>
      <c r="G25" s="108">
        <v>1</v>
      </c>
      <c r="H25" s="96">
        <f t="shared" ref="H25:H48" si="13">IF(AND(G25&lt;&gt;"",G25&lt;&gt;0),D25/G25,"")</f>
        <v>6330</v>
      </c>
      <c r="I25" s="108">
        <v>22</v>
      </c>
      <c r="J25" s="97">
        <f t="shared" ref="J25:J48" si="14">IF(AND(G25&lt;&gt;"",G25&lt;&gt;0),E25/G25,"")</f>
        <v>1</v>
      </c>
      <c r="K25" s="98"/>
      <c r="L25" s="98"/>
      <c r="M25" s="98"/>
      <c r="N25" s="98"/>
      <c r="O25" s="98"/>
      <c r="P25" s="98"/>
      <c r="Q25" s="249">
        <f t="shared" ref="Q25:Q48" si="15">IF(AND(I25&lt;&gt;"",I25&lt;&gt;0),G25/I25,"")</f>
        <v>4.5454545454545456E-2</v>
      </c>
      <c r="R25" s="100">
        <f t="shared" ref="R25:R48" si="16">D25/S25</f>
        <v>0.11532341011371339</v>
      </c>
      <c r="S25" s="101">
        <f t="shared" ref="S25:S45" si="17">$I$8*Y25*Z25/SUMPRODUCT($Z$25:$Z$55,$Y$25:$Y$55)</f>
        <v>54889.115694362255</v>
      </c>
      <c r="T25" s="102">
        <f t="shared" ref="T25:T45" si="18">$I$9*Y25*Z25/SUMPRODUCT($Z$25:$Z$55,$Y$25:$Y$55)</f>
        <v>6.7019677282493602</v>
      </c>
      <c r="U25" s="102">
        <f t="shared" ref="U25:U47" si="19">IF($I$12="","",T25/$I$12)</f>
        <v>3.9892665049103337</v>
      </c>
      <c r="V25" s="101">
        <f>IF(Z25&lt;&gt;"",IF(D25&lt;&gt;"",D25,($I$8-SUM($V24:V$25))*Y25*Z25/SUMPRODUCT($Z25:$Z$55,$Y25:$Y$55)),"")</f>
        <v>6330</v>
      </c>
      <c r="W25" s="102">
        <f>IF(Z25&lt;&gt;"",IF(E25&lt;&gt;"",E25,($I$9-SUM($W24:W$25))*Y25*Z25/SUMPRODUCT($Z25:$Z$55,$Y25:$Y$55)),"")</f>
        <v>1</v>
      </c>
      <c r="X25" s="102">
        <f>IF(Z25&lt;&gt;"",IF($I$12&lt;&gt;"",IF(G25&lt;&gt;"",G25,($I$9/$I$12-SUM($X24:X$25))*Y25*Z25/SUMPRODUCT($Z25:$Z$55,$Y25:$Y$55)),""),"")</f>
        <v>1</v>
      </c>
      <c r="Y25" s="312">
        <v>1</v>
      </c>
      <c r="Z25" s="312">
        <v>1</v>
      </c>
      <c r="AA25" s="105"/>
      <c r="AB25" s="105"/>
      <c r="AC25" s="251"/>
      <c r="AD25" s="104"/>
      <c r="AE25" s="104"/>
      <c r="AF25" s="104"/>
      <c r="AG25" s="104"/>
      <c r="AH25" s="104"/>
      <c r="AI25" s="104"/>
      <c r="AJ25" s="104"/>
    </row>
    <row r="26" spans="1:258" s="90" customFormat="1">
      <c r="A26" s="91">
        <v>2</v>
      </c>
      <c r="B26" s="92">
        <v>45995</v>
      </c>
      <c r="C26" s="252" t="s">
        <v>61</v>
      </c>
      <c r="D26" s="253">
        <v>87372</v>
      </c>
      <c r="E26" s="108">
        <v>10</v>
      </c>
      <c r="F26" s="254">
        <f t="shared" si="12"/>
        <v>8737.2000000000007</v>
      </c>
      <c r="G26" s="108">
        <v>5</v>
      </c>
      <c r="H26" s="254">
        <f t="shared" si="13"/>
        <v>17474.400000000001</v>
      </c>
      <c r="I26" s="108">
        <v>23</v>
      </c>
      <c r="J26" s="97">
        <f t="shared" si="14"/>
        <v>2</v>
      </c>
      <c r="K26" s="98">
        <v>32375</v>
      </c>
      <c r="L26" s="98"/>
      <c r="M26" s="98">
        <f>10892+14992</f>
        <v>25884</v>
      </c>
      <c r="N26" s="98">
        <v>21370</v>
      </c>
      <c r="O26" s="98"/>
      <c r="P26" s="98"/>
      <c r="Q26" s="249">
        <f t="shared" si="15"/>
        <v>0.21739130434782608</v>
      </c>
      <c r="R26" s="100">
        <f t="shared" si="16"/>
        <v>2.1871762427558092</v>
      </c>
      <c r="S26" s="101">
        <f t="shared" si="17"/>
        <v>39947.398061489817</v>
      </c>
      <c r="T26" s="102">
        <f t="shared" si="18"/>
        <v>4.8775821808900881</v>
      </c>
      <c r="U26" s="102">
        <f t="shared" si="19"/>
        <v>2.9033227267202908</v>
      </c>
      <c r="V26" s="101">
        <f>IF(Z26&lt;&gt;"",IF(D26&lt;&gt;"",D26,($I$8-SUM($V$25:V25))*Y26*Z26/SUMPRODUCT($Z26:$Z$55,$Y26:$Y$55)),"")</f>
        <v>87372</v>
      </c>
      <c r="W26" s="102">
        <f>IF(Z26&lt;&gt;"",IF(E26&lt;&gt;"",E26,($I$9-SUM($W$25:W25))*Y26*Z26/SUMPRODUCT($Z26:$Z$55,$Y26:$Y$55)),"")</f>
        <v>10</v>
      </c>
      <c r="X26" s="102">
        <f>IF(Z26&lt;&gt;"",IF($I$12&lt;&gt;"",IF(G26&lt;&gt;"",G26,($I$9/$I$12-SUM($X$25:X25))*Y26*Z26/SUMPRODUCT($Z26:$Z$55,$Y26:$Y$55)),""),"")</f>
        <v>5</v>
      </c>
      <c r="Y26" s="103">
        <v>0.85310233682514103</v>
      </c>
      <c r="Z26" s="103">
        <v>0.85310233682514103</v>
      </c>
      <c r="AA26" s="105"/>
      <c r="AB26" s="109"/>
      <c r="AC26" s="104"/>
      <c r="AD26" s="104"/>
      <c r="AE26" s="104"/>
      <c r="AF26" s="104"/>
      <c r="AG26" s="104"/>
      <c r="AH26" s="104"/>
      <c r="AI26" s="104"/>
      <c r="AJ26" s="104"/>
      <c r="AK26" s="104"/>
      <c r="AL26" s="104"/>
      <c r="AM26" s="104"/>
    </row>
    <row r="27" spans="1:258" s="125" customFormat="1">
      <c r="A27" s="127">
        <v>3</v>
      </c>
      <c r="B27" s="112">
        <v>45998</v>
      </c>
      <c r="C27" s="113" t="s">
        <v>67</v>
      </c>
      <c r="D27" s="256">
        <v>28013</v>
      </c>
      <c r="E27" s="129">
        <v>4</v>
      </c>
      <c r="F27" s="116">
        <f t="shared" si="12"/>
        <v>7003.25</v>
      </c>
      <c r="G27" s="129">
        <v>3</v>
      </c>
      <c r="H27" s="116">
        <f t="shared" si="13"/>
        <v>9337.6666666666661</v>
      </c>
      <c r="I27" s="129">
        <v>36</v>
      </c>
      <c r="J27" s="117">
        <f t="shared" si="14"/>
        <v>1.3333333333333333</v>
      </c>
      <c r="K27" s="115"/>
      <c r="L27" s="115"/>
      <c r="M27" s="115"/>
      <c r="N27" s="115">
        <v>17272</v>
      </c>
      <c r="O27" s="115"/>
      <c r="P27" s="115"/>
      <c r="Q27" s="99">
        <f t="shared" si="15"/>
        <v>8.3333333333333329E-2</v>
      </c>
      <c r="R27" s="119">
        <f t="shared" si="16"/>
        <v>1.9813976517187721</v>
      </c>
      <c r="S27" s="257">
        <v>14138</v>
      </c>
      <c r="T27" s="258">
        <v>4</v>
      </c>
      <c r="U27" s="258">
        <v>2</v>
      </c>
      <c r="V27" s="257">
        <v>16611</v>
      </c>
      <c r="W27" s="258">
        <v>3</v>
      </c>
      <c r="X27" s="258">
        <v>3</v>
      </c>
      <c r="Y27" s="313">
        <v>0.94</v>
      </c>
      <c r="Z27" s="313">
        <v>0.94</v>
      </c>
      <c r="AA27" s="123"/>
      <c r="AB27" s="123"/>
      <c r="AC27" s="124"/>
      <c r="AD27" s="124"/>
      <c r="AE27" s="124"/>
      <c r="AF27" s="124"/>
      <c r="AG27" s="124"/>
      <c r="AH27" s="124"/>
      <c r="AI27" s="124"/>
      <c r="AJ27" s="124"/>
      <c r="AK27" s="124"/>
      <c r="AL27" s="124"/>
      <c r="AM27" s="124"/>
      <c r="AN27" s="124"/>
      <c r="AO27" s="124"/>
      <c r="AP27" s="124"/>
      <c r="AQ27" s="124"/>
      <c r="AR27" s="124"/>
      <c r="AS27" s="124"/>
      <c r="AT27" s="124"/>
      <c r="AU27" s="124"/>
      <c r="AV27" s="124"/>
      <c r="AW27" s="124"/>
      <c r="AX27" s="124"/>
      <c r="AY27" s="124"/>
      <c r="AZ27" s="124"/>
      <c r="BA27" s="124"/>
      <c r="BB27" s="124"/>
      <c r="BC27" s="124"/>
      <c r="BD27" s="124"/>
      <c r="BE27" s="124"/>
      <c r="BF27" s="124"/>
      <c r="BG27" s="124"/>
      <c r="BH27" s="124"/>
      <c r="BI27" s="124"/>
      <c r="BJ27" s="124"/>
      <c r="BK27" s="124"/>
      <c r="BL27" s="124"/>
      <c r="BM27" s="124"/>
      <c r="BN27" s="124"/>
      <c r="BO27" s="124"/>
      <c r="BP27" s="124"/>
      <c r="BQ27" s="124"/>
      <c r="BR27" s="124"/>
      <c r="BS27" s="124"/>
      <c r="BT27" s="124"/>
      <c r="BU27" s="124"/>
      <c r="BV27" s="124"/>
      <c r="BW27" s="124"/>
      <c r="BX27" s="124"/>
      <c r="BY27" s="124"/>
      <c r="BZ27" s="124"/>
      <c r="CA27" s="124"/>
      <c r="CB27" s="124"/>
      <c r="CC27" s="124"/>
      <c r="CD27" s="124"/>
      <c r="CE27" s="124"/>
      <c r="CF27" s="124"/>
      <c r="CG27" s="124"/>
      <c r="CH27" s="124"/>
      <c r="CI27" s="124"/>
      <c r="CJ27" s="124"/>
      <c r="CK27" s="124"/>
      <c r="CL27" s="124"/>
      <c r="CM27" s="124"/>
      <c r="CN27" s="124"/>
      <c r="CO27" s="124"/>
      <c r="CP27" s="124"/>
      <c r="CQ27" s="124"/>
      <c r="CR27" s="124"/>
      <c r="CS27" s="124"/>
      <c r="CT27" s="124"/>
      <c r="CU27" s="124"/>
      <c r="CV27" s="124"/>
      <c r="CW27" s="124"/>
      <c r="CX27" s="124"/>
      <c r="CY27" s="124"/>
      <c r="CZ27" s="124"/>
      <c r="DA27" s="124"/>
      <c r="DB27" s="124"/>
      <c r="DC27" s="124"/>
      <c r="DD27" s="124"/>
      <c r="DE27" s="124"/>
      <c r="DF27" s="124"/>
      <c r="DG27" s="124"/>
      <c r="DH27" s="124"/>
      <c r="DI27" s="124"/>
      <c r="DJ27" s="124"/>
      <c r="DK27" s="124"/>
      <c r="DL27" s="124"/>
      <c r="DM27" s="124"/>
      <c r="DN27" s="124"/>
      <c r="DO27" s="124"/>
      <c r="DP27" s="124"/>
      <c r="DQ27" s="124"/>
      <c r="DR27" s="124"/>
      <c r="DS27" s="124"/>
      <c r="DT27" s="124"/>
      <c r="DU27" s="124"/>
      <c r="DV27" s="124"/>
      <c r="DW27" s="124"/>
      <c r="DX27" s="124"/>
      <c r="DY27" s="124"/>
      <c r="DZ27" s="124"/>
      <c r="EA27" s="124"/>
      <c r="EB27" s="124"/>
      <c r="EC27" s="124"/>
      <c r="ED27" s="124"/>
      <c r="EE27" s="124"/>
      <c r="EF27" s="124"/>
      <c r="EG27" s="124"/>
      <c r="EH27" s="124"/>
      <c r="EI27" s="124"/>
      <c r="EJ27" s="124"/>
      <c r="EK27" s="124"/>
      <c r="EL27" s="124"/>
      <c r="EM27" s="124"/>
      <c r="EN27" s="124"/>
      <c r="EO27" s="124"/>
      <c r="EP27" s="124"/>
      <c r="EQ27" s="124"/>
      <c r="ER27" s="124"/>
      <c r="ES27" s="124"/>
      <c r="ET27" s="124"/>
      <c r="EU27" s="124"/>
      <c r="EV27" s="124"/>
      <c r="EW27" s="124"/>
      <c r="EX27" s="124"/>
      <c r="EY27" s="124"/>
      <c r="EZ27" s="124"/>
      <c r="FA27" s="124"/>
      <c r="FB27" s="124"/>
      <c r="FC27" s="124"/>
      <c r="FD27" s="124"/>
      <c r="FE27" s="124"/>
      <c r="FF27" s="124"/>
      <c r="FG27" s="124"/>
      <c r="FH27" s="124"/>
      <c r="FI27" s="124"/>
      <c r="FJ27" s="124"/>
      <c r="FK27" s="124"/>
      <c r="FL27" s="124"/>
      <c r="FM27" s="124"/>
      <c r="FN27" s="124"/>
      <c r="FO27" s="124"/>
      <c r="FP27" s="124"/>
      <c r="FQ27" s="124"/>
      <c r="FR27" s="124"/>
      <c r="FS27" s="124"/>
      <c r="FT27" s="124"/>
      <c r="FU27" s="124"/>
      <c r="FV27" s="124"/>
      <c r="FW27" s="124"/>
      <c r="FX27" s="124"/>
      <c r="FY27" s="124"/>
      <c r="FZ27" s="124"/>
      <c r="GA27" s="124"/>
      <c r="GB27" s="124"/>
      <c r="GC27" s="124"/>
      <c r="GD27" s="124"/>
      <c r="GE27" s="124"/>
      <c r="GF27" s="124"/>
      <c r="GG27" s="124"/>
      <c r="GH27" s="124"/>
      <c r="GI27" s="124"/>
      <c r="GJ27" s="124"/>
      <c r="GK27" s="124"/>
      <c r="GL27" s="124"/>
      <c r="GM27" s="124"/>
      <c r="GN27" s="124"/>
      <c r="GO27" s="124"/>
      <c r="GP27" s="124"/>
      <c r="GQ27" s="124"/>
      <c r="GR27" s="124"/>
      <c r="GS27" s="124"/>
      <c r="GT27" s="124"/>
      <c r="GU27" s="124"/>
      <c r="GV27" s="124"/>
      <c r="GW27" s="124"/>
      <c r="GX27" s="124"/>
      <c r="GY27" s="124"/>
      <c r="GZ27" s="124"/>
      <c r="HA27" s="124"/>
      <c r="HB27" s="124"/>
      <c r="HC27" s="124"/>
      <c r="HD27" s="124"/>
      <c r="HE27" s="124"/>
      <c r="HF27" s="124"/>
      <c r="HG27" s="124"/>
      <c r="HH27" s="124"/>
      <c r="HI27" s="124"/>
      <c r="HJ27" s="124"/>
      <c r="HK27" s="124"/>
      <c r="HL27" s="124"/>
      <c r="HM27" s="124"/>
      <c r="HN27" s="124"/>
      <c r="HO27" s="124"/>
      <c r="HP27" s="124"/>
      <c r="HQ27" s="124"/>
      <c r="HR27" s="124"/>
      <c r="HS27" s="124"/>
      <c r="HT27" s="124"/>
      <c r="HU27" s="124"/>
      <c r="HV27" s="124"/>
      <c r="HW27" s="124"/>
      <c r="HX27" s="124"/>
      <c r="HY27" s="124"/>
      <c r="HZ27" s="124"/>
      <c r="IA27" s="124"/>
      <c r="IB27" s="124"/>
      <c r="IC27" s="124"/>
      <c r="ID27" s="124"/>
      <c r="IE27" s="124"/>
      <c r="IF27" s="124"/>
      <c r="IG27" s="124"/>
      <c r="IH27" s="124"/>
      <c r="II27" s="124"/>
      <c r="IJ27" s="124"/>
      <c r="IK27" s="124"/>
      <c r="IL27" s="124"/>
      <c r="IM27" s="124"/>
      <c r="IN27" s="124"/>
      <c r="IO27" s="124"/>
      <c r="IP27" s="124"/>
      <c r="IQ27" s="124"/>
      <c r="IR27" s="124"/>
      <c r="IS27" s="124"/>
      <c r="IT27" s="124"/>
      <c r="IU27" s="124"/>
      <c r="IV27" s="124"/>
      <c r="IW27" s="124"/>
      <c r="IX27" s="124"/>
    </row>
    <row r="28" spans="1:258" s="90" customFormat="1">
      <c r="A28" s="91">
        <v>4</v>
      </c>
      <c r="B28" s="92">
        <v>45999</v>
      </c>
      <c r="C28" s="252" t="s">
        <v>55</v>
      </c>
      <c r="D28" s="253">
        <v>24325</v>
      </c>
      <c r="E28" s="108">
        <v>5</v>
      </c>
      <c r="F28" s="254">
        <f t="shared" si="12"/>
        <v>4865</v>
      </c>
      <c r="G28" s="108">
        <v>3</v>
      </c>
      <c r="H28" s="254">
        <f t="shared" si="13"/>
        <v>8108.333333333333</v>
      </c>
      <c r="I28" s="108">
        <v>40</v>
      </c>
      <c r="J28" s="97">
        <f t="shared" si="14"/>
        <v>1.6666666666666667</v>
      </c>
      <c r="K28" s="98"/>
      <c r="L28" s="98"/>
      <c r="M28" s="98"/>
      <c r="N28" s="98"/>
      <c r="O28" s="98"/>
      <c r="P28" s="98"/>
      <c r="Q28" s="249">
        <f t="shared" si="15"/>
        <v>7.4999999999999997E-2</v>
      </c>
      <c r="R28" s="100">
        <f t="shared" si="16"/>
        <v>0.39592811961287094</v>
      </c>
      <c r="S28" s="101">
        <f t="shared" si="17"/>
        <v>61437.919650123367</v>
      </c>
      <c r="T28" s="102">
        <f t="shared" si="18"/>
        <v>7.5015774908575548</v>
      </c>
      <c r="U28" s="102">
        <f t="shared" si="19"/>
        <v>4.4652246969390212</v>
      </c>
      <c r="V28" s="101">
        <f t="shared" ref="V28:V45" si="20">IF(Z28&lt;&gt;"",IF(D28&lt;&gt;"",D28,($I$8-SUM($V$25:V27))*Y28*Z28/SUMPRODUCT($Z28:$Z$55,$Y28:$Y$55)),"")</f>
        <v>24325</v>
      </c>
      <c r="W28" s="102">
        <f t="shared" ref="W28:W45" si="21">IF(Z28&lt;&gt;"",IF(E28&lt;&gt;"",E28,($I$9-SUM($W$25:W27))*Y28*Z28/SUMPRODUCT($Z28:$Z$55,$Y28:$Y$55)),"")</f>
        <v>5</v>
      </c>
      <c r="X28" s="102">
        <f t="shared" ref="X28:X45" si="22">IF(Z28&lt;&gt;"",IF($I$12&lt;&gt;"",IF(G28&lt;&gt;"",G28,($I$9/$I$12-SUM($X$25:X27))*Y28*Z28/SUMPRODUCT($Z28:$Z$55,$Y28:$Y$55)),""),"")</f>
        <v>3</v>
      </c>
      <c r="Y28" s="103">
        <v>1.05797433831278</v>
      </c>
      <c r="Z28" s="103">
        <v>1.05797433831278</v>
      </c>
      <c r="AA28" s="105"/>
      <c r="AB28" s="105"/>
      <c r="AC28" s="104"/>
      <c r="AD28" s="104"/>
      <c r="AE28" s="104"/>
      <c r="AF28" s="104"/>
      <c r="AG28" s="104"/>
      <c r="AH28" s="104"/>
      <c r="AI28" s="104"/>
      <c r="AJ28" s="104"/>
      <c r="AK28" s="104"/>
      <c r="AL28" s="104"/>
      <c r="AM28" s="104"/>
    </row>
    <row r="29" spans="1:258" s="90" customFormat="1">
      <c r="A29" s="128">
        <v>5</v>
      </c>
      <c r="B29" s="92">
        <v>46001</v>
      </c>
      <c r="C29" s="93" t="s">
        <v>59</v>
      </c>
      <c r="D29" s="253">
        <v>6293</v>
      </c>
      <c r="E29" s="108">
        <v>1</v>
      </c>
      <c r="F29" s="96">
        <f t="shared" si="12"/>
        <v>6293</v>
      </c>
      <c r="G29" s="108">
        <v>1</v>
      </c>
      <c r="H29" s="96">
        <f t="shared" si="13"/>
        <v>6293</v>
      </c>
      <c r="I29" s="108">
        <v>27</v>
      </c>
      <c r="J29" s="97">
        <f t="shared" si="14"/>
        <v>1</v>
      </c>
      <c r="K29" s="98"/>
      <c r="L29" s="98"/>
      <c r="M29" s="98"/>
      <c r="N29" s="98"/>
      <c r="O29" s="98"/>
      <c r="P29" s="98"/>
      <c r="Q29" s="249">
        <f t="shared" si="15"/>
        <v>3.7037037037037035E-2</v>
      </c>
      <c r="R29" s="100">
        <f t="shared" si="16"/>
        <v>0.1146493238302683</v>
      </c>
      <c r="S29" s="101">
        <f t="shared" si="17"/>
        <v>54889.115694362255</v>
      </c>
      <c r="T29" s="102">
        <f t="shared" si="18"/>
        <v>6.7019677282493602</v>
      </c>
      <c r="U29" s="102">
        <f t="shared" si="19"/>
        <v>3.9892665049103337</v>
      </c>
      <c r="V29" s="101">
        <f t="shared" si="20"/>
        <v>6293</v>
      </c>
      <c r="W29" s="102">
        <f t="shared" si="21"/>
        <v>1</v>
      </c>
      <c r="X29" s="102">
        <f t="shared" si="22"/>
        <v>1</v>
      </c>
      <c r="Y29" s="312">
        <v>1</v>
      </c>
      <c r="Z29" s="312">
        <v>1</v>
      </c>
      <c r="AA29" s="105"/>
      <c r="AB29" s="105"/>
      <c r="AC29" s="104"/>
      <c r="AD29" s="104"/>
      <c r="AE29" s="104"/>
      <c r="AF29" s="104"/>
      <c r="AG29" s="104"/>
      <c r="AH29" s="104"/>
      <c r="AI29" s="104"/>
      <c r="AJ29" s="104"/>
    </row>
    <row r="30" spans="1:258" s="90" customFormat="1">
      <c r="A30" s="128">
        <v>6</v>
      </c>
      <c r="B30" s="92">
        <v>46002</v>
      </c>
      <c r="C30" s="252" t="s">
        <v>61</v>
      </c>
      <c r="D30" s="97">
        <v>0</v>
      </c>
      <c r="E30" s="108">
        <v>0</v>
      </c>
      <c r="F30" s="254" t="str">
        <f t="shared" si="12"/>
        <v/>
      </c>
      <c r="G30" s="108">
        <v>0</v>
      </c>
      <c r="H30" s="254" t="str">
        <f t="shared" si="13"/>
        <v/>
      </c>
      <c r="I30" s="108">
        <v>28</v>
      </c>
      <c r="J30" s="97" t="str">
        <f t="shared" si="14"/>
        <v/>
      </c>
      <c r="K30" s="98"/>
      <c r="L30" s="98"/>
      <c r="M30" s="98"/>
      <c r="N30" s="98"/>
      <c r="O30" s="98"/>
      <c r="P30" s="98"/>
      <c r="Q30" s="249">
        <f t="shared" si="15"/>
        <v>0</v>
      </c>
      <c r="R30" s="100">
        <f t="shared" si="16"/>
        <v>0</v>
      </c>
      <c r="S30" s="101">
        <f t="shared" si="17"/>
        <v>54889.115694362255</v>
      </c>
      <c r="T30" s="102">
        <f t="shared" si="18"/>
        <v>6.7019677282493602</v>
      </c>
      <c r="U30" s="102">
        <f t="shared" si="19"/>
        <v>3.9892665049103337</v>
      </c>
      <c r="V30" s="101">
        <f t="shared" si="20"/>
        <v>0</v>
      </c>
      <c r="W30" s="102">
        <f t="shared" si="21"/>
        <v>0</v>
      </c>
      <c r="X30" s="102">
        <f t="shared" si="22"/>
        <v>0</v>
      </c>
      <c r="Y30" s="314">
        <v>1</v>
      </c>
      <c r="Z30" s="312">
        <v>1</v>
      </c>
      <c r="AA30" s="105"/>
      <c r="AB30" s="105"/>
      <c r="AC30" s="251"/>
      <c r="AD30" s="104"/>
      <c r="AE30" s="104"/>
      <c r="AF30" s="104"/>
      <c r="AG30" s="104"/>
      <c r="AH30" s="104"/>
      <c r="AI30" s="104"/>
      <c r="AJ30" s="104"/>
    </row>
    <row r="31" spans="1:258" s="125" customFormat="1">
      <c r="A31" s="127">
        <v>7</v>
      </c>
      <c r="B31" s="112">
        <v>46004</v>
      </c>
      <c r="C31" s="113" t="s">
        <v>65</v>
      </c>
      <c r="D31" s="117">
        <v>39129</v>
      </c>
      <c r="E31" s="129">
        <v>6</v>
      </c>
      <c r="F31" s="116">
        <f t="shared" si="12"/>
        <v>6521.5</v>
      </c>
      <c r="G31" s="129">
        <v>3</v>
      </c>
      <c r="H31" s="116">
        <f t="shared" si="13"/>
        <v>13043</v>
      </c>
      <c r="I31" s="129">
        <v>45</v>
      </c>
      <c r="J31" s="117">
        <f t="shared" si="14"/>
        <v>2</v>
      </c>
      <c r="K31" s="115"/>
      <c r="L31" s="115">
        <v>6004</v>
      </c>
      <c r="M31" s="115"/>
      <c r="N31" s="115"/>
      <c r="O31" s="115"/>
      <c r="P31" s="115"/>
      <c r="Q31" s="99">
        <f t="shared" si="15"/>
        <v>6.6666666666666666E-2</v>
      </c>
      <c r="R31" s="119">
        <f t="shared" si="16"/>
        <v>0.71287357256548034</v>
      </c>
      <c r="S31" s="120">
        <f t="shared" si="17"/>
        <v>54889.115694362255</v>
      </c>
      <c r="T31" s="121">
        <f t="shared" si="18"/>
        <v>6.7019677282493602</v>
      </c>
      <c r="U31" s="121">
        <f t="shared" si="19"/>
        <v>3.9892665049103337</v>
      </c>
      <c r="V31" s="120">
        <f t="shared" si="20"/>
        <v>39129</v>
      </c>
      <c r="W31" s="121">
        <f t="shared" si="21"/>
        <v>6</v>
      </c>
      <c r="X31" s="315">
        <f t="shared" si="22"/>
        <v>3</v>
      </c>
      <c r="Y31" s="316">
        <v>1</v>
      </c>
      <c r="Z31" s="317">
        <v>1</v>
      </c>
      <c r="AA31" s="123"/>
      <c r="AB31" s="123"/>
      <c r="AC31" s="131"/>
      <c r="AD31" s="124"/>
      <c r="AE31" s="124"/>
      <c r="AF31" s="124"/>
      <c r="AG31" s="124"/>
      <c r="AH31" s="124"/>
      <c r="AI31" s="124"/>
      <c r="AJ31" s="124"/>
    </row>
    <row r="32" spans="1:258" s="125" customFormat="1">
      <c r="A32" s="127">
        <v>8</v>
      </c>
      <c r="B32" s="112">
        <v>46005</v>
      </c>
      <c r="C32" s="260" t="s">
        <v>67</v>
      </c>
      <c r="D32" s="256">
        <v>0</v>
      </c>
      <c r="E32" s="129">
        <v>0</v>
      </c>
      <c r="F32" s="133" t="str">
        <f t="shared" si="12"/>
        <v/>
      </c>
      <c r="G32" s="129">
        <v>0</v>
      </c>
      <c r="H32" s="133" t="str">
        <f t="shared" si="13"/>
        <v/>
      </c>
      <c r="I32" s="129">
        <v>40</v>
      </c>
      <c r="J32" s="117" t="str">
        <f t="shared" si="14"/>
        <v/>
      </c>
      <c r="K32" s="116"/>
      <c r="L32" s="116"/>
      <c r="M32" s="116"/>
      <c r="N32" s="116"/>
      <c r="O32" s="116"/>
      <c r="P32" s="116"/>
      <c r="Q32" s="99">
        <f t="shared" si="15"/>
        <v>0</v>
      </c>
      <c r="R32" s="119">
        <f t="shared" si="16"/>
        <v>0</v>
      </c>
      <c r="S32" s="120">
        <f t="shared" si="17"/>
        <v>54889.115694362255</v>
      </c>
      <c r="T32" s="121">
        <f t="shared" si="18"/>
        <v>6.7019677282493602</v>
      </c>
      <c r="U32" s="121">
        <f t="shared" si="19"/>
        <v>3.9892665049103337</v>
      </c>
      <c r="V32" s="120">
        <f t="shared" si="20"/>
        <v>0</v>
      </c>
      <c r="W32" s="121">
        <f t="shared" si="21"/>
        <v>0</v>
      </c>
      <c r="X32" s="315">
        <f t="shared" si="22"/>
        <v>0</v>
      </c>
      <c r="Y32" s="316">
        <v>1</v>
      </c>
      <c r="Z32" s="317">
        <v>1</v>
      </c>
      <c r="AA32" s="123"/>
      <c r="AB32" s="123"/>
      <c r="AC32" s="124"/>
      <c r="AD32" s="124"/>
      <c r="AE32" s="124"/>
      <c r="AF32" s="124"/>
      <c r="AG32" s="124"/>
      <c r="AH32" s="124"/>
      <c r="AI32" s="124"/>
      <c r="AJ32" s="124"/>
    </row>
    <row r="33" spans="1:258" s="90" customFormat="1">
      <c r="A33" s="128">
        <v>9</v>
      </c>
      <c r="B33" s="92">
        <v>46007</v>
      </c>
      <c r="C33" s="93" t="s">
        <v>57</v>
      </c>
      <c r="D33" s="275">
        <v>27841</v>
      </c>
      <c r="E33" s="108">
        <v>3</v>
      </c>
      <c r="F33" s="96">
        <f t="shared" si="12"/>
        <v>9280.3333333333339</v>
      </c>
      <c r="G33" s="108">
        <v>2</v>
      </c>
      <c r="H33" s="96">
        <f t="shared" si="13"/>
        <v>13920.5</v>
      </c>
      <c r="I33" s="108">
        <v>26</v>
      </c>
      <c r="J33" s="97">
        <f t="shared" si="14"/>
        <v>1.5</v>
      </c>
      <c r="K33" s="96"/>
      <c r="L33" s="96"/>
      <c r="M33" s="96">
        <v>22184</v>
      </c>
      <c r="N33" s="96"/>
      <c r="O33" s="96"/>
      <c r="P33" s="254"/>
      <c r="Q33" s="249">
        <f t="shared" si="15"/>
        <v>7.6923076923076927E-2</v>
      </c>
      <c r="R33" s="274">
        <f t="shared" si="16"/>
        <v>0.50722260047012546</v>
      </c>
      <c r="S33" s="101">
        <f t="shared" si="17"/>
        <v>54889.115694362255</v>
      </c>
      <c r="T33" s="273">
        <f t="shared" si="18"/>
        <v>6.7019677282493602</v>
      </c>
      <c r="U33" s="102">
        <f t="shared" si="19"/>
        <v>3.9892665049103337</v>
      </c>
      <c r="V33" s="101">
        <f t="shared" si="20"/>
        <v>27841</v>
      </c>
      <c r="W33" s="102">
        <f t="shared" si="21"/>
        <v>3</v>
      </c>
      <c r="X33" s="273">
        <f t="shared" si="22"/>
        <v>2</v>
      </c>
      <c r="Y33" s="318">
        <v>1</v>
      </c>
      <c r="Z33" s="319">
        <v>1</v>
      </c>
      <c r="AA33" s="105"/>
      <c r="AB33" s="105"/>
      <c r="AC33" s="104"/>
      <c r="AD33" s="104"/>
      <c r="AE33" s="104"/>
      <c r="AF33" s="104"/>
      <c r="AG33" s="104"/>
      <c r="AH33" s="104"/>
      <c r="AI33" s="104"/>
      <c r="AJ33" s="104"/>
    </row>
    <row r="34" spans="1:258" s="90" customFormat="1">
      <c r="A34" s="128">
        <v>10</v>
      </c>
      <c r="B34" s="92">
        <v>46008</v>
      </c>
      <c r="C34" s="252" t="s">
        <v>59</v>
      </c>
      <c r="D34" s="97">
        <v>15672</v>
      </c>
      <c r="E34" s="108">
        <v>2</v>
      </c>
      <c r="F34" s="270">
        <f t="shared" si="12"/>
        <v>7836</v>
      </c>
      <c r="G34" s="108">
        <v>1</v>
      </c>
      <c r="H34" s="96">
        <f t="shared" si="13"/>
        <v>15672</v>
      </c>
      <c r="I34" s="108">
        <v>42</v>
      </c>
      <c r="J34" s="97">
        <f t="shared" si="14"/>
        <v>2</v>
      </c>
      <c r="K34" s="96"/>
      <c r="L34" s="96"/>
      <c r="M34" s="96"/>
      <c r="N34" s="96"/>
      <c r="O34" s="96"/>
      <c r="P34" s="96"/>
      <c r="Q34" s="271">
        <f t="shared" si="15"/>
        <v>2.3809523809523808E-2</v>
      </c>
      <c r="R34" s="100">
        <f t="shared" si="16"/>
        <v>0.285521087409497</v>
      </c>
      <c r="S34" s="272">
        <f t="shared" si="17"/>
        <v>54889.115694362255</v>
      </c>
      <c r="T34" s="102">
        <f t="shared" si="18"/>
        <v>6.7019677282493602</v>
      </c>
      <c r="U34" s="273">
        <f t="shared" si="19"/>
        <v>3.9892665049103337</v>
      </c>
      <c r="V34" s="101">
        <f t="shared" si="20"/>
        <v>15672</v>
      </c>
      <c r="W34" s="273">
        <f t="shared" si="21"/>
        <v>2</v>
      </c>
      <c r="X34" s="320">
        <f t="shared" si="22"/>
        <v>1</v>
      </c>
      <c r="Y34" s="318">
        <v>1</v>
      </c>
      <c r="Z34" s="319">
        <v>1</v>
      </c>
      <c r="AA34" s="105"/>
      <c r="AB34" s="105"/>
      <c r="AC34" s="251"/>
      <c r="AD34" s="104"/>
      <c r="AE34" s="104"/>
      <c r="AF34" s="104"/>
      <c r="AG34" s="104"/>
      <c r="AH34" s="104"/>
      <c r="AI34" s="104"/>
      <c r="AJ34" s="104"/>
      <c r="AK34" s="104"/>
      <c r="AL34" s="104"/>
      <c r="AM34" s="104"/>
      <c r="AN34" s="104"/>
      <c r="AO34" s="104"/>
      <c r="AP34" s="104"/>
      <c r="AQ34" s="104"/>
      <c r="AR34" s="104"/>
      <c r="AS34" s="104"/>
      <c r="AT34" s="104"/>
      <c r="AU34" s="104"/>
      <c r="AV34" s="104"/>
      <c r="AW34" s="104"/>
      <c r="AX34" s="104"/>
      <c r="AY34" s="104"/>
      <c r="AZ34" s="104"/>
      <c r="BA34" s="104"/>
      <c r="BB34" s="104"/>
      <c r="BC34" s="104"/>
      <c r="BD34" s="104"/>
      <c r="BE34" s="104"/>
      <c r="BF34" s="104"/>
      <c r="BG34" s="104"/>
      <c r="BH34" s="104"/>
      <c r="BI34" s="104"/>
      <c r="BJ34" s="104"/>
      <c r="BK34" s="104"/>
      <c r="BL34" s="104"/>
      <c r="BM34" s="104"/>
      <c r="BN34" s="104"/>
      <c r="BO34" s="104"/>
      <c r="BP34" s="104"/>
      <c r="BQ34" s="104"/>
      <c r="BR34" s="104"/>
      <c r="BS34" s="104"/>
      <c r="BT34" s="104"/>
      <c r="BU34" s="104"/>
      <c r="BV34" s="104"/>
      <c r="BW34" s="104"/>
      <c r="BX34" s="104"/>
      <c r="BY34" s="104"/>
      <c r="BZ34" s="104"/>
      <c r="CA34" s="104"/>
      <c r="CB34" s="104"/>
      <c r="CC34" s="104"/>
      <c r="CD34" s="104"/>
      <c r="CE34" s="104"/>
      <c r="CF34" s="104"/>
      <c r="CG34" s="104"/>
      <c r="CH34" s="104"/>
      <c r="CI34" s="104"/>
      <c r="CJ34" s="104"/>
      <c r="CK34" s="104"/>
      <c r="CL34" s="104"/>
      <c r="CM34" s="104"/>
      <c r="CN34" s="104"/>
      <c r="CO34" s="104"/>
      <c r="CP34" s="104"/>
      <c r="CQ34" s="104"/>
      <c r="CR34" s="104"/>
      <c r="CS34" s="104"/>
      <c r="CT34" s="104"/>
      <c r="CU34" s="104"/>
      <c r="CV34" s="104"/>
      <c r="CW34" s="104"/>
      <c r="CX34" s="104"/>
      <c r="CY34" s="104"/>
      <c r="CZ34" s="104"/>
      <c r="DA34" s="104"/>
      <c r="DB34" s="104"/>
      <c r="DC34" s="104"/>
      <c r="DD34" s="104"/>
      <c r="DE34" s="104"/>
      <c r="DF34" s="104"/>
      <c r="DG34" s="104"/>
      <c r="DH34" s="104"/>
      <c r="DI34" s="104"/>
      <c r="DJ34" s="104"/>
      <c r="DK34" s="104"/>
      <c r="DL34" s="104"/>
      <c r="DM34" s="104"/>
      <c r="DN34" s="104"/>
      <c r="DO34" s="104"/>
      <c r="DP34" s="104"/>
      <c r="DQ34" s="104"/>
      <c r="DR34" s="104"/>
      <c r="DS34" s="104"/>
      <c r="DT34" s="104"/>
      <c r="DU34" s="104"/>
      <c r="DV34" s="104"/>
      <c r="DW34" s="104"/>
      <c r="DX34" s="104"/>
      <c r="DY34" s="104"/>
      <c r="DZ34" s="104"/>
      <c r="EA34" s="104"/>
      <c r="EB34" s="104"/>
      <c r="EC34" s="104"/>
      <c r="ED34" s="104"/>
      <c r="EE34" s="104"/>
      <c r="EF34" s="104"/>
      <c r="EG34" s="104"/>
      <c r="EH34" s="104"/>
      <c r="EI34" s="104"/>
      <c r="EJ34" s="104"/>
      <c r="EK34" s="104"/>
      <c r="EL34" s="104"/>
      <c r="EM34" s="104"/>
      <c r="EN34" s="104"/>
      <c r="EO34" s="104"/>
      <c r="EP34" s="104"/>
      <c r="EQ34" s="104"/>
      <c r="ER34" s="104"/>
      <c r="ES34" s="104"/>
      <c r="ET34" s="104"/>
      <c r="EU34" s="104"/>
      <c r="EV34" s="104"/>
      <c r="EW34" s="104"/>
      <c r="EX34" s="104"/>
      <c r="EY34" s="104"/>
      <c r="EZ34" s="104"/>
      <c r="FA34" s="104"/>
      <c r="FB34" s="104"/>
      <c r="FC34" s="104"/>
      <c r="FD34" s="104"/>
      <c r="FE34" s="104"/>
      <c r="FF34" s="104"/>
      <c r="FG34" s="104"/>
      <c r="FH34" s="104"/>
      <c r="FI34" s="104"/>
      <c r="FJ34" s="104"/>
      <c r="FK34" s="104"/>
      <c r="FL34" s="104"/>
      <c r="FM34" s="104"/>
      <c r="FN34" s="104"/>
      <c r="FO34" s="104"/>
      <c r="FP34" s="104"/>
      <c r="FQ34" s="104"/>
      <c r="FR34" s="104"/>
      <c r="FS34" s="104"/>
      <c r="FT34" s="104"/>
      <c r="FU34" s="104"/>
      <c r="FV34" s="104"/>
      <c r="FW34" s="104"/>
      <c r="FX34" s="104"/>
      <c r="FY34" s="104"/>
      <c r="FZ34" s="104"/>
      <c r="GA34" s="104"/>
      <c r="GB34" s="104"/>
      <c r="GC34" s="104"/>
      <c r="GD34" s="104"/>
      <c r="GE34" s="104"/>
      <c r="GF34" s="104"/>
      <c r="GG34" s="104"/>
      <c r="GH34" s="104"/>
      <c r="GI34" s="104"/>
      <c r="GJ34" s="104"/>
      <c r="GK34" s="104"/>
      <c r="GL34" s="104"/>
      <c r="GM34" s="104"/>
      <c r="GN34" s="104"/>
      <c r="GO34" s="104"/>
      <c r="GP34" s="104"/>
      <c r="GQ34" s="104"/>
      <c r="GR34" s="104"/>
      <c r="GS34" s="104"/>
      <c r="GT34" s="104"/>
      <c r="GU34" s="104"/>
      <c r="GV34" s="104"/>
      <c r="GW34" s="104"/>
      <c r="GX34" s="104"/>
      <c r="GY34" s="104"/>
      <c r="GZ34" s="104"/>
      <c r="HA34" s="104"/>
      <c r="HB34" s="104"/>
      <c r="HC34" s="104"/>
      <c r="HD34" s="104"/>
      <c r="HE34" s="104"/>
      <c r="HF34" s="104"/>
      <c r="HG34" s="104"/>
      <c r="HH34" s="104"/>
      <c r="HI34" s="104"/>
      <c r="HJ34" s="104"/>
      <c r="HK34" s="104"/>
      <c r="HL34" s="104"/>
      <c r="HM34" s="104"/>
      <c r="HN34" s="104"/>
      <c r="HO34" s="104"/>
      <c r="HP34" s="104"/>
      <c r="HQ34" s="104"/>
      <c r="HR34" s="104"/>
      <c r="HS34" s="104"/>
      <c r="HT34" s="104"/>
      <c r="HU34" s="104"/>
      <c r="HV34" s="104"/>
      <c r="HW34" s="104"/>
      <c r="HX34" s="104"/>
      <c r="HY34" s="104"/>
      <c r="HZ34" s="104"/>
      <c r="IA34" s="104"/>
      <c r="IB34" s="104"/>
      <c r="IC34" s="104"/>
      <c r="ID34" s="104"/>
      <c r="IE34" s="104"/>
      <c r="IF34" s="104"/>
      <c r="IG34" s="104"/>
      <c r="IH34" s="104"/>
      <c r="II34" s="104"/>
      <c r="IJ34" s="104"/>
      <c r="IK34" s="104"/>
      <c r="IL34" s="104"/>
      <c r="IM34" s="104"/>
      <c r="IN34" s="104"/>
      <c r="IO34" s="104"/>
      <c r="IP34" s="104"/>
      <c r="IQ34" s="104"/>
      <c r="IR34" s="104"/>
      <c r="IS34" s="104"/>
      <c r="IT34" s="104"/>
      <c r="IU34" s="104"/>
      <c r="IV34" s="104"/>
      <c r="IW34" s="104"/>
      <c r="IX34" s="104"/>
    </row>
    <row r="35" spans="1:258" s="125" customFormat="1">
      <c r="A35" s="127">
        <v>11</v>
      </c>
      <c r="B35" s="112">
        <v>46009</v>
      </c>
      <c r="C35" s="113" t="s">
        <v>61</v>
      </c>
      <c r="D35" s="117">
        <v>7488</v>
      </c>
      <c r="E35" s="129">
        <v>2</v>
      </c>
      <c r="F35" s="116">
        <f t="shared" si="12"/>
        <v>3744</v>
      </c>
      <c r="G35" s="129">
        <v>2</v>
      </c>
      <c r="H35" s="133">
        <f t="shared" si="13"/>
        <v>3744</v>
      </c>
      <c r="I35" s="129">
        <v>31</v>
      </c>
      <c r="J35" s="117">
        <f t="shared" si="14"/>
        <v>1</v>
      </c>
      <c r="K35" s="116"/>
      <c r="L35" s="116"/>
      <c r="M35" s="116"/>
      <c r="N35" s="116"/>
      <c r="O35" s="116"/>
      <c r="P35" s="133"/>
      <c r="Q35" s="99">
        <f t="shared" si="15"/>
        <v>6.4516129032258063E-2</v>
      </c>
      <c r="R35" s="268">
        <f t="shared" si="16"/>
        <v>0.13642048893072445</v>
      </c>
      <c r="S35" s="120">
        <f t="shared" si="17"/>
        <v>54889.115694362255</v>
      </c>
      <c r="T35" s="269">
        <f t="shared" si="18"/>
        <v>6.7019677282493602</v>
      </c>
      <c r="U35" s="121">
        <f t="shared" si="19"/>
        <v>3.9892665049103337</v>
      </c>
      <c r="V35" s="120">
        <f t="shared" si="20"/>
        <v>7488</v>
      </c>
      <c r="W35" s="121">
        <f t="shared" si="21"/>
        <v>2</v>
      </c>
      <c r="X35" s="315">
        <f t="shared" si="22"/>
        <v>2</v>
      </c>
      <c r="Y35" s="316">
        <v>1</v>
      </c>
      <c r="Z35" s="317">
        <v>1</v>
      </c>
      <c r="AA35" s="123"/>
      <c r="AB35" s="123"/>
      <c r="AC35" s="131"/>
      <c r="AD35" s="124"/>
      <c r="AE35" s="124"/>
      <c r="AF35" s="124"/>
      <c r="AG35" s="124"/>
      <c r="AH35" s="124"/>
      <c r="AI35" s="124"/>
      <c r="AJ35" s="124"/>
    </row>
    <row r="36" spans="1:258" s="125" customFormat="1">
      <c r="A36" s="111">
        <v>12</v>
      </c>
      <c r="B36" s="112">
        <v>46012</v>
      </c>
      <c r="C36" s="132" t="s">
        <v>67</v>
      </c>
      <c r="D36" s="117">
        <v>4693</v>
      </c>
      <c r="E36" s="129">
        <v>1</v>
      </c>
      <c r="F36" s="133">
        <f t="shared" si="12"/>
        <v>4693</v>
      </c>
      <c r="G36" s="129">
        <v>1</v>
      </c>
      <c r="H36" s="116">
        <f t="shared" si="13"/>
        <v>4693</v>
      </c>
      <c r="I36" s="129">
        <v>33</v>
      </c>
      <c r="J36" s="117">
        <f t="shared" si="14"/>
        <v>1</v>
      </c>
      <c r="K36" s="116"/>
      <c r="L36" s="116"/>
      <c r="M36" s="116"/>
      <c r="N36" s="116"/>
      <c r="O36" s="116"/>
      <c r="P36" s="116"/>
      <c r="Q36" s="99">
        <f t="shared" si="15"/>
        <v>3.0303030303030304E-2</v>
      </c>
      <c r="R36" s="119">
        <f t="shared" si="16"/>
        <v>8.5499646708318625E-2</v>
      </c>
      <c r="S36" s="120">
        <f t="shared" si="17"/>
        <v>54889.115694362255</v>
      </c>
      <c r="T36" s="121">
        <f t="shared" si="18"/>
        <v>6.7019677282493602</v>
      </c>
      <c r="U36" s="121">
        <f t="shared" si="19"/>
        <v>3.9892665049103337</v>
      </c>
      <c r="V36" s="120">
        <f t="shared" si="20"/>
        <v>4693</v>
      </c>
      <c r="W36" s="121">
        <f t="shared" si="21"/>
        <v>1</v>
      </c>
      <c r="X36" s="315">
        <f t="shared" si="22"/>
        <v>1</v>
      </c>
      <c r="Y36" s="316">
        <v>1</v>
      </c>
      <c r="Z36" s="317">
        <v>1</v>
      </c>
      <c r="AA36" s="123"/>
      <c r="AB36" s="123"/>
      <c r="AC36" s="131"/>
      <c r="AD36" s="124"/>
      <c r="AE36" s="124"/>
      <c r="AF36" s="124"/>
      <c r="AG36" s="124"/>
      <c r="AH36" s="124"/>
      <c r="AI36" s="124"/>
      <c r="AJ36" s="124"/>
    </row>
    <row r="37" spans="1:258" s="125" customFormat="1">
      <c r="A37" s="127">
        <v>13</v>
      </c>
      <c r="B37" s="112">
        <v>46014</v>
      </c>
      <c r="C37" s="132" t="s">
        <v>57</v>
      </c>
      <c r="D37" s="117">
        <v>17878.5</v>
      </c>
      <c r="E37" s="115">
        <v>3</v>
      </c>
      <c r="F37" s="116">
        <f t="shared" si="12"/>
        <v>5959.5</v>
      </c>
      <c r="G37" s="115">
        <v>1</v>
      </c>
      <c r="H37" s="116">
        <f t="shared" si="13"/>
        <v>17878.5</v>
      </c>
      <c r="I37" s="115">
        <v>30</v>
      </c>
      <c r="J37" s="117">
        <f t="shared" si="14"/>
        <v>3</v>
      </c>
      <c r="K37" s="115"/>
      <c r="L37" s="115"/>
      <c r="M37" s="115"/>
      <c r="N37" s="115"/>
      <c r="O37" s="115"/>
      <c r="P37" s="118"/>
      <c r="Q37" s="99">
        <f t="shared" si="15"/>
        <v>3.3333333333333333E-2</v>
      </c>
      <c r="R37" s="119">
        <f t="shared" si="16"/>
        <v>0.32572031401548573</v>
      </c>
      <c r="S37" s="120">
        <f t="shared" si="17"/>
        <v>54889.115694362255</v>
      </c>
      <c r="T37" s="121">
        <f t="shared" si="18"/>
        <v>6.7019677282493602</v>
      </c>
      <c r="U37" s="121">
        <f t="shared" si="19"/>
        <v>3.9892665049103337</v>
      </c>
      <c r="V37" s="120">
        <f t="shared" si="20"/>
        <v>17878.5</v>
      </c>
      <c r="W37" s="121">
        <f t="shared" si="21"/>
        <v>3</v>
      </c>
      <c r="X37" s="121">
        <f t="shared" si="22"/>
        <v>1</v>
      </c>
      <c r="Y37" s="122">
        <v>1</v>
      </c>
      <c r="Z37" s="122">
        <v>1</v>
      </c>
      <c r="AA37" s="123"/>
      <c r="AB37" s="123"/>
      <c r="AC37" s="131"/>
      <c r="AD37" s="124"/>
      <c r="AE37" s="124"/>
      <c r="AF37" s="124"/>
      <c r="AG37" s="124"/>
      <c r="AH37" s="124"/>
      <c r="AI37" s="124"/>
      <c r="AJ37" s="124"/>
      <c r="AK37" s="124"/>
      <c r="AL37" s="124"/>
      <c r="AM37" s="124"/>
      <c r="AN37" s="124"/>
      <c r="AO37" s="124"/>
      <c r="AP37" s="124"/>
      <c r="AQ37" s="124"/>
      <c r="AR37" s="124"/>
      <c r="AS37" s="124"/>
      <c r="AT37" s="124"/>
      <c r="AU37" s="124"/>
      <c r="AV37" s="124"/>
      <c r="AW37" s="124"/>
      <c r="AX37" s="124"/>
      <c r="AY37" s="124"/>
      <c r="AZ37" s="124"/>
      <c r="BA37" s="124"/>
      <c r="BB37" s="124"/>
      <c r="BC37" s="124"/>
      <c r="BD37" s="124"/>
      <c r="BE37" s="124"/>
      <c r="BF37" s="124"/>
      <c r="BG37" s="124"/>
      <c r="BH37" s="124"/>
      <c r="BI37" s="124"/>
      <c r="BJ37" s="124"/>
      <c r="BK37" s="124"/>
      <c r="BL37" s="124"/>
      <c r="BM37" s="124"/>
      <c r="BN37" s="124"/>
      <c r="BO37" s="124"/>
      <c r="BP37" s="124"/>
      <c r="BQ37" s="124"/>
      <c r="BR37" s="124"/>
      <c r="BS37" s="124"/>
      <c r="BT37" s="124"/>
      <c r="BU37" s="124"/>
      <c r="BV37" s="124"/>
      <c r="BW37" s="124"/>
      <c r="BX37" s="124"/>
      <c r="BY37" s="124"/>
      <c r="BZ37" s="124"/>
      <c r="CA37" s="124"/>
      <c r="CB37" s="124"/>
      <c r="CC37" s="124"/>
      <c r="CD37" s="124"/>
      <c r="CE37" s="124"/>
      <c r="CF37" s="124"/>
      <c r="CG37" s="124"/>
      <c r="CH37" s="124"/>
      <c r="CI37" s="124"/>
      <c r="CJ37" s="124"/>
      <c r="CK37" s="124"/>
      <c r="CL37" s="124"/>
      <c r="CM37" s="124"/>
      <c r="CN37" s="124"/>
      <c r="CO37" s="124"/>
      <c r="CP37" s="124"/>
      <c r="CQ37" s="124"/>
      <c r="CR37" s="124"/>
      <c r="CS37" s="124"/>
      <c r="CT37" s="124"/>
      <c r="CU37" s="124"/>
      <c r="CV37" s="124"/>
      <c r="CW37" s="124"/>
      <c r="CX37" s="124"/>
      <c r="CY37" s="124"/>
      <c r="CZ37" s="124"/>
      <c r="DA37" s="124"/>
      <c r="DB37" s="124"/>
      <c r="DC37" s="124"/>
      <c r="DD37" s="124"/>
      <c r="DE37" s="124"/>
      <c r="DF37" s="124"/>
      <c r="DG37" s="124"/>
      <c r="DH37" s="124"/>
      <c r="DI37" s="124"/>
      <c r="DJ37" s="124"/>
      <c r="DK37" s="124"/>
      <c r="DL37" s="124"/>
      <c r="DM37" s="124"/>
      <c r="DN37" s="124"/>
      <c r="DO37" s="124"/>
      <c r="DP37" s="124"/>
      <c r="DQ37" s="124"/>
      <c r="DR37" s="124"/>
      <c r="DS37" s="124"/>
      <c r="DT37" s="124"/>
      <c r="DU37" s="124"/>
      <c r="DV37" s="124"/>
      <c r="DW37" s="124"/>
      <c r="DX37" s="124"/>
      <c r="DY37" s="124"/>
      <c r="DZ37" s="124"/>
      <c r="EA37" s="124"/>
      <c r="EB37" s="124"/>
      <c r="EC37" s="124"/>
      <c r="ED37" s="124"/>
      <c r="EE37" s="124"/>
      <c r="EF37" s="124"/>
      <c r="EG37" s="124"/>
      <c r="EH37" s="124"/>
      <c r="EI37" s="124"/>
      <c r="EJ37" s="124"/>
      <c r="EK37" s="124"/>
      <c r="EL37" s="124"/>
      <c r="EM37" s="124"/>
      <c r="EN37" s="124"/>
      <c r="EO37" s="124"/>
      <c r="EP37" s="124"/>
      <c r="EQ37" s="124"/>
      <c r="ER37" s="124"/>
      <c r="ES37" s="124"/>
      <c r="ET37" s="124"/>
      <c r="EU37" s="124"/>
      <c r="EV37" s="124"/>
      <c r="EW37" s="124"/>
      <c r="EX37" s="124"/>
      <c r="EY37" s="124"/>
      <c r="EZ37" s="124"/>
      <c r="FA37" s="124"/>
      <c r="FB37" s="124"/>
      <c r="FC37" s="124"/>
      <c r="FD37" s="124"/>
      <c r="FE37" s="124"/>
      <c r="FF37" s="124"/>
      <c r="FG37" s="124"/>
      <c r="FH37" s="124"/>
      <c r="FI37" s="124"/>
      <c r="FJ37" s="124"/>
      <c r="FK37" s="124"/>
      <c r="FL37" s="124"/>
      <c r="FM37" s="124"/>
      <c r="FN37" s="124"/>
      <c r="FO37" s="124"/>
      <c r="FP37" s="124"/>
      <c r="FQ37" s="124"/>
      <c r="FR37" s="124"/>
      <c r="FS37" s="124"/>
      <c r="FT37" s="124"/>
      <c r="FU37" s="124"/>
      <c r="FV37" s="124"/>
      <c r="FW37" s="124"/>
      <c r="FX37" s="124"/>
      <c r="FY37" s="124"/>
      <c r="FZ37" s="124"/>
      <c r="GA37" s="124"/>
      <c r="GB37" s="124"/>
      <c r="GC37" s="124"/>
      <c r="GD37" s="124"/>
      <c r="GE37" s="124"/>
      <c r="GF37" s="124"/>
      <c r="GG37" s="124"/>
      <c r="GH37" s="124"/>
      <c r="GI37" s="124"/>
      <c r="GJ37" s="124"/>
      <c r="GK37" s="124"/>
      <c r="GL37" s="124"/>
      <c r="GM37" s="124"/>
      <c r="GN37" s="124"/>
      <c r="GO37" s="124"/>
      <c r="GP37" s="124"/>
      <c r="GQ37" s="124"/>
      <c r="GR37" s="124"/>
      <c r="GS37" s="124"/>
      <c r="GT37" s="124"/>
      <c r="GU37" s="124"/>
      <c r="GV37" s="124"/>
      <c r="GW37" s="124"/>
      <c r="GX37" s="124"/>
      <c r="GY37" s="124"/>
      <c r="GZ37" s="124"/>
      <c r="HA37" s="124"/>
      <c r="HB37" s="124"/>
      <c r="HC37" s="124"/>
      <c r="HD37" s="124"/>
      <c r="HE37" s="124"/>
      <c r="HF37" s="124"/>
      <c r="HG37" s="124"/>
      <c r="HH37" s="124"/>
      <c r="HI37" s="124"/>
      <c r="HJ37" s="124"/>
      <c r="HK37" s="124"/>
      <c r="HL37" s="124"/>
      <c r="HM37" s="124"/>
      <c r="HN37" s="124"/>
      <c r="HO37" s="124"/>
      <c r="HP37" s="124"/>
      <c r="HQ37" s="124"/>
      <c r="HR37" s="124"/>
      <c r="HS37" s="124"/>
      <c r="HT37" s="124"/>
      <c r="HU37" s="124"/>
      <c r="HV37" s="124"/>
      <c r="HW37" s="124"/>
      <c r="HX37" s="124"/>
      <c r="HY37" s="124"/>
      <c r="HZ37" s="124"/>
      <c r="IA37" s="124"/>
      <c r="IB37" s="124"/>
      <c r="IC37" s="124"/>
      <c r="ID37" s="124"/>
      <c r="IE37" s="124"/>
      <c r="IF37" s="124"/>
      <c r="IG37" s="124"/>
      <c r="IH37" s="124"/>
      <c r="II37" s="124"/>
      <c r="IJ37" s="124"/>
      <c r="IK37" s="124"/>
      <c r="IL37" s="124"/>
      <c r="IM37" s="124"/>
      <c r="IN37" s="124"/>
      <c r="IO37" s="124"/>
      <c r="IP37" s="124"/>
      <c r="IQ37" s="124"/>
      <c r="IR37" s="124"/>
      <c r="IS37" s="124"/>
      <c r="IT37" s="124"/>
      <c r="IU37" s="124"/>
      <c r="IV37" s="124"/>
      <c r="IW37" s="124"/>
      <c r="IX37" s="124"/>
    </row>
    <row r="38" spans="1:258" s="125" customFormat="1">
      <c r="A38" s="111">
        <v>14</v>
      </c>
      <c r="B38" s="112">
        <v>46015</v>
      </c>
      <c r="C38" s="130" t="s">
        <v>59</v>
      </c>
      <c r="D38" s="117">
        <f>9991+21385</f>
        <v>31376</v>
      </c>
      <c r="E38" s="115">
        <v>2</v>
      </c>
      <c r="F38" s="116">
        <f t="shared" si="12"/>
        <v>15688</v>
      </c>
      <c r="G38" s="115">
        <v>2</v>
      </c>
      <c r="H38" s="116">
        <f t="shared" si="13"/>
        <v>15688</v>
      </c>
      <c r="I38" s="115">
        <v>20</v>
      </c>
      <c r="J38" s="117">
        <f t="shared" si="14"/>
        <v>1</v>
      </c>
      <c r="K38" s="115">
        <v>13490</v>
      </c>
      <c r="L38" s="115"/>
      <c r="M38" s="115"/>
      <c r="N38" s="115"/>
      <c r="O38" s="115"/>
      <c r="P38" s="118"/>
      <c r="Q38" s="99">
        <f t="shared" si="15"/>
        <v>0.1</v>
      </c>
      <c r="R38" s="119">
        <f t="shared" si="16"/>
        <v>0.57162516836143307</v>
      </c>
      <c r="S38" s="120">
        <f t="shared" si="17"/>
        <v>54889.115694362255</v>
      </c>
      <c r="T38" s="121">
        <f t="shared" si="18"/>
        <v>6.7019677282493602</v>
      </c>
      <c r="U38" s="121">
        <f t="shared" si="19"/>
        <v>3.9892665049103337</v>
      </c>
      <c r="V38" s="120">
        <f t="shared" si="20"/>
        <v>31376</v>
      </c>
      <c r="W38" s="121">
        <f t="shared" si="21"/>
        <v>2</v>
      </c>
      <c r="X38" s="121">
        <f t="shared" si="22"/>
        <v>2</v>
      </c>
      <c r="Y38" s="122">
        <v>1</v>
      </c>
      <c r="Z38" s="122">
        <v>1</v>
      </c>
      <c r="AA38" s="123"/>
      <c r="AB38" s="123"/>
      <c r="AC38" s="131"/>
      <c r="AD38" s="124"/>
      <c r="AE38" s="124"/>
      <c r="AF38" s="124"/>
      <c r="AG38" s="124"/>
      <c r="AH38" s="124"/>
      <c r="AI38" s="124"/>
      <c r="AJ38" s="124"/>
      <c r="AK38" s="124"/>
      <c r="AL38" s="124"/>
      <c r="AM38" s="124"/>
    </row>
    <row r="39" spans="1:258" s="125" customFormat="1">
      <c r="A39" s="127">
        <v>15</v>
      </c>
      <c r="B39" s="112">
        <v>46016</v>
      </c>
      <c r="C39" s="132" t="s">
        <v>61</v>
      </c>
      <c r="D39" s="117">
        <v>4393</v>
      </c>
      <c r="E39" s="115">
        <v>1</v>
      </c>
      <c r="F39" s="116">
        <f t="shared" si="12"/>
        <v>4393</v>
      </c>
      <c r="G39" s="115">
        <v>1</v>
      </c>
      <c r="H39" s="116">
        <f t="shared" si="13"/>
        <v>4393</v>
      </c>
      <c r="I39" s="115">
        <v>25</v>
      </c>
      <c r="J39" s="117">
        <f t="shared" si="14"/>
        <v>1</v>
      </c>
      <c r="K39" s="115"/>
      <c r="L39" s="115"/>
      <c r="M39" s="115"/>
      <c r="N39" s="115"/>
      <c r="O39" s="115"/>
      <c r="P39" s="118"/>
      <c r="Q39" s="99">
        <f t="shared" si="15"/>
        <v>0.04</v>
      </c>
      <c r="R39" s="119">
        <f t="shared" si="16"/>
        <v>8.0034082247953067E-2</v>
      </c>
      <c r="S39" s="120">
        <f t="shared" si="17"/>
        <v>54889.115694362255</v>
      </c>
      <c r="T39" s="121">
        <f t="shared" si="18"/>
        <v>6.7019677282493602</v>
      </c>
      <c r="U39" s="121">
        <f t="shared" si="19"/>
        <v>3.9892665049103337</v>
      </c>
      <c r="V39" s="120">
        <f t="shared" si="20"/>
        <v>4393</v>
      </c>
      <c r="W39" s="121">
        <f t="shared" si="21"/>
        <v>1</v>
      </c>
      <c r="X39" s="121">
        <f t="shared" si="22"/>
        <v>1</v>
      </c>
      <c r="Y39" s="122">
        <v>1</v>
      </c>
      <c r="Z39" s="122">
        <v>1</v>
      </c>
      <c r="AA39" s="123"/>
      <c r="AB39" s="123"/>
      <c r="AC39" s="131"/>
      <c r="AD39" s="124"/>
      <c r="AE39" s="124"/>
      <c r="AF39" s="124"/>
      <c r="AG39" s="124"/>
      <c r="AH39" s="124"/>
      <c r="AI39" s="124"/>
      <c r="AJ39" s="124"/>
      <c r="AK39" s="124"/>
      <c r="AL39" s="124"/>
      <c r="AM39" s="124"/>
    </row>
    <row r="40" spans="1:258" s="125" customFormat="1">
      <c r="A40" s="111">
        <v>16</v>
      </c>
      <c r="B40" s="112">
        <v>46017</v>
      </c>
      <c r="C40" s="130" t="s">
        <v>63</v>
      </c>
      <c r="D40" s="117">
        <v>34891.870000000003</v>
      </c>
      <c r="E40" s="115">
        <v>4</v>
      </c>
      <c r="F40" s="133">
        <f t="shared" si="12"/>
        <v>8722.9675000000007</v>
      </c>
      <c r="G40" s="129">
        <v>3</v>
      </c>
      <c r="H40" s="116">
        <f t="shared" si="13"/>
        <v>11630.623333333335</v>
      </c>
      <c r="I40" s="115">
        <v>25</v>
      </c>
      <c r="J40" s="117">
        <f t="shared" si="14"/>
        <v>1.3333333333333333</v>
      </c>
      <c r="K40" s="115">
        <v>12481</v>
      </c>
      <c r="L40" s="115"/>
      <c r="M40" s="115"/>
      <c r="N40" s="115"/>
      <c r="O40" s="115"/>
      <c r="P40" s="118"/>
      <c r="Q40" s="99">
        <f t="shared" si="15"/>
        <v>0.12</v>
      </c>
      <c r="R40" s="119">
        <f t="shared" si="16"/>
        <v>0.44144389960114672</v>
      </c>
      <c r="S40" s="120">
        <f t="shared" si="17"/>
        <v>79040.32659988165</v>
      </c>
      <c r="T40" s="121">
        <f t="shared" si="18"/>
        <v>9.6508335286790778</v>
      </c>
      <c r="U40" s="121">
        <f t="shared" si="19"/>
        <v>5.7445437670708799</v>
      </c>
      <c r="V40" s="120">
        <f t="shared" si="20"/>
        <v>34891.870000000003</v>
      </c>
      <c r="W40" s="121">
        <f t="shared" si="21"/>
        <v>4</v>
      </c>
      <c r="X40" s="121">
        <f t="shared" si="22"/>
        <v>3</v>
      </c>
      <c r="Y40" s="122">
        <v>1.2</v>
      </c>
      <c r="Z40" s="122">
        <v>1.2</v>
      </c>
      <c r="AA40" s="123"/>
      <c r="AB40" s="123"/>
      <c r="AC40" s="131"/>
      <c r="AD40" s="124"/>
      <c r="AE40" s="124"/>
      <c r="AF40" s="124"/>
      <c r="AG40" s="124"/>
      <c r="AH40" s="124"/>
      <c r="AI40" s="124"/>
      <c r="AJ40" s="124"/>
      <c r="AK40" s="124"/>
      <c r="AL40" s="124"/>
      <c r="AM40" s="124"/>
    </row>
    <row r="41" spans="1:258" s="125" customFormat="1">
      <c r="A41" s="127">
        <v>17</v>
      </c>
      <c r="B41" s="112">
        <v>46018</v>
      </c>
      <c r="C41" s="132" t="s">
        <v>65</v>
      </c>
      <c r="D41" s="117">
        <f>6893+500+23672</f>
        <v>31065</v>
      </c>
      <c r="E41" s="115">
        <v>3</v>
      </c>
      <c r="F41" s="116">
        <f t="shared" si="12"/>
        <v>10355</v>
      </c>
      <c r="G41" s="115">
        <v>2</v>
      </c>
      <c r="H41" s="116">
        <f t="shared" si="13"/>
        <v>15532.5</v>
      </c>
      <c r="I41" s="115">
        <v>29</v>
      </c>
      <c r="J41" s="117">
        <f t="shared" si="14"/>
        <v>1.5</v>
      </c>
      <c r="K41" s="115">
        <v>23672</v>
      </c>
      <c r="L41" s="115"/>
      <c r="M41" s="115"/>
      <c r="N41" s="115"/>
      <c r="O41" s="115"/>
      <c r="P41" s="118"/>
      <c r="Q41" s="99">
        <f t="shared" si="15"/>
        <v>6.8965517241379309E-2</v>
      </c>
      <c r="R41" s="119">
        <f t="shared" si="16"/>
        <v>0.39302722213253755</v>
      </c>
      <c r="S41" s="120">
        <f t="shared" si="17"/>
        <v>79040.32659988165</v>
      </c>
      <c r="T41" s="121">
        <f t="shared" si="18"/>
        <v>9.6508335286790778</v>
      </c>
      <c r="U41" s="121">
        <f t="shared" si="19"/>
        <v>5.7445437670708799</v>
      </c>
      <c r="V41" s="120">
        <f t="shared" si="20"/>
        <v>31065</v>
      </c>
      <c r="W41" s="121">
        <f t="shared" si="21"/>
        <v>3</v>
      </c>
      <c r="X41" s="121">
        <f t="shared" si="22"/>
        <v>2</v>
      </c>
      <c r="Y41" s="122">
        <v>1.2</v>
      </c>
      <c r="Z41" s="122">
        <v>1.2</v>
      </c>
      <c r="AA41" s="123"/>
      <c r="AB41" s="123"/>
      <c r="AC41" s="131"/>
      <c r="AD41" s="124"/>
      <c r="AE41" s="124"/>
      <c r="AF41" s="124"/>
      <c r="AG41" s="124"/>
      <c r="AH41" s="124"/>
      <c r="AI41" s="124"/>
      <c r="AJ41" s="124"/>
      <c r="AK41" s="124"/>
      <c r="AL41" s="124"/>
      <c r="AM41" s="124"/>
    </row>
    <row r="42" spans="1:258" s="125" customFormat="1">
      <c r="A42" s="111">
        <v>18</v>
      </c>
      <c r="B42" s="112">
        <v>46019</v>
      </c>
      <c r="C42" s="130" t="s">
        <v>67</v>
      </c>
      <c r="D42" s="117">
        <v>18462</v>
      </c>
      <c r="E42" s="115">
        <v>3</v>
      </c>
      <c r="F42" s="116">
        <f t="shared" si="12"/>
        <v>6154</v>
      </c>
      <c r="G42" s="115">
        <v>1</v>
      </c>
      <c r="H42" s="116">
        <f t="shared" si="13"/>
        <v>18462</v>
      </c>
      <c r="I42" s="115"/>
      <c r="J42" s="117">
        <f t="shared" si="14"/>
        <v>3</v>
      </c>
      <c r="K42" s="115"/>
      <c r="L42" s="115"/>
      <c r="M42" s="115"/>
      <c r="N42" s="115"/>
      <c r="O42" s="115"/>
      <c r="P42" s="118"/>
      <c r="Q42" s="99" t="str">
        <f t="shared" si="15"/>
        <v/>
      </c>
      <c r="R42" s="119">
        <f t="shared" si="16"/>
        <v>0.23357697006312275</v>
      </c>
      <c r="S42" s="120">
        <f t="shared" si="17"/>
        <v>79040.32659988165</v>
      </c>
      <c r="T42" s="121">
        <f t="shared" si="18"/>
        <v>9.6508335286790778</v>
      </c>
      <c r="U42" s="121">
        <f t="shared" si="19"/>
        <v>5.7445437670708799</v>
      </c>
      <c r="V42" s="120">
        <f t="shared" si="20"/>
        <v>18462</v>
      </c>
      <c r="W42" s="121">
        <f t="shared" si="21"/>
        <v>3</v>
      </c>
      <c r="X42" s="121">
        <f t="shared" si="22"/>
        <v>1</v>
      </c>
      <c r="Y42" s="122">
        <v>1.2</v>
      </c>
      <c r="Z42" s="122">
        <v>1.2</v>
      </c>
      <c r="AA42" s="123"/>
      <c r="AB42" s="123"/>
      <c r="AC42" s="131"/>
      <c r="AD42" s="124"/>
      <c r="AE42" s="124"/>
      <c r="AF42" s="124"/>
      <c r="AG42" s="124"/>
      <c r="AH42" s="124"/>
      <c r="AI42" s="124"/>
      <c r="AJ42" s="124"/>
      <c r="AK42" s="124"/>
      <c r="AL42" s="124"/>
      <c r="AM42" s="124"/>
      <c r="AN42" s="124"/>
      <c r="AO42" s="124"/>
      <c r="AP42" s="124"/>
      <c r="AQ42" s="124"/>
      <c r="AR42" s="124"/>
      <c r="AS42" s="124"/>
      <c r="AT42" s="124"/>
      <c r="AU42" s="124"/>
      <c r="AV42" s="124"/>
      <c r="AW42" s="124"/>
      <c r="AX42" s="124"/>
      <c r="AY42" s="124"/>
      <c r="AZ42" s="124"/>
      <c r="BA42" s="124"/>
      <c r="BB42" s="124"/>
      <c r="BC42" s="124"/>
      <c r="BD42" s="124"/>
      <c r="BE42" s="124"/>
      <c r="BF42" s="124"/>
      <c r="BG42" s="124"/>
      <c r="BH42" s="124"/>
      <c r="BI42" s="124"/>
      <c r="BJ42" s="124"/>
      <c r="BK42" s="124"/>
      <c r="BL42" s="124"/>
      <c r="BM42" s="124"/>
      <c r="BN42" s="124"/>
      <c r="BO42" s="124"/>
      <c r="BP42" s="124"/>
      <c r="BQ42" s="124"/>
      <c r="BR42" s="124"/>
      <c r="BS42" s="124"/>
      <c r="BT42" s="124"/>
      <c r="BU42" s="124"/>
      <c r="BV42" s="124"/>
      <c r="BW42" s="124"/>
      <c r="BX42" s="124"/>
      <c r="BY42" s="124"/>
      <c r="BZ42" s="124"/>
      <c r="CA42" s="124"/>
      <c r="CB42" s="124"/>
      <c r="CC42" s="124"/>
      <c r="CD42" s="124"/>
      <c r="CE42" s="124"/>
      <c r="CF42" s="124"/>
      <c r="CG42" s="124"/>
      <c r="CH42" s="124"/>
      <c r="CI42" s="124"/>
      <c r="CJ42" s="124"/>
      <c r="CK42" s="124"/>
      <c r="CL42" s="124"/>
      <c r="CM42" s="124"/>
      <c r="CN42" s="124"/>
      <c r="CO42" s="124"/>
      <c r="CP42" s="124"/>
      <c r="CQ42" s="124"/>
      <c r="CR42" s="124"/>
      <c r="CS42" s="124"/>
      <c r="CT42" s="124"/>
      <c r="CU42" s="124"/>
      <c r="CV42" s="124"/>
      <c r="CW42" s="124"/>
      <c r="CX42" s="124"/>
      <c r="CY42" s="124"/>
      <c r="CZ42" s="124"/>
      <c r="DA42" s="124"/>
      <c r="DB42" s="124"/>
      <c r="DC42" s="124"/>
      <c r="DD42" s="124"/>
      <c r="DE42" s="124"/>
      <c r="DF42" s="124"/>
      <c r="DG42" s="124"/>
      <c r="DH42" s="124"/>
      <c r="DI42" s="124"/>
      <c r="DJ42" s="124"/>
      <c r="DK42" s="124"/>
      <c r="DL42" s="124"/>
      <c r="DM42" s="124"/>
      <c r="DN42" s="124"/>
      <c r="DO42" s="124"/>
      <c r="DP42" s="124"/>
      <c r="DQ42" s="124"/>
      <c r="DR42" s="124"/>
      <c r="DS42" s="124"/>
      <c r="DT42" s="124"/>
      <c r="DU42" s="124"/>
      <c r="DV42" s="124"/>
      <c r="DW42" s="124"/>
      <c r="DX42" s="124"/>
      <c r="DY42" s="124"/>
      <c r="DZ42" s="124"/>
      <c r="EA42" s="124"/>
      <c r="EB42" s="124"/>
      <c r="EC42" s="124"/>
      <c r="ED42" s="124"/>
      <c r="EE42" s="124"/>
      <c r="EF42" s="124"/>
      <c r="EG42" s="124"/>
      <c r="EH42" s="124"/>
      <c r="EI42" s="124"/>
      <c r="EJ42" s="124"/>
      <c r="EK42" s="124"/>
      <c r="EL42" s="124"/>
      <c r="EM42" s="124"/>
      <c r="EN42" s="124"/>
      <c r="EO42" s="124"/>
      <c r="EP42" s="124"/>
      <c r="EQ42" s="124"/>
      <c r="ER42" s="124"/>
      <c r="ES42" s="124"/>
      <c r="ET42" s="124"/>
      <c r="EU42" s="124"/>
      <c r="EV42" s="124"/>
      <c r="EW42" s="124"/>
      <c r="EX42" s="124"/>
      <c r="EY42" s="124"/>
      <c r="EZ42" s="124"/>
      <c r="FA42" s="124"/>
      <c r="FB42" s="124"/>
      <c r="FC42" s="124"/>
      <c r="FD42" s="124"/>
      <c r="FE42" s="124"/>
      <c r="FF42" s="124"/>
      <c r="FG42" s="124"/>
      <c r="FH42" s="124"/>
      <c r="FI42" s="124"/>
      <c r="FJ42" s="124"/>
      <c r="FK42" s="124"/>
      <c r="FL42" s="124"/>
      <c r="FM42" s="124"/>
      <c r="FN42" s="124"/>
      <c r="FO42" s="124"/>
      <c r="FP42" s="124"/>
      <c r="FQ42" s="124"/>
      <c r="FR42" s="124"/>
      <c r="FS42" s="124"/>
      <c r="FT42" s="124"/>
      <c r="FU42" s="124"/>
      <c r="FV42" s="124"/>
      <c r="FW42" s="124"/>
      <c r="FX42" s="124"/>
      <c r="FY42" s="124"/>
      <c r="FZ42" s="124"/>
      <c r="GA42" s="124"/>
      <c r="GB42" s="124"/>
      <c r="GC42" s="124"/>
      <c r="GD42" s="124"/>
      <c r="GE42" s="124"/>
      <c r="GF42" s="124"/>
      <c r="GG42" s="124"/>
      <c r="GH42" s="124"/>
      <c r="GI42" s="124"/>
      <c r="GJ42" s="124"/>
      <c r="GK42" s="124"/>
      <c r="GL42" s="124"/>
      <c r="GM42" s="124"/>
      <c r="GN42" s="124"/>
      <c r="GO42" s="124"/>
      <c r="GP42" s="124"/>
      <c r="GQ42" s="124"/>
      <c r="GR42" s="124"/>
      <c r="GS42" s="124"/>
      <c r="GT42" s="124"/>
      <c r="GU42" s="124"/>
      <c r="GV42" s="124"/>
      <c r="GW42" s="124"/>
      <c r="GX42" s="124"/>
      <c r="GY42" s="124"/>
      <c r="GZ42" s="124"/>
      <c r="HA42" s="124"/>
      <c r="HB42" s="124"/>
      <c r="HC42" s="124"/>
      <c r="HD42" s="124"/>
      <c r="HE42" s="124"/>
      <c r="HF42" s="124"/>
      <c r="HG42" s="124"/>
      <c r="HH42" s="124"/>
      <c r="HI42" s="124"/>
      <c r="HJ42" s="124"/>
      <c r="HK42" s="124"/>
      <c r="HL42" s="124"/>
      <c r="HM42" s="124"/>
      <c r="HN42" s="124"/>
      <c r="HO42" s="124"/>
      <c r="HP42" s="124"/>
      <c r="HQ42" s="124"/>
      <c r="HR42" s="124"/>
      <c r="HS42" s="124"/>
      <c r="HT42" s="124"/>
      <c r="HU42" s="124"/>
      <c r="HV42" s="124"/>
      <c r="HW42" s="124"/>
      <c r="HX42" s="124"/>
      <c r="HY42" s="124"/>
      <c r="HZ42" s="124"/>
      <c r="IA42" s="124"/>
      <c r="IB42" s="124"/>
      <c r="IC42" s="124"/>
      <c r="ID42" s="124"/>
      <c r="IE42" s="124"/>
      <c r="IF42" s="124"/>
      <c r="IG42" s="124"/>
      <c r="IH42" s="124"/>
      <c r="II42" s="124"/>
      <c r="IJ42" s="124"/>
      <c r="IK42" s="124"/>
      <c r="IL42" s="124"/>
      <c r="IM42" s="124"/>
      <c r="IN42" s="124"/>
      <c r="IO42" s="124"/>
      <c r="IP42" s="124"/>
      <c r="IQ42" s="124"/>
      <c r="IR42" s="124"/>
      <c r="IS42" s="124"/>
      <c r="IT42" s="124"/>
      <c r="IU42" s="124"/>
      <c r="IV42" s="124"/>
      <c r="IW42" s="124"/>
      <c r="IX42" s="124"/>
    </row>
    <row r="43" spans="1:258" s="125" customFormat="1">
      <c r="A43" s="127">
        <v>19</v>
      </c>
      <c r="B43" s="112">
        <v>46020</v>
      </c>
      <c r="C43" s="132" t="s">
        <v>55</v>
      </c>
      <c r="D43" s="117">
        <f>3293+5793+10282</f>
        <v>19368</v>
      </c>
      <c r="E43" s="115">
        <v>3</v>
      </c>
      <c r="F43" s="116">
        <f t="shared" si="12"/>
        <v>6456</v>
      </c>
      <c r="G43" s="115">
        <v>3</v>
      </c>
      <c r="H43" s="116">
        <f t="shared" si="13"/>
        <v>6456</v>
      </c>
      <c r="I43" s="115"/>
      <c r="J43" s="117">
        <f t="shared" si="14"/>
        <v>1</v>
      </c>
      <c r="K43" s="115"/>
      <c r="L43" s="115"/>
      <c r="M43" s="115"/>
      <c r="N43" s="115"/>
      <c r="O43" s="115"/>
      <c r="P43" s="118"/>
      <c r="Q43" s="99" t="str">
        <f t="shared" si="15"/>
        <v/>
      </c>
      <c r="R43" s="119">
        <f t="shared" si="16"/>
        <v>0.24503947330638939</v>
      </c>
      <c r="S43" s="120">
        <f t="shared" si="17"/>
        <v>79040.32659988165</v>
      </c>
      <c r="T43" s="121">
        <f t="shared" si="18"/>
        <v>9.6508335286790778</v>
      </c>
      <c r="U43" s="121">
        <f t="shared" si="19"/>
        <v>5.7445437670708799</v>
      </c>
      <c r="V43" s="120">
        <f t="shared" si="20"/>
        <v>19368</v>
      </c>
      <c r="W43" s="121">
        <f t="shared" si="21"/>
        <v>3</v>
      </c>
      <c r="X43" s="121">
        <f t="shared" si="22"/>
        <v>3</v>
      </c>
      <c r="Y43" s="122">
        <v>1.2</v>
      </c>
      <c r="Z43" s="122">
        <v>1.2</v>
      </c>
      <c r="AA43" s="123"/>
      <c r="AB43" s="123"/>
      <c r="AC43" s="131"/>
      <c r="AD43" s="124"/>
      <c r="AE43" s="124"/>
      <c r="AF43" s="124"/>
      <c r="AG43" s="124"/>
      <c r="AH43" s="124"/>
      <c r="AI43" s="124"/>
      <c r="AJ43" s="124"/>
      <c r="AK43" s="124"/>
      <c r="AL43" s="124"/>
      <c r="AM43" s="124"/>
      <c r="AN43" s="124"/>
      <c r="AO43" s="124"/>
      <c r="AP43" s="124"/>
      <c r="AQ43" s="124"/>
      <c r="AR43" s="124"/>
      <c r="AS43" s="124"/>
      <c r="AT43" s="124"/>
      <c r="AU43" s="124"/>
      <c r="AV43" s="124"/>
      <c r="AW43" s="124"/>
      <c r="AX43" s="124"/>
      <c r="AY43" s="124"/>
      <c r="AZ43" s="124"/>
      <c r="BA43" s="124"/>
      <c r="BB43" s="124"/>
      <c r="BC43" s="124"/>
      <c r="BD43" s="124"/>
      <c r="BE43" s="124"/>
      <c r="BF43" s="124"/>
      <c r="BG43" s="124"/>
      <c r="BH43" s="124"/>
      <c r="BI43" s="124"/>
      <c r="BJ43" s="124"/>
      <c r="BK43" s="124"/>
      <c r="BL43" s="124"/>
      <c r="BM43" s="124"/>
      <c r="BN43" s="124"/>
      <c r="BO43" s="124"/>
      <c r="BP43" s="124"/>
      <c r="BQ43" s="124"/>
      <c r="BR43" s="124"/>
      <c r="BS43" s="124"/>
      <c r="BT43" s="124"/>
      <c r="BU43" s="124"/>
      <c r="BV43" s="124"/>
      <c r="BW43" s="124"/>
      <c r="BX43" s="124"/>
      <c r="BY43" s="124"/>
      <c r="BZ43" s="124"/>
      <c r="CA43" s="124"/>
      <c r="CB43" s="124"/>
      <c r="CC43" s="124"/>
      <c r="CD43" s="124"/>
      <c r="CE43" s="124"/>
      <c r="CF43" s="124"/>
      <c r="CG43" s="124"/>
      <c r="CH43" s="124"/>
      <c r="CI43" s="124"/>
      <c r="CJ43" s="124"/>
      <c r="CK43" s="124"/>
      <c r="CL43" s="124"/>
      <c r="CM43" s="124"/>
      <c r="CN43" s="124"/>
      <c r="CO43" s="124"/>
      <c r="CP43" s="124"/>
      <c r="CQ43" s="124"/>
      <c r="CR43" s="124"/>
      <c r="CS43" s="124"/>
      <c r="CT43" s="124"/>
      <c r="CU43" s="124"/>
      <c r="CV43" s="124"/>
      <c r="CW43" s="124"/>
      <c r="CX43" s="124"/>
      <c r="CY43" s="124"/>
      <c r="CZ43" s="124"/>
      <c r="DA43" s="124"/>
      <c r="DB43" s="124"/>
      <c r="DC43" s="124"/>
      <c r="DD43" s="124"/>
      <c r="DE43" s="124"/>
      <c r="DF43" s="124"/>
      <c r="DG43" s="124"/>
      <c r="DH43" s="124"/>
      <c r="DI43" s="124"/>
      <c r="DJ43" s="124"/>
      <c r="DK43" s="124"/>
      <c r="DL43" s="124"/>
      <c r="DM43" s="124"/>
      <c r="DN43" s="124"/>
      <c r="DO43" s="124"/>
      <c r="DP43" s="124"/>
      <c r="DQ43" s="124"/>
      <c r="DR43" s="124"/>
      <c r="DS43" s="124"/>
      <c r="DT43" s="124"/>
      <c r="DU43" s="124"/>
      <c r="DV43" s="124"/>
      <c r="DW43" s="124"/>
      <c r="DX43" s="124"/>
      <c r="DY43" s="124"/>
      <c r="DZ43" s="124"/>
      <c r="EA43" s="124"/>
      <c r="EB43" s="124"/>
      <c r="EC43" s="124"/>
      <c r="ED43" s="124"/>
      <c r="EE43" s="124"/>
      <c r="EF43" s="124"/>
      <c r="EG43" s="124"/>
      <c r="EH43" s="124"/>
      <c r="EI43" s="124"/>
      <c r="EJ43" s="124"/>
      <c r="EK43" s="124"/>
      <c r="EL43" s="124"/>
      <c r="EM43" s="124"/>
      <c r="EN43" s="124"/>
      <c r="EO43" s="124"/>
      <c r="EP43" s="124"/>
      <c r="EQ43" s="124"/>
      <c r="ER43" s="124"/>
      <c r="ES43" s="124"/>
      <c r="ET43" s="124"/>
      <c r="EU43" s="124"/>
      <c r="EV43" s="124"/>
      <c r="EW43" s="124"/>
      <c r="EX43" s="124"/>
      <c r="EY43" s="124"/>
      <c r="EZ43" s="124"/>
      <c r="FA43" s="124"/>
      <c r="FB43" s="124"/>
      <c r="FC43" s="124"/>
      <c r="FD43" s="124"/>
      <c r="FE43" s="124"/>
      <c r="FF43" s="124"/>
      <c r="FG43" s="124"/>
      <c r="FH43" s="124"/>
      <c r="FI43" s="124"/>
      <c r="FJ43" s="124"/>
      <c r="FK43" s="124"/>
      <c r="FL43" s="124"/>
      <c r="FM43" s="124"/>
      <c r="FN43" s="124"/>
      <c r="FO43" s="124"/>
      <c r="FP43" s="124"/>
      <c r="FQ43" s="124"/>
      <c r="FR43" s="124"/>
      <c r="FS43" s="124"/>
      <c r="FT43" s="124"/>
      <c r="FU43" s="124"/>
      <c r="FV43" s="124"/>
      <c r="FW43" s="124"/>
      <c r="FX43" s="124"/>
      <c r="FY43" s="124"/>
      <c r="FZ43" s="124"/>
      <c r="GA43" s="124"/>
      <c r="GB43" s="124"/>
      <c r="GC43" s="124"/>
      <c r="GD43" s="124"/>
      <c r="GE43" s="124"/>
      <c r="GF43" s="124"/>
      <c r="GG43" s="124"/>
      <c r="GH43" s="124"/>
      <c r="GI43" s="124"/>
      <c r="GJ43" s="124"/>
      <c r="GK43" s="124"/>
      <c r="GL43" s="124"/>
      <c r="GM43" s="124"/>
      <c r="GN43" s="124"/>
      <c r="GO43" s="124"/>
      <c r="GP43" s="124"/>
      <c r="GQ43" s="124"/>
      <c r="GR43" s="124"/>
      <c r="GS43" s="124"/>
      <c r="GT43" s="124"/>
      <c r="GU43" s="124"/>
      <c r="GV43" s="124"/>
      <c r="GW43" s="124"/>
      <c r="GX43" s="124"/>
      <c r="GY43" s="124"/>
      <c r="GZ43" s="124"/>
      <c r="HA43" s="124"/>
      <c r="HB43" s="124"/>
      <c r="HC43" s="124"/>
      <c r="HD43" s="124"/>
      <c r="HE43" s="124"/>
      <c r="HF43" s="124"/>
      <c r="HG43" s="124"/>
      <c r="HH43" s="124"/>
      <c r="HI43" s="124"/>
      <c r="HJ43" s="124"/>
      <c r="HK43" s="124"/>
      <c r="HL43" s="124"/>
      <c r="HM43" s="124"/>
      <c r="HN43" s="124"/>
      <c r="HO43" s="124"/>
      <c r="HP43" s="124"/>
      <c r="HQ43" s="124"/>
      <c r="HR43" s="124"/>
      <c r="HS43" s="124"/>
      <c r="HT43" s="124"/>
      <c r="HU43" s="124"/>
      <c r="HV43" s="124"/>
      <c r="HW43" s="124"/>
      <c r="HX43" s="124"/>
      <c r="HY43" s="124"/>
      <c r="HZ43" s="124"/>
      <c r="IA43" s="124"/>
      <c r="IB43" s="124"/>
      <c r="IC43" s="124"/>
      <c r="ID43" s="124"/>
      <c r="IE43" s="124"/>
      <c r="IF43" s="124"/>
      <c r="IG43" s="124"/>
      <c r="IH43" s="124"/>
      <c r="II43" s="124"/>
      <c r="IJ43" s="124"/>
      <c r="IK43" s="124"/>
      <c r="IL43" s="124"/>
      <c r="IM43" s="124"/>
      <c r="IN43" s="124"/>
      <c r="IO43" s="124"/>
      <c r="IP43" s="124"/>
      <c r="IQ43" s="124"/>
      <c r="IR43" s="124"/>
      <c r="IS43" s="124"/>
      <c r="IT43" s="124"/>
      <c r="IU43" s="124"/>
      <c r="IV43" s="124"/>
      <c r="IW43" s="124"/>
      <c r="IX43" s="124"/>
    </row>
    <row r="44" spans="1:258" s="125" customFormat="1" ht="15" customHeight="1">
      <c r="A44" s="111">
        <v>20</v>
      </c>
      <c r="B44" s="112">
        <v>46021</v>
      </c>
      <c r="C44" s="130" t="s">
        <v>57</v>
      </c>
      <c r="D44" s="117">
        <f>2793+19377</f>
        <v>22170</v>
      </c>
      <c r="E44" s="115">
        <v>4</v>
      </c>
      <c r="F44" s="116">
        <f t="shared" si="12"/>
        <v>5542.5</v>
      </c>
      <c r="G44" s="115">
        <v>2</v>
      </c>
      <c r="H44" s="116">
        <f t="shared" si="13"/>
        <v>11085</v>
      </c>
      <c r="I44" s="115"/>
      <c r="J44" s="117">
        <f t="shared" si="14"/>
        <v>2</v>
      </c>
      <c r="K44" s="115"/>
      <c r="L44" s="115"/>
      <c r="M44" s="115"/>
      <c r="N44" s="115"/>
      <c r="O44" s="115"/>
      <c r="P44" s="118"/>
      <c r="Q44" s="99" t="str">
        <f t="shared" si="15"/>
        <v/>
      </c>
      <c r="R44" s="119">
        <f t="shared" si="16"/>
        <v>0.28048973168126051</v>
      </c>
      <c r="S44" s="120">
        <f t="shared" si="17"/>
        <v>79040.32659988165</v>
      </c>
      <c r="T44" s="121">
        <f t="shared" si="18"/>
        <v>9.6508335286790778</v>
      </c>
      <c r="U44" s="121">
        <f t="shared" si="19"/>
        <v>5.7445437670708799</v>
      </c>
      <c r="V44" s="120">
        <f t="shared" si="20"/>
        <v>22170</v>
      </c>
      <c r="W44" s="121">
        <f t="shared" si="21"/>
        <v>4</v>
      </c>
      <c r="X44" s="121">
        <f t="shared" si="22"/>
        <v>2</v>
      </c>
      <c r="Y44" s="122">
        <v>1.2</v>
      </c>
      <c r="Z44" s="122">
        <v>1.2</v>
      </c>
      <c r="AA44" s="123"/>
      <c r="AB44" s="123"/>
      <c r="AC44" s="131"/>
      <c r="AD44" s="124"/>
      <c r="AE44" s="124"/>
      <c r="AF44" s="124"/>
      <c r="AG44" s="124"/>
      <c r="AH44" s="124"/>
      <c r="AI44" s="124"/>
      <c r="AJ44" s="124"/>
      <c r="AK44" s="124"/>
      <c r="AL44" s="124"/>
      <c r="AM44" s="124"/>
      <c r="AN44" s="124"/>
      <c r="AO44" s="124"/>
      <c r="AP44" s="124"/>
      <c r="AQ44" s="124"/>
      <c r="AR44" s="124"/>
      <c r="AS44" s="124"/>
      <c r="AT44" s="124"/>
      <c r="AU44" s="124"/>
      <c r="AV44" s="124"/>
      <c r="AW44" s="124"/>
      <c r="AX44" s="124"/>
      <c r="AY44" s="124"/>
      <c r="AZ44" s="124"/>
      <c r="BA44" s="124"/>
      <c r="BB44" s="124"/>
      <c r="BC44" s="124"/>
      <c r="BD44" s="124"/>
      <c r="BE44" s="124"/>
      <c r="BF44" s="124"/>
      <c r="BG44" s="124"/>
      <c r="BH44" s="124"/>
      <c r="BI44" s="124"/>
      <c r="BJ44" s="124"/>
      <c r="BK44" s="124"/>
      <c r="BL44" s="124"/>
      <c r="BM44" s="124"/>
      <c r="BN44" s="124"/>
      <c r="BO44" s="124"/>
      <c r="BP44" s="124"/>
      <c r="BQ44" s="124"/>
      <c r="BR44" s="124"/>
      <c r="BS44" s="124"/>
      <c r="BT44" s="124"/>
      <c r="BU44" s="124"/>
      <c r="BV44" s="124"/>
      <c r="BW44" s="124"/>
      <c r="BX44" s="124"/>
      <c r="BY44" s="124"/>
      <c r="BZ44" s="124"/>
      <c r="CA44" s="124"/>
      <c r="CB44" s="124"/>
      <c r="CC44" s="124"/>
      <c r="CD44" s="124"/>
      <c r="CE44" s="124"/>
      <c r="CF44" s="124"/>
      <c r="CG44" s="124"/>
      <c r="CH44" s="124"/>
      <c r="CI44" s="124"/>
      <c r="CJ44" s="124"/>
      <c r="CK44" s="124"/>
      <c r="CL44" s="124"/>
      <c r="CM44" s="124"/>
      <c r="CN44" s="124"/>
      <c r="CO44" s="124"/>
      <c r="CP44" s="124"/>
      <c r="CQ44" s="124"/>
      <c r="CR44" s="124"/>
      <c r="CS44" s="124"/>
      <c r="CT44" s="124"/>
      <c r="CU44" s="124"/>
      <c r="CV44" s="124"/>
      <c r="CW44" s="124"/>
      <c r="CX44" s="124"/>
      <c r="CY44" s="124"/>
      <c r="CZ44" s="124"/>
      <c r="DA44" s="124"/>
      <c r="DB44" s="124"/>
      <c r="DC44" s="124"/>
      <c r="DD44" s="124"/>
      <c r="DE44" s="124"/>
      <c r="DF44" s="124"/>
      <c r="DG44" s="124"/>
      <c r="DH44" s="124"/>
      <c r="DI44" s="124"/>
      <c r="DJ44" s="124"/>
      <c r="DK44" s="124"/>
      <c r="DL44" s="124"/>
      <c r="DM44" s="124"/>
      <c r="DN44" s="124"/>
      <c r="DO44" s="124"/>
      <c r="DP44" s="124"/>
      <c r="DQ44" s="124"/>
      <c r="DR44" s="124"/>
      <c r="DS44" s="124"/>
      <c r="DT44" s="124"/>
      <c r="DU44" s="124"/>
      <c r="DV44" s="124"/>
      <c r="DW44" s="124"/>
      <c r="DX44" s="124"/>
      <c r="DY44" s="124"/>
      <c r="DZ44" s="124"/>
      <c r="EA44" s="124"/>
      <c r="EB44" s="124"/>
      <c r="EC44" s="124"/>
      <c r="ED44" s="124"/>
      <c r="EE44" s="124"/>
      <c r="EF44" s="124"/>
      <c r="EG44" s="124"/>
      <c r="EH44" s="124"/>
      <c r="EI44" s="124"/>
      <c r="EJ44" s="124"/>
      <c r="EK44" s="124"/>
      <c r="EL44" s="124"/>
      <c r="EM44" s="124"/>
      <c r="EN44" s="124"/>
      <c r="EO44" s="124"/>
      <c r="EP44" s="124"/>
      <c r="EQ44" s="124"/>
      <c r="ER44" s="124"/>
      <c r="ES44" s="124"/>
      <c r="ET44" s="124"/>
      <c r="EU44" s="124"/>
      <c r="EV44" s="124"/>
      <c r="EW44" s="124"/>
      <c r="EX44" s="124"/>
      <c r="EY44" s="124"/>
      <c r="EZ44" s="124"/>
      <c r="FA44" s="124"/>
      <c r="FB44" s="124"/>
      <c r="FC44" s="124"/>
      <c r="FD44" s="124"/>
      <c r="FE44" s="124"/>
      <c r="FF44" s="124"/>
      <c r="FG44" s="124"/>
      <c r="FH44" s="124"/>
      <c r="FI44" s="124"/>
      <c r="FJ44" s="124"/>
      <c r="FK44" s="124"/>
      <c r="FL44" s="124"/>
      <c r="FM44" s="124"/>
      <c r="FN44" s="124"/>
      <c r="FO44" s="124"/>
      <c r="FP44" s="124"/>
      <c r="FQ44" s="124"/>
      <c r="FR44" s="124"/>
      <c r="FS44" s="124"/>
      <c r="FT44" s="124"/>
      <c r="FU44" s="124"/>
      <c r="FV44" s="124"/>
      <c r="FW44" s="124"/>
      <c r="FX44" s="124"/>
      <c r="FY44" s="124"/>
      <c r="FZ44" s="124"/>
      <c r="GA44" s="124"/>
      <c r="GB44" s="124"/>
      <c r="GC44" s="124"/>
      <c r="GD44" s="124"/>
      <c r="GE44" s="124"/>
      <c r="GF44" s="124"/>
      <c r="GG44" s="124"/>
      <c r="GH44" s="124"/>
      <c r="GI44" s="124"/>
      <c r="GJ44" s="124"/>
      <c r="GK44" s="124"/>
      <c r="GL44" s="124"/>
      <c r="GM44" s="124"/>
      <c r="GN44" s="124"/>
      <c r="GO44" s="124"/>
      <c r="GP44" s="124"/>
      <c r="GQ44" s="124"/>
      <c r="GR44" s="124"/>
      <c r="GS44" s="124"/>
      <c r="GT44" s="124"/>
      <c r="GU44" s="124"/>
      <c r="GV44" s="124"/>
      <c r="GW44" s="124"/>
      <c r="GX44" s="124"/>
      <c r="GY44" s="124"/>
      <c r="GZ44" s="124"/>
      <c r="HA44" s="124"/>
      <c r="HB44" s="124"/>
      <c r="HC44" s="124"/>
      <c r="HD44" s="124"/>
      <c r="HE44" s="124"/>
      <c r="HF44" s="124"/>
      <c r="HG44" s="124"/>
      <c r="HH44" s="124"/>
      <c r="HI44" s="124"/>
      <c r="HJ44" s="124"/>
      <c r="HK44" s="124"/>
      <c r="HL44" s="124"/>
      <c r="HM44" s="124"/>
      <c r="HN44" s="124"/>
      <c r="HO44" s="124"/>
      <c r="HP44" s="124"/>
      <c r="HQ44" s="124"/>
      <c r="HR44" s="124"/>
      <c r="HS44" s="124"/>
      <c r="HT44" s="124"/>
      <c r="HU44" s="124"/>
      <c r="HV44" s="124"/>
      <c r="HW44" s="124"/>
      <c r="HX44" s="124"/>
      <c r="HY44" s="124"/>
      <c r="HZ44" s="124"/>
      <c r="IA44" s="124"/>
      <c r="IB44" s="124"/>
      <c r="IC44" s="124"/>
      <c r="ID44" s="124"/>
      <c r="IE44" s="124"/>
      <c r="IF44" s="124"/>
      <c r="IG44" s="124"/>
      <c r="IH44" s="124"/>
      <c r="II44" s="124"/>
      <c r="IJ44" s="124"/>
      <c r="IK44" s="124"/>
      <c r="IL44" s="124"/>
      <c r="IM44" s="124"/>
      <c r="IN44" s="124"/>
      <c r="IO44" s="124"/>
      <c r="IP44" s="124"/>
      <c r="IQ44" s="124"/>
      <c r="IR44" s="124"/>
      <c r="IS44" s="124"/>
      <c r="IT44" s="124"/>
      <c r="IU44" s="124"/>
      <c r="IV44" s="124"/>
      <c r="IW44" s="124"/>
      <c r="IX44" s="124"/>
    </row>
    <row r="45" spans="1:258" s="125" customFormat="1" ht="15" customHeight="1">
      <c r="A45" s="127">
        <v>21</v>
      </c>
      <c r="B45" s="112">
        <v>46022</v>
      </c>
      <c r="C45" s="132" t="s">
        <v>59</v>
      </c>
      <c r="D45" s="117">
        <f>7293+5293</f>
        <v>12586</v>
      </c>
      <c r="E45" s="115">
        <v>2</v>
      </c>
      <c r="F45" s="116">
        <f t="shared" si="12"/>
        <v>6293</v>
      </c>
      <c r="G45" s="115">
        <v>2</v>
      </c>
      <c r="H45" s="116">
        <f t="shared" si="13"/>
        <v>6293</v>
      </c>
      <c r="I45" s="115"/>
      <c r="J45" s="117">
        <f t="shared" si="14"/>
        <v>1</v>
      </c>
      <c r="K45" s="115"/>
      <c r="L45" s="115"/>
      <c r="M45" s="115"/>
      <c r="N45" s="115"/>
      <c r="O45" s="115"/>
      <c r="P45" s="118"/>
      <c r="Q45" s="99" t="str">
        <f t="shared" si="15"/>
        <v/>
      </c>
      <c r="R45" s="119">
        <f t="shared" si="16"/>
        <v>0.22929864766053659</v>
      </c>
      <c r="S45" s="120">
        <f t="shared" si="17"/>
        <v>54889.115694362255</v>
      </c>
      <c r="T45" s="121">
        <f t="shared" si="18"/>
        <v>6.7019677282493602</v>
      </c>
      <c r="U45" s="121">
        <f t="shared" si="19"/>
        <v>3.9892665049103337</v>
      </c>
      <c r="V45" s="120">
        <f t="shared" si="20"/>
        <v>12586</v>
      </c>
      <c r="W45" s="121">
        <f t="shared" si="21"/>
        <v>2</v>
      </c>
      <c r="X45" s="121">
        <f t="shared" si="22"/>
        <v>2</v>
      </c>
      <c r="Y45" s="122">
        <v>1</v>
      </c>
      <c r="Z45" s="122">
        <v>1</v>
      </c>
      <c r="AA45" s="123"/>
      <c r="AB45" s="123"/>
      <c r="AC45" s="124"/>
      <c r="AD45" s="124"/>
      <c r="AE45" s="124"/>
      <c r="AF45" s="124"/>
      <c r="AG45" s="124"/>
      <c r="AH45" s="124"/>
      <c r="AI45" s="124"/>
      <c r="AJ45" s="124"/>
      <c r="AK45" s="124"/>
      <c r="AL45" s="124"/>
      <c r="AM45" s="124"/>
    </row>
    <row r="46" spans="1:258" s="321" customFormat="1">
      <c r="A46" s="322"/>
      <c r="B46" s="92">
        <v>46006</v>
      </c>
      <c r="C46" s="93" t="s">
        <v>55</v>
      </c>
      <c r="D46" s="323">
        <v>17075</v>
      </c>
      <c r="E46" s="324">
        <v>3</v>
      </c>
      <c r="F46" s="325">
        <f t="shared" si="12"/>
        <v>5691.666666666667</v>
      </c>
      <c r="G46" s="326">
        <v>1</v>
      </c>
      <c r="H46" s="327">
        <f t="shared" si="13"/>
        <v>17075</v>
      </c>
      <c r="I46" s="328">
        <v>1</v>
      </c>
      <c r="J46" s="329">
        <f t="shared" si="14"/>
        <v>3</v>
      </c>
      <c r="K46" s="327"/>
      <c r="L46" s="327"/>
      <c r="M46" s="327"/>
      <c r="N46" s="327"/>
      <c r="O46" s="327"/>
      <c r="P46" s="327"/>
      <c r="Q46" s="330">
        <f t="shared" si="15"/>
        <v>1</v>
      </c>
      <c r="R46" s="331" t="e">
        <f t="shared" si="16"/>
        <v>#DIV/0!</v>
      </c>
      <c r="S46" s="332">
        <f t="shared" ref="S46:S47" si="23">$I$8*Y46*Z46/SUMPRODUCT($Z$25:$Z$46,$Y$25:$Y$46)</f>
        <v>0</v>
      </c>
      <c r="T46" s="333">
        <f t="shared" ref="T46:T47" si="24">$I$9*Y46*Z46/SUMPRODUCT($Z$25:$Z$46,$Y$25:$Y$46)</f>
        <v>0</v>
      </c>
      <c r="U46" s="333">
        <f t="shared" si="19"/>
        <v>0</v>
      </c>
      <c r="V46" s="332" t="str">
        <f>IF(Z46&lt;&gt;"",IF(D46&lt;&gt;"",D46,($I$8-SUM($V$25:V45))*Y46*Z46/SUMPRODUCT($Z46:$Z$46,$Y46:$Y$46)),"")</f>
        <v/>
      </c>
      <c r="W46" s="333" t="str">
        <f>IF(Z46&lt;&gt;"",IF(E46&lt;&gt;"",E46,($I$9-SUM($W$25:W39))*Y46*Z46/SUMPRODUCT($Z46:$Z$46,$Y46:$Y$46)),"")</f>
        <v/>
      </c>
      <c r="X46" s="333" t="str">
        <f>IF(Z46&lt;&gt;"",IF($I$12&lt;&gt;"",IF(G46&lt;&gt;"",G46,($I$9/$I$12-SUM($X$25:X39))*Y46*Z46/SUMPRODUCT($Z46:$Z$46,$Y46:$Y$46)),""),"")</f>
        <v/>
      </c>
      <c r="Y46" s="334"/>
      <c r="Z46" s="334"/>
      <c r="AA46" s="335"/>
      <c r="AB46" s="336"/>
    </row>
    <row r="47" spans="1:258" s="90" customFormat="1">
      <c r="A47" s="337"/>
      <c r="B47" s="92">
        <v>46000</v>
      </c>
      <c r="C47" s="93" t="s">
        <v>57</v>
      </c>
      <c r="D47" s="275">
        <v>4391</v>
      </c>
      <c r="E47" s="270">
        <v>2</v>
      </c>
      <c r="F47" s="254">
        <f t="shared" si="12"/>
        <v>2195.5</v>
      </c>
      <c r="G47" s="270">
        <v>1</v>
      </c>
      <c r="H47" s="254">
        <f t="shared" si="13"/>
        <v>4391</v>
      </c>
      <c r="I47" s="338">
        <v>1</v>
      </c>
      <c r="J47" s="97">
        <f t="shared" si="14"/>
        <v>2</v>
      </c>
      <c r="K47" s="96"/>
      <c r="L47" s="96"/>
      <c r="M47" s="96"/>
      <c r="N47" s="96"/>
      <c r="O47" s="96"/>
      <c r="P47" s="96"/>
      <c r="Q47" s="339">
        <f t="shared" si="15"/>
        <v>1</v>
      </c>
      <c r="R47" s="340" t="e">
        <f t="shared" si="16"/>
        <v>#DIV/0!</v>
      </c>
      <c r="S47" s="101">
        <f t="shared" si="23"/>
        <v>0</v>
      </c>
      <c r="T47" s="102">
        <f t="shared" si="24"/>
        <v>0</v>
      </c>
      <c r="U47" s="102">
        <f t="shared" si="19"/>
        <v>0</v>
      </c>
      <c r="V47" s="101" t="str">
        <f>IF(Z47&lt;&gt;"",IF(D47&lt;&gt;"",D47,($I$8-SUM($V$25:V46))*Y47*Z47/SUMPRODUCT($Z$47:$Z47,$Y$47:$Y47)),"")</f>
        <v/>
      </c>
      <c r="W47" s="102" t="str">
        <f>IF(Z47&lt;&gt;"",IF(E47&lt;&gt;"",E47,($I$9-SUM(#REF!))*Y47*Z47/SUMPRODUCT($Z$47:$Z47,$Y$47:$Y47)),"")</f>
        <v/>
      </c>
      <c r="X47" s="102" t="str">
        <f>IF(Z47&lt;&gt;"",IF($I$12&lt;&gt;"",IF(G47&lt;&gt;"",G47,($I$9/$I$12-SUM(#REF!))*Y47*Z47/SUMPRODUCT($Z$47:$Z47,$Y$47:$Y47)),""),"")</f>
        <v/>
      </c>
      <c r="Y47" s="341"/>
      <c r="Z47" s="341"/>
      <c r="AA47" s="342"/>
      <c r="AB47" s="342"/>
    </row>
    <row r="48" spans="1:258" ht="15" customHeight="1">
      <c r="B48" s="860" t="s">
        <v>84</v>
      </c>
      <c r="C48" s="860"/>
      <c r="D48" s="298">
        <f>SUM(D25:D47)</f>
        <v>460812.37</v>
      </c>
      <c r="E48" s="298">
        <f>SUM(E25:E47)</f>
        <v>65</v>
      </c>
      <c r="F48" s="298">
        <f t="shared" si="12"/>
        <v>7089.4210769230767</v>
      </c>
      <c r="G48" s="298">
        <f>SUM(G25:G47)</f>
        <v>41</v>
      </c>
      <c r="H48" s="298">
        <f t="shared" si="13"/>
        <v>11239.326097560976</v>
      </c>
      <c r="I48" s="298">
        <f>SUM(I25:I47)</f>
        <v>524</v>
      </c>
      <c r="J48" s="299">
        <f t="shared" si="14"/>
        <v>1.5853658536585367</v>
      </c>
      <c r="K48" s="298">
        <f>SUM(K25:K47)</f>
        <v>82018</v>
      </c>
      <c r="L48" s="298"/>
      <c r="M48" s="298"/>
      <c r="N48" s="298"/>
      <c r="O48" s="298">
        <f>SUM(O25:O47)</f>
        <v>0</v>
      </c>
      <c r="P48" s="298">
        <f>SUM(P25:P47)</f>
        <v>0</v>
      </c>
      <c r="Q48" s="135">
        <f t="shared" si="15"/>
        <v>7.8244274809160311E-2</v>
      </c>
      <c r="R48" s="300">
        <f t="shared" si="16"/>
        <v>0.37639352897954215</v>
      </c>
      <c r="S48" s="301">
        <f t="shared" ref="S48:X48" si="25">SUM(S25:S47)</f>
        <v>1224283.4547377306</v>
      </c>
      <c r="T48" s="301">
        <f t="shared" si="25"/>
        <v>151.75890778238468</v>
      </c>
      <c r="U48" s="301">
        <f t="shared" si="25"/>
        <v>89.951730822848049</v>
      </c>
      <c r="V48" s="301">
        <f t="shared" si="25"/>
        <v>427944.37</v>
      </c>
      <c r="W48" s="301">
        <f t="shared" si="25"/>
        <v>59</v>
      </c>
      <c r="X48" s="301">
        <f t="shared" si="25"/>
        <v>39</v>
      </c>
      <c r="Y48" s="302"/>
      <c r="Z48" s="302"/>
    </row>
    <row r="49" spans="2:20">
      <c r="B49" s="138"/>
      <c r="C49" s="139"/>
      <c r="D49" s="140">
        <f>SUMIF(D25:D47,"",S25:S47)+D48</f>
        <v>460812.37</v>
      </c>
      <c r="E49" s="141"/>
      <c r="F49" s="139"/>
      <c r="G49" s="139"/>
      <c r="H49" s="142"/>
      <c r="I49" s="143"/>
      <c r="J49" s="142"/>
      <c r="O49" s="144"/>
      <c r="P49" s="141"/>
      <c r="Q49" s="144"/>
      <c r="R49" s="144"/>
      <c r="S49" s="144"/>
      <c r="T49" s="145"/>
    </row>
    <row r="50" spans="2:20">
      <c r="D50" s="147"/>
    </row>
    <row r="52" spans="2:20">
      <c r="D52" s="147"/>
    </row>
    <row r="53" spans="2:20">
      <c r="D53" s="147"/>
    </row>
  </sheetData>
  <mergeCells count="28">
    <mergeCell ref="S22:Z22"/>
    <mergeCell ref="B48:C48"/>
    <mergeCell ref="F18:H18"/>
    <mergeCell ref="F19:H19"/>
    <mergeCell ref="F20:H20"/>
    <mergeCell ref="B22:Q22"/>
    <mergeCell ref="R22:R24"/>
    <mergeCell ref="F14:H14"/>
    <mergeCell ref="F15:H15"/>
    <mergeCell ref="F16:H16"/>
    <mergeCell ref="S16:S17"/>
    <mergeCell ref="F17:H17"/>
    <mergeCell ref="F9:H9"/>
    <mergeCell ref="F10:H10"/>
    <mergeCell ref="F11:H11"/>
    <mergeCell ref="F12:H12"/>
    <mergeCell ref="F13:H13"/>
    <mergeCell ref="J5:Q5"/>
    <mergeCell ref="F6:Q6"/>
    <mergeCell ref="F7:H7"/>
    <mergeCell ref="P7:Q7"/>
    <mergeCell ref="F8:H8"/>
    <mergeCell ref="B1:C1"/>
    <mergeCell ref="T1:W4"/>
    <mergeCell ref="B2:C2"/>
    <mergeCell ref="J2:S2"/>
    <mergeCell ref="J3:Q4"/>
    <mergeCell ref="C4:D4"/>
  </mergeCells>
  <conditionalFormatting sqref="J16">
    <cfRule type="cellIs" dxfId="168" priority="367" operator="greaterThan">
      <formula>0</formula>
    </cfRule>
    <cfRule type="cellIs" dxfId="167" priority="366" operator="lessThan">
      <formula>0</formula>
    </cfRule>
  </conditionalFormatting>
  <conditionalFormatting sqref="J25:J47">
    <cfRule type="cellIs" dxfId="166" priority="3" operator="lessThan">
      <formula>$I$12</formula>
    </cfRule>
    <cfRule type="cellIs" dxfId="165" priority="4" operator="greaterThan">
      <formula>$I$12</formula>
    </cfRule>
  </conditionalFormatting>
  <conditionalFormatting sqref="J33:J36">
    <cfRule type="cellIs" dxfId="164" priority="393" operator="lessThan">
      <formula>$I$12</formula>
    </cfRule>
  </conditionalFormatting>
  <conditionalFormatting sqref="K10:K12">
    <cfRule type="cellIs" dxfId="163" priority="37" operator="greaterThan">
      <formula>1</formula>
    </cfRule>
    <cfRule type="cellIs" dxfId="162" priority="36" operator="lessThan">
      <formula>1</formula>
    </cfRule>
  </conditionalFormatting>
  <conditionalFormatting sqref="K15">
    <cfRule type="cellIs" dxfId="161" priority="39" operator="greaterThan">
      <formula>1</formula>
    </cfRule>
    <cfRule type="cellIs" dxfId="160" priority="38" operator="lessThan">
      <formula>1</formula>
    </cfRule>
  </conditionalFormatting>
  <conditionalFormatting sqref="K20">
    <cfRule type="cellIs" dxfId="159" priority="12" operator="lessThan">
      <formula>1</formula>
    </cfRule>
    <cfRule type="cellIs" dxfId="158" priority="13" operator="greaterThan">
      <formula>1</formula>
    </cfRule>
  </conditionalFormatting>
  <conditionalFormatting sqref="M9:M15">
    <cfRule type="cellIs" dxfId="157" priority="41" operator="greaterThan">
      <formula>1</formula>
    </cfRule>
    <cfRule type="cellIs" dxfId="156" priority="40" operator="lessThan">
      <formula>1</formula>
    </cfRule>
  </conditionalFormatting>
  <conditionalFormatting sqref="P10:Q10">
    <cfRule type="cellIs" dxfId="155" priority="368" operator="lessThan">
      <formula>0</formula>
    </cfRule>
  </conditionalFormatting>
  <conditionalFormatting sqref="Q25:Q36 Q46:Q47">
    <cfRule type="cellIs" dxfId="154" priority="24" operator="lessThan">
      <formula>0.2</formula>
    </cfRule>
  </conditionalFormatting>
  <conditionalFormatting sqref="Q25:Q36">
    <cfRule type="cellIs" dxfId="153" priority="23" operator="greaterThanOrEqual">
      <formula>0.25</formula>
    </cfRule>
    <cfRule type="cellIs" dxfId="152" priority="22" operator="between">
      <formula>0.2</formula>
      <formula>0.25</formula>
    </cfRule>
  </conditionalFormatting>
  <conditionalFormatting sqref="Q33:Q35">
    <cfRule type="cellIs" dxfId="151" priority="399" operator="between">
      <formula>0.2</formula>
      <formula>0.25</formula>
    </cfRule>
  </conditionalFormatting>
  <conditionalFormatting sqref="Q37:Q45">
    <cfRule type="cellIs" dxfId="150" priority="1" operator="lessThan">
      <formula>$I$20</formula>
    </cfRule>
    <cfRule type="cellIs" dxfId="149" priority="11" operator="lessThan">
      <formula>$I$20</formula>
    </cfRule>
    <cfRule type="cellIs" dxfId="148" priority="2" operator="greaterThan">
      <formula>$I$20</formula>
    </cfRule>
  </conditionalFormatting>
  <conditionalFormatting sqref="Q46:Q47">
    <cfRule type="cellIs" dxfId="147" priority="147" operator="between">
      <formula>0.2</formula>
      <formula>0.25</formula>
    </cfRule>
    <cfRule type="cellIs" dxfId="146" priority="148" operator="greaterThanOrEqual">
      <formula>0.25</formula>
    </cfRule>
  </conditionalFormatting>
  <conditionalFormatting sqref="R25:R32">
    <cfRule type="cellIs" dxfId="145" priority="20" operator="between">
      <formula>0.85</formula>
      <formula>1</formula>
    </cfRule>
    <cfRule type="cellIs" dxfId="144" priority="17" operator="lessThan">
      <formula>0.9</formula>
    </cfRule>
    <cfRule type="cellIs" dxfId="143" priority="16" operator="between">
      <formula>0.9001</formula>
      <formula>0.9999</formula>
    </cfRule>
  </conditionalFormatting>
  <conditionalFormatting sqref="R25:R36">
    <cfRule type="cellIs" dxfId="142" priority="21" operator="between">
      <formula>0.01</formula>
      <formula>0.99</formula>
    </cfRule>
  </conditionalFormatting>
  <conditionalFormatting sqref="R25:R47">
    <cfRule type="cellIs" dxfId="141" priority="8" operator="greaterThan">
      <formula>100</formula>
    </cfRule>
    <cfRule type="cellIs" dxfId="140" priority="7" operator="greaterThan">
      <formula>1</formula>
    </cfRule>
  </conditionalFormatting>
  <conditionalFormatting sqref="R33:R35">
    <cfRule type="cellIs" dxfId="139" priority="403" operator="between">
      <formula>0.85</formula>
      <formula>1</formula>
    </cfRule>
    <cfRule type="cellIs" dxfId="138" priority="409" operator="lessThan">
      <formula>0.9</formula>
    </cfRule>
    <cfRule type="cellIs" dxfId="137" priority="411" operator="between">
      <formula>0.9001</formula>
      <formula>0.9999</formula>
    </cfRule>
  </conditionalFormatting>
  <conditionalFormatting sqref="R35:R45">
    <cfRule type="cellIs" dxfId="136" priority="6" operator="lessThan">
      <formula>0.9</formula>
    </cfRule>
    <cfRule type="cellIs" dxfId="135" priority="5" operator="between">
      <formula>0.9001</formula>
      <formula>0.9999</formula>
    </cfRule>
  </conditionalFormatting>
  <conditionalFormatting sqref="R36:R46">
    <cfRule type="cellIs" dxfId="134" priority="9" operator="between">
      <formula>0.85</formula>
      <formula>1</formula>
    </cfRule>
  </conditionalFormatting>
  <conditionalFormatting sqref="R37:R46">
    <cfRule type="cellIs" dxfId="133" priority="10" operator="between">
      <formula>0.01</formula>
      <formula>0.99</formula>
    </cfRule>
  </conditionalFormatting>
  <conditionalFormatting sqref="R46:R47">
    <cfRule type="cellIs" dxfId="132" priority="359" operator="between">
      <formula>0.9001</formula>
      <formula>0.9999</formula>
    </cfRule>
    <cfRule type="cellIs" dxfId="131" priority="360" operator="lessThan">
      <formula>0.9</formula>
    </cfRule>
  </conditionalFormatting>
  <conditionalFormatting sqref="R47">
    <cfRule type="cellIs" dxfId="130" priority="362" operator="between">
      <formula>0.85</formula>
      <formula>1</formula>
    </cfRule>
    <cfRule type="cellIs" dxfId="129" priority="363" operator="between">
      <formula>0.01</formula>
      <formula>0.99</formula>
    </cfRule>
  </conditionalFormatting>
  <dataValidations count="1">
    <dataValidation type="decimal" allowBlank="1" showErrorMessage="1" sqref="I8:J13 L10:L11 I14" xr:uid="{00E1008D-00F9-489A-8AFF-00F300E60022}">
      <formula1>0</formula1>
      <formula2>1000000000000000</formula2>
    </dataValidation>
  </dataValidations>
  <printOptions gridLines="1"/>
  <pageMargins left="0.7" right="0.7" top="0.75" bottom="0.75" header="0.51200000000000001" footer="0.51200000000000001"/>
  <pageSetup paperSize="9" firstPageNumber="0" fitToHeight="0" orientation="landscape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DBDBDB"/>
    <pageSetUpPr fitToPage="1"/>
  </sheetPr>
  <dimension ref="A1:IX53"/>
  <sheetViews>
    <sheetView showGridLines="0" showZeros="0" zoomScale="89" workbookViewId="0">
      <selection activeCell="N51" sqref="N51"/>
    </sheetView>
  </sheetViews>
  <sheetFormatPr baseColWidth="10" defaultColWidth="9.1640625" defaultRowHeight="15"/>
  <cols>
    <col min="1" max="1" width="4" style="1" customWidth="1"/>
    <col min="2" max="2" width="10.33203125" style="1" customWidth="1"/>
    <col min="3" max="3" width="10.83203125" style="1" customWidth="1"/>
    <col min="4" max="4" width="10.33203125" style="1" customWidth="1"/>
    <col min="5" max="5" width="10.1640625" style="1" customWidth="1"/>
    <col min="6" max="6" width="11.33203125" style="1" customWidth="1"/>
    <col min="7" max="7" width="9.83203125" style="1" customWidth="1"/>
    <col min="8" max="8" width="9.5" style="1" customWidth="1"/>
    <col min="9" max="9" width="11" style="1" customWidth="1"/>
    <col min="10" max="10" width="8.83203125" style="1" customWidth="1"/>
    <col min="11" max="14" width="12.6640625" style="1" customWidth="1"/>
    <col min="15" max="15" width="10.1640625" style="1" customWidth="1"/>
    <col min="16" max="16" width="10.83203125" style="1" customWidth="1"/>
    <col min="17" max="17" width="14.5" style="1" customWidth="1"/>
    <col min="18" max="18" width="12.83203125" style="1" customWidth="1"/>
    <col min="19" max="19" width="10.33203125" style="1" customWidth="1"/>
    <col min="20" max="21" width="11.33203125" style="1" customWidth="1"/>
    <col min="22" max="22" width="11" style="1" customWidth="1"/>
    <col min="23" max="23" width="9.5" style="1" customWidth="1"/>
    <col min="24" max="24" width="9.1640625" style="1"/>
    <col min="25" max="26" width="10.5" style="1" customWidth="1"/>
    <col min="27" max="36" width="9.1640625" style="1"/>
    <col min="37" max="258" width="9.1640625" style="2"/>
  </cols>
  <sheetData>
    <row r="1" spans="2:26" ht="15.75" customHeight="1">
      <c r="B1" s="780">
        <f ca="1">TODAY()-1</f>
        <v>46031</v>
      </c>
      <c r="C1" s="780"/>
      <c r="D1" s="3"/>
      <c r="E1" s="3"/>
      <c r="F1" s="4"/>
      <c r="G1" s="4"/>
      <c r="H1" s="4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781"/>
      <c r="U1" s="781"/>
      <c r="V1" s="781"/>
      <c r="W1" s="781"/>
      <c r="X1" s="4"/>
      <c r="Y1" s="4"/>
      <c r="Z1" s="4"/>
    </row>
    <row r="2" spans="2:26" ht="21.75" customHeight="1">
      <c r="B2" s="782" t="s">
        <v>0</v>
      </c>
      <c r="C2" s="782"/>
      <c r="D2" s="3"/>
      <c r="E2" s="3"/>
      <c r="F2" s="4"/>
      <c r="G2" s="4"/>
      <c r="H2" s="4"/>
      <c r="I2" s="4"/>
      <c r="J2" s="853" t="s">
        <v>1</v>
      </c>
      <c r="K2" s="853"/>
      <c r="L2" s="853"/>
      <c r="M2" s="853"/>
      <c r="N2" s="853"/>
      <c r="O2" s="853"/>
      <c r="P2" s="853"/>
      <c r="Q2" s="853"/>
      <c r="R2" s="853"/>
      <c r="S2" s="853"/>
      <c r="T2" s="781"/>
      <c r="U2" s="781"/>
      <c r="V2" s="781"/>
      <c r="W2" s="781"/>
      <c r="X2" s="4"/>
      <c r="Y2" s="4"/>
      <c r="Z2" s="4"/>
    </row>
    <row r="3" spans="2:26" ht="14" customHeight="1">
      <c r="B3" s="7" t="s">
        <v>2</v>
      </c>
      <c r="C3" s="3"/>
      <c r="D3" s="3"/>
      <c r="E3" s="3"/>
      <c r="F3" s="4"/>
      <c r="G3" s="4"/>
      <c r="H3" s="4"/>
      <c r="I3" s="4"/>
      <c r="J3" s="854" t="str">
        <f>График!B27</f>
        <v>Свидовская София</v>
      </c>
      <c r="K3" s="854"/>
      <c r="L3" s="854"/>
      <c r="M3" s="854"/>
      <c r="N3" s="854"/>
      <c r="O3" s="854"/>
      <c r="P3" s="854"/>
      <c r="Q3" s="854"/>
      <c r="R3" s="5"/>
      <c r="S3" s="8"/>
      <c r="T3" s="781"/>
      <c r="U3" s="781"/>
      <c r="V3" s="781"/>
      <c r="W3" s="781"/>
      <c r="X3" s="4"/>
      <c r="Y3" s="4"/>
      <c r="Z3" s="4"/>
    </row>
    <row r="4" spans="2:26" ht="15" customHeight="1">
      <c r="B4" s="3"/>
      <c r="C4" s="855">
        <f>I8-D48</f>
        <v>570288.89269461087</v>
      </c>
      <c r="D4" s="855"/>
      <c r="E4" s="226">
        <f>IF(I8&lt;&gt;0,C4/I8,0)</f>
        <v>0.46431260025524507</v>
      </c>
      <c r="F4" s="4"/>
      <c r="G4" s="4"/>
      <c r="H4" s="4"/>
      <c r="I4" s="4"/>
      <c r="J4" s="854"/>
      <c r="K4" s="854"/>
      <c r="L4" s="854"/>
      <c r="M4" s="854"/>
      <c r="N4" s="854"/>
      <c r="O4" s="854"/>
      <c r="P4" s="854"/>
      <c r="Q4" s="854"/>
      <c r="R4" s="4"/>
      <c r="S4" s="4"/>
      <c r="T4" s="781"/>
      <c r="U4" s="781"/>
      <c r="V4" s="781"/>
      <c r="W4" s="781"/>
      <c r="X4" s="4"/>
      <c r="Y4" s="4"/>
      <c r="Z4" s="4"/>
    </row>
    <row r="5" spans="2:26">
      <c r="B5" s="4"/>
      <c r="C5" s="4"/>
      <c r="D5" s="4"/>
      <c r="E5" s="4"/>
      <c r="F5" s="4"/>
      <c r="G5" s="4"/>
      <c r="H5" s="4"/>
      <c r="I5" s="4"/>
      <c r="J5" s="791"/>
      <c r="K5" s="791"/>
      <c r="L5" s="791"/>
      <c r="M5" s="791"/>
      <c r="N5" s="791"/>
      <c r="O5" s="791"/>
      <c r="P5" s="791"/>
      <c r="Q5" s="791"/>
      <c r="R5" s="4"/>
      <c r="S5" s="4"/>
      <c r="T5" s="4"/>
      <c r="U5" s="4"/>
      <c r="V5" s="4"/>
      <c r="W5" s="4"/>
      <c r="X5" s="4"/>
      <c r="Y5" s="4"/>
      <c r="Z5" s="4"/>
    </row>
    <row r="6" spans="2:26" ht="15.75" customHeight="1">
      <c r="B6" s="11"/>
      <c r="C6" s="4"/>
      <c r="D6" s="4"/>
      <c r="E6" s="4"/>
      <c r="F6" s="793" t="s">
        <v>4</v>
      </c>
      <c r="G6" s="794"/>
      <c r="H6" s="794"/>
      <c r="I6" s="794"/>
      <c r="J6" s="794"/>
      <c r="K6" s="794"/>
      <c r="L6" s="794"/>
      <c r="M6" s="794"/>
      <c r="N6" s="794"/>
      <c r="O6" s="794"/>
      <c r="P6" s="794"/>
      <c r="Q6" s="794"/>
      <c r="R6" s="12"/>
      <c r="S6" s="12"/>
      <c r="T6" s="4"/>
      <c r="U6" s="12"/>
      <c r="V6" s="12"/>
      <c r="W6" s="4"/>
      <c r="X6" s="4"/>
      <c r="Y6" s="4"/>
      <c r="Z6" s="4"/>
    </row>
    <row r="7" spans="2:26" ht="50.75" customHeight="1">
      <c r="B7" s="11"/>
      <c r="C7" s="4"/>
      <c r="D7" s="4"/>
      <c r="E7" s="13"/>
      <c r="F7" s="856" t="s">
        <v>5</v>
      </c>
      <c r="G7" s="856"/>
      <c r="H7" s="856"/>
      <c r="I7" s="14" t="s">
        <v>6</v>
      </c>
      <c r="J7" s="15" t="s">
        <v>7</v>
      </c>
      <c r="K7" s="16" t="s">
        <v>8</v>
      </c>
      <c r="L7" s="17" t="s">
        <v>9</v>
      </c>
      <c r="M7" s="17" t="s">
        <v>10</v>
      </c>
      <c r="N7" s="18" t="s">
        <v>11</v>
      </c>
      <c r="O7" s="18" t="s">
        <v>12</v>
      </c>
      <c r="P7" s="857" t="s">
        <v>13</v>
      </c>
      <c r="Q7" s="857"/>
      <c r="R7" s="12"/>
      <c r="S7" s="12"/>
      <c r="T7" s="4"/>
      <c r="U7" s="4"/>
      <c r="V7" s="4"/>
      <c r="W7" s="4"/>
    </row>
    <row r="8" spans="2:26" ht="15.75" customHeight="1">
      <c r="B8" s="11"/>
      <c r="C8" s="4"/>
      <c r="D8" s="4"/>
      <c r="E8" s="4"/>
      <c r="F8" s="802" t="s">
        <v>14</v>
      </c>
      <c r="G8" s="802"/>
      <c r="H8" s="802"/>
      <c r="I8" s="227">
        <f>Центрум!I8/График!AJ29*График!AJ27</f>
        <v>1228243.4126946109</v>
      </c>
      <c r="J8" s="21">
        <f>D48</f>
        <v>657954.52</v>
      </c>
      <c r="K8" s="228">
        <f t="shared" ref="K8:K19" si="0">IF(AND(I8&lt;&gt;"",I8&lt;&gt;0,J8&lt;&gt;""),J8/I8,"")</f>
        <v>0.53568739974475488</v>
      </c>
      <c r="L8" s="23">
        <f>IF(SUMIF($D$25:$D$47,"&gt;=0",$S$25:$S$47)&lt;&gt;0,I8*D48/SUMIF($D$25:$D$47,"&gt;=0",$S$25:$S$47),0)</f>
        <v>679082.15312044125</v>
      </c>
      <c r="M8" s="229">
        <f>L8/I8</f>
        <v>0.55288890304782567</v>
      </c>
      <c r="N8" s="25">
        <f t="shared" ref="N8:N9" si="1">IF(AND(J8&lt;&gt;0,J8&lt;&gt;"",I8&lt;&gt;0,I8&lt;&gt;""),L8-I8,"")</f>
        <v>-549161.25957416964</v>
      </c>
      <c r="O8" s="26"/>
      <c r="P8" s="25" t="str">
        <f t="shared" ref="P8:P9" si="2">IF(AND(O8&lt;&gt;"",O8&lt;&gt;0,L8&lt;&gt;"",L8&lt;&gt;0),-O8+L8,"")</f>
        <v/>
      </c>
      <c r="Q8" s="28" t="str">
        <f t="shared" ref="Q8:Q9" si="3">IF(AND(P8&lt;&gt;"",P8&lt;&gt;0,O8&lt;&gt;0,O8&lt;&gt;""),P8/O8,"")</f>
        <v/>
      </c>
      <c r="R8" s="12"/>
      <c r="S8" s="12"/>
      <c r="T8" s="4"/>
      <c r="U8" s="4"/>
      <c r="V8" s="4"/>
      <c r="W8" s="4"/>
    </row>
    <row r="9" spans="2:26" ht="15.75" customHeight="1">
      <c r="B9" s="11"/>
      <c r="C9" s="4"/>
      <c r="D9" s="4"/>
      <c r="E9" s="4"/>
      <c r="F9" s="801" t="s">
        <v>15</v>
      </c>
      <c r="G9" s="801"/>
      <c r="H9" s="801"/>
      <c r="I9" s="29">
        <f>I8/I11</f>
        <v>149.96867065868264</v>
      </c>
      <c r="J9" s="30">
        <f>E48</f>
        <v>88</v>
      </c>
      <c r="K9" s="230">
        <f t="shared" si="0"/>
        <v>0.58678922479936724</v>
      </c>
      <c r="L9" s="57">
        <f>IF(SUMIF($E$25:$E$47,"&gt;=0",$T$25:$T$47)&lt;&gt;0,I9*E48/SUMIF($E$25:$E$47,"&gt;=0",$T$25:$T$47),0)</f>
        <v>89.426400553905225</v>
      </c>
      <c r="M9" s="231">
        <f>IF(AND(I9&lt;&gt;"",I9&lt;&gt;0,L9&lt;&gt;"",L9&lt;&gt;0),L9/I9,"")</f>
        <v>0.59630054838208812</v>
      </c>
      <c r="N9" s="34">
        <f t="shared" si="1"/>
        <v>-60.542270104777415</v>
      </c>
      <c r="O9" s="35" t="e">
        <f>O8/O11</f>
        <v>#DIV/0!</v>
      </c>
      <c r="P9" s="34" t="e">
        <f t="shared" si="2"/>
        <v>#DIV/0!</v>
      </c>
      <c r="Q9" s="37" t="e">
        <f t="shared" si="3"/>
        <v>#DIV/0!</v>
      </c>
      <c r="R9" s="12"/>
      <c r="S9" s="12"/>
      <c r="T9" s="4"/>
      <c r="U9" s="4"/>
      <c r="V9" s="4"/>
      <c r="W9" s="4"/>
    </row>
    <row r="10" spans="2:26" ht="15.75" customHeight="1">
      <c r="B10" s="11"/>
      <c r="C10" s="4"/>
      <c r="D10" s="4"/>
      <c r="E10" s="4"/>
      <c r="F10" s="802" t="s">
        <v>16</v>
      </c>
      <c r="G10" s="802"/>
      <c r="H10" s="802"/>
      <c r="I10" s="38">
        <f>I11*I12</f>
        <v>13759.199999999999</v>
      </c>
      <c r="J10" s="39">
        <f>H48</f>
        <v>11749.187857142857</v>
      </c>
      <c r="K10" s="232">
        <f t="shared" si="0"/>
        <v>0.85391504281810404</v>
      </c>
      <c r="L10" s="57">
        <f t="shared" ref="L10:L12" si="4">J10</f>
        <v>11749.187857142857</v>
      </c>
      <c r="M10" s="233">
        <f t="shared" ref="M10:M20" si="5">IF(AND(I10&lt;&gt;"",I10&lt;&gt;0,L10&lt;&gt;"",L10&lt;&gt;0),L10/I10,"")</f>
        <v>0.85391504281810404</v>
      </c>
      <c r="N10" s="42">
        <f t="shared" ref="N10:N20" si="6">IF(AND(J10&lt;&gt;0,J10&lt;&gt;"",I10&lt;&gt;0,I10&lt;&gt;""),L10-I10,"")</f>
        <v>-2010.012142857142</v>
      </c>
      <c r="O10" s="38">
        <f>O11*O12</f>
        <v>0</v>
      </c>
      <c r="P10" s="42" t="str">
        <f t="shared" ref="P10:P20" si="7">IF(AND(O10&lt;&gt;"",O10&lt;&gt;0,L10&lt;&gt;"",L10&lt;&gt;0),-O10+L10,"")</f>
        <v/>
      </c>
      <c r="Q10" s="44" t="str">
        <f t="shared" ref="Q10:Q20" si="8">IF(AND(P10&lt;&gt;"",P10&lt;&gt;0,O10&lt;&gt;0,O10&lt;&gt;""),P10/O10,"")</f>
        <v/>
      </c>
      <c r="R10" s="12"/>
      <c r="S10" s="12"/>
      <c r="T10" s="4"/>
      <c r="U10" s="4"/>
      <c r="V10" s="4"/>
      <c r="W10" s="4"/>
    </row>
    <row r="11" spans="2:26" ht="15.75" customHeight="1">
      <c r="B11" s="11"/>
      <c r="C11" s="4"/>
      <c r="D11" s="4"/>
      <c r="E11" s="4"/>
      <c r="F11" s="801" t="s">
        <v>17</v>
      </c>
      <c r="G11" s="801"/>
      <c r="H11" s="801"/>
      <c r="I11" s="45">
        <f>Центрум!I11</f>
        <v>8190</v>
      </c>
      <c r="J11" s="30">
        <f>F48</f>
        <v>7476.755909090909</v>
      </c>
      <c r="K11" s="230">
        <f t="shared" si="0"/>
        <v>0.91291280941280939</v>
      </c>
      <c r="L11" s="57">
        <f t="shared" si="4"/>
        <v>7476.755909090909</v>
      </c>
      <c r="M11" s="231">
        <f t="shared" si="5"/>
        <v>0.91291280941280939</v>
      </c>
      <c r="N11" s="34">
        <f t="shared" si="6"/>
        <v>-713.24409090909103</v>
      </c>
      <c r="O11" s="46"/>
      <c r="P11" s="34" t="str">
        <f t="shared" si="7"/>
        <v/>
      </c>
      <c r="Q11" s="37" t="str">
        <f t="shared" si="8"/>
        <v/>
      </c>
      <c r="R11" s="12"/>
      <c r="S11" s="4"/>
      <c r="T11" s="4"/>
      <c r="U11" s="4"/>
      <c r="V11" s="4"/>
      <c r="W11" s="4"/>
    </row>
    <row r="12" spans="2:26" ht="15.75" customHeight="1">
      <c r="B12" s="11"/>
      <c r="C12" s="4"/>
      <c r="D12" s="4"/>
      <c r="E12" s="4"/>
      <c r="F12" s="801" t="s">
        <v>18</v>
      </c>
      <c r="G12" s="801"/>
      <c r="H12" s="801"/>
      <c r="I12" s="47">
        <f>Центрум!I12</f>
        <v>1.68</v>
      </c>
      <c r="J12" s="48">
        <f>J48</f>
        <v>1.5714285714285714</v>
      </c>
      <c r="K12" s="230">
        <f t="shared" si="0"/>
        <v>0.93537414965986398</v>
      </c>
      <c r="L12" s="57">
        <f t="shared" si="4"/>
        <v>1.5714285714285714</v>
      </c>
      <c r="M12" s="231">
        <f t="shared" si="5"/>
        <v>0.93537414965986398</v>
      </c>
      <c r="N12" s="50">
        <f t="shared" si="6"/>
        <v>-0.10857142857142854</v>
      </c>
      <c r="O12" s="51"/>
      <c r="P12" s="34" t="str">
        <f t="shared" si="7"/>
        <v/>
      </c>
      <c r="Q12" s="37" t="str">
        <f t="shared" si="8"/>
        <v/>
      </c>
      <c r="R12" s="12"/>
      <c r="S12" s="4"/>
      <c r="T12" s="4"/>
      <c r="U12" s="4"/>
      <c r="V12" s="4"/>
      <c r="W12" s="4"/>
    </row>
    <row r="13" spans="2:26" ht="15.75" customHeight="1">
      <c r="B13" s="11"/>
      <c r="C13" s="4"/>
      <c r="D13" s="4"/>
      <c r="E13" s="4"/>
      <c r="F13" s="801" t="s">
        <v>19</v>
      </c>
      <c r="G13" s="801"/>
      <c r="H13" s="801"/>
      <c r="I13" s="29">
        <f>IF(I12&lt;&gt;0,I9/I12,"")</f>
        <v>89.267065868263487</v>
      </c>
      <c r="J13" s="30">
        <f>G48</f>
        <v>56</v>
      </c>
      <c r="K13" s="230">
        <f t="shared" si="0"/>
        <v>0.62733102578550526</v>
      </c>
      <c r="L13" s="57">
        <f>IF(SUMIF($G$25:$G$47,"&gt;=0",$U$25:$U$47)&lt;&gt;0,I13*G48/SUMIF($G$25:$G$47,"&gt;=0",$U$25:$U$47),"")</f>
        <v>57.155577824483991</v>
      </c>
      <c r="M13" s="231">
        <f t="shared" si="5"/>
        <v>0.64027620117851469</v>
      </c>
      <c r="N13" s="50">
        <f t="shared" si="6"/>
        <v>-32.111488043779495</v>
      </c>
      <c r="O13" s="52"/>
      <c r="P13" s="34" t="str">
        <f t="shared" si="7"/>
        <v/>
      </c>
      <c r="Q13" s="37" t="str">
        <f t="shared" si="8"/>
        <v/>
      </c>
      <c r="R13" s="12"/>
      <c r="S13" s="4"/>
      <c r="T13" s="4"/>
      <c r="U13" s="4"/>
      <c r="V13" s="4"/>
      <c r="W13" s="4"/>
    </row>
    <row r="14" spans="2:26" ht="15.75" customHeight="1">
      <c r="B14" s="11"/>
      <c r="C14" s="4"/>
      <c r="D14" s="4"/>
      <c r="E14" s="4"/>
      <c r="F14" s="801" t="s">
        <v>97</v>
      </c>
      <c r="G14" s="801"/>
      <c r="H14" s="801"/>
      <c r="I14" s="45">
        <f>График!AI27</f>
        <v>21</v>
      </c>
      <c r="J14" s="53">
        <v>21</v>
      </c>
      <c r="K14" s="230">
        <f t="shared" si="0"/>
        <v>1</v>
      </c>
      <c r="L14" s="57">
        <f>IF(SUMIF($D$25:$D$47,"&gt;=0",$S$25:$S$47),I48*I8/SUMIF($D$25:$D$47,"&gt;=0",$S$25:$S$47),"")</f>
        <v>551.14731906745715</v>
      </c>
      <c r="M14" s="231"/>
      <c r="N14" s="34">
        <f t="shared" si="6"/>
        <v>530.14731906745715</v>
      </c>
      <c r="O14" s="52"/>
      <c r="P14" s="34" t="str">
        <f t="shared" si="7"/>
        <v/>
      </c>
      <c r="Q14" s="37" t="str">
        <f t="shared" si="8"/>
        <v/>
      </c>
      <c r="R14" s="12"/>
      <c r="S14" s="54"/>
      <c r="T14" s="4"/>
      <c r="U14" s="4"/>
      <c r="V14" s="4"/>
      <c r="W14" s="4"/>
    </row>
    <row r="15" spans="2:26" ht="15.75" customHeight="1">
      <c r="B15" s="11"/>
      <c r="C15" s="4"/>
      <c r="D15" s="4"/>
      <c r="E15" s="4"/>
      <c r="F15" s="801" t="s">
        <v>21</v>
      </c>
      <c r="G15" s="801"/>
      <c r="H15" s="801"/>
      <c r="I15" s="234">
        <f>Центрум!I15</f>
        <v>196534.63741935484</v>
      </c>
      <c r="J15" s="62">
        <f>J8/J14</f>
        <v>31331.167619047621</v>
      </c>
      <c r="K15" s="235">
        <f t="shared" si="0"/>
        <v>0.15941804472966714</v>
      </c>
      <c r="L15" s="63">
        <f t="shared" ref="L15:L16" si="9">J15</f>
        <v>31331.167619047621</v>
      </c>
      <c r="M15" s="231">
        <f t="shared" si="5"/>
        <v>0.15941804472966714</v>
      </c>
      <c r="N15" s="34">
        <f t="shared" si="6"/>
        <v>-165203.46980030721</v>
      </c>
      <c r="O15" s="65"/>
      <c r="P15" s="34" t="str">
        <f t="shared" si="7"/>
        <v/>
      </c>
      <c r="Q15" s="37" t="str">
        <f t="shared" si="8"/>
        <v/>
      </c>
      <c r="R15" s="12"/>
      <c r="S15" s="12"/>
      <c r="T15" s="4"/>
      <c r="U15" s="4"/>
      <c r="V15" s="4"/>
      <c r="W15" s="4"/>
    </row>
    <row r="16" spans="2:26" ht="15.75" customHeight="1">
      <c r="B16" s="11"/>
      <c r="C16" s="4"/>
      <c r="D16" s="4"/>
      <c r="E16" s="4"/>
      <c r="F16" s="801" t="s">
        <v>22</v>
      </c>
      <c r="G16" s="801"/>
      <c r="H16" s="801"/>
      <c r="I16" s="234"/>
      <c r="J16" s="62">
        <f>J8-I15*J14</f>
        <v>-3469272.8658064515</v>
      </c>
      <c r="K16" s="235" t="str">
        <f t="shared" si="0"/>
        <v/>
      </c>
      <c r="L16" s="63">
        <f t="shared" si="9"/>
        <v>-3469272.8658064515</v>
      </c>
      <c r="M16" s="236" t="str">
        <f t="shared" si="5"/>
        <v/>
      </c>
      <c r="N16" s="34" t="str">
        <f t="shared" si="6"/>
        <v/>
      </c>
      <c r="O16" s="65"/>
      <c r="P16" s="34" t="str">
        <f t="shared" si="7"/>
        <v/>
      </c>
      <c r="Q16" s="37" t="str">
        <f t="shared" si="8"/>
        <v/>
      </c>
      <c r="R16" s="12"/>
      <c r="S16" s="858" t="s">
        <v>23</v>
      </c>
      <c r="T16" s="4"/>
      <c r="U16" s="4"/>
      <c r="V16" s="4"/>
      <c r="W16" s="4"/>
    </row>
    <row r="17" spans="1:258" ht="15.75" customHeight="1">
      <c r="B17" s="11"/>
      <c r="C17" s="4"/>
      <c r="D17" s="4"/>
      <c r="E17" s="4"/>
      <c r="F17" s="801" t="s">
        <v>24</v>
      </c>
      <c r="G17" s="801"/>
      <c r="H17" s="801"/>
      <c r="I17" s="234">
        <f>Центрум!I17/График!AJ29*График!AJ27</f>
        <v>725.74850299401191</v>
      </c>
      <c r="J17" s="62">
        <f>I48</f>
        <v>534</v>
      </c>
      <c r="K17" s="235">
        <f t="shared" si="0"/>
        <v>0.73579207920792089</v>
      </c>
      <c r="L17" s="63">
        <f>J17/J14*I14</f>
        <v>534</v>
      </c>
      <c r="M17" s="236">
        <f t="shared" si="5"/>
        <v>0.73579207920792089</v>
      </c>
      <c r="N17" s="34">
        <f t="shared" si="6"/>
        <v>-191.74850299401191</v>
      </c>
      <c r="O17" s="65"/>
      <c r="P17" s="34" t="str">
        <f t="shared" si="7"/>
        <v/>
      </c>
      <c r="Q17" s="37" t="str">
        <f t="shared" si="8"/>
        <v/>
      </c>
      <c r="R17" s="12"/>
      <c r="S17" s="858"/>
      <c r="T17" s="4"/>
      <c r="U17" s="4"/>
      <c r="V17" s="4"/>
      <c r="W17" s="4"/>
    </row>
    <row r="18" spans="1:258" ht="15.75" customHeight="1">
      <c r="B18" s="11"/>
      <c r="C18" s="4"/>
      <c r="D18" s="4"/>
      <c r="E18" s="4"/>
      <c r="F18" s="801"/>
      <c r="G18" s="801"/>
      <c r="H18" s="801"/>
      <c r="I18" s="61"/>
      <c r="J18" s="62"/>
      <c r="K18" s="235" t="str">
        <f t="shared" si="0"/>
        <v/>
      </c>
      <c r="L18" s="63">
        <f t="shared" ref="L18:L19" si="10">J18</f>
        <v>0</v>
      </c>
      <c r="M18" s="236" t="str">
        <f t="shared" si="5"/>
        <v/>
      </c>
      <c r="N18" s="34" t="str">
        <f t="shared" si="6"/>
        <v/>
      </c>
      <c r="O18" s="237">
        <v>0</v>
      </c>
      <c r="P18" s="34" t="str">
        <f t="shared" si="7"/>
        <v/>
      </c>
      <c r="Q18" s="37" t="str">
        <f t="shared" si="8"/>
        <v/>
      </c>
      <c r="R18" s="12"/>
      <c r="S18" s="60"/>
      <c r="T18" s="4"/>
      <c r="U18" s="4"/>
      <c r="V18" s="4"/>
      <c r="W18" s="4"/>
    </row>
    <row r="19" spans="1:258" ht="15.75" customHeight="1">
      <c r="B19" s="11"/>
      <c r="C19" s="4"/>
      <c r="D19" s="4"/>
      <c r="E19" s="4"/>
      <c r="F19" s="801"/>
      <c r="G19" s="801"/>
      <c r="H19" s="801"/>
      <c r="I19" s="61"/>
      <c r="J19" s="62"/>
      <c r="K19" s="235" t="str">
        <f t="shared" si="0"/>
        <v/>
      </c>
      <c r="L19" s="63">
        <f t="shared" si="10"/>
        <v>0</v>
      </c>
      <c r="M19" s="236" t="str">
        <f t="shared" si="5"/>
        <v/>
      </c>
      <c r="N19" s="34" t="str">
        <f t="shared" si="6"/>
        <v/>
      </c>
      <c r="O19" s="65">
        <v>0</v>
      </c>
      <c r="P19" s="34" t="str">
        <f t="shared" si="7"/>
        <v/>
      </c>
      <c r="Q19" s="37" t="str">
        <f t="shared" si="8"/>
        <v/>
      </c>
      <c r="R19" s="12"/>
      <c r="S19" s="31" t="e">
        <f>S18/I16</f>
        <v>#DIV/0!</v>
      </c>
      <c r="T19" s="4"/>
      <c r="U19" s="4"/>
      <c r="V19" s="4"/>
      <c r="W19" s="4"/>
    </row>
    <row r="20" spans="1:258" ht="15.75" customHeight="1">
      <c r="B20" s="11"/>
      <c r="C20" s="4"/>
      <c r="D20" s="4"/>
      <c r="E20" s="4"/>
      <c r="F20" s="811" t="s">
        <v>101</v>
      </c>
      <c r="G20" s="811"/>
      <c r="H20" s="811"/>
      <c r="I20" s="238">
        <f>Центрум!I20</f>
        <v>0.123</v>
      </c>
      <c r="J20" s="239">
        <f>Q48</f>
        <v>0.10486891385767791</v>
      </c>
      <c r="K20" s="67">
        <f>J20/I20</f>
        <v>0.85259279559087731</v>
      </c>
      <c r="L20" s="68">
        <f>IF(AND(K8&lt;&gt;0,I14&lt;&gt;0,I48&lt;&gt;0),(I48*Q48+(I48/K8-I48)*I20)/(I48/K8),0)</f>
        <v>0.11328740560987131</v>
      </c>
      <c r="M20" s="240">
        <f t="shared" si="5"/>
        <v>0.92103581796643341</v>
      </c>
      <c r="N20" s="70">
        <f t="shared" si="6"/>
        <v>-9.7125943901286843E-3</v>
      </c>
      <c r="O20" s="71"/>
      <c r="P20" s="72" t="str">
        <f t="shared" si="7"/>
        <v/>
      </c>
      <c r="Q20" s="74" t="str">
        <f t="shared" si="8"/>
        <v/>
      </c>
      <c r="R20" s="12"/>
      <c r="S20" s="12"/>
      <c r="T20" s="4"/>
      <c r="U20" s="4"/>
      <c r="V20" s="4"/>
      <c r="W20" s="4"/>
    </row>
    <row r="21" spans="1:258" ht="15.75" customHeight="1">
      <c r="B21" s="11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12"/>
      <c r="V21" s="12"/>
      <c r="W21" s="4"/>
      <c r="X21" s="4"/>
      <c r="Y21" s="4"/>
      <c r="Z21" s="4"/>
    </row>
    <row r="22" spans="1:258" ht="16.5" customHeight="1">
      <c r="B22" s="859" t="s">
        <v>26</v>
      </c>
      <c r="C22" s="859"/>
      <c r="D22" s="859"/>
      <c r="E22" s="859"/>
      <c r="F22" s="859"/>
      <c r="G22" s="859"/>
      <c r="H22" s="859"/>
      <c r="I22" s="859"/>
      <c r="J22" s="859"/>
      <c r="K22" s="859"/>
      <c r="L22" s="867"/>
      <c r="M22" s="867"/>
      <c r="N22" s="867"/>
      <c r="O22" s="859"/>
      <c r="P22" s="859"/>
      <c r="Q22" s="859"/>
      <c r="R22" s="861" t="s">
        <v>45</v>
      </c>
      <c r="S22" s="859" t="s">
        <v>27</v>
      </c>
      <c r="T22" s="859"/>
      <c r="U22" s="859"/>
      <c r="V22" s="859"/>
      <c r="W22" s="859"/>
      <c r="X22" s="859"/>
      <c r="Y22" s="859"/>
      <c r="Z22" s="859"/>
    </row>
    <row r="23" spans="1:258" ht="36">
      <c r="B23" s="241" t="s">
        <v>29</v>
      </c>
      <c r="C23" s="241" t="s">
        <v>30</v>
      </c>
      <c r="D23" s="241" t="s">
        <v>31</v>
      </c>
      <c r="E23" s="241" t="s">
        <v>32</v>
      </c>
      <c r="F23" s="241" t="s">
        <v>33</v>
      </c>
      <c r="G23" s="241" t="s">
        <v>34</v>
      </c>
      <c r="H23" s="241" t="s">
        <v>35</v>
      </c>
      <c r="I23" s="241" t="s">
        <v>24</v>
      </c>
      <c r="J23" s="241" t="s">
        <v>36</v>
      </c>
      <c r="K23" s="78" t="s">
        <v>37</v>
      </c>
      <c r="L23" s="78" t="s">
        <v>38</v>
      </c>
      <c r="M23" s="78" t="s">
        <v>39</v>
      </c>
      <c r="N23" s="78" t="s">
        <v>40</v>
      </c>
      <c r="O23" s="78" t="s">
        <v>41</v>
      </c>
      <c r="P23" s="242" t="s">
        <v>42</v>
      </c>
      <c r="Q23" s="241" t="s">
        <v>44</v>
      </c>
      <c r="R23" s="861"/>
      <c r="S23" s="241" t="s">
        <v>46</v>
      </c>
      <c r="T23" s="241" t="s">
        <v>47</v>
      </c>
      <c r="U23" s="241" t="s">
        <v>48</v>
      </c>
      <c r="V23" s="241" t="s">
        <v>49</v>
      </c>
      <c r="W23" s="241" t="s">
        <v>50</v>
      </c>
      <c r="X23" s="241" t="s">
        <v>51</v>
      </c>
      <c r="Y23" s="243" t="s">
        <v>52</v>
      </c>
      <c r="Z23" s="243" t="s">
        <v>53</v>
      </c>
      <c r="AA23" s="147"/>
    </row>
    <row r="24" spans="1:258">
      <c r="A24" s="244"/>
      <c r="B24" s="245">
        <v>1</v>
      </c>
      <c r="C24" s="246">
        <v>2</v>
      </c>
      <c r="D24" s="247">
        <v>3</v>
      </c>
      <c r="E24" s="247" t="s">
        <v>102</v>
      </c>
      <c r="F24" s="246">
        <v>5</v>
      </c>
      <c r="G24" s="247">
        <v>6</v>
      </c>
      <c r="H24" s="246">
        <v>7</v>
      </c>
      <c r="I24" s="247">
        <v>8</v>
      </c>
      <c r="J24" s="247">
        <v>9</v>
      </c>
      <c r="K24" s="247">
        <v>10</v>
      </c>
      <c r="L24" s="343">
        <v>11</v>
      </c>
      <c r="M24" s="343">
        <v>12</v>
      </c>
      <c r="N24" s="343">
        <v>13</v>
      </c>
      <c r="O24" s="247">
        <v>14</v>
      </c>
      <c r="P24" s="247">
        <v>15</v>
      </c>
      <c r="Q24" s="246"/>
      <c r="R24" s="861"/>
      <c r="S24" s="248">
        <v>1</v>
      </c>
      <c r="T24" s="248">
        <v>2</v>
      </c>
      <c r="U24" s="248">
        <v>3</v>
      </c>
      <c r="V24" s="248">
        <v>4</v>
      </c>
      <c r="W24" s="248">
        <v>5</v>
      </c>
      <c r="X24" s="248">
        <v>6</v>
      </c>
      <c r="Y24" s="248">
        <v>10</v>
      </c>
      <c r="Z24" s="248">
        <v>11</v>
      </c>
    </row>
    <row r="25" spans="1:258" s="90" customFormat="1">
      <c r="A25" s="128">
        <v>1</v>
      </c>
      <c r="B25" s="92">
        <v>45993</v>
      </c>
      <c r="C25" s="93" t="s">
        <v>57</v>
      </c>
      <c r="D25" s="253">
        <v>66305</v>
      </c>
      <c r="E25" s="108">
        <v>7</v>
      </c>
      <c r="F25" s="96">
        <f t="shared" ref="F25:F48" si="11">IF(AND(E25&lt;&gt;"",E25&lt;&gt;0),D25/E25,"")</f>
        <v>9472.1428571428569</v>
      </c>
      <c r="G25" s="108">
        <v>4</v>
      </c>
      <c r="H25" s="96">
        <f t="shared" ref="H25:H48" si="12">IF(AND(G25&lt;&gt;"",G25&lt;&gt;0),D25/G25,"")</f>
        <v>16576.25</v>
      </c>
      <c r="I25" s="108">
        <v>35</v>
      </c>
      <c r="J25" s="97">
        <f t="shared" ref="J25:J48" si="13">IF(AND(G25&lt;&gt;"",G25&lt;&gt;0),E25/G25,"")</f>
        <v>1.75</v>
      </c>
      <c r="K25" s="98">
        <v>30744</v>
      </c>
      <c r="L25" s="98"/>
      <c r="M25" s="98">
        <f>17684</f>
        <v>17684</v>
      </c>
      <c r="N25" s="98"/>
      <c r="O25" s="98"/>
      <c r="P25" s="344"/>
      <c r="Q25" s="345">
        <f t="shared" ref="Q25:Q43" si="14">IF(AND(I25&lt;&gt;"",I25&lt;&gt;0),G25/I25,"")</f>
        <v>0.11428571428571428</v>
      </c>
      <c r="R25" s="346">
        <f t="shared" ref="R25:R48" si="15">D25/S25</f>
        <v>1.119117436244524</v>
      </c>
      <c r="S25" s="101">
        <f t="shared" ref="S25:S37" si="16">$I$8*Y25*Z25/SUMPRODUCT($Z$25:$Z$55,$Y$25:$Y$55)</f>
        <v>59247.580148963512</v>
      </c>
      <c r="T25" s="102">
        <f t="shared" ref="T25:T37" si="17">$I$9*Y25*Z25/SUMPRODUCT($Z$25:$Z$55,$Y$25:$Y$55)</f>
        <v>7.2341367703252146</v>
      </c>
      <c r="U25" s="102">
        <f t="shared" ref="U25:U47" si="18">IF($I$12="","",T25/$I$12)</f>
        <v>4.3060337918602469</v>
      </c>
      <c r="V25" s="101">
        <f>IF(Z25&lt;&gt;"",IF(D25&lt;&gt;"",D25,($I$8-SUM($V24:V$25))*Y25*Z25/SUMPRODUCT($Z25:$Z$55,$Y25:$Y$55)),"")</f>
        <v>66305</v>
      </c>
      <c r="W25" s="102">
        <f>IF(Z25&lt;&gt;"",IF(E25&lt;&gt;"",E25,($I$9-SUM($W24:W$25))*Y25*Z25/SUMPRODUCT($Z25:$Z$55,$Y25:$Y$55)),"")</f>
        <v>7</v>
      </c>
      <c r="X25" s="102">
        <f>IF(Z25&lt;&gt;"",IF($I$12&lt;&gt;"",IF(G25&lt;&gt;"",G25,($I$9/$I$12-SUM($X24:X$25))*Y25*Z25/SUMPRODUCT($Z25:$Z$55,$Y25:$Y$55)),""),"")</f>
        <v>4</v>
      </c>
      <c r="Y25" s="312">
        <v>1</v>
      </c>
      <c r="Z25" s="312">
        <v>1</v>
      </c>
      <c r="AA25" s="105"/>
      <c r="AB25" s="105"/>
      <c r="AC25" s="251"/>
      <c r="AD25" s="104"/>
      <c r="AE25" s="104"/>
      <c r="AF25" s="104"/>
      <c r="AG25" s="104"/>
      <c r="AH25" s="104"/>
      <c r="AI25" s="104"/>
      <c r="AJ25" s="104"/>
    </row>
    <row r="26" spans="1:258" s="90" customFormat="1">
      <c r="A26" s="91">
        <v>2</v>
      </c>
      <c r="B26" s="92">
        <v>45994</v>
      </c>
      <c r="C26" s="252" t="s">
        <v>59</v>
      </c>
      <c r="D26" s="253">
        <v>0</v>
      </c>
      <c r="E26" s="108">
        <v>0</v>
      </c>
      <c r="F26" s="254" t="str">
        <f t="shared" si="11"/>
        <v/>
      </c>
      <c r="G26" s="108">
        <v>0</v>
      </c>
      <c r="H26" s="254" t="str">
        <f t="shared" si="12"/>
        <v/>
      </c>
      <c r="I26" s="108">
        <v>22</v>
      </c>
      <c r="J26" s="97" t="str">
        <f t="shared" si="13"/>
        <v/>
      </c>
      <c r="K26" s="98"/>
      <c r="L26" s="98"/>
      <c r="M26" s="98"/>
      <c r="N26" s="98"/>
      <c r="O26" s="98"/>
      <c r="P26" s="344"/>
      <c r="Q26" s="345">
        <f t="shared" si="14"/>
        <v>0</v>
      </c>
      <c r="R26" s="346">
        <f t="shared" si="15"/>
        <v>0</v>
      </c>
      <c r="S26" s="101">
        <f t="shared" si="16"/>
        <v>43119.417000076821</v>
      </c>
      <c r="T26" s="102">
        <f t="shared" si="17"/>
        <v>5.2648860805954598</v>
      </c>
      <c r="U26" s="102">
        <f t="shared" si="18"/>
        <v>3.1338607622592023</v>
      </c>
      <c r="V26" s="101">
        <f>IF(Z26&lt;&gt;"",IF(D26&lt;&gt;"",D26,($I$8-SUM($V$25:V25))*Y26*Z26/SUMPRODUCT($Z26:$Z$55,$Y26:$Y$55)),"")</f>
        <v>0</v>
      </c>
      <c r="W26" s="102">
        <f>IF(Z26&lt;&gt;"",IF(E26&lt;&gt;"",E26,($I$9-SUM($W$25:W25))*Y26*Z26/SUMPRODUCT($Z26:$Z$55,$Y26:$Y$55)),"")</f>
        <v>0</v>
      </c>
      <c r="X26" s="102">
        <f>IF(Z26&lt;&gt;"",IF($I$12&lt;&gt;"",IF(G26&lt;&gt;"",G26,($I$9/$I$12-SUM($X$25:X25))*Y26*Z26/SUMPRODUCT($Z26:$Z$55,$Y26:$Y$55)),""),"")</f>
        <v>0</v>
      </c>
      <c r="Y26" s="103">
        <v>0.85310233682514103</v>
      </c>
      <c r="Z26" s="103">
        <v>0.85310233682514103</v>
      </c>
      <c r="AA26" s="105"/>
      <c r="AB26" s="109"/>
      <c r="AC26" s="104"/>
      <c r="AD26" s="104"/>
      <c r="AE26" s="104"/>
      <c r="AF26" s="104"/>
      <c r="AG26" s="104"/>
      <c r="AH26" s="104"/>
      <c r="AI26" s="104"/>
      <c r="AJ26" s="104"/>
      <c r="AK26" s="104"/>
      <c r="AL26" s="104"/>
      <c r="AM26" s="104"/>
    </row>
    <row r="27" spans="1:258" s="125" customFormat="1">
      <c r="A27" s="127">
        <v>3</v>
      </c>
      <c r="B27" s="112">
        <v>45997</v>
      </c>
      <c r="C27" s="113" t="s">
        <v>65</v>
      </c>
      <c r="D27" s="256">
        <v>60986</v>
      </c>
      <c r="E27" s="129">
        <v>8</v>
      </c>
      <c r="F27" s="116">
        <f t="shared" si="11"/>
        <v>7623.25</v>
      </c>
      <c r="G27" s="129">
        <v>4</v>
      </c>
      <c r="H27" s="116">
        <f t="shared" si="12"/>
        <v>15246.5</v>
      </c>
      <c r="I27" s="129">
        <v>36</v>
      </c>
      <c r="J27" s="117">
        <f t="shared" si="13"/>
        <v>2</v>
      </c>
      <c r="K27" s="115"/>
      <c r="L27" s="115"/>
      <c r="M27" s="115"/>
      <c r="N27" s="115"/>
      <c r="O27" s="115">
        <f>13390+8990</f>
        <v>22380</v>
      </c>
      <c r="P27" s="347"/>
      <c r="Q27" s="345">
        <f t="shared" si="14"/>
        <v>0.1111111111111111</v>
      </c>
      <c r="R27" s="348">
        <f t="shared" si="15"/>
        <v>4.3136228603762907</v>
      </c>
      <c r="S27" s="257">
        <v>14138</v>
      </c>
      <c r="T27" s="258">
        <v>4</v>
      </c>
      <c r="U27" s="258">
        <v>2</v>
      </c>
      <c r="V27" s="257">
        <v>16611</v>
      </c>
      <c r="W27" s="258">
        <v>3</v>
      </c>
      <c r="X27" s="258">
        <v>3</v>
      </c>
      <c r="Y27" s="313">
        <v>0.94</v>
      </c>
      <c r="Z27" s="313">
        <v>0.94</v>
      </c>
      <c r="AA27" s="123"/>
      <c r="AB27" s="123"/>
      <c r="AC27" s="124"/>
      <c r="AD27" s="124"/>
      <c r="AE27" s="124"/>
      <c r="AF27" s="124"/>
      <c r="AG27" s="124"/>
      <c r="AH27" s="124"/>
      <c r="AI27" s="124"/>
      <c r="AJ27" s="124"/>
      <c r="AK27" s="124"/>
      <c r="AL27" s="124"/>
      <c r="AM27" s="124"/>
      <c r="AN27" s="124"/>
      <c r="AO27" s="124"/>
      <c r="AP27" s="124"/>
      <c r="AQ27" s="124"/>
      <c r="AR27" s="124"/>
      <c r="AS27" s="124"/>
      <c r="AT27" s="124"/>
      <c r="AU27" s="124"/>
      <c r="AV27" s="124"/>
      <c r="AW27" s="124"/>
      <c r="AX27" s="124"/>
      <c r="AY27" s="124"/>
      <c r="AZ27" s="124"/>
      <c r="BA27" s="124"/>
      <c r="BB27" s="124"/>
      <c r="BC27" s="124"/>
      <c r="BD27" s="124"/>
      <c r="BE27" s="124"/>
      <c r="BF27" s="124"/>
      <c r="BG27" s="124"/>
      <c r="BH27" s="124"/>
      <c r="BI27" s="124"/>
      <c r="BJ27" s="124"/>
      <c r="BK27" s="124"/>
      <c r="BL27" s="124"/>
      <c r="BM27" s="124"/>
      <c r="BN27" s="124"/>
      <c r="BO27" s="124"/>
      <c r="BP27" s="124"/>
      <c r="BQ27" s="124"/>
      <c r="BR27" s="124"/>
      <c r="BS27" s="124"/>
      <c r="BT27" s="124"/>
      <c r="BU27" s="124"/>
      <c r="BV27" s="124"/>
      <c r="BW27" s="124"/>
      <c r="BX27" s="124"/>
      <c r="BY27" s="124"/>
      <c r="BZ27" s="124"/>
      <c r="CA27" s="124"/>
      <c r="CB27" s="124"/>
      <c r="CC27" s="124"/>
      <c r="CD27" s="124"/>
      <c r="CE27" s="124"/>
      <c r="CF27" s="124"/>
      <c r="CG27" s="124"/>
      <c r="CH27" s="124"/>
      <c r="CI27" s="124"/>
      <c r="CJ27" s="124"/>
      <c r="CK27" s="124"/>
      <c r="CL27" s="124"/>
      <c r="CM27" s="124"/>
      <c r="CN27" s="124"/>
      <c r="CO27" s="124"/>
      <c r="CP27" s="124"/>
      <c r="CQ27" s="124"/>
      <c r="CR27" s="124"/>
      <c r="CS27" s="124"/>
      <c r="CT27" s="124"/>
      <c r="CU27" s="124"/>
      <c r="CV27" s="124"/>
      <c r="CW27" s="124"/>
      <c r="CX27" s="124"/>
      <c r="CY27" s="124"/>
      <c r="CZ27" s="124"/>
      <c r="DA27" s="124"/>
      <c r="DB27" s="124"/>
      <c r="DC27" s="124"/>
      <c r="DD27" s="124"/>
      <c r="DE27" s="124"/>
      <c r="DF27" s="124"/>
      <c r="DG27" s="124"/>
      <c r="DH27" s="124"/>
      <c r="DI27" s="124"/>
      <c r="DJ27" s="124"/>
      <c r="DK27" s="124"/>
      <c r="DL27" s="124"/>
      <c r="DM27" s="124"/>
      <c r="DN27" s="124"/>
      <c r="DO27" s="124"/>
      <c r="DP27" s="124"/>
      <c r="DQ27" s="124"/>
      <c r="DR27" s="124"/>
      <c r="DS27" s="124"/>
      <c r="DT27" s="124"/>
      <c r="DU27" s="124"/>
      <c r="DV27" s="124"/>
      <c r="DW27" s="124"/>
      <c r="DX27" s="124"/>
      <c r="DY27" s="124"/>
      <c r="DZ27" s="124"/>
      <c r="EA27" s="124"/>
      <c r="EB27" s="124"/>
      <c r="EC27" s="124"/>
      <c r="ED27" s="124"/>
      <c r="EE27" s="124"/>
      <c r="EF27" s="124"/>
      <c r="EG27" s="124"/>
      <c r="EH27" s="124"/>
      <c r="EI27" s="124"/>
      <c r="EJ27" s="124"/>
      <c r="EK27" s="124"/>
      <c r="EL27" s="124"/>
      <c r="EM27" s="124"/>
      <c r="EN27" s="124"/>
      <c r="EO27" s="124"/>
      <c r="EP27" s="124"/>
      <c r="EQ27" s="124"/>
      <c r="ER27" s="124"/>
      <c r="ES27" s="124"/>
      <c r="ET27" s="124"/>
      <c r="EU27" s="124"/>
      <c r="EV27" s="124"/>
      <c r="EW27" s="124"/>
      <c r="EX27" s="124"/>
      <c r="EY27" s="124"/>
      <c r="EZ27" s="124"/>
      <c r="FA27" s="124"/>
      <c r="FB27" s="124"/>
      <c r="FC27" s="124"/>
      <c r="FD27" s="124"/>
      <c r="FE27" s="124"/>
      <c r="FF27" s="124"/>
      <c r="FG27" s="124"/>
      <c r="FH27" s="124"/>
      <c r="FI27" s="124"/>
      <c r="FJ27" s="124"/>
      <c r="FK27" s="124"/>
      <c r="FL27" s="124"/>
      <c r="FM27" s="124"/>
      <c r="FN27" s="124"/>
      <c r="FO27" s="124"/>
      <c r="FP27" s="124"/>
      <c r="FQ27" s="124"/>
      <c r="FR27" s="124"/>
      <c r="FS27" s="124"/>
      <c r="FT27" s="124"/>
      <c r="FU27" s="124"/>
      <c r="FV27" s="124"/>
      <c r="FW27" s="124"/>
      <c r="FX27" s="124"/>
      <c r="FY27" s="124"/>
      <c r="FZ27" s="124"/>
      <c r="GA27" s="124"/>
      <c r="GB27" s="124"/>
      <c r="GC27" s="124"/>
      <c r="GD27" s="124"/>
      <c r="GE27" s="124"/>
      <c r="GF27" s="124"/>
      <c r="GG27" s="124"/>
      <c r="GH27" s="124"/>
      <c r="GI27" s="124"/>
      <c r="GJ27" s="124"/>
      <c r="GK27" s="124"/>
      <c r="GL27" s="124"/>
      <c r="GM27" s="124"/>
      <c r="GN27" s="124"/>
      <c r="GO27" s="124"/>
      <c r="GP27" s="124"/>
      <c r="GQ27" s="124"/>
      <c r="GR27" s="124"/>
      <c r="GS27" s="124"/>
      <c r="GT27" s="124"/>
      <c r="GU27" s="124"/>
      <c r="GV27" s="124"/>
      <c r="GW27" s="124"/>
      <c r="GX27" s="124"/>
      <c r="GY27" s="124"/>
      <c r="GZ27" s="124"/>
      <c r="HA27" s="124"/>
      <c r="HB27" s="124"/>
      <c r="HC27" s="124"/>
      <c r="HD27" s="124"/>
      <c r="HE27" s="124"/>
      <c r="HF27" s="124"/>
      <c r="HG27" s="124"/>
      <c r="HH27" s="124"/>
      <c r="HI27" s="124"/>
      <c r="HJ27" s="124"/>
      <c r="HK27" s="124"/>
      <c r="HL27" s="124"/>
      <c r="HM27" s="124"/>
      <c r="HN27" s="124"/>
      <c r="HO27" s="124"/>
      <c r="HP27" s="124"/>
      <c r="HQ27" s="124"/>
      <c r="HR27" s="124"/>
      <c r="HS27" s="124"/>
      <c r="HT27" s="124"/>
      <c r="HU27" s="124"/>
      <c r="HV27" s="124"/>
      <c r="HW27" s="124"/>
      <c r="HX27" s="124"/>
      <c r="HY27" s="124"/>
      <c r="HZ27" s="124"/>
      <c r="IA27" s="124"/>
      <c r="IB27" s="124"/>
      <c r="IC27" s="124"/>
      <c r="ID27" s="124"/>
      <c r="IE27" s="124"/>
      <c r="IF27" s="124"/>
      <c r="IG27" s="124"/>
      <c r="IH27" s="124"/>
      <c r="II27" s="124"/>
      <c r="IJ27" s="124"/>
      <c r="IK27" s="124"/>
      <c r="IL27" s="124"/>
      <c r="IM27" s="124"/>
      <c r="IN27" s="124"/>
      <c r="IO27" s="124"/>
      <c r="IP27" s="124"/>
      <c r="IQ27" s="124"/>
      <c r="IR27" s="124"/>
      <c r="IS27" s="124"/>
      <c r="IT27" s="124"/>
      <c r="IU27" s="124"/>
      <c r="IV27" s="124"/>
      <c r="IW27" s="124"/>
      <c r="IX27" s="124"/>
    </row>
    <row r="28" spans="1:258" s="125" customFormat="1">
      <c r="A28" s="111">
        <v>4</v>
      </c>
      <c r="B28" s="112">
        <v>45998</v>
      </c>
      <c r="C28" s="260" t="s">
        <v>67</v>
      </c>
      <c r="D28" s="256">
        <v>33266</v>
      </c>
      <c r="E28" s="129">
        <v>4</v>
      </c>
      <c r="F28" s="133">
        <f t="shared" si="11"/>
        <v>8316.5</v>
      </c>
      <c r="G28" s="129">
        <v>2</v>
      </c>
      <c r="H28" s="133">
        <f t="shared" si="12"/>
        <v>16633</v>
      </c>
      <c r="I28" s="129">
        <v>36</v>
      </c>
      <c r="J28" s="117">
        <f t="shared" si="13"/>
        <v>2</v>
      </c>
      <c r="K28" s="115"/>
      <c r="L28" s="115"/>
      <c r="M28" s="115"/>
      <c r="N28" s="115">
        <v>24082</v>
      </c>
      <c r="O28" s="115"/>
      <c r="P28" s="347"/>
      <c r="Q28" s="345">
        <f t="shared" si="14"/>
        <v>5.5555555555555552E-2</v>
      </c>
      <c r="R28" s="348">
        <f t="shared" si="15"/>
        <v>0.50162560720323313</v>
      </c>
      <c r="S28" s="120">
        <f t="shared" si="16"/>
        <v>66316.391193566626</v>
      </c>
      <c r="T28" s="121">
        <f t="shared" si="17"/>
        <v>8.0972394619739472</v>
      </c>
      <c r="U28" s="121">
        <f t="shared" si="18"/>
        <v>4.8197853940321114</v>
      </c>
      <c r="V28" s="120">
        <f t="shared" ref="V28:V43" si="19">IF(Z28&lt;&gt;"",IF(D28&lt;&gt;"",D28,($I$8-SUM($V$25:V27))*Y28*Z28/SUMPRODUCT($Z28:$Z$55,$Y28:$Y$55)),"")</f>
        <v>33266</v>
      </c>
      <c r="W28" s="121">
        <f t="shared" ref="W28:W42" si="20">IF(Z28&lt;&gt;"",IF(E28&lt;&gt;"",E28,($I$9-SUM($W$25:W27))*Y28*Z28/SUMPRODUCT($Z28:$Z$55,$Y28:$Y$55)),"")</f>
        <v>4</v>
      </c>
      <c r="X28" s="121">
        <f t="shared" ref="X28:X42" si="21">IF(Z28&lt;&gt;"",IF($I$12&lt;&gt;"",IF(G28&lt;&gt;"",G28,($I$9/$I$12-SUM($X$25:X27))*Y28*Z28/SUMPRODUCT($Z28:$Z$55,$Y28:$Y$55)),""),"")</f>
        <v>2</v>
      </c>
      <c r="Y28" s="122">
        <v>1.05797433831278</v>
      </c>
      <c r="Z28" s="122">
        <v>1.05797433831278</v>
      </c>
      <c r="AA28" s="123"/>
      <c r="AB28" s="123"/>
      <c r="AC28" s="124"/>
      <c r="AD28" s="124"/>
      <c r="AE28" s="124"/>
      <c r="AF28" s="124"/>
      <c r="AG28" s="124"/>
      <c r="AH28" s="124"/>
      <c r="AI28" s="124"/>
      <c r="AJ28" s="124"/>
      <c r="AK28" s="124"/>
      <c r="AL28" s="124"/>
      <c r="AM28" s="124"/>
    </row>
    <row r="29" spans="1:258" s="90" customFormat="1">
      <c r="A29" s="128">
        <v>5</v>
      </c>
      <c r="B29" s="92">
        <v>45999</v>
      </c>
      <c r="C29" s="93" t="s">
        <v>55</v>
      </c>
      <c r="D29" s="253">
        <v>5993</v>
      </c>
      <c r="E29" s="108">
        <v>1</v>
      </c>
      <c r="F29" s="96">
        <f t="shared" si="11"/>
        <v>5993</v>
      </c>
      <c r="G29" s="108">
        <v>1</v>
      </c>
      <c r="H29" s="96">
        <f t="shared" si="12"/>
        <v>5993</v>
      </c>
      <c r="I29" s="108">
        <v>40</v>
      </c>
      <c r="J29" s="97">
        <f t="shared" si="13"/>
        <v>1</v>
      </c>
      <c r="K29" s="98"/>
      <c r="L29" s="98"/>
      <c r="M29" s="98"/>
      <c r="N29" s="98"/>
      <c r="O29" s="98">
        <v>5993</v>
      </c>
      <c r="P29" s="344"/>
      <c r="Q29" s="345">
        <f t="shared" si="14"/>
        <v>2.5000000000000001E-2</v>
      </c>
      <c r="R29" s="346">
        <f t="shared" si="15"/>
        <v>0.10115181050318124</v>
      </c>
      <c r="S29" s="101">
        <f t="shared" si="16"/>
        <v>59247.580148963512</v>
      </c>
      <c r="T29" s="102">
        <f t="shared" si="17"/>
        <v>7.2341367703252146</v>
      </c>
      <c r="U29" s="102">
        <f t="shared" si="18"/>
        <v>4.3060337918602469</v>
      </c>
      <c r="V29" s="101">
        <f t="shared" si="19"/>
        <v>5993</v>
      </c>
      <c r="W29" s="102">
        <f t="shared" si="20"/>
        <v>1</v>
      </c>
      <c r="X29" s="102">
        <f t="shared" si="21"/>
        <v>1</v>
      </c>
      <c r="Y29" s="312">
        <v>1</v>
      </c>
      <c r="Z29" s="312">
        <v>1</v>
      </c>
      <c r="AA29" s="105"/>
      <c r="AB29" s="105"/>
      <c r="AC29" s="104"/>
      <c r="AD29" s="104"/>
      <c r="AE29" s="104"/>
      <c r="AF29" s="104"/>
      <c r="AG29" s="104"/>
      <c r="AH29" s="104"/>
      <c r="AI29" s="104"/>
      <c r="AJ29" s="104"/>
    </row>
    <row r="30" spans="1:258" s="90" customFormat="1">
      <c r="A30" s="128">
        <v>6</v>
      </c>
      <c r="B30" s="92">
        <v>46000</v>
      </c>
      <c r="C30" s="252" t="s">
        <v>57</v>
      </c>
      <c r="D30" s="253">
        <v>9782</v>
      </c>
      <c r="E30" s="108">
        <v>1</v>
      </c>
      <c r="F30" s="254">
        <f t="shared" si="11"/>
        <v>9782</v>
      </c>
      <c r="G30" s="108">
        <v>1</v>
      </c>
      <c r="H30" s="254">
        <f t="shared" si="12"/>
        <v>9782</v>
      </c>
      <c r="I30" s="108">
        <v>23</v>
      </c>
      <c r="J30" s="97">
        <f t="shared" si="13"/>
        <v>1</v>
      </c>
      <c r="K30" s="98"/>
      <c r="L30" s="98"/>
      <c r="M30" s="98"/>
      <c r="N30" s="98"/>
      <c r="O30" s="98"/>
      <c r="P30" s="344"/>
      <c r="Q30" s="345">
        <f t="shared" si="14"/>
        <v>4.3478260869565216E-2</v>
      </c>
      <c r="R30" s="346">
        <f t="shared" si="15"/>
        <v>0.16510378947807758</v>
      </c>
      <c r="S30" s="101">
        <f t="shared" si="16"/>
        <v>59247.580148963512</v>
      </c>
      <c r="T30" s="102">
        <f t="shared" si="17"/>
        <v>7.2341367703252146</v>
      </c>
      <c r="U30" s="102">
        <f t="shared" si="18"/>
        <v>4.3060337918602469</v>
      </c>
      <c r="V30" s="101">
        <f t="shared" si="19"/>
        <v>9782</v>
      </c>
      <c r="W30" s="102">
        <f t="shared" si="20"/>
        <v>1</v>
      </c>
      <c r="X30" s="102">
        <f t="shared" si="21"/>
        <v>1</v>
      </c>
      <c r="Y30" s="312">
        <v>1</v>
      </c>
      <c r="Z30" s="312">
        <v>1</v>
      </c>
      <c r="AA30" s="105"/>
      <c r="AB30" s="105"/>
      <c r="AC30" s="251"/>
      <c r="AD30" s="104"/>
      <c r="AE30" s="104"/>
      <c r="AF30" s="104"/>
      <c r="AG30" s="104"/>
      <c r="AH30" s="104"/>
      <c r="AI30" s="104"/>
      <c r="AJ30" s="104"/>
    </row>
    <row r="31" spans="1:258" s="125" customFormat="1">
      <c r="A31" s="127">
        <v>7</v>
      </c>
      <c r="B31" s="112">
        <v>46003</v>
      </c>
      <c r="C31" s="113" t="s">
        <v>63</v>
      </c>
      <c r="D31" s="256">
        <v>17354</v>
      </c>
      <c r="E31" s="129">
        <v>4</v>
      </c>
      <c r="F31" s="116">
        <f t="shared" si="11"/>
        <v>4338.5</v>
      </c>
      <c r="G31" s="129">
        <v>4</v>
      </c>
      <c r="H31" s="116">
        <f t="shared" si="12"/>
        <v>4338.5</v>
      </c>
      <c r="I31" s="129">
        <v>31</v>
      </c>
      <c r="J31" s="117">
        <f t="shared" si="13"/>
        <v>1</v>
      </c>
      <c r="K31" s="349"/>
      <c r="L31" s="349"/>
      <c r="M31" s="349"/>
      <c r="N31" s="349"/>
      <c r="O31" s="349"/>
      <c r="P31" s="133"/>
      <c r="Q31" s="345">
        <f t="shared" si="14"/>
        <v>0.12903225806451613</v>
      </c>
      <c r="R31" s="348">
        <f t="shared" si="15"/>
        <v>0.29290647746908183</v>
      </c>
      <c r="S31" s="120">
        <f t="shared" si="16"/>
        <v>59247.580148963512</v>
      </c>
      <c r="T31" s="121">
        <f t="shared" si="17"/>
        <v>7.2341367703252146</v>
      </c>
      <c r="U31" s="121">
        <f t="shared" si="18"/>
        <v>4.3060337918602469</v>
      </c>
      <c r="V31" s="120">
        <f t="shared" si="19"/>
        <v>17354</v>
      </c>
      <c r="W31" s="121">
        <f t="shared" si="20"/>
        <v>4</v>
      </c>
      <c r="X31" s="121">
        <f t="shared" si="21"/>
        <v>4</v>
      </c>
      <c r="Y31" s="350">
        <v>1</v>
      </c>
      <c r="Z31" s="350">
        <v>1</v>
      </c>
      <c r="AA31" s="123"/>
      <c r="AB31" s="123"/>
      <c r="AC31" s="131"/>
      <c r="AD31" s="124"/>
      <c r="AE31" s="124"/>
      <c r="AF31" s="124"/>
      <c r="AG31" s="124"/>
      <c r="AH31" s="124"/>
      <c r="AI31" s="124"/>
      <c r="AJ31" s="124"/>
    </row>
    <row r="32" spans="1:258" s="125" customFormat="1">
      <c r="A32" s="127">
        <v>8</v>
      </c>
      <c r="B32" s="112">
        <v>46004</v>
      </c>
      <c r="C32" s="260" t="s">
        <v>65</v>
      </c>
      <c r="D32" s="256">
        <v>66110</v>
      </c>
      <c r="E32" s="129">
        <v>7</v>
      </c>
      <c r="F32" s="133">
        <f t="shared" si="11"/>
        <v>9444.2857142857138</v>
      </c>
      <c r="G32" s="129">
        <v>5</v>
      </c>
      <c r="H32" s="133">
        <f t="shared" si="12"/>
        <v>13222</v>
      </c>
      <c r="I32" s="129">
        <v>47</v>
      </c>
      <c r="J32" s="351">
        <f t="shared" si="13"/>
        <v>1.4</v>
      </c>
      <c r="K32" s="352">
        <f>15493+13357</f>
        <v>28850</v>
      </c>
      <c r="L32" s="352"/>
      <c r="M32" s="352"/>
      <c r="N32" s="352">
        <v>7490</v>
      </c>
      <c r="O32" s="352">
        <v>11993</v>
      </c>
      <c r="P32" s="352">
        <v>6493</v>
      </c>
      <c r="Q32" s="345">
        <f t="shared" si="14"/>
        <v>0.10638297872340426</v>
      </c>
      <c r="R32" s="348">
        <f t="shared" si="15"/>
        <v>1.1158261625838999</v>
      </c>
      <c r="S32" s="120">
        <f t="shared" si="16"/>
        <v>59247.580148963512</v>
      </c>
      <c r="T32" s="121">
        <f t="shared" si="17"/>
        <v>7.2341367703252146</v>
      </c>
      <c r="U32" s="121">
        <f t="shared" si="18"/>
        <v>4.3060337918602469</v>
      </c>
      <c r="V32" s="120">
        <f t="shared" si="19"/>
        <v>66110</v>
      </c>
      <c r="W32" s="121">
        <f t="shared" si="20"/>
        <v>7</v>
      </c>
      <c r="X32" s="121">
        <f t="shared" si="21"/>
        <v>5</v>
      </c>
      <c r="Y32" s="350">
        <v>1</v>
      </c>
      <c r="Z32" s="350">
        <v>1</v>
      </c>
      <c r="AA32" s="123"/>
      <c r="AB32" s="123"/>
      <c r="AC32" s="124"/>
      <c r="AD32" s="124"/>
      <c r="AE32" s="124"/>
      <c r="AF32" s="124"/>
      <c r="AG32" s="124"/>
      <c r="AH32" s="124"/>
      <c r="AI32" s="124"/>
      <c r="AJ32" s="124"/>
    </row>
    <row r="33" spans="1:258" s="125" customFormat="1">
      <c r="A33" s="127">
        <v>9</v>
      </c>
      <c r="B33" s="112">
        <v>46005</v>
      </c>
      <c r="C33" s="353" t="s">
        <v>67</v>
      </c>
      <c r="D33" s="256">
        <v>21341</v>
      </c>
      <c r="E33" s="354">
        <v>4</v>
      </c>
      <c r="F33" s="116">
        <f t="shared" si="11"/>
        <v>5335.25</v>
      </c>
      <c r="G33" s="129">
        <v>3</v>
      </c>
      <c r="H33" s="116">
        <f t="shared" si="12"/>
        <v>7113.666666666667</v>
      </c>
      <c r="I33" s="129">
        <v>41</v>
      </c>
      <c r="J33" s="351">
        <f t="shared" si="13"/>
        <v>1.3333333333333333</v>
      </c>
      <c r="K33" s="352"/>
      <c r="L33" s="352"/>
      <c r="M33" s="352"/>
      <c r="N33" s="352">
        <v>8190</v>
      </c>
      <c r="O33" s="352"/>
      <c r="P33" s="352"/>
      <c r="Q33" s="345">
        <f t="shared" si="14"/>
        <v>7.3170731707317069E-2</v>
      </c>
      <c r="R33" s="268">
        <f t="shared" si="15"/>
        <v>0.3602003650839965</v>
      </c>
      <c r="S33" s="120">
        <f t="shared" si="16"/>
        <v>59247.580148963512</v>
      </c>
      <c r="T33" s="269">
        <f t="shared" si="17"/>
        <v>7.2341367703252146</v>
      </c>
      <c r="U33" s="121">
        <f t="shared" si="18"/>
        <v>4.3060337918602469</v>
      </c>
      <c r="V33" s="120">
        <f t="shared" si="19"/>
        <v>21341</v>
      </c>
      <c r="W33" s="121">
        <f t="shared" si="20"/>
        <v>4</v>
      </c>
      <c r="X33" s="269">
        <f t="shared" si="21"/>
        <v>3</v>
      </c>
      <c r="Y33" s="350">
        <v>1</v>
      </c>
      <c r="Z33" s="350">
        <v>1</v>
      </c>
      <c r="AA33" s="123"/>
      <c r="AB33" s="123"/>
      <c r="AC33" s="124"/>
      <c r="AD33" s="124"/>
      <c r="AE33" s="124"/>
      <c r="AF33" s="124"/>
      <c r="AG33" s="124"/>
      <c r="AH33" s="124"/>
      <c r="AI33" s="124"/>
      <c r="AJ33" s="124"/>
    </row>
    <row r="34" spans="1:258" s="90" customFormat="1">
      <c r="A34" s="128">
        <v>10</v>
      </c>
      <c r="B34" s="355">
        <v>46006</v>
      </c>
      <c r="C34" s="356" t="s">
        <v>55</v>
      </c>
      <c r="D34" s="107">
        <v>3793</v>
      </c>
      <c r="E34" s="108">
        <v>1</v>
      </c>
      <c r="F34" s="96">
        <f t="shared" si="11"/>
        <v>3793</v>
      </c>
      <c r="G34" s="108">
        <v>2</v>
      </c>
      <c r="H34" s="96">
        <f t="shared" si="12"/>
        <v>1896.5</v>
      </c>
      <c r="I34" s="96">
        <v>44</v>
      </c>
      <c r="J34" s="357">
        <f t="shared" si="13"/>
        <v>0.5</v>
      </c>
      <c r="K34" s="325"/>
      <c r="L34" s="325"/>
      <c r="M34" s="325"/>
      <c r="N34" s="325"/>
      <c r="O34" s="325"/>
      <c r="P34" s="325"/>
      <c r="Q34" s="345">
        <f t="shared" si="14"/>
        <v>4.5454545454545456E-2</v>
      </c>
      <c r="R34" s="346">
        <f t="shared" si="15"/>
        <v>6.4019492280755291E-2</v>
      </c>
      <c r="S34" s="272">
        <f t="shared" si="16"/>
        <v>59247.580148963512</v>
      </c>
      <c r="T34" s="102">
        <f t="shared" si="17"/>
        <v>7.2341367703252146</v>
      </c>
      <c r="U34" s="273">
        <f t="shared" si="18"/>
        <v>4.3060337918602469</v>
      </c>
      <c r="V34" s="101">
        <f t="shared" si="19"/>
        <v>3793</v>
      </c>
      <c r="W34" s="273">
        <f t="shared" si="20"/>
        <v>1</v>
      </c>
      <c r="X34" s="102">
        <f t="shared" si="21"/>
        <v>2</v>
      </c>
      <c r="Y34" s="312">
        <v>1</v>
      </c>
      <c r="Z34" s="312">
        <v>1</v>
      </c>
      <c r="AA34" s="105"/>
      <c r="AB34" s="105"/>
      <c r="AC34" s="251"/>
      <c r="AD34" s="104"/>
      <c r="AE34" s="104"/>
      <c r="AF34" s="104"/>
      <c r="AG34" s="104"/>
      <c r="AH34" s="104"/>
      <c r="AI34" s="104"/>
      <c r="AJ34" s="104"/>
      <c r="AK34" s="104"/>
      <c r="AL34" s="104"/>
      <c r="AM34" s="104"/>
      <c r="AN34" s="104"/>
      <c r="AO34" s="104"/>
      <c r="AP34" s="104"/>
      <c r="AQ34" s="104"/>
      <c r="AR34" s="104"/>
      <c r="AS34" s="104"/>
      <c r="AT34" s="104"/>
      <c r="AU34" s="104"/>
      <c r="AV34" s="104"/>
      <c r="AW34" s="104"/>
      <c r="AX34" s="104"/>
      <c r="AY34" s="104"/>
      <c r="AZ34" s="104"/>
      <c r="BA34" s="104"/>
      <c r="BB34" s="104"/>
      <c r="BC34" s="104"/>
      <c r="BD34" s="104"/>
      <c r="BE34" s="104"/>
      <c r="BF34" s="104"/>
      <c r="BG34" s="104"/>
      <c r="BH34" s="104"/>
      <c r="BI34" s="104"/>
      <c r="BJ34" s="104"/>
      <c r="BK34" s="104"/>
      <c r="BL34" s="104"/>
      <c r="BM34" s="104"/>
      <c r="BN34" s="104"/>
      <c r="BO34" s="104"/>
      <c r="BP34" s="104"/>
      <c r="BQ34" s="104"/>
      <c r="BR34" s="104"/>
      <c r="BS34" s="104"/>
      <c r="BT34" s="104"/>
      <c r="BU34" s="104"/>
      <c r="BV34" s="104"/>
      <c r="BW34" s="104"/>
      <c r="BX34" s="104"/>
      <c r="BY34" s="104"/>
      <c r="BZ34" s="104"/>
      <c r="CA34" s="104"/>
      <c r="CB34" s="104"/>
      <c r="CC34" s="104"/>
      <c r="CD34" s="104"/>
      <c r="CE34" s="104"/>
      <c r="CF34" s="104"/>
      <c r="CG34" s="104"/>
      <c r="CH34" s="104"/>
      <c r="CI34" s="104"/>
      <c r="CJ34" s="104"/>
      <c r="CK34" s="104"/>
      <c r="CL34" s="104"/>
      <c r="CM34" s="104"/>
      <c r="CN34" s="104"/>
      <c r="CO34" s="104"/>
      <c r="CP34" s="104"/>
      <c r="CQ34" s="104"/>
      <c r="CR34" s="104"/>
      <c r="CS34" s="104"/>
      <c r="CT34" s="104"/>
      <c r="CU34" s="104"/>
      <c r="CV34" s="104"/>
      <c r="CW34" s="104"/>
      <c r="CX34" s="104"/>
      <c r="CY34" s="104"/>
      <c r="CZ34" s="104"/>
      <c r="DA34" s="104"/>
      <c r="DB34" s="104"/>
      <c r="DC34" s="104"/>
      <c r="DD34" s="104"/>
      <c r="DE34" s="104"/>
      <c r="DF34" s="104"/>
      <c r="DG34" s="104"/>
      <c r="DH34" s="104"/>
      <c r="DI34" s="104"/>
      <c r="DJ34" s="104"/>
      <c r="DK34" s="104"/>
      <c r="DL34" s="104"/>
      <c r="DM34" s="104"/>
      <c r="DN34" s="104"/>
      <c r="DO34" s="104"/>
      <c r="DP34" s="104"/>
      <c r="DQ34" s="104"/>
      <c r="DR34" s="104"/>
      <c r="DS34" s="104"/>
      <c r="DT34" s="104"/>
      <c r="DU34" s="104"/>
      <c r="DV34" s="104"/>
      <c r="DW34" s="104"/>
      <c r="DX34" s="104"/>
      <c r="DY34" s="104"/>
      <c r="DZ34" s="104"/>
      <c r="EA34" s="104"/>
      <c r="EB34" s="104"/>
      <c r="EC34" s="104"/>
      <c r="ED34" s="104"/>
      <c r="EE34" s="104"/>
      <c r="EF34" s="104"/>
      <c r="EG34" s="104"/>
      <c r="EH34" s="104"/>
      <c r="EI34" s="104"/>
      <c r="EJ34" s="104"/>
      <c r="EK34" s="104"/>
      <c r="EL34" s="104"/>
      <c r="EM34" s="104"/>
      <c r="EN34" s="104"/>
      <c r="EO34" s="104"/>
      <c r="EP34" s="104"/>
      <c r="EQ34" s="104"/>
      <c r="ER34" s="104"/>
      <c r="ES34" s="104"/>
      <c r="ET34" s="104"/>
      <c r="EU34" s="104"/>
      <c r="EV34" s="104"/>
      <c r="EW34" s="104"/>
      <c r="EX34" s="104"/>
      <c r="EY34" s="104"/>
      <c r="EZ34" s="104"/>
      <c r="FA34" s="104"/>
      <c r="FB34" s="104"/>
      <c r="FC34" s="104"/>
      <c r="FD34" s="104"/>
      <c r="FE34" s="104"/>
      <c r="FF34" s="104"/>
      <c r="FG34" s="104"/>
      <c r="FH34" s="104"/>
      <c r="FI34" s="104"/>
      <c r="FJ34" s="104"/>
      <c r="FK34" s="104"/>
      <c r="FL34" s="104"/>
      <c r="FM34" s="104"/>
      <c r="FN34" s="104"/>
      <c r="FO34" s="104"/>
      <c r="FP34" s="104"/>
      <c r="FQ34" s="104"/>
      <c r="FR34" s="104"/>
      <c r="FS34" s="104"/>
      <c r="FT34" s="104"/>
      <c r="FU34" s="104"/>
      <c r="FV34" s="104"/>
      <c r="FW34" s="104"/>
      <c r="FX34" s="104"/>
      <c r="FY34" s="104"/>
      <c r="FZ34" s="104"/>
      <c r="GA34" s="104"/>
      <c r="GB34" s="104"/>
      <c r="GC34" s="104"/>
      <c r="GD34" s="104"/>
      <c r="GE34" s="104"/>
      <c r="GF34" s="104"/>
      <c r="GG34" s="104"/>
      <c r="GH34" s="104"/>
      <c r="GI34" s="104"/>
      <c r="GJ34" s="104"/>
      <c r="GK34" s="104"/>
      <c r="GL34" s="104"/>
      <c r="GM34" s="104"/>
      <c r="GN34" s="104"/>
      <c r="GO34" s="104"/>
      <c r="GP34" s="104"/>
      <c r="GQ34" s="104"/>
      <c r="GR34" s="104"/>
      <c r="GS34" s="104"/>
      <c r="GT34" s="104"/>
      <c r="GU34" s="104"/>
      <c r="GV34" s="104"/>
      <c r="GW34" s="104"/>
      <c r="GX34" s="104"/>
      <c r="GY34" s="104"/>
      <c r="GZ34" s="104"/>
      <c r="HA34" s="104"/>
      <c r="HB34" s="104"/>
      <c r="HC34" s="104"/>
      <c r="HD34" s="104"/>
      <c r="HE34" s="104"/>
      <c r="HF34" s="104"/>
      <c r="HG34" s="104"/>
      <c r="HH34" s="104"/>
      <c r="HI34" s="104"/>
      <c r="HJ34" s="104"/>
      <c r="HK34" s="104"/>
      <c r="HL34" s="104"/>
      <c r="HM34" s="104"/>
      <c r="HN34" s="104"/>
      <c r="HO34" s="104"/>
      <c r="HP34" s="104"/>
      <c r="HQ34" s="104"/>
      <c r="HR34" s="104"/>
      <c r="HS34" s="104"/>
      <c r="HT34" s="104"/>
      <c r="HU34" s="104"/>
      <c r="HV34" s="104"/>
      <c r="HW34" s="104"/>
      <c r="HX34" s="104"/>
      <c r="HY34" s="104"/>
      <c r="HZ34" s="104"/>
      <c r="IA34" s="104"/>
      <c r="IB34" s="104"/>
      <c r="IC34" s="104"/>
      <c r="ID34" s="104"/>
      <c r="IE34" s="104"/>
      <c r="IF34" s="104"/>
      <c r="IG34" s="104"/>
      <c r="IH34" s="104"/>
      <c r="II34" s="104"/>
      <c r="IJ34" s="104"/>
      <c r="IK34" s="104"/>
      <c r="IL34" s="104"/>
      <c r="IM34" s="104"/>
      <c r="IN34" s="104"/>
      <c r="IO34" s="104"/>
      <c r="IP34" s="104"/>
      <c r="IQ34" s="104"/>
      <c r="IR34" s="104"/>
      <c r="IS34" s="104"/>
      <c r="IT34" s="104"/>
      <c r="IU34" s="104"/>
      <c r="IV34" s="104"/>
      <c r="IW34" s="104"/>
      <c r="IX34" s="104"/>
    </row>
    <row r="35" spans="1:258" s="125" customFormat="1">
      <c r="A35" s="111">
        <v>11</v>
      </c>
      <c r="B35" s="358">
        <v>46009</v>
      </c>
      <c r="C35" s="359" t="s">
        <v>61</v>
      </c>
      <c r="D35" s="114">
        <v>39090.019999999997</v>
      </c>
      <c r="E35" s="129">
        <v>7</v>
      </c>
      <c r="F35" s="133">
        <f t="shared" si="11"/>
        <v>5584.2885714285712</v>
      </c>
      <c r="G35" s="129">
        <v>3</v>
      </c>
      <c r="H35" s="133">
        <f t="shared" si="12"/>
        <v>13030.006666666666</v>
      </c>
      <c r="I35" s="129">
        <v>30</v>
      </c>
      <c r="J35" s="351">
        <f t="shared" si="13"/>
        <v>2.3333333333333335</v>
      </c>
      <c r="K35" s="352"/>
      <c r="L35" s="352"/>
      <c r="M35" s="352"/>
      <c r="N35" s="352"/>
      <c r="O35" s="352"/>
      <c r="P35" s="352"/>
      <c r="Q35" s="345">
        <f t="shared" si="14"/>
        <v>0.1</v>
      </c>
      <c r="R35" s="268">
        <f t="shared" si="15"/>
        <v>0.65977411907317951</v>
      </c>
      <c r="S35" s="120">
        <f t="shared" si="16"/>
        <v>59247.580148963512</v>
      </c>
      <c r="T35" s="269">
        <f t="shared" si="17"/>
        <v>7.2341367703252146</v>
      </c>
      <c r="U35" s="121">
        <f t="shared" si="18"/>
        <v>4.3060337918602469</v>
      </c>
      <c r="V35" s="120">
        <f t="shared" si="19"/>
        <v>39090.019999999997</v>
      </c>
      <c r="W35" s="121">
        <f t="shared" si="20"/>
        <v>7</v>
      </c>
      <c r="X35" s="121">
        <f t="shared" si="21"/>
        <v>3</v>
      </c>
      <c r="Y35" s="350">
        <v>1</v>
      </c>
      <c r="Z35" s="350">
        <v>1</v>
      </c>
      <c r="AA35" s="123"/>
      <c r="AB35" s="123"/>
      <c r="AC35" s="131"/>
      <c r="AD35" s="124"/>
      <c r="AE35" s="124"/>
      <c r="AF35" s="124"/>
      <c r="AG35" s="124"/>
      <c r="AH35" s="124"/>
      <c r="AI35" s="124"/>
      <c r="AJ35" s="124"/>
    </row>
    <row r="36" spans="1:258" s="125" customFormat="1">
      <c r="A36" s="111">
        <v>12</v>
      </c>
      <c r="B36" s="358">
        <v>46010</v>
      </c>
      <c r="C36" s="359" t="s">
        <v>63</v>
      </c>
      <c r="D36" s="114">
        <v>0</v>
      </c>
      <c r="E36" s="129">
        <v>0</v>
      </c>
      <c r="F36" s="116" t="str">
        <f t="shared" si="11"/>
        <v/>
      </c>
      <c r="G36" s="129">
        <v>0</v>
      </c>
      <c r="H36" s="116" t="str">
        <f t="shared" si="12"/>
        <v/>
      </c>
      <c r="I36" s="129">
        <v>22</v>
      </c>
      <c r="J36" s="351" t="str">
        <f t="shared" si="13"/>
        <v/>
      </c>
      <c r="K36" s="352"/>
      <c r="L36" s="352"/>
      <c r="M36" s="352"/>
      <c r="N36" s="352"/>
      <c r="O36" s="352"/>
      <c r="P36" s="352"/>
      <c r="Q36" s="345">
        <f t="shared" si="14"/>
        <v>0</v>
      </c>
      <c r="R36" s="348">
        <f t="shared" si="15"/>
        <v>0</v>
      </c>
      <c r="S36" s="120">
        <f t="shared" si="16"/>
        <v>59247.580148963512</v>
      </c>
      <c r="T36" s="121">
        <f t="shared" si="17"/>
        <v>7.2341367703252146</v>
      </c>
      <c r="U36" s="121">
        <f t="shared" si="18"/>
        <v>4.3060337918602469</v>
      </c>
      <c r="V36" s="120">
        <f t="shared" si="19"/>
        <v>0</v>
      </c>
      <c r="W36" s="121">
        <f t="shared" si="20"/>
        <v>0</v>
      </c>
      <c r="X36" s="121">
        <f t="shared" si="21"/>
        <v>0</v>
      </c>
      <c r="Y36" s="350">
        <v>1</v>
      </c>
      <c r="Z36" s="350">
        <v>1</v>
      </c>
      <c r="AA36" s="123"/>
      <c r="AB36" s="123"/>
      <c r="AC36" s="131"/>
      <c r="AD36" s="124"/>
      <c r="AE36" s="124"/>
      <c r="AF36" s="124"/>
      <c r="AG36" s="124"/>
      <c r="AH36" s="124"/>
      <c r="AI36" s="124"/>
      <c r="AJ36" s="124"/>
    </row>
    <row r="37" spans="1:258" s="125" customFormat="1">
      <c r="A37" s="111">
        <v>13</v>
      </c>
      <c r="B37" s="358">
        <v>46011</v>
      </c>
      <c r="C37" s="359" t="s">
        <v>65</v>
      </c>
      <c r="D37" s="360">
        <f>28768+7466+31590+4493+12633+10903</f>
        <v>95853</v>
      </c>
      <c r="E37" s="129">
        <f>4+1+4+1+2+1</f>
        <v>13</v>
      </c>
      <c r="F37" s="116">
        <f t="shared" si="11"/>
        <v>7373.3076923076924</v>
      </c>
      <c r="G37" s="129">
        <v>5</v>
      </c>
      <c r="H37" s="116">
        <f t="shared" si="12"/>
        <v>19170.599999999999</v>
      </c>
      <c r="I37" s="129">
        <v>62</v>
      </c>
      <c r="J37" s="351">
        <f t="shared" si="13"/>
        <v>2.6</v>
      </c>
      <c r="K37" s="352"/>
      <c r="L37" s="352">
        <v>10903</v>
      </c>
      <c r="M37" s="352">
        <v>16470</v>
      </c>
      <c r="N37" s="352"/>
      <c r="O37" s="352"/>
      <c r="P37" s="352"/>
      <c r="Q37" s="345">
        <f t="shared" si="14"/>
        <v>8.0645161290322578E-2</v>
      </c>
      <c r="R37" s="268">
        <f t="shared" si="15"/>
        <v>1.6178382266246341</v>
      </c>
      <c r="S37" s="120">
        <f t="shared" si="16"/>
        <v>59247.580148963512</v>
      </c>
      <c r="T37" s="269">
        <f t="shared" si="17"/>
        <v>7.2341367703252146</v>
      </c>
      <c r="U37" s="121">
        <f t="shared" si="18"/>
        <v>4.3060337918602469</v>
      </c>
      <c r="V37" s="120">
        <f t="shared" si="19"/>
        <v>95853</v>
      </c>
      <c r="W37" s="121">
        <f t="shared" si="20"/>
        <v>13</v>
      </c>
      <c r="X37" s="121">
        <f t="shared" si="21"/>
        <v>5</v>
      </c>
      <c r="Y37" s="350">
        <v>1</v>
      </c>
      <c r="Z37" s="350">
        <v>1</v>
      </c>
      <c r="AA37" s="123"/>
      <c r="AB37" s="123"/>
      <c r="AC37" s="131"/>
      <c r="AD37" s="124"/>
      <c r="AE37" s="124"/>
      <c r="AF37" s="124"/>
      <c r="AG37" s="124"/>
      <c r="AH37" s="124"/>
      <c r="AI37" s="124"/>
      <c r="AJ37" s="124"/>
      <c r="AK37" s="124"/>
      <c r="AL37" s="124"/>
      <c r="AM37" s="124"/>
      <c r="AN37" s="124"/>
      <c r="AO37" s="124"/>
      <c r="AP37" s="124"/>
      <c r="AQ37" s="124"/>
      <c r="AR37" s="124"/>
      <c r="AS37" s="124"/>
      <c r="AT37" s="124"/>
      <c r="AU37" s="124"/>
      <c r="AV37" s="124"/>
      <c r="AW37" s="124"/>
      <c r="AX37" s="124"/>
      <c r="AY37" s="124"/>
      <c r="AZ37" s="124"/>
      <c r="BA37" s="124"/>
      <c r="BB37" s="124"/>
      <c r="BC37" s="124"/>
      <c r="BD37" s="124"/>
      <c r="BE37" s="124"/>
      <c r="BF37" s="124"/>
      <c r="BG37" s="124"/>
      <c r="BH37" s="124"/>
      <c r="BI37" s="124"/>
      <c r="BJ37" s="124"/>
      <c r="BK37" s="124"/>
      <c r="BL37" s="124"/>
      <c r="BM37" s="124"/>
      <c r="BN37" s="124"/>
      <c r="BO37" s="124"/>
      <c r="BP37" s="124"/>
      <c r="BQ37" s="124"/>
      <c r="BR37" s="124"/>
      <c r="BS37" s="124"/>
      <c r="BT37" s="124"/>
      <c r="BU37" s="124"/>
      <c r="BV37" s="124"/>
      <c r="BW37" s="124"/>
      <c r="BX37" s="124"/>
      <c r="BY37" s="124"/>
      <c r="BZ37" s="124"/>
      <c r="CA37" s="124"/>
      <c r="CB37" s="124"/>
      <c r="CC37" s="124"/>
      <c r="CD37" s="124"/>
      <c r="CE37" s="124"/>
      <c r="CF37" s="124"/>
      <c r="CG37" s="124"/>
      <c r="CH37" s="124"/>
      <c r="CI37" s="124"/>
      <c r="CJ37" s="124"/>
      <c r="CK37" s="124"/>
      <c r="CL37" s="124"/>
      <c r="CM37" s="124"/>
      <c r="CN37" s="124"/>
      <c r="CO37" s="124"/>
      <c r="CP37" s="124"/>
      <c r="CQ37" s="124"/>
      <c r="CR37" s="124"/>
      <c r="CS37" s="124"/>
      <c r="CT37" s="124"/>
      <c r="CU37" s="124"/>
      <c r="CV37" s="124"/>
      <c r="CW37" s="124"/>
      <c r="CX37" s="124"/>
      <c r="CY37" s="124"/>
      <c r="CZ37" s="124"/>
      <c r="DA37" s="124"/>
      <c r="DB37" s="124"/>
      <c r="DC37" s="124"/>
      <c r="DD37" s="124"/>
      <c r="DE37" s="124"/>
      <c r="DF37" s="124"/>
      <c r="DG37" s="124"/>
      <c r="DH37" s="124"/>
      <c r="DI37" s="124"/>
      <c r="DJ37" s="124"/>
      <c r="DK37" s="124"/>
      <c r="DL37" s="124"/>
      <c r="DM37" s="124"/>
      <c r="DN37" s="124"/>
      <c r="DO37" s="124"/>
      <c r="DP37" s="124"/>
      <c r="DQ37" s="124"/>
      <c r="DR37" s="124"/>
      <c r="DS37" s="124"/>
      <c r="DT37" s="124"/>
      <c r="DU37" s="124"/>
      <c r="DV37" s="124"/>
      <c r="DW37" s="124"/>
      <c r="DX37" s="124"/>
      <c r="DY37" s="124"/>
      <c r="DZ37" s="124"/>
      <c r="EA37" s="124"/>
      <c r="EB37" s="124"/>
      <c r="EC37" s="124"/>
      <c r="ED37" s="124"/>
      <c r="EE37" s="124"/>
      <c r="EF37" s="124"/>
      <c r="EG37" s="124"/>
      <c r="EH37" s="124"/>
      <c r="EI37" s="124"/>
      <c r="EJ37" s="124"/>
      <c r="EK37" s="124"/>
      <c r="EL37" s="124"/>
      <c r="EM37" s="124"/>
      <c r="EN37" s="124"/>
      <c r="EO37" s="124"/>
      <c r="EP37" s="124"/>
      <c r="EQ37" s="124"/>
      <c r="ER37" s="124"/>
      <c r="ES37" s="124"/>
      <c r="ET37" s="124"/>
      <c r="EU37" s="124"/>
      <c r="EV37" s="124"/>
      <c r="EW37" s="124"/>
      <c r="EX37" s="124"/>
      <c r="EY37" s="124"/>
      <c r="EZ37" s="124"/>
      <c r="FA37" s="124"/>
      <c r="FB37" s="124"/>
      <c r="FC37" s="124"/>
      <c r="FD37" s="124"/>
      <c r="FE37" s="124"/>
      <c r="FF37" s="124"/>
      <c r="FG37" s="124"/>
      <c r="FH37" s="124"/>
      <c r="FI37" s="124"/>
      <c r="FJ37" s="124"/>
      <c r="FK37" s="124"/>
      <c r="FL37" s="124"/>
      <c r="FM37" s="124"/>
      <c r="FN37" s="124"/>
      <c r="FO37" s="124"/>
      <c r="FP37" s="124"/>
      <c r="FQ37" s="124"/>
      <c r="FR37" s="124"/>
      <c r="FS37" s="124"/>
      <c r="FT37" s="124"/>
      <c r="FU37" s="124"/>
      <c r="FV37" s="124"/>
      <c r="FW37" s="124"/>
      <c r="FX37" s="124"/>
      <c r="FY37" s="124"/>
      <c r="FZ37" s="124"/>
      <c r="GA37" s="124"/>
      <c r="GB37" s="124"/>
      <c r="GC37" s="124"/>
      <c r="GD37" s="124"/>
      <c r="GE37" s="124"/>
      <c r="GF37" s="124"/>
      <c r="GG37" s="124"/>
      <c r="GH37" s="124"/>
      <c r="GI37" s="124"/>
      <c r="GJ37" s="124"/>
      <c r="GK37" s="124"/>
      <c r="GL37" s="124"/>
      <c r="GM37" s="124"/>
      <c r="GN37" s="124"/>
      <c r="GO37" s="124"/>
      <c r="GP37" s="124"/>
      <c r="GQ37" s="124"/>
      <c r="GR37" s="124"/>
      <c r="GS37" s="124"/>
      <c r="GT37" s="124"/>
      <c r="GU37" s="124"/>
      <c r="GV37" s="124"/>
      <c r="GW37" s="124"/>
      <c r="GX37" s="124"/>
      <c r="GY37" s="124"/>
      <c r="GZ37" s="124"/>
      <c r="HA37" s="124"/>
      <c r="HB37" s="124"/>
      <c r="HC37" s="124"/>
      <c r="HD37" s="124"/>
      <c r="HE37" s="124"/>
      <c r="HF37" s="124"/>
      <c r="HG37" s="124"/>
      <c r="HH37" s="124"/>
      <c r="HI37" s="124"/>
      <c r="HJ37" s="124"/>
      <c r="HK37" s="124"/>
      <c r="HL37" s="124"/>
      <c r="HM37" s="124"/>
      <c r="HN37" s="124"/>
      <c r="HO37" s="124"/>
      <c r="HP37" s="124"/>
      <c r="HQ37" s="124"/>
      <c r="HR37" s="124"/>
      <c r="HS37" s="124"/>
      <c r="HT37" s="124"/>
      <c r="HU37" s="124"/>
      <c r="HV37" s="124"/>
      <c r="HW37" s="124"/>
      <c r="HX37" s="124"/>
      <c r="HY37" s="124"/>
      <c r="HZ37" s="124"/>
      <c r="IA37" s="124"/>
      <c r="IB37" s="124"/>
      <c r="IC37" s="124"/>
      <c r="ID37" s="124"/>
      <c r="IE37" s="124"/>
      <c r="IF37" s="124"/>
      <c r="IG37" s="124"/>
      <c r="IH37" s="124"/>
      <c r="II37" s="124"/>
      <c r="IJ37" s="124"/>
      <c r="IK37" s="124"/>
      <c r="IL37" s="124"/>
      <c r="IM37" s="124"/>
      <c r="IN37" s="124"/>
      <c r="IO37" s="124"/>
      <c r="IP37" s="124"/>
      <c r="IQ37" s="124"/>
      <c r="IR37" s="124"/>
      <c r="IS37" s="124"/>
      <c r="IT37" s="124"/>
      <c r="IU37" s="124"/>
      <c r="IV37" s="124"/>
      <c r="IW37" s="124"/>
      <c r="IX37" s="124"/>
    </row>
    <row r="38" spans="1:258" s="125" customFormat="1">
      <c r="A38" s="111">
        <v>14</v>
      </c>
      <c r="B38" s="358">
        <v>46012</v>
      </c>
      <c r="C38" s="359" t="s">
        <v>67</v>
      </c>
      <c r="D38" s="267">
        <v>0</v>
      </c>
      <c r="E38" s="129">
        <v>0</v>
      </c>
      <c r="F38" s="116" t="str">
        <f t="shared" si="11"/>
        <v/>
      </c>
      <c r="G38" s="129">
        <v>0</v>
      </c>
      <c r="H38" s="133" t="str">
        <f t="shared" si="12"/>
        <v/>
      </c>
      <c r="I38" s="129">
        <v>2</v>
      </c>
      <c r="J38" s="351" t="str">
        <f t="shared" si="13"/>
        <v/>
      </c>
      <c r="K38" s="352"/>
      <c r="L38" s="352"/>
      <c r="M38" s="352"/>
      <c r="N38" s="352"/>
      <c r="O38" s="352"/>
      <c r="P38" s="352"/>
      <c r="Q38" s="345">
        <f t="shared" si="14"/>
        <v>0</v>
      </c>
      <c r="R38" s="361">
        <f t="shared" si="15"/>
        <v>0</v>
      </c>
      <c r="S38" s="120">
        <f t="shared" ref="S38:S47" si="22">$I$8*Y38*Z38/SUMPRODUCT($Z$25:$Z$46,$Y$25:$Y$46)</f>
        <v>59247.580148963512</v>
      </c>
      <c r="T38" s="121">
        <f t="shared" ref="T38:T47" si="23">$I$9*Y38*Z38/SUMPRODUCT($Z$25:$Z$46,$Y$25:$Y$46)</f>
        <v>7.2341367703252146</v>
      </c>
      <c r="U38" s="121">
        <f t="shared" si="18"/>
        <v>4.3060337918602469</v>
      </c>
      <c r="V38" s="120">
        <f t="shared" si="19"/>
        <v>0</v>
      </c>
      <c r="W38" s="121">
        <f t="shared" si="20"/>
        <v>0</v>
      </c>
      <c r="X38" s="121">
        <f t="shared" si="21"/>
        <v>0</v>
      </c>
      <c r="Y38" s="350">
        <v>1</v>
      </c>
      <c r="Z38" s="350">
        <v>1</v>
      </c>
      <c r="AA38" s="277"/>
      <c r="AB38" s="277"/>
    </row>
    <row r="39" spans="1:258" s="125" customFormat="1">
      <c r="A39" s="111">
        <v>15</v>
      </c>
      <c r="B39" s="358">
        <v>46013</v>
      </c>
      <c r="C39" s="359" t="s">
        <v>55</v>
      </c>
      <c r="D39" s="362">
        <f>7893+11132+5382+14075</f>
        <v>38482</v>
      </c>
      <c r="E39" s="263">
        <f>4+3</f>
        <v>7</v>
      </c>
      <c r="F39" s="265">
        <f t="shared" si="11"/>
        <v>5497.4285714285716</v>
      </c>
      <c r="G39" s="263">
        <v>4</v>
      </c>
      <c r="H39" s="265">
        <f t="shared" si="12"/>
        <v>9620.5</v>
      </c>
      <c r="I39" s="263">
        <v>12</v>
      </c>
      <c r="J39" s="351">
        <f t="shared" si="13"/>
        <v>1.75</v>
      </c>
      <c r="K39" s="352"/>
      <c r="L39" s="352"/>
      <c r="M39" s="352"/>
      <c r="N39" s="352"/>
      <c r="O39" s="352"/>
      <c r="P39" s="352"/>
      <c r="Q39" s="345">
        <f t="shared" si="14"/>
        <v>0.33333333333333331</v>
      </c>
      <c r="R39" s="361">
        <f t="shared" si="15"/>
        <v>0.64951175901608893</v>
      </c>
      <c r="S39" s="120">
        <f t="shared" si="22"/>
        <v>59247.580148963512</v>
      </c>
      <c r="T39" s="121">
        <f t="shared" si="23"/>
        <v>7.2341367703252146</v>
      </c>
      <c r="U39" s="121">
        <f t="shared" si="18"/>
        <v>4.3060337918602469</v>
      </c>
      <c r="V39" s="120">
        <f t="shared" si="19"/>
        <v>38482</v>
      </c>
      <c r="W39" s="121">
        <f t="shared" si="20"/>
        <v>7</v>
      </c>
      <c r="X39" s="121">
        <f t="shared" si="21"/>
        <v>4</v>
      </c>
      <c r="Y39" s="350">
        <v>1</v>
      </c>
      <c r="Z39" s="350">
        <v>1</v>
      </c>
      <c r="AA39" s="277"/>
      <c r="AB39" s="277"/>
      <c r="AC39" s="363"/>
    </row>
    <row r="40" spans="1:258" s="125" customFormat="1">
      <c r="A40" s="111">
        <v>16</v>
      </c>
      <c r="B40" s="364">
        <v>46016</v>
      </c>
      <c r="C40" s="260" t="s">
        <v>61</v>
      </c>
      <c r="D40" s="365">
        <f>10562+4193</f>
        <v>14755</v>
      </c>
      <c r="E40" s="352">
        <v>2</v>
      </c>
      <c r="F40" s="352">
        <f t="shared" si="11"/>
        <v>7377.5</v>
      </c>
      <c r="G40" s="352">
        <v>2</v>
      </c>
      <c r="H40" s="352">
        <f t="shared" si="12"/>
        <v>7377.5</v>
      </c>
      <c r="I40" s="352">
        <v>26</v>
      </c>
      <c r="J40" s="366"/>
      <c r="K40" s="352"/>
      <c r="L40" s="352"/>
      <c r="M40" s="352"/>
      <c r="N40" s="352"/>
      <c r="O40" s="352"/>
      <c r="P40" s="352"/>
      <c r="Q40" s="345">
        <f t="shared" si="14"/>
        <v>7.6923076923076927E-2</v>
      </c>
      <c r="R40" s="361">
        <f t="shared" si="15"/>
        <v>0.24903970698722497</v>
      </c>
      <c r="S40" s="120">
        <f t="shared" si="22"/>
        <v>59247.580148963512</v>
      </c>
      <c r="T40" s="121">
        <f t="shared" si="23"/>
        <v>7.2341367703252146</v>
      </c>
      <c r="U40" s="121">
        <f t="shared" si="18"/>
        <v>4.3060337918602469</v>
      </c>
      <c r="V40" s="120">
        <f t="shared" si="19"/>
        <v>14755</v>
      </c>
      <c r="W40" s="121">
        <f t="shared" si="20"/>
        <v>2</v>
      </c>
      <c r="X40" s="121">
        <f t="shared" si="21"/>
        <v>2</v>
      </c>
      <c r="Y40" s="350">
        <v>1</v>
      </c>
      <c r="Z40" s="350">
        <v>1</v>
      </c>
      <c r="AA40" s="277"/>
      <c r="AB40" s="277"/>
      <c r="AC40" s="363"/>
    </row>
    <row r="41" spans="1:258" s="125" customFormat="1">
      <c r="A41" s="111">
        <v>17</v>
      </c>
      <c r="B41" s="364">
        <v>46017</v>
      </c>
      <c r="C41" s="359" t="s">
        <v>63</v>
      </c>
      <c r="D41" s="365">
        <v>9685.5</v>
      </c>
      <c r="E41" s="352">
        <v>2</v>
      </c>
      <c r="F41" s="352">
        <f t="shared" si="11"/>
        <v>4842.75</v>
      </c>
      <c r="G41" s="352">
        <v>2</v>
      </c>
      <c r="H41" s="352">
        <f t="shared" si="12"/>
        <v>4842.75</v>
      </c>
      <c r="I41" s="352">
        <v>25</v>
      </c>
      <c r="J41" s="366"/>
      <c r="K41" s="352"/>
      <c r="L41" s="352"/>
      <c r="M41" s="352"/>
      <c r="N41" s="352"/>
      <c r="O41" s="352">
        <v>6027.5</v>
      </c>
      <c r="P41" s="352"/>
      <c r="Q41" s="345">
        <f t="shared" si="14"/>
        <v>0.08</v>
      </c>
      <c r="R41" s="361"/>
      <c r="S41" s="120">
        <f t="shared" si="22"/>
        <v>59247.580148963512</v>
      </c>
      <c r="T41" s="121">
        <f t="shared" si="23"/>
        <v>7.2341367703252146</v>
      </c>
      <c r="U41" s="121">
        <f t="shared" si="18"/>
        <v>4.3060337918602469</v>
      </c>
      <c r="V41" s="120">
        <f t="shared" si="19"/>
        <v>9685.5</v>
      </c>
      <c r="W41" s="121">
        <f t="shared" si="20"/>
        <v>2</v>
      </c>
      <c r="X41" s="121">
        <f t="shared" si="21"/>
        <v>2</v>
      </c>
      <c r="Y41" s="350">
        <v>1</v>
      </c>
      <c r="Z41" s="350">
        <v>1</v>
      </c>
      <c r="AA41" s="277"/>
      <c r="AB41" s="277"/>
      <c r="AC41" s="363"/>
    </row>
    <row r="42" spans="1:258" s="125" customFormat="1">
      <c r="A42" s="111">
        <v>18</v>
      </c>
      <c r="B42" s="364">
        <v>46019</v>
      </c>
      <c r="C42" s="367" t="s">
        <v>67</v>
      </c>
      <c r="D42" s="365">
        <f>4571+11184+6294</f>
        <v>22049</v>
      </c>
      <c r="E42" s="352">
        <v>4</v>
      </c>
      <c r="F42" s="352">
        <f t="shared" si="11"/>
        <v>5512.25</v>
      </c>
      <c r="G42" s="352">
        <v>3</v>
      </c>
      <c r="H42" s="352">
        <f t="shared" si="12"/>
        <v>7349.666666666667</v>
      </c>
      <c r="I42" s="352"/>
      <c r="J42" s="366">
        <f t="shared" si="13"/>
        <v>1.3333333333333333</v>
      </c>
      <c r="K42" s="352"/>
      <c r="L42" s="352"/>
      <c r="M42" s="352"/>
      <c r="N42" s="352"/>
      <c r="O42" s="352"/>
      <c r="P42" s="352"/>
      <c r="Q42" s="345" t="str">
        <f t="shared" si="14"/>
        <v/>
      </c>
      <c r="R42" s="361">
        <f t="shared" si="15"/>
        <v>0.37215022022103172</v>
      </c>
      <c r="S42" s="120">
        <f t="shared" si="22"/>
        <v>59247.580148963512</v>
      </c>
      <c r="T42" s="121">
        <f t="shared" si="23"/>
        <v>7.2341367703252146</v>
      </c>
      <c r="U42" s="121">
        <f t="shared" si="18"/>
        <v>4.3060337918602469</v>
      </c>
      <c r="V42" s="120">
        <f t="shared" si="19"/>
        <v>22049</v>
      </c>
      <c r="W42" s="121">
        <f t="shared" si="20"/>
        <v>4</v>
      </c>
      <c r="X42" s="121">
        <f t="shared" si="21"/>
        <v>3</v>
      </c>
      <c r="Y42" s="350">
        <v>1</v>
      </c>
      <c r="Z42" s="350">
        <v>1</v>
      </c>
      <c r="AA42" s="277"/>
      <c r="AB42" s="277"/>
      <c r="AC42" s="363"/>
    </row>
    <row r="43" spans="1:258" s="125" customFormat="1" ht="15" customHeight="1">
      <c r="A43" s="111">
        <v>19</v>
      </c>
      <c r="B43" s="364">
        <v>46020</v>
      </c>
      <c r="C43" s="260" t="s">
        <v>55</v>
      </c>
      <c r="D43" s="365">
        <f>5182+34712+6293+18727</f>
        <v>64914</v>
      </c>
      <c r="E43" s="352">
        <v>8</v>
      </c>
      <c r="F43" s="352">
        <f t="shared" si="11"/>
        <v>8114.25</v>
      </c>
      <c r="G43" s="352">
        <v>4</v>
      </c>
      <c r="H43" s="352">
        <f t="shared" si="12"/>
        <v>16228.5</v>
      </c>
      <c r="I43" s="352"/>
      <c r="J43" s="366">
        <f t="shared" si="13"/>
        <v>2</v>
      </c>
      <c r="K43" s="352">
        <v>25490</v>
      </c>
      <c r="L43" s="352"/>
      <c r="M43" s="352"/>
      <c r="N43" s="352"/>
      <c r="O43" s="352"/>
      <c r="P43" s="352"/>
      <c r="Q43" s="345" t="str">
        <f t="shared" si="14"/>
        <v/>
      </c>
      <c r="R43" s="361">
        <f t="shared" si="15"/>
        <v>1.0956396841320719</v>
      </c>
      <c r="S43" s="120">
        <f t="shared" si="22"/>
        <v>59247.580148963512</v>
      </c>
      <c r="T43" s="121">
        <f t="shared" si="23"/>
        <v>7.2341367703252146</v>
      </c>
      <c r="U43" s="121">
        <f t="shared" si="18"/>
        <v>4.3060337918602469</v>
      </c>
      <c r="V43" s="120">
        <f t="shared" si="19"/>
        <v>64914</v>
      </c>
      <c r="W43" s="121">
        <f t="shared" ref="W43:W45" si="24">IF(Z43&lt;&gt;"",IF(E43&lt;&gt;"",E43,($I$9-SUM($W$25:W42))*Y43*Z43/SUMPRODUCT($Z43:$Z$46,$Y43:$Y$46)),"")</f>
        <v>8</v>
      </c>
      <c r="X43" s="121">
        <f t="shared" ref="X43:X45" si="25">IF(Z43&lt;&gt;"",IF($I$12&lt;&gt;"",IF(G43&lt;&gt;"",G43,($I$9/$I$12-SUM($X$25:X42))*Y43*Z43/SUMPRODUCT($Z43:$Z$46,$Y43:$Y$46)),""),"")</f>
        <v>4</v>
      </c>
      <c r="Y43" s="350">
        <v>1</v>
      </c>
      <c r="Z43" s="350">
        <v>1</v>
      </c>
      <c r="AA43" s="277"/>
      <c r="AB43" s="277"/>
      <c r="AC43" s="363"/>
    </row>
    <row r="44" spans="1:258" s="125" customFormat="1">
      <c r="A44" s="368">
        <v>20</v>
      </c>
      <c r="B44" s="112">
        <v>46021</v>
      </c>
      <c r="C44" s="369" t="s">
        <v>57</v>
      </c>
      <c r="D44" s="370">
        <f>6482+13072+8393+35262+5193</f>
        <v>68402</v>
      </c>
      <c r="E44" s="371">
        <v>7</v>
      </c>
      <c r="F44" s="129">
        <f t="shared" si="11"/>
        <v>9771.7142857142862</v>
      </c>
      <c r="G44" s="371">
        <v>5</v>
      </c>
      <c r="H44" s="129">
        <f t="shared" si="12"/>
        <v>13680.4</v>
      </c>
      <c r="I44" s="371"/>
      <c r="J44" s="117">
        <f t="shared" si="13"/>
        <v>1.4</v>
      </c>
      <c r="K44" s="129">
        <v>35262</v>
      </c>
      <c r="L44" s="129"/>
      <c r="M44" s="129"/>
      <c r="N44" s="129"/>
      <c r="O44" s="129"/>
      <c r="P44" s="372"/>
      <c r="Q44" s="373" t="str">
        <f t="shared" ref="Q44:Q47" si="26">IF(AND(L44&lt;&gt;"",L44&lt;&gt;0),J44/L44,"")</f>
        <v/>
      </c>
      <c r="R44" s="361">
        <f t="shared" si="15"/>
        <v>1.1545112868410818</v>
      </c>
      <c r="S44" s="120">
        <f t="shared" si="22"/>
        <v>59247.580148963512</v>
      </c>
      <c r="T44" s="121">
        <f t="shared" si="23"/>
        <v>7.2341367703252146</v>
      </c>
      <c r="U44" s="121">
        <f t="shared" si="18"/>
        <v>4.3060337918602469</v>
      </c>
      <c r="V44" s="120">
        <f t="shared" ref="V44:V46" si="27">IF(Z44&lt;&gt;"",IF(D44&lt;&gt;"",D44,($I$8-SUM($V$25:V43))*Y44*Z44/SUMPRODUCT($Z44:$Z$46,$Y44:$Y$46)),"")</f>
        <v>68402</v>
      </c>
      <c r="W44" s="121">
        <f t="shared" si="24"/>
        <v>7</v>
      </c>
      <c r="X44" s="121">
        <f t="shared" si="25"/>
        <v>5</v>
      </c>
      <c r="Y44" s="350">
        <v>1</v>
      </c>
      <c r="Z44" s="350">
        <v>1</v>
      </c>
      <c r="AA44" s="277"/>
      <c r="AB44" s="277"/>
      <c r="AC44" s="363"/>
    </row>
    <row r="45" spans="1:258" s="125" customFormat="1">
      <c r="A45" s="111">
        <v>21</v>
      </c>
      <c r="B45" s="112">
        <v>46022</v>
      </c>
      <c r="C45" s="260" t="s">
        <v>59</v>
      </c>
      <c r="D45" s="374">
        <f>15001+4793</f>
        <v>19794</v>
      </c>
      <c r="E45" s="375">
        <v>1</v>
      </c>
      <c r="F45" s="116">
        <f t="shared" si="11"/>
        <v>19794</v>
      </c>
      <c r="G45" s="375">
        <v>2</v>
      </c>
      <c r="H45" s="116">
        <f t="shared" si="12"/>
        <v>9897</v>
      </c>
      <c r="I45" s="375"/>
      <c r="J45" s="117">
        <f t="shared" si="13"/>
        <v>0.5</v>
      </c>
      <c r="K45" s="116"/>
      <c r="L45" s="116"/>
      <c r="M45" s="116"/>
      <c r="N45" s="116"/>
      <c r="O45" s="116"/>
      <c r="P45" s="116"/>
      <c r="Q45" s="376" t="str">
        <f t="shared" si="26"/>
        <v/>
      </c>
      <c r="R45" s="377">
        <f t="shared" si="15"/>
        <v>0.33408959404304517</v>
      </c>
      <c r="S45" s="120">
        <f t="shared" si="22"/>
        <v>59247.580148963512</v>
      </c>
      <c r="T45" s="121">
        <f t="shared" si="23"/>
        <v>7.2341367703252146</v>
      </c>
      <c r="U45" s="121">
        <f t="shared" si="18"/>
        <v>4.3060337918602469</v>
      </c>
      <c r="V45" s="120">
        <f t="shared" si="27"/>
        <v>19794</v>
      </c>
      <c r="W45" s="121">
        <f t="shared" si="24"/>
        <v>1</v>
      </c>
      <c r="X45" s="121">
        <f t="shared" si="25"/>
        <v>2</v>
      </c>
      <c r="Y45" s="350">
        <v>1</v>
      </c>
      <c r="Z45" s="350">
        <v>1</v>
      </c>
      <c r="AA45" s="277"/>
      <c r="AB45" s="277"/>
      <c r="AC45" s="363"/>
    </row>
    <row r="46" spans="1:258" s="321" customFormat="1">
      <c r="A46" s="378"/>
      <c r="B46" s="112"/>
      <c r="C46" s="132"/>
      <c r="D46" s="323"/>
      <c r="E46" s="328"/>
      <c r="F46" s="327" t="str">
        <f t="shared" si="11"/>
        <v/>
      </c>
      <c r="G46" s="328"/>
      <c r="H46" s="327" t="str">
        <f t="shared" si="12"/>
        <v/>
      </c>
      <c r="I46" s="328"/>
      <c r="J46" s="329" t="str">
        <f t="shared" si="13"/>
        <v/>
      </c>
      <c r="K46" s="327"/>
      <c r="L46" s="327"/>
      <c r="M46" s="327"/>
      <c r="N46" s="327"/>
      <c r="O46" s="327"/>
      <c r="P46" s="327"/>
      <c r="Q46" s="379" t="str">
        <f t="shared" si="26"/>
        <v/>
      </c>
      <c r="R46" s="331" t="e">
        <f t="shared" si="15"/>
        <v>#DIV/0!</v>
      </c>
      <c r="S46" s="332">
        <f t="shared" si="22"/>
        <v>0</v>
      </c>
      <c r="T46" s="333">
        <f t="shared" si="23"/>
        <v>0</v>
      </c>
      <c r="U46" s="333">
        <f t="shared" si="18"/>
        <v>0</v>
      </c>
      <c r="V46" s="332" t="str">
        <f t="shared" si="27"/>
        <v/>
      </c>
      <c r="W46" s="333" t="str">
        <f>IF(Z46&lt;&gt;"",IF(E46&lt;&gt;"",E46,($I$9-SUM($W$25:W39))*Y46*Z46/SUMPRODUCT($Z46:$Z$46,$Y46:$Y$46)),"")</f>
        <v/>
      </c>
      <c r="X46" s="333" t="str">
        <f>IF(Z46&lt;&gt;"",IF($I$12&lt;&gt;"",IF(G46&lt;&gt;"",G46,($I$9/$I$12-SUM($X$25:X39))*Y46*Z46/SUMPRODUCT($Z46:$Z$46,$Y46:$Y$46)),""),"")</f>
        <v/>
      </c>
      <c r="Y46" s="312"/>
      <c r="Z46" s="312"/>
      <c r="AA46" s="335"/>
      <c r="AB46" s="336"/>
    </row>
    <row r="47" spans="1:258" s="90" customFormat="1">
      <c r="A47" s="337"/>
      <c r="B47" s="112"/>
      <c r="C47" s="132"/>
      <c r="D47" s="253"/>
      <c r="E47" s="108"/>
      <c r="F47" s="254" t="str">
        <f t="shared" si="11"/>
        <v/>
      </c>
      <c r="G47" s="108"/>
      <c r="H47" s="254" t="str">
        <f t="shared" si="12"/>
        <v/>
      </c>
      <c r="I47" s="108"/>
      <c r="J47" s="97" t="str">
        <f t="shared" si="13"/>
        <v/>
      </c>
      <c r="K47" s="96"/>
      <c r="L47" s="96"/>
      <c r="M47" s="96"/>
      <c r="N47" s="96"/>
      <c r="O47" s="96"/>
      <c r="P47" s="96"/>
      <c r="Q47" s="99" t="str">
        <f t="shared" si="26"/>
        <v/>
      </c>
      <c r="R47" s="340" t="e">
        <f t="shared" si="15"/>
        <v>#DIV/0!</v>
      </c>
      <c r="S47" s="101">
        <f t="shared" si="22"/>
        <v>0</v>
      </c>
      <c r="T47" s="102">
        <f t="shared" si="23"/>
        <v>0</v>
      </c>
      <c r="U47" s="102">
        <f t="shared" si="18"/>
        <v>0</v>
      </c>
      <c r="V47" s="332" t="str">
        <f>IF(Z47&lt;&gt;"",IF(D47&lt;&gt;"",D47,($I$8-SUM($V$25:V46))*Y47*Z47/SUMPRODUCT($Z$46:$Z47,$Y$46:$Y47)),"")</f>
        <v/>
      </c>
      <c r="W47" s="333" t="str">
        <f>IF(Z47&lt;&gt;"",IF(E47&lt;&gt;"",E47,($I$9-SUM($W$25:W40))*Y47*Z47/SUMPRODUCT($Z$46:$Z47,$Y$46:$Y47)),"")</f>
        <v/>
      </c>
      <c r="X47" s="333" t="str">
        <f>IF(Z47&lt;&gt;"",IF($I$12&lt;&gt;"",IF(G47&lt;&gt;"",G47,($I$9/$I$12-SUM($X$25:X40))*Y47*Z47/SUMPRODUCT($Z$46:$Z47,$Y$46:$Y47)),""),"")</f>
        <v/>
      </c>
      <c r="Y47" s="312"/>
      <c r="Z47" s="312"/>
      <c r="AA47" s="342"/>
      <c r="AB47" s="342"/>
    </row>
    <row r="48" spans="1:258" ht="15" customHeight="1">
      <c r="B48" s="860" t="s">
        <v>84</v>
      </c>
      <c r="C48" s="860"/>
      <c r="D48" s="298">
        <f>SUM(D25:D47)</f>
        <v>657954.52</v>
      </c>
      <c r="E48" s="298">
        <f>SUM(E25:E47)</f>
        <v>88</v>
      </c>
      <c r="F48" s="298">
        <f t="shared" si="11"/>
        <v>7476.755909090909</v>
      </c>
      <c r="G48" s="298">
        <f>SUM(G25:G47)</f>
        <v>56</v>
      </c>
      <c r="H48" s="298">
        <f t="shared" si="12"/>
        <v>11749.187857142857</v>
      </c>
      <c r="I48" s="298">
        <f>SUM(I25:I47)</f>
        <v>534</v>
      </c>
      <c r="J48" s="299">
        <f t="shared" si="13"/>
        <v>1.5714285714285714</v>
      </c>
      <c r="K48" s="298">
        <f>SUM(K25:K47)</f>
        <v>120346</v>
      </c>
      <c r="L48" s="298"/>
      <c r="M48" s="298"/>
      <c r="N48" s="298"/>
      <c r="O48" s="298"/>
      <c r="P48" s="298">
        <f>SUM(P25:P47)</f>
        <v>6493</v>
      </c>
      <c r="Q48" s="135">
        <f>IF(AND(I48&lt;&gt;"",I48&lt;&gt;0),G48/I48,"")</f>
        <v>0.10486891385767791</v>
      </c>
      <c r="R48" s="300">
        <f t="shared" si="15"/>
        <v>0.55288890304782567</v>
      </c>
      <c r="S48" s="301">
        <f t="shared" ref="S48:X48" si="28">SUM(S25:S47)</f>
        <v>1190030.2508749864</v>
      </c>
      <c r="T48" s="301">
        <f t="shared" si="28"/>
        <v>147.57658740842334</v>
      </c>
      <c r="U48" s="301">
        <f t="shared" si="28"/>
        <v>87.462254409775738</v>
      </c>
      <c r="V48" s="301">
        <f t="shared" si="28"/>
        <v>613579.52000000002</v>
      </c>
      <c r="W48" s="301">
        <f t="shared" si="28"/>
        <v>83</v>
      </c>
      <c r="X48" s="301">
        <f t="shared" si="28"/>
        <v>55</v>
      </c>
      <c r="Y48" s="302"/>
      <c r="Z48" s="302"/>
    </row>
    <row r="49" spans="2:20">
      <c r="B49" s="138"/>
      <c r="C49" s="139"/>
      <c r="D49" s="140">
        <f>SUMIF(D25:D47,"",S25:S47)+D48</f>
        <v>657954.52</v>
      </c>
      <c r="E49" s="141"/>
      <c r="F49" s="139"/>
      <c r="G49" s="139"/>
      <c r="H49" s="142"/>
      <c r="I49" s="143"/>
      <c r="J49" s="142"/>
      <c r="O49" s="144"/>
      <c r="P49" s="141"/>
      <c r="Q49" s="144"/>
      <c r="R49" s="144"/>
      <c r="S49" s="144"/>
      <c r="T49" s="145"/>
    </row>
    <row r="50" spans="2:20">
      <c r="D50" s="147"/>
    </row>
    <row r="52" spans="2:20">
      <c r="D52" s="147"/>
    </row>
    <row r="53" spans="2:20">
      <c r="D53" s="147"/>
    </row>
  </sheetData>
  <mergeCells count="28">
    <mergeCell ref="S22:Z22"/>
    <mergeCell ref="B48:C48"/>
    <mergeCell ref="F18:H18"/>
    <mergeCell ref="F19:H19"/>
    <mergeCell ref="F20:H20"/>
    <mergeCell ref="B22:Q22"/>
    <mergeCell ref="R22:R24"/>
    <mergeCell ref="F14:H14"/>
    <mergeCell ref="F15:H15"/>
    <mergeCell ref="F16:H16"/>
    <mergeCell ref="S16:S17"/>
    <mergeCell ref="F17:H17"/>
    <mergeCell ref="F9:H9"/>
    <mergeCell ref="F10:H10"/>
    <mergeCell ref="F11:H11"/>
    <mergeCell ref="F12:H12"/>
    <mergeCell ref="F13:H13"/>
    <mergeCell ref="J5:Q5"/>
    <mergeCell ref="F6:Q6"/>
    <mergeCell ref="F7:H7"/>
    <mergeCell ref="P7:Q7"/>
    <mergeCell ref="F8:H8"/>
    <mergeCell ref="B1:C1"/>
    <mergeCell ref="T1:W4"/>
    <mergeCell ref="B2:C2"/>
    <mergeCell ref="J2:S2"/>
    <mergeCell ref="J3:Q4"/>
    <mergeCell ref="C4:D4"/>
  </mergeCells>
  <conditionalFormatting sqref="J16">
    <cfRule type="cellIs" dxfId="128" priority="356" operator="greaterThan">
      <formula>0</formula>
    </cfRule>
    <cfRule type="cellIs" dxfId="127" priority="355" operator="lessThan">
      <formula>0</formula>
    </cfRule>
  </conditionalFormatting>
  <conditionalFormatting sqref="J25:J36">
    <cfRule type="cellIs" dxfId="126" priority="3" operator="lessThan">
      <formula>$I$12</formula>
    </cfRule>
    <cfRule type="cellIs" dxfId="125" priority="4" operator="greaterThan">
      <formula>$I$12</formula>
    </cfRule>
  </conditionalFormatting>
  <conditionalFormatting sqref="J33:J37">
    <cfRule type="cellIs" dxfId="124" priority="382" operator="lessThan">
      <formula>$I$12</formula>
    </cfRule>
  </conditionalFormatting>
  <conditionalFormatting sqref="J37:J47">
    <cfRule type="cellIs" dxfId="123" priority="140" operator="greaterThan">
      <formula>$I$12</formula>
    </cfRule>
  </conditionalFormatting>
  <conditionalFormatting sqref="J38:J47">
    <cfRule type="cellIs" dxfId="122" priority="139" operator="lessThan">
      <formula>$I$12</formula>
    </cfRule>
  </conditionalFormatting>
  <conditionalFormatting sqref="K10:K12">
    <cfRule type="cellIs" dxfId="121" priority="25" operator="lessThan">
      <formula>1</formula>
    </cfRule>
    <cfRule type="cellIs" dxfId="120" priority="26" operator="greaterThan">
      <formula>1</formula>
    </cfRule>
  </conditionalFormatting>
  <conditionalFormatting sqref="K15">
    <cfRule type="cellIs" dxfId="119" priority="28" operator="greaterThan">
      <formula>1</formula>
    </cfRule>
    <cfRule type="cellIs" dxfId="118" priority="27" operator="lessThan">
      <formula>1</formula>
    </cfRule>
  </conditionalFormatting>
  <conditionalFormatting sqref="K20">
    <cfRule type="cellIs" dxfId="117" priority="2" operator="greaterThan">
      <formula>1</formula>
    </cfRule>
    <cfRule type="cellIs" dxfId="116" priority="1" operator="lessThan">
      <formula>1</formula>
    </cfRule>
  </conditionalFormatting>
  <conditionalFormatting sqref="M9:M15">
    <cfRule type="cellIs" dxfId="115" priority="30" operator="greaterThan">
      <formula>1</formula>
    </cfRule>
    <cfRule type="cellIs" dxfId="114" priority="29" operator="lessThan">
      <formula>1</formula>
    </cfRule>
  </conditionalFormatting>
  <conditionalFormatting sqref="P10:Q10">
    <cfRule type="cellIs" dxfId="113" priority="357" operator="lessThan">
      <formula>0</formula>
    </cfRule>
  </conditionalFormatting>
  <conditionalFormatting sqref="Q25:Q43">
    <cfRule type="cellIs" dxfId="112" priority="413" operator="lessThan">
      <formula>$I$20</formula>
    </cfRule>
    <cfRule type="cellIs" dxfId="111" priority="12" operator="greaterThanOrEqual">
      <formula>0.25</formula>
    </cfRule>
    <cfRule type="cellIs" dxfId="110" priority="11" operator="between">
      <formula>0.2</formula>
      <formula>0.25</formula>
    </cfRule>
    <cfRule type="cellIs" dxfId="109" priority="412" operator="greaterThan">
      <formula>$I$20</formula>
    </cfRule>
  </conditionalFormatting>
  <conditionalFormatting sqref="Q25:Q47">
    <cfRule type="cellIs" dxfId="108" priority="13" operator="lessThan">
      <formula>0.2</formula>
    </cfRule>
  </conditionalFormatting>
  <conditionalFormatting sqref="R25:R31">
    <cfRule type="cellIs" dxfId="107" priority="10" operator="between">
      <formula>0.01</formula>
      <formula>0.99</formula>
    </cfRule>
  </conditionalFormatting>
  <conditionalFormatting sqref="R25:R32">
    <cfRule type="cellIs" dxfId="106" priority="6" operator="lessThan">
      <formula>0.9</formula>
    </cfRule>
    <cfRule type="cellIs" dxfId="105" priority="9" operator="between">
      <formula>0.85</formula>
      <formula>1</formula>
    </cfRule>
    <cfRule type="cellIs" dxfId="104" priority="5" operator="between">
      <formula>0.9001</formula>
      <formula>0.9999</formula>
    </cfRule>
  </conditionalFormatting>
  <conditionalFormatting sqref="R25:R47">
    <cfRule type="cellIs" dxfId="103" priority="8" operator="greaterThan">
      <formula>100</formula>
    </cfRule>
    <cfRule type="cellIs" dxfId="102" priority="7" operator="greaterThan">
      <formula>1</formula>
    </cfRule>
  </conditionalFormatting>
  <conditionalFormatting sqref="R32:R36">
    <cfRule type="cellIs" dxfId="101" priority="124" operator="between">
      <formula>0.01</formula>
      <formula>0.99</formula>
    </cfRule>
  </conditionalFormatting>
  <conditionalFormatting sqref="R33:R35">
    <cfRule type="cellIs" dxfId="100" priority="400" operator="between">
      <formula>0.9001</formula>
      <formula>0.9999</formula>
    </cfRule>
    <cfRule type="cellIs" dxfId="99" priority="398" operator="lessThan">
      <formula>0.9</formula>
    </cfRule>
    <cfRule type="cellIs" dxfId="98" priority="392" operator="between">
      <formula>0.85</formula>
      <formula>1</formula>
    </cfRule>
  </conditionalFormatting>
  <conditionalFormatting sqref="R35:R36">
    <cfRule type="cellIs" dxfId="97" priority="119" operator="between">
      <formula>0.9001</formula>
      <formula>0.9999</formula>
    </cfRule>
    <cfRule type="cellIs" dxfId="96" priority="120" operator="lessThan">
      <formula>0.9</formula>
    </cfRule>
  </conditionalFormatting>
  <conditionalFormatting sqref="R36">
    <cfRule type="cellIs" dxfId="95" priority="123" operator="between">
      <formula>0.85</formula>
      <formula>1</formula>
    </cfRule>
  </conditionalFormatting>
  <conditionalFormatting sqref="R37">
    <cfRule type="cellIs" dxfId="94" priority="407" operator="between">
      <formula>0.85</formula>
      <formula>1</formula>
    </cfRule>
    <cfRule type="cellIs" dxfId="93" priority="410" operator="lessThan">
      <formula>0.9</formula>
    </cfRule>
    <cfRule type="cellIs" dxfId="92" priority="411" operator="between">
      <formula>0.9001</formula>
      <formula>0.9999</formula>
    </cfRule>
  </conditionalFormatting>
  <conditionalFormatting sqref="R37:R45 R47">
    <cfRule type="cellIs" dxfId="91" priority="352" operator="between">
      <formula>0.01</formula>
      <formula>0.99</formula>
    </cfRule>
  </conditionalFormatting>
  <conditionalFormatting sqref="R38:R45 R47">
    <cfRule type="cellIs" dxfId="90" priority="351" operator="between">
      <formula>0.85</formula>
      <formula>1</formula>
    </cfRule>
  </conditionalFormatting>
  <conditionalFormatting sqref="R38:R47">
    <cfRule type="cellIs" dxfId="89" priority="349" operator="lessThan">
      <formula>0.9</formula>
    </cfRule>
    <cfRule type="cellIs" dxfId="88" priority="348" operator="between">
      <formula>0.9001</formula>
      <formula>0.9999</formula>
    </cfRule>
  </conditionalFormatting>
  <conditionalFormatting sqref="R46">
    <cfRule type="cellIs" dxfId="87" priority="347" operator="between">
      <formula>0.01</formula>
      <formula>0.99</formula>
    </cfRule>
    <cfRule type="cellIs" dxfId="86" priority="346" operator="between">
      <formula>0.85</formula>
      <formula>1</formula>
    </cfRule>
  </conditionalFormatting>
  <dataValidations count="1">
    <dataValidation type="decimal" allowBlank="1" showErrorMessage="1" sqref="I8:J13 L10:L11 I14" xr:uid="{00CF0063-0041-48C6-B56B-00E400650091}">
      <formula1>0</formula1>
      <formula2>1000000000000000</formula2>
    </dataValidation>
  </dataValidations>
  <printOptions gridLines="1"/>
  <pageMargins left="0.7" right="0.7" top="0.75" bottom="0.75" header="0.51200000000000001" footer="0.51200000000000001"/>
  <pageSetup paperSize="9" firstPageNumber="0" fitToHeight="0" orientation="landscape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DBDBDB"/>
    <pageSetUpPr fitToPage="1"/>
  </sheetPr>
  <dimension ref="A1:IY55"/>
  <sheetViews>
    <sheetView showGridLines="0" showZeros="0" workbookViewId="0">
      <selection activeCell="I44" sqref="I44"/>
    </sheetView>
  </sheetViews>
  <sheetFormatPr baseColWidth="10" defaultColWidth="9.1640625" defaultRowHeight="15"/>
  <cols>
    <col min="1" max="1" width="4" style="1" customWidth="1"/>
    <col min="2" max="2" width="10.33203125" style="1" customWidth="1"/>
    <col min="3" max="3" width="10.83203125" style="1" customWidth="1"/>
    <col min="4" max="4" width="10.33203125" style="1" customWidth="1"/>
    <col min="5" max="5" width="10.1640625" style="1" customWidth="1"/>
    <col min="6" max="6" width="11.33203125" style="1" customWidth="1"/>
    <col min="7" max="7" width="9.83203125" style="1" customWidth="1"/>
    <col min="8" max="8" width="9.5" style="1" customWidth="1"/>
    <col min="9" max="9" width="11" style="1" customWidth="1"/>
    <col min="10" max="10" width="8.83203125" style="1" customWidth="1"/>
    <col min="11" max="14" width="12.6640625" style="1" customWidth="1"/>
    <col min="15" max="15" width="11" style="1" customWidth="1"/>
    <col min="16" max="17" width="10.83203125" style="1" customWidth="1"/>
    <col min="18" max="18" width="11.6640625" style="1" customWidth="1"/>
    <col min="19" max="19" width="12.83203125" style="1" customWidth="1"/>
    <col min="20" max="20" width="10.33203125" style="1" customWidth="1"/>
    <col min="21" max="22" width="11.33203125" style="1" customWidth="1"/>
    <col min="23" max="23" width="11" style="1" customWidth="1"/>
    <col min="24" max="24" width="9.5" style="1" customWidth="1"/>
    <col min="25" max="25" width="9.1640625" style="1"/>
    <col min="26" max="27" width="10.5" style="1" customWidth="1"/>
    <col min="28" max="37" width="9.1640625" style="1"/>
    <col min="38" max="259" width="9.1640625" style="2"/>
  </cols>
  <sheetData>
    <row r="1" spans="2:27" ht="15.75" customHeight="1">
      <c r="B1" s="780">
        <f ca="1">TODAY()-1</f>
        <v>46031</v>
      </c>
      <c r="C1" s="780"/>
      <c r="D1" s="3"/>
      <c r="E1" s="3"/>
      <c r="F1" s="4"/>
      <c r="G1" s="4"/>
      <c r="H1" s="4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781"/>
      <c r="V1" s="781"/>
      <c r="W1" s="781"/>
      <c r="X1" s="781"/>
      <c r="Y1" s="4"/>
      <c r="Z1" s="4"/>
      <c r="AA1" s="4"/>
    </row>
    <row r="2" spans="2:27" ht="21.75" customHeight="1">
      <c r="B2" s="782" t="s">
        <v>0</v>
      </c>
      <c r="C2" s="782"/>
      <c r="D2" s="3"/>
      <c r="E2" s="3"/>
      <c r="F2" s="4"/>
      <c r="G2" s="4"/>
      <c r="H2" s="4"/>
      <c r="I2" s="4"/>
      <c r="J2" s="853" t="s">
        <v>1</v>
      </c>
      <c r="K2" s="853"/>
      <c r="L2" s="853"/>
      <c r="M2" s="853"/>
      <c r="N2" s="853"/>
      <c r="O2" s="853"/>
      <c r="P2" s="853"/>
      <c r="Q2" s="853"/>
      <c r="R2" s="853"/>
      <c r="S2" s="853"/>
      <c r="T2" s="853"/>
      <c r="U2" s="781"/>
      <c r="V2" s="781"/>
      <c r="W2" s="781"/>
      <c r="X2" s="781"/>
      <c r="Y2" s="4"/>
      <c r="Z2" s="4"/>
      <c r="AA2" s="4"/>
    </row>
    <row r="3" spans="2:27" ht="14" customHeight="1">
      <c r="B3" s="7" t="s">
        <v>2</v>
      </c>
      <c r="C3" s="3"/>
      <c r="D3" s="3"/>
      <c r="E3" s="3"/>
      <c r="F3" s="4"/>
      <c r="G3" s="4"/>
      <c r="H3" s="4"/>
      <c r="I3" s="4"/>
      <c r="J3" s="854" t="str">
        <f>График!B28</f>
        <v>Стекольщикова Алла</v>
      </c>
      <c r="K3" s="854"/>
      <c r="L3" s="854"/>
      <c r="M3" s="854"/>
      <c r="N3" s="854"/>
      <c r="O3" s="854"/>
      <c r="P3" s="854"/>
      <c r="Q3" s="854"/>
      <c r="R3" s="854"/>
      <c r="S3" s="5"/>
      <c r="T3" s="8"/>
      <c r="U3" s="781"/>
      <c r="V3" s="781"/>
      <c r="W3" s="781"/>
      <c r="X3" s="781"/>
      <c r="Y3" s="4"/>
      <c r="Z3" s="4"/>
      <c r="AA3" s="4"/>
    </row>
    <row r="4" spans="2:27" ht="15" customHeight="1">
      <c r="B4" s="3"/>
      <c r="C4" s="855">
        <f>I8-D50</f>
        <v>541084.2136526946</v>
      </c>
      <c r="D4" s="855"/>
      <c r="E4" s="226">
        <f>IF(I8&lt;&gt;0,C4/I8,0)</f>
        <v>0.38192304850995962</v>
      </c>
      <c r="F4" s="4"/>
      <c r="G4" s="4"/>
      <c r="H4" s="4"/>
      <c r="I4" s="4"/>
      <c r="J4" s="854"/>
      <c r="K4" s="854"/>
      <c r="L4" s="854"/>
      <c r="M4" s="854"/>
      <c r="N4" s="854"/>
      <c r="O4" s="854"/>
      <c r="P4" s="854"/>
      <c r="Q4" s="854"/>
      <c r="R4" s="854"/>
      <c r="S4" s="4"/>
      <c r="T4" s="4"/>
      <c r="U4" s="781"/>
      <c r="V4" s="781"/>
      <c r="W4" s="781"/>
      <c r="X4" s="781"/>
      <c r="Y4" s="4"/>
      <c r="Z4" s="4"/>
      <c r="AA4" s="4"/>
    </row>
    <row r="5" spans="2:27">
      <c r="B5" s="4"/>
      <c r="C5" s="4"/>
      <c r="D5" s="4"/>
      <c r="E5" s="4"/>
      <c r="F5" s="4"/>
      <c r="G5" s="4"/>
      <c r="H5" s="4"/>
      <c r="I5" s="4"/>
      <c r="J5" s="791"/>
      <c r="K5" s="791"/>
      <c r="L5" s="791"/>
      <c r="M5" s="791"/>
      <c r="N5" s="791"/>
      <c r="O5" s="791"/>
      <c r="P5" s="791"/>
      <c r="Q5" s="791"/>
      <c r="R5" s="791"/>
      <c r="S5" s="4"/>
      <c r="T5" s="12"/>
      <c r="U5" s="4"/>
      <c r="V5" s="4"/>
      <c r="W5" s="4"/>
      <c r="X5" s="4"/>
      <c r="Y5" s="4"/>
      <c r="Z5" s="4"/>
      <c r="AA5" s="4"/>
    </row>
    <row r="6" spans="2:27" ht="15.75" customHeight="1">
      <c r="B6" s="11"/>
      <c r="C6" s="4"/>
      <c r="D6" s="4"/>
      <c r="E6" s="4"/>
      <c r="F6" s="793" t="s">
        <v>4</v>
      </c>
      <c r="G6" s="794"/>
      <c r="H6" s="794"/>
      <c r="I6" s="794"/>
      <c r="J6" s="794"/>
      <c r="K6" s="794"/>
      <c r="L6" s="794"/>
      <c r="M6" s="794"/>
      <c r="N6" s="794"/>
      <c r="O6" s="794"/>
      <c r="P6" s="794"/>
      <c r="Q6" s="794"/>
      <c r="R6" s="794"/>
      <c r="S6" s="4"/>
      <c r="T6" s="12"/>
      <c r="U6" s="4"/>
      <c r="V6" s="12"/>
      <c r="W6" s="12"/>
      <c r="X6" s="4"/>
      <c r="Y6" s="4"/>
      <c r="Z6" s="4"/>
      <c r="AA6" s="4"/>
    </row>
    <row r="7" spans="2:27" ht="50.75" customHeight="1">
      <c r="B7" s="11"/>
      <c r="C7" s="4"/>
      <c r="D7" s="4"/>
      <c r="E7" s="13"/>
      <c r="F7" s="856" t="s">
        <v>5</v>
      </c>
      <c r="G7" s="856"/>
      <c r="H7" s="856"/>
      <c r="I7" s="14" t="s">
        <v>6</v>
      </c>
      <c r="J7" s="15" t="s">
        <v>7</v>
      </c>
      <c r="K7" s="16" t="s">
        <v>8</v>
      </c>
      <c r="L7" s="17" t="s">
        <v>9</v>
      </c>
      <c r="M7" s="17" t="s">
        <v>10</v>
      </c>
      <c r="N7" s="18" t="s">
        <v>11</v>
      </c>
      <c r="O7" s="18" t="s">
        <v>12</v>
      </c>
      <c r="P7" s="857" t="s">
        <v>13</v>
      </c>
      <c r="Q7" s="857"/>
      <c r="R7" s="857"/>
      <c r="S7" s="4"/>
      <c r="T7" s="12"/>
      <c r="U7" s="4"/>
      <c r="V7" s="4"/>
      <c r="W7" s="4"/>
      <c r="X7" s="4"/>
      <c r="Y7" s="4"/>
      <c r="Z7" s="4"/>
      <c r="AA7" s="4"/>
    </row>
    <row r="8" spans="2:27" ht="15.75" customHeight="1">
      <c r="B8" s="11"/>
      <c r="C8" s="4"/>
      <c r="D8" s="4"/>
      <c r="E8" s="4"/>
      <c r="F8" s="802" t="s">
        <v>14</v>
      </c>
      <c r="G8" s="802"/>
      <c r="H8" s="802"/>
      <c r="I8" s="227">
        <f>Центрум!I8/График!AJ29*График!AJ28</f>
        <v>1416736.2136526946</v>
      </c>
      <c r="J8" s="21">
        <f>D50</f>
        <v>875652</v>
      </c>
      <c r="K8" s="228">
        <f t="shared" ref="K8:K9" si="0">IF(AND(I8&lt;&gt;"",I8&lt;&gt;0,J8&lt;&gt;""),J8/I8,"")</f>
        <v>0.61807695149004038</v>
      </c>
      <c r="L8" s="23">
        <f>IF(SUMIF($D$25:$D$49,"&gt;=0",$T$25:$T$49)&lt;&gt;0,I8*D50/SUMIF($D$25:$D$49,"&gt;=0",$T$25:$T$49),0)</f>
        <v>886047.47980647709</v>
      </c>
      <c r="M8" s="229">
        <f>L8/I8</f>
        <v>0.62541457701714886</v>
      </c>
      <c r="N8" s="25">
        <f t="shared" ref="N8:N9" si="1">IF(AND(J8&lt;&gt;0,J8&lt;&gt;"",I8&lt;&gt;0,I8&lt;&gt;""),L8-I8,"")</f>
        <v>-530688.73384621751</v>
      </c>
      <c r="O8" s="26"/>
      <c r="P8" s="25" t="str">
        <f t="shared" ref="P8:P9" si="2">IF(AND(O8&lt;&gt;"",O8&lt;&gt;0,L8&lt;&gt;"",L8&lt;&gt;0),-O8+L8,"")</f>
        <v/>
      </c>
      <c r="Q8" s="28" t="str">
        <f t="shared" ref="Q8:Q9" si="3">IF(AND(P8&lt;&gt;"",P8&lt;&gt;0,O8&lt;&gt;0,O8&lt;&gt;""),P8/O8,"")</f>
        <v/>
      </c>
      <c r="R8" s="12"/>
      <c r="S8" s="12"/>
      <c r="T8" s="4"/>
      <c r="U8" s="4"/>
      <c r="V8" s="4"/>
      <c r="W8" s="4"/>
      <c r="X8" s="4"/>
      <c r="Y8" s="4"/>
      <c r="Z8" s="4"/>
    </row>
    <row r="9" spans="2:27" ht="15.75" customHeight="1">
      <c r="B9" s="11"/>
      <c r="C9" s="4"/>
      <c r="D9" s="4"/>
      <c r="E9" s="4"/>
      <c r="F9" s="801" t="s">
        <v>15</v>
      </c>
      <c r="G9" s="801"/>
      <c r="H9" s="801"/>
      <c r="I9" s="29">
        <f>I8/I11</f>
        <v>172.98366467065867</v>
      </c>
      <c r="J9" s="30">
        <f>E50</f>
        <v>99</v>
      </c>
      <c r="K9" s="230">
        <f t="shared" si="0"/>
        <v>0.57230837483114261</v>
      </c>
      <c r="L9" s="57">
        <f>IF(SUMIF($E$25:$E$49,"&gt;=0",$U$25:$U$49)&lt;&gt;0,I9*E50/SUMIF($E$25:$E$49,"&gt;=0",$U$25:$U$49),0)</f>
        <v>98.860421201682541</v>
      </c>
      <c r="M9" s="231">
        <f>IF(AND(I9&lt;&gt;"",I9&lt;&gt;0,L9&lt;&gt;"",L9&lt;&gt;0),L9/I9,"")</f>
        <v>0.57150148477835527</v>
      </c>
      <c r="N9" s="34">
        <f t="shared" si="1"/>
        <v>-74.123243468976128</v>
      </c>
      <c r="O9" s="35" t="e">
        <f>O8/O11</f>
        <v>#DIV/0!</v>
      </c>
      <c r="P9" s="34" t="e">
        <f t="shared" si="2"/>
        <v>#DIV/0!</v>
      </c>
      <c r="Q9" s="37" t="e">
        <f t="shared" si="3"/>
        <v>#DIV/0!</v>
      </c>
      <c r="R9" s="12"/>
      <c r="S9" s="12"/>
      <c r="T9" s="4"/>
      <c r="U9" s="4"/>
      <c r="V9" s="4"/>
      <c r="W9" s="4"/>
      <c r="X9" s="4"/>
      <c r="Y9" s="4"/>
      <c r="Z9" s="4"/>
    </row>
    <row r="10" spans="2:27" ht="15.75" customHeight="1">
      <c r="B10" s="11"/>
      <c r="C10" s="4"/>
      <c r="D10" s="4"/>
      <c r="E10" s="4"/>
      <c r="F10" s="802" t="s">
        <v>16</v>
      </c>
      <c r="G10" s="802"/>
      <c r="H10" s="802"/>
      <c r="I10" s="38">
        <f>I11*I12</f>
        <v>13759.199999999999</v>
      </c>
      <c r="J10" s="39">
        <f>H50</f>
        <v>12877.235294117647</v>
      </c>
      <c r="K10" s="232">
        <f t="shared" ref="K10:K19" si="4">IF(AND(I10&lt;&gt;"",I10&lt;&gt;0,J10&lt;&gt;""),J10/I10,"")</f>
        <v>0.93590000102605153</v>
      </c>
      <c r="L10" s="57">
        <f t="shared" ref="L10:L12" si="5">J10</f>
        <v>12877.235294117647</v>
      </c>
      <c r="M10" s="233">
        <f t="shared" ref="M10:M20" si="6">IF(AND(I10&lt;&gt;"",I10&lt;&gt;0,L10&lt;&gt;"",L10&lt;&gt;0),L10/I10,"")</f>
        <v>0.93590000102605153</v>
      </c>
      <c r="N10" s="42">
        <f t="shared" ref="N10:N20" si="7">IF(AND(J10&lt;&gt;0,J10&lt;&gt;"",I10&lt;&gt;0,I10&lt;&gt;""),L10-I10,"")</f>
        <v>-881.96470588235206</v>
      </c>
      <c r="O10" s="38">
        <f>O11*O12</f>
        <v>0</v>
      </c>
      <c r="P10" s="42" t="str">
        <f t="shared" ref="P10:P20" si="8">IF(AND(O10&lt;&gt;"",O10&lt;&gt;0,L10&lt;&gt;"",L10&lt;&gt;0),-O10+L10,"")</f>
        <v/>
      </c>
      <c r="Q10" s="44" t="str">
        <f t="shared" ref="Q10:Q20" si="9">IF(AND(P10&lt;&gt;"",P10&lt;&gt;0,O10&lt;&gt;0,O10&lt;&gt;""),P10/O10,"")</f>
        <v/>
      </c>
      <c r="R10" s="12"/>
      <c r="S10" s="12"/>
      <c r="T10" s="4"/>
      <c r="U10" s="4"/>
      <c r="V10" s="4"/>
      <c r="W10" s="4"/>
      <c r="X10" s="4"/>
      <c r="Y10" s="4"/>
      <c r="Z10" s="4"/>
    </row>
    <row r="11" spans="2:27" ht="15.75" customHeight="1">
      <c r="B11" s="11"/>
      <c r="C11" s="4"/>
      <c r="D11" s="4"/>
      <c r="E11" s="4"/>
      <c r="F11" s="801" t="s">
        <v>17</v>
      </c>
      <c r="G11" s="801"/>
      <c r="H11" s="801"/>
      <c r="I11" s="45">
        <f>Центрум!I11</f>
        <v>8190</v>
      </c>
      <c r="J11" s="30">
        <f>F50</f>
        <v>8844.9696969696961</v>
      </c>
      <c r="K11" s="230">
        <f t="shared" si="4"/>
        <v>1.0799718799718798</v>
      </c>
      <c r="L11" s="57">
        <f t="shared" si="5"/>
        <v>8844.9696969696961</v>
      </c>
      <c r="M11" s="231">
        <f t="shared" si="6"/>
        <v>1.0799718799718798</v>
      </c>
      <c r="N11" s="34">
        <f t="shared" si="7"/>
        <v>654.96969696969609</v>
      </c>
      <c r="O11" s="46"/>
      <c r="P11" s="34" t="str">
        <f t="shared" si="8"/>
        <v/>
      </c>
      <c r="Q11" s="37" t="str">
        <f t="shared" si="9"/>
        <v/>
      </c>
      <c r="R11" s="12"/>
      <c r="S11" s="4"/>
      <c r="T11" s="4"/>
      <c r="U11" s="4"/>
      <c r="V11" s="4"/>
      <c r="W11" s="4"/>
      <c r="X11" s="4"/>
      <c r="Y11" s="4"/>
      <c r="Z11" s="4"/>
    </row>
    <row r="12" spans="2:27" ht="15.75" customHeight="1">
      <c r="B12" s="11"/>
      <c r="C12" s="4"/>
      <c r="D12" s="4"/>
      <c r="E12" s="4"/>
      <c r="F12" s="801" t="s">
        <v>18</v>
      </c>
      <c r="G12" s="801"/>
      <c r="H12" s="801"/>
      <c r="I12" s="47">
        <f>Центрум!I12</f>
        <v>1.68</v>
      </c>
      <c r="J12" s="48">
        <f>J50</f>
        <v>1.4558823529411764</v>
      </c>
      <c r="K12" s="230">
        <f t="shared" si="4"/>
        <v>0.86659663865546221</v>
      </c>
      <c r="L12" s="57">
        <f t="shared" si="5"/>
        <v>1.4558823529411764</v>
      </c>
      <c r="M12" s="231">
        <f t="shared" si="6"/>
        <v>0.86659663865546221</v>
      </c>
      <c r="N12" s="50">
        <f t="shared" si="7"/>
        <v>-0.22411764705882353</v>
      </c>
      <c r="O12" s="51"/>
      <c r="P12" s="34" t="str">
        <f t="shared" si="8"/>
        <v/>
      </c>
      <c r="Q12" s="37" t="str">
        <f t="shared" si="9"/>
        <v/>
      </c>
      <c r="R12" s="12"/>
      <c r="S12" s="4"/>
      <c r="T12" s="4"/>
      <c r="U12" s="4"/>
      <c r="V12" s="4"/>
      <c r="W12" s="4"/>
      <c r="X12" s="4"/>
      <c r="Y12" s="4"/>
      <c r="Z12" s="4"/>
    </row>
    <row r="13" spans="2:27" ht="15.75" customHeight="1">
      <c r="B13" s="11"/>
      <c r="C13" s="4"/>
      <c r="D13" s="4"/>
      <c r="E13" s="4"/>
      <c r="F13" s="801" t="s">
        <v>19</v>
      </c>
      <c r="G13" s="801"/>
      <c r="H13" s="801"/>
      <c r="I13" s="29">
        <f>IF(I12&lt;&gt;0,I9/I12,"")</f>
        <v>102.96646706586826</v>
      </c>
      <c r="J13" s="30">
        <f>G50</f>
        <v>68</v>
      </c>
      <c r="K13" s="230">
        <f t="shared" si="4"/>
        <v>0.66040917919908815</v>
      </c>
      <c r="L13" s="57">
        <f>IF(SUMIF($G$25:$G$49,"&gt;=0",$V$25:$V$49)&lt;&gt;0,I13*G50/SUMIF($G$25:$G$49,"&gt;=0",$V$25:$V$49),"")</f>
        <v>68.155933542754937</v>
      </c>
      <c r="M13" s="231">
        <f t="shared" si="6"/>
        <v>0.66192359012527047</v>
      </c>
      <c r="N13" s="50">
        <f t="shared" si="7"/>
        <v>-34.810533523113321</v>
      </c>
      <c r="O13" s="52"/>
      <c r="P13" s="34" t="str">
        <f t="shared" si="8"/>
        <v/>
      </c>
      <c r="Q13" s="37" t="str">
        <f t="shared" si="9"/>
        <v/>
      </c>
      <c r="R13" s="12"/>
      <c r="S13" s="4"/>
      <c r="T13" s="4"/>
      <c r="U13" s="4"/>
      <c r="V13" s="4"/>
      <c r="W13" s="4"/>
      <c r="X13" s="4"/>
      <c r="Y13" s="4"/>
      <c r="Z13" s="4"/>
    </row>
    <row r="14" spans="2:27" ht="15.75" customHeight="1">
      <c r="B14" s="11"/>
      <c r="C14" s="4"/>
      <c r="D14" s="4"/>
      <c r="E14" s="4"/>
      <c r="F14" s="801" t="s">
        <v>97</v>
      </c>
      <c r="G14" s="801"/>
      <c r="H14" s="801"/>
      <c r="I14" s="45">
        <f>График!AI28</f>
        <v>25</v>
      </c>
      <c r="J14" s="53">
        <v>25</v>
      </c>
      <c r="K14" s="230">
        <f t="shared" si="4"/>
        <v>1</v>
      </c>
      <c r="L14" s="57">
        <f>IF(SUMIF($D$25:$D$49,"&gt;=0",$T$25:$T$49),I50*I8/SUMIF($D$25:$D$49,"&gt;=0",$T$25:$T$49),"")</f>
        <v>634.44355730205734</v>
      </c>
      <c r="M14" s="231"/>
      <c r="N14" s="34">
        <f t="shared" si="7"/>
        <v>609.44355730205734</v>
      </c>
      <c r="O14" s="52"/>
      <c r="P14" s="34" t="str">
        <f t="shared" si="8"/>
        <v/>
      </c>
      <c r="Q14" s="37" t="str">
        <f t="shared" si="9"/>
        <v/>
      </c>
      <c r="R14" s="12"/>
      <c r="S14" s="54"/>
      <c r="T14" s="4"/>
      <c r="U14" s="4"/>
      <c r="V14" s="4"/>
      <c r="W14" s="4"/>
      <c r="X14" s="4"/>
      <c r="Y14" s="4"/>
      <c r="Z14" s="4"/>
    </row>
    <row r="15" spans="2:27" ht="15.75" customHeight="1">
      <c r="B15" s="11"/>
      <c r="C15" s="4"/>
      <c r="D15" s="4"/>
      <c r="E15" s="4"/>
      <c r="F15" s="801" t="s">
        <v>21</v>
      </c>
      <c r="G15" s="801"/>
      <c r="H15" s="801"/>
      <c r="I15" s="234">
        <f>Центрум!I15</f>
        <v>196534.63741935484</v>
      </c>
      <c r="J15" s="62">
        <f>J8/J14</f>
        <v>35026.080000000002</v>
      </c>
      <c r="K15" s="235">
        <f t="shared" si="4"/>
        <v>0.1782183561122779</v>
      </c>
      <c r="L15" s="63">
        <f t="shared" ref="L15:L16" si="10">J15</f>
        <v>35026.080000000002</v>
      </c>
      <c r="M15" s="231">
        <f t="shared" si="6"/>
        <v>0.1782183561122779</v>
      </c>
      <c r="N15" s="34">
        <f t="shared" si="7"/>
        <v>-161508.55741935485</v>
      </c>
      <c r="O15" s="65"/>
      <c r="P15" s="34" t="str">
        <f t="shared" si="8"/>
        <v/>
      </c>
      <c r="Q15" s="37" t="str">
        <f t="shared" si="9"/>
        <v/>
      </c>
      <c r="R15" s="12"/>
      <c r="S15" s="12"/>
      <c r="T15" s="4"/>
      <c r="U15" s="4"/>
      <c r="V15" s="4"/>
      <c r="W15" s="4"/>
      <c r="X15" s="4"/>
      <c r="Y15" s="4"/>
      <c r="Z15" s="4"/>
    </row>
    <row r="16" spans="2:27" ht="15.75" customHeight="1">
      <c r="B16" s="11"/>
      <c r="C16" s="4"/>
      <c r="D16" s="4"/>
      <c r="E16" s="4"/>
      <c r="F16" s="801" t="s">
        <v>22</v>
      </c>
      <c r="G16" s="801"/>
      <c r="H16" s="801"/>
      <c r="I16" s="234"/>
      <c r="J16" s="62">
        <f>J8-I15*J14</f>
        <v>-4037713.935483871</v>
      </c>
      <c r="K16" s="235" t="str">
        <f t="shared" si="4"/>
        <v/>
      </c>
      <c r="L16" s="63">
        <f t="shared" si="10"/>
        <v>-4037713.935483871</v>
      </c>
      <c r="M16" s="236" t="str">
        <f t="shared" si="6"/>
        <v/>
      </c>
      <c r="N16" s="34" t="str">
        <f t="shared" si="7"/>
        <v/>
      </c>
      <c r="O16" s="65"/>
      <c r="P16" s="34" t="str">
        <f t="shared" si="8"/>
        <v/>
      </c>
      <c r="Q16" s="37" t="str">
        <f t="shared" si="9"/>
        <v/>
      </c>
      <c r="R16" s="12"/>
      <c r="S16" s="858" t="s">
        <v>23</v>
      </c>
      <c r="T16" s="4"/>
      <c r="U16" s="4"/>
      <c r="V16" s="4"/>
      <c r="W16" s="4"/>
      <c r="X16" s="4"/>
      <c r="Y16" s="4"/>
      <c r="Z16" s="4"/>
    </row>
    <row r="17" spans="1:259" ht="15.75" customHeight="1">
      <c r="B17" s="11"/>
      <c r="C17" s="4"/>
      <c r="D17" s="4"/>
      <c r="E17" s="4"/>
      <c r="F17" s="801" t="s">
        <v>24</v>
      </c>
      <c r="G17" s="801"/>
      <c r="H17" s="801"/>
      <c r="I17" s="234">
        <f>Центрум!I17/График!AJ29*График!AJ28</f>
        <v>837.12574850299404</v>
      </c>
      <c r="J17" s="62">
        <f>I50</f>
        <v>627</v>
      </c>
      <c r="K17" s="235">
        <f t="shared" si="4"/>
        <v>0.74899141630901289</v>
      </c>
      <c r="L17" s="63">
        <f>J17/J14*I14</f>
        <v>627</v>
      </c>
      <c r="M17" s="236">
        <f t="shared" si="6"/>
        <v>0.74899141630901289</v>
      </c>
      <c r="N17" s="34">
        <f t="shared" si="7"/>
        <v>-210.12574850299404</v>
      </c>
      <c r="O17" s="65"/>
      <c r="P17" s="34" t="str">
        <f t="shared" si="8"/>
        <v/>
      </c>
      <c r="Q17" s="37" t="str">
        <f t="shared" si="9"/>
        <v/>
      </c>
      <c r="R17" s="12"/>
      <c r="S17" s="858"/>
      <c r="T17" s="4"/>
      <c r="U17" s="4"/>
      <c r="V17" s="4"/>
      <c r="W17" s="4"/>
      <c r="X17" s="4"/>
      <c r="Y17" s="4"/>
      <c r="Z17" s="4"/>
    </row>
    <row r="18" spans="1:259" ht="15.75" customHeight="1">
      <c r="B18" s="11"/>
      <c r="C18" s="4"/>
      <c r="D18" s="4"/>
      <c r="E18" s="4"/>
      <c r="F18" s="801"/>
      <c r="G18" s="801"/>
      <c r="H18" s="801"/>
      <c r="I18" s="61"/>
      <c r="J18" s="62"/>
      <c r="K18" s="235" t="str">
        <f t="shared" si="4"/>
        <v/>
      </c>
      <c r="L18" s="63">
        <f t="shared" ref="L18:L19" si="11">J18</f>
        <v>0</v>
      </c>
      <c r="M18" s="236" t="str">
        <f t="shared" si="6"/>
        <v/>
      </c>
      <c r="N18" s="34" t="str">
        <f t="shared" si="7"/>
        <v/>
      </c>
      <c r="O18" s="237">
        <v>0</v>
      </c>
      <c r="P18" s="34" t="str">
        <f t="shared" si="8"/>
        <v/>
      </c>
      <c r="Q18" s="37" t="str">
        <f t="shared" si="9"/>
        <v/>
      </c>
      <c r="R18" s="12"/>
      <c r="S18" s="60"/>
      <c r="T18" s="4"/>
      <c r="U18" s="4"/>
      <c r="V18" s="4"/>
      <c r="W18" s="4"/>
      <c r="X18" s="4"/>
      <c r="Y18" s="4"/>
      <c r="Z18" s="4"/>
    </row>
    <row r="19" spans="1:259" ht="15.75" customHeight="1">
      <c r="B19" s="11"/>
      <c r="C19" s="4"/>
      <c r="D19" s="4"/>
      <c r="E19" s="4"/>
      <c r="F19" s="801"/>
      <c r="G19" s="801"/>
      <c r="H19" s="801"/>
      <c r="I19" s="61"/>
      <c r="J19" s="62">
        <f>P50</f>
        <v>41508</v>
      </c>
      <c r="K19" s="235" t="str">
        <f t="shared" si="4"/>
        <v/>
      </c>
      <c r="L19" s="63">
        <f t="shared" si="11"/>
        <v>41508</v>
      </c>
      <c r="M19" s="236" t="str">
        <f t="shared" si="6"/>
        <v/>
      </c>
      <c r="N19" s="34" t="str">
        <f t="shared" si="7"/>
        <v/>
      </c>
      <c r="O19" s="65">
        <v>0</v>
      </c>
      <c r="P19" s="34" t="str">
        <f t="shared" si="8"/>
        <v/>
      </c>
      <c r="Q19" s="37" t="str">
        <f t="shared" si="9"/>
        <v/>
      </c>
      <c r="R19" s="12"/>
      <c r="S19" s="31" t="e">
        <f>S18/I16</f>
        <v>#DIV/0!</v>
      </c>
      <c r="T19" s="4"/>
      <c r="U19" s="4"/>
      <c r="V19" s="4"/>
      <c r="W19" s="4"/>
      <c r="X19" s="4"/>
      <c r="Y19" s="4"/>
      <c r="Z19" s="4"/>
    </row>
    <row r="20" spans="1:259" ht="15.75" customHeight="1">
      <c r="B20" s="11"/>
      <c r="C20" s="4"/>
      <c r="D20" s="4"/>
      <c r="E20" s="4"/>
      <c r="F20" s="811" t="s">
        <v>101</v>
      </c>
      <c r="G20" s="811"/>
      <c r="H20" s="811"/>
      <c r="I20" s="238">
        <f>Центрум!I20</f>
        <v>0.123</v>
      </c>
      <c r="J20" s="239">
        <f>R50</f>
        <v>0.10845295055821372</v>
      </c>
      <c r="K20" s="67">
        <f>J20/I20</f>
        <v>0.88173130535133104</v>
      </c>
      <c r="L20" s="68">
        <f>IF(AND(K8&lt;&gt;0,I14&lt;&gt;0,I50&lt;&gt;0),(I50*R50+(I50/K8-I50)*I20)/(I50/K8),0)</f>
        <v>0.11400880402784584</v>
      </c>
      <c r="M20" s="240">
        <f t="shared" si="6"/>
        <v>0.92690084575484422</v>
      </c>
      <c r="N20" s="70">
        <f t="shared" si="7"/>
        <v>-8.9911959721541562E-3</v>
      </c>
      <c r="O20" s="71"/>
      <c r="P20" s="72" t="str">
        <f t="shared" si="8"/>
        <v/>
      </c>
      <c r="Q20" s="74" t="str">
        <f t="shared" si="9"/>
        <v/>
      </c>
      <c r="R20" s="12"/>
      <c r="S20" s="12"/>
      <c r="T20" s="4"/>
      <c r="U20" s="4"/>
      <c r="V20" s="4"/>
      <c r="W20" s="4"/>
      <c r="X20" s="4"/>
      <c r="Y20" s="4"/>
      <c r="Z20" s="4"/>
    </row>
    <row r="21" spans="1:259" ht="15.75" customHeight="1">
      <c r="B21" s="11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12"/>
      <c r="W21" s="12"/>
      <c r="X21" s="4"/>
      <c r="Y21" s="4"/>
      <c r="Z21" s="4"/>
      <c r="AA21" s="4"/>
    </row>
    <row r="22" spans="1:259" ht="16.5" customHeight="1">
      <c r="B22" s="859" t="s">
        <v>26</v>
      </c>
      <c r="C22" s="859"/>
      <c r="D22" s="859"/>
      <c r="E22" s="859"/>
      <c r="F22" s="859"/>
      <c r="G22" s="859"/>
      <c r="H22" s="859"/>
      <c r="I22" s="859"/>
      <c r="J22" s="859"/>
      <c r="K22" s="859"/>
      <c r="L22" s="859"/>
      <c r="M22" s="859"/>
      <c r="N22" s="859"/>
      <c r="O22" s="859"/>
      <c r="P22" s="859"/>
      <c r="Q22" s="859"/>
      <c r="R22" s="859"/>
      <c r="S22" s="861" t="s">
        <v>45</v>
      </c>
      <c r="T22" s="859" t="s">
        <v>27</v>
      </c>
      <c r="U22" s="859"/>
      <c r="V22" s="859"/>
      <c r="W22" s="859"/>
      <c r="X22" s="859"/>
      <c r="Y22" s="859"/>
      <c r="Z22" s="859"/>
      <c r="AA22" s="859"/>
    </row>
    <row r="23" spans="1:259" ht="36">
      <c r="B23" s="241" t="s">
        <v>29</v>
      </c>
      <c r="C23" s="241" t="s">
        <v>30</v>
      </c>
      <c r="D23" s="241" t="s">
        <v>31</v>
      </c>
      <c r="E23" s="241" t="s">
        <v>32</v>
      </c>
      <c r="F23" s="241" t="s">
        <v>33</v>
      </c>
      <c r="G23" s="241" t="s">
        <v>34</v>
      </c>
      <c r="H23" s="241" t="s">
        <v>35</v>
      </c>
      <c r="I23" s="241" t="s">
        <v>24</v>
      </c>
      <c r="J23" s="241" t="s">
        <v>36</v>
      </c>
      <c r="K23" s="242" t="s">
        <v>37</v>
      </c>
      <c r="L23" s="78" t="s">
        <v>38</v>
      </c>
      <c r="M23" s="242" t="s">
        <v>39</v>
      </c>
      <c r="N23" s="78" t="s">
        <v>40</v>
      </c>
      <c r="O23" s="242" t="s">
        <v>41</v>
      </c>
      <c r="P23" s="78" t="s">
        <v>42</v>
      </c>
      <c r="Q23" s="78" t="s">
        <v>43</v>
      </c>
      <c r="R23" s="241" t="s">
        <v>44</v>
      </c>
      <c r="S23" s="861"/>
      <c r="T23" s="241" t="s">
        <v>46</v>
      </c>
      <c r="U23" s="241" t="s">
        <v>47</v>
      </c>
      <c r="V23" s="241" t="s">
        <v>48</v>
      </c>
      <c r="W23" s="241" t="s">
        <v>49</v>
      </c>
      <c r="X23" s="241" t="s">
        <v>50</v>
      </c>
      <c r="Y23" s="241" t="s">
        <v>51</v>
      </c>
      <c r="Z23" s="243" t="s">
        <v>52</v>
      </c>
      <c r="AA23" s="243" t="s">
        <v>53</v>
      </c>
      <c r="AB23" s="147"/>
    </row>
    <row r="24" spans="1:259">
      <c r="A24" s="244"/>
      <c r="B24" s="245">
        <v>1</v>
      </c>
      <c r="C24" s="246">
        <v>2</v>
      </c>
      <c r="D24" s="247">
        <v>3</v>
      </c>
      <c r="E24" s="247" t="s">
        <v>102</v>
      </c>
      <c r="F24" s="246">
        <v>5</v>
      </c>
      <c r="G24" s="247">
        <v>6</v>
      </c>
      <c r="H24" s="246">
        <v>7</v>
      </c>
      <c r="I24" s="247">
        <v>8</v>
      </c>
      <c r="J24" s="247">
        <v>9</v>
      </c>
      <c r="K24" s="84">
        <v>10</v>
      </c>
      <c r="L24" s="84">
        <v>11</v>
      </c>
      <c r="M24" s="84">
        <v>12</v>
      </c>
      <c r="N24" s="84">
        <v>13</v>
      </c>
      <c r="O24" s="84">
        <v>14</v>
      </c>
      <c r="P24" s="84">
        <v>15</v>
      </c>
      <c r="Q24" s="84"/>
      <c r="R24" s="247">
        <v>16</v>
      </c>
      <c r="S24" s="861"/>
      <c r="T24" s="248">
        <v>1</v>
      </c>
      <c r="U24" s="248">
        <v>2</v>
      </c>
      <c r="V24" s="248">
        <v>3</v>
      </c>
      <c r="W24" s="248">
        <v>4</v>
      </c>
      <c r="X24" s="248">
        <v>5</v>
      </c>
      <c r="Y24" s="248">
        <v>6</v>
      </c>
      <c r="Z24" s="248">
        <v>10</v>
      </c>
      <c r="AA24" s="248">
        <v>11</v>
      </c>
    </row>
    <row r="25" spans="1:259" s="90" customFormat="1">
      <c r="A25" s="128">
        <v>1</v>
      </c>
      <c r="B25" s="92">
        <v>45993</v>
      </c>
      <c r="C25" s="93" t="s">
        <v>57</v>
      </c>
      <c r="D25" s="253">
        <v>0</v>
      </c>
      <c r="E25" s="108">
        <v>0</v>
      </c>
      <c r="F25" s="96" t="str">
        <f t="shared" ref="F25:F50" si="12">IF(AND(E25&lt;&gt;"",E25&lt;&gt;0),D25/E25,"")</f>
        <v/>
      </c>
      <c r="G25" s="108">
        <v>0</v>
      </c>
      <c r="H25" s="96" t="str">
        <f t="shared" ref="H25:H50" si="13">IF(AND(G25&lt;&gt;"",G25&lt;&gt;0),D25/G25,"")</f>
        <v/>
      </c>
      <c r="I25" s="108">
        <v>33</v>
      </c>
      <c r="J25" s="97" t="str">
        <f t="shared" ref="J25:J50" si="14">IF(AND(G25&lt;&gt;"",G25&lt;&gt;0),E25/G25,"")</f>
        <v/>
      </c>
      <c r="K25" s="98"/>
      <c r="L25" s="98"/>
      <c r="M25" s="98"/>
      <c r="N25" s="98"/>
      <c r="O25" s="98"/>
      <c r="P25" s="98"/>
      <c r="Q25" s="98"/>
      <c r="R25" s="249">
        <f t="shared" ref="R25:R50" si="15">IF(AND(I25&lt;&gt;"",I25&lt;&gt;0),G25/I25,"")</f>
        <v>0</v>
      </c>
      <c r="S25" s="100">
        <f t="shared" ref="S25:S50" si="16">D25/T25</f>
        <v>0</v>
      </c>
      <c r="T25" s="101">
        <f t="shared" ref="T25:T37" si="17">$I$8*Z25*AA25/SUMPRODUCT($AA$25:$AA$57,$Z$25:$Z$57)</f>
        <v>52606.748663898732</v>
      </c>
      <c r="U25" s="102">
        <f t="shared" ref="U25:U37" si="18">$I$9*Z25*AA25/SUMPRODUCT($AA$25:$AA$57,$Z$25:$Z$57)</f>
        <v>6.4232904351524702</v>
      </c>
      <c r="V25" s="102">
        <f t="shared" ref="V25:V49" si="19">IF($I$12="","",U25/$I$12)</f>
        <v>3.8233871637812324</v>
      </c>
      <c r="W25" s="101">
        <f>IF(AA25&lt;&gt;"",IF(D25&lt;&gt;"",D25,($I$8-SUM($W24:W$25))*Z25*AA25/SUMPRODUCT($AA25:$AA$57,$Z25:$Z$57)),"")</f>
        <v>0</v>
      </c>
      <c r="X25" s="102">
        <f>IF(AA25&lt;&gt;"",IF(E25&lt;&gt;"",E25,($I$9-SUM($X24:X$25))*Z25*AA25/SUMPRODUCT($AA25:$AA$57,$Z25:$Z$57)),"")</f>
        <v>0</v>
      </c>
      <c r="Y25" s="102">
        <f>IF(AA25&lt;&gt;"",IF($I$12&lt;&gt;"",IF(G25&lt;&gt;"",G25,($I$9/$I$12-SUM($Y24:Y$25))*Z25*AA25/SUMPRODUCT($AA25:$AA$57,$Z25:$Z$57)),""),"")</f>
        <v>0</v>
      </c>
      <c r="Z25" s="312">
        <v>1</v>
      </c>
      <c r="AA25" s="312">
        <v>1</v>
      </c>
      <c r="AB25" s="105"/>
      <c r="AC25" s="105"/>
      <c r="AD25" s="251"/>
      <c r="AE25" s="104"/>
      <c r="AF25" s="104"/>
      <c r="AG25" s="104"/>
      <c r="AH25" s="104"/>
      <c r="AI25" s="104"/>
      <c r="AJ25" s="104"/>
      <c r="AK25" s="104"/>
    </row>
    <row r="26" spans="1:259" s="90" customFormat="1">
      <c r="A26" s="91">
        <v>2</v>
      </c>
      <c r="B26" s="92">
        <v>45994</v>
      </c>
      <c r="C26" s="252" t="s">
        <v>59</v>
      </c>
      <c r="D26" s="253">
        <v>0</v>
      </c>
      <c r="E26" s="108">
        <v>0</v>
      </c>
      <c r="F26" s="254" t="str">
        <f t="shared" si="12"/>
        <v/>
      </c>
      <c r="G26" s="108">
        <v>0</v>
      </c>
      <c r="H26" s="254" t="str">
        <f t="shared" si="13"/>
        <v/>
      </c>
      <c r="I26" s="108">
        <v>22</v>
      </c>
      <c r="J26" s="97" t="str">
        <f t="shared" si="14"/>
        <v/>
      </c>
      <c r="K26" s="98"/>
      <c r="L26" s="98"/>
      <c r="M26" s="98"/>
      <c r="N26" s="98"/>
      <c r="O26" s="98"/>
      <c r="P26" s="98"/>
      <c r="Q26" s="98"/>
      <c r="R26" s="249">
        <f t="shared" si="15"/>
        <v>0</v>
      </c>
      <c r="S26" s="100">
        <f t="shared" si="16"/>
        <v>0</v>
      </c>
      <c r="T26" s="101">
        <f t="shared" si="17"/>
        <v>38286.328774164569</v>
      </c>
      <c r="U26" s="102">
        <f t="shared" si="18"/>
        <v>4.674765418090912</v>
      </c>
      <c r="V26" s="102">
        <f t="shared" si="19"/>
        <v>2.7825984631493523</v>
      </c>
      <c r="W26" s="101">
        <f>IF(AA26&lt;&gt;"",IF(D26&lt;&gt;"",D26,($I$8-SUM($W$25:W25))*Z26*AA26/SUMPRODUCT($AA26:$AA$57,$Z26:$Z$57)),"")</f>
        <v>0</v>
      </c>
      <c r="X26" s="102">
        <f>IF(AA26&lt;&gt;"",IF(E26&lt;&gt;"",E26,($I$9-SUM($X$25:X25))*Z26*AA26/SUMPRODUCT($AA26:$AA$57,$Z26:$Z$57)),"")</f>
        <v>0</v>
      </c>
      <c r="Y26" s="102">
        <f>IF(AA26&lt;&gt;"",IF($I$12&lt;&gt;"",IF(G26&lt;&gt;"",G26,($I$9/$I$12-SUM($Y$25:Y25))*Z26*AA26/SUMPRODUCT($AA26:$AA$57,$Z26:$Z$57)),""),"")</f>
        <v>0</v>
      </c>
      <c r="Z26" s="103">
        <v>0.85310233682514103</v>
      </c>
      <c r="AA26" s="103">
        <v>0.85310233682514103</v>
      </c>
      <c r="AB26" s="105"/>
      <c r="AC26" s="109"/>
      <c r="AD26" s="104"/>
      <c r="AE26" s="104"/>
      <c r="AF26" s="104"/>
      <c r="AG26" s="104"/>
      <c r="AH26" s="104"/>
      <c r="AI26" s="104"/>
      <c r="AJ26" s="104"/>
      <c r="AK26" s="104"/>
      <c r="AL26" s="104"/>
      <c r="AM26" s="104"/>
      <c r="AN26" s="104"/>
    </row>
    <row r="27" spans="1:259" s="90" customFormat="1">
      <c r="A27" s="128">
        <v>3</v>
      </c>
      <c r="B27" s="92">
        <v>45995</v>
      </c>
      <c r="C27" s="93" t="s">
        <v>61</v>
      </c>
      <c r="D27" s="253">
        <v>48596</v>
      </c>
      <c r="E27" s="108">
        <v>2</v>
      </c>
      <c r="F27" s="96">
        <f t="shared" si="12"/>
        <v>24298</v>
      </c>
      <c r="G27" s="108">
        <v>3</v>
      </c>
      <c r="H27" s="96">
        <f t="shared" si="13"/>
        <v>16198.666666666666</v>
      </c>
      <c r="I27" s="108">
        <v>13</v>
      </c>
      <c r="J27" s="97">
        <f t="shared" si="14"/>
        <v>0.66666666666666663</v>
      </c>
      <c r="K27" s="98"/>
      <c r="L27" s="98"/>
      <c r="M27" s="98"/>
      <c r="N27" s="98"/>
      <c r="O27" s="98"/>
      <c r="P27" s="98"/>
      <c r="Q27" s="98"/>
      <c r="R27" s="249">
        <f t="shared" si="15"/>
        <v>0.23076923076923078</v>
      </c>
      <c r="S27" s="100">
        <f t="shared" si="16"/>
        <v>3.4372612816522845</v>
      </c>
      <c r="T27" s="380">
        <v>14138</v>
      </c>
      <c r="U27" s="381">
        <v>4</v>
      </c>
      <c r="V27" s="381">
        <v>2</v>
      </c>
      <c r="W27" s="380">
        <v>16611</v>
      </c>
      <c r="X27" s="381">
        <v>3</v>
      </c>
      <c r="Y27" s="381">
        <v>3</v>
      </c>
      <c r="Z27" s="382">
        <v>0.94</v>
      </c>
      <c r="AA27" s="382">
        <v>0.94</v>
      </c>
      <c r="AB27" s="105"/>
      <c r="AC27" s="105"/>
      <c r="AD27" s="104"/>
      <c r="AE27" s="104"/>
      <c r="AF27" s="104"/>
      <c r="AG27" s="104"/>
      <c r="AH27" s="104"/>
      <c r="AI27" s="104"/>
      <c r="AJ27" s="104"/>
      <c r="AK27" s="104"/>
      <c r="AL27" s="104"/>
      <c r="AM27" s="104"/>
      <c r="AN27" s="104"/>
      <c r="AO27" s="104"/>
      <c r="AP27" s="104"/>
      <c r="AQ27" s="104"/>
      <c r="AR27" s="104"/>
      <c r="AS27" s="104"/>
      <c r="AT27" s="104"/>
      <c r="AU27" s="104"/>
      <c r="AV27" s="104"/>
      <c r="AW27" s="104"/>
      <c r="AX27" s="104"/>
      <c r="AY27" s="104"/>
      <c r="AZ27" s="104"/>
      <c r="BA27" s="104"/>
      <c r="BB27" s="104"/>
      <c r="BC27" s="104"/>
      <c r="BD27" s="104"/>
      <c r="BE27" s="104"/>
      <c r="BF27" s="104"/>
      <c r="BG27" s="104"/>
      <c r="BH27" s="104"/>
      <c r="BI27" s="104"/>
      <c r="BJ27" s="104"/>
      <c r="BK27" s="104"/>
      <c r="BL27" s="104"/>
      <c r="BM27" s="104"/>
      <c r="BN27" s="104"/>
      <c r="BO27" s="104"/>
      <c r="BP27" s="104"/>
      <c r="BQ27" s="104"/>
      <c r="BR27" s="104"/>
      <c r="BS27" s="104"/>
      <c r="BT27" s="104"/>
      <c r="BU27" s="104"/>
      <c r="BV27" s="104"/>
      <c r="BW27" s="104"/>
      <c r="BX27" s="104"/>
      <c r="BY27" s="104"/>
      <c r="BZ27" s="104"/>
      <c r="CA27" s="104"/>
      <c r="CB27" s="104"/>
      <c r="CC27" s="104"/>
      <c r="CD27" s="104"/>
      <c r="CE27" s="104"/>
      <c r="CF27" s="104"/>
      <c r="CG27" s="104"/>
      <c r="CH27" s="104"/>
      <c r="CI27" s="104"/>
      <c r="CJ27" s="104"/>
      <c r="CK27" s="104"/>
      <c r="CL27" s="104"/>
      <c r="CM27" s="104"/>
      <c r="CN27" s="104"/>
      <c r="CO27" s="104"/>
      <c r="CP27" s="104"/>
      <c r="CQ27" s="104"/>
      <c r="CR27" s="104"/>
      <c r="CS27" s="104"/>
      <c r="CT27" s="104"/>
      <c r="CU27" s="104"/>
      <c r="CV27" s="104"/>
      <c r="CW27" s="104"/>
      <c r="CX27" s="104"/>
      <c r="CY27" s="104"/>
      <c r="CZ27" s="104"/>
      <c r="DA27" s="104"/>
      <c r="DB27" s="104"/>
      <c r="DC27" s="104"/>
      <c r="DD27" s="104"/>
      <c r="DE27" s="104"/>
      <c r="DF27" s="104"/>
      <c r="DG27" s="104"/>
      <c r="DH27" s="104"/>
      <c r="DI27" s="104"/>
      <c r="DJ27" s="104"/>
      <c r="DK27" s="104"/>
      <c r="DL27" s="104"/>
      <c r="DM27" s="104"/>
      <c r="DN27" s="104"/>
      <c r="DO27" s="104"/>
      <c r="DP27" s="104"/>
      <c r="DQ27" s="104"/>
      <c r="DR27" s="104"/>
      <c r="DS27" s="104"/>
      <c r="DT27" s="104"/>
      <c r="DU27" s="104"/>
      <c r="DV27" s="104"/>
      <c r="DW27" s="104"/>
      <c r="DX27" s="104"/>
      <c r="DY27" s="104"/>
      <c r="DZ27" s="104"/>
      <c r="EA27" s="104"/>
      <c r="EB27" s="104"/>
      <c r="EC27" s="104"/>
      <c r="ED27" s="104"/>
      <c r="EE27" s="104"/>
      <c r="EF27" s="104"/>
      <c r="EG27" s="104"/>
      <c r="EH27" s="104"/>
      <c r="EI27" s="104"/>
      <c r="EJ27" s="104"/>
      <c r="EK27" s="104"/>
      <c r="EL27" s="104"/>
      <c r="EM27" s="104"/>
      <c r="EN27" s="104"/>
      <c r="EO27" s="104"/>
      <c r="EP27" s="104"/>
      <c r="EQ27" s="104"/>
      <c r="ER27" s="104"/>
      <c r="ES27" s="104"/>
      <c r="ET27" s="104"/>
      <c r="EU27" s="104"/>
      <c r="EV27" s="104"/>
      <c r="EW27" s="104"/>
      <c r="EX27" s="104"/>
      <c r="EY27" s="104"/>
      <c r="EZ27" s="104"/>
      <c r="FA27" s="104"/>
      <c r="FB27" s="104"/>
      <c r="FC27" s="104"/>
      <c r="FD27" s="104"/>
      <c r="FE27" s="104"/>
      <c r="FF27" s="104"/>
      <c r="FG27" s="104"/>
      <c r="FH27" s="104"/>
      <c r="FI27" s="104"/>
      <c r="FJ27" s="104"/>
      <c r="FK27" s="104"/>
      <c r="FL27" s="104"/>
      <c r="FM27" s="104"/>
      <c r="FN27" s="104"/>
      <c r="FO27" s="104"/>
      <c r="FP27" s="104"/>
      <c r="FQ27" s="104"/>
      <c r="FR27" s="104"/>
      <c r="FS27" s="104"/>
      <c r="FT27" s="104"/>
      <c r="FU27" s="104"/>
      <c r="FV27" s="104"/>
      <c r="FW27" s="104"/>
      <c r="FX27" s="104"/>
      <c r="FY27" s="104"/>
      <c r="FZ27" s="104"/>
      <c r="GA27" s="104"/>
      <c r="GB27" s="104"/>
      <c r="GC27" s="104"/>
      <c r="GD27" s="104"/>
      <c r="GE27" s="104"/>
      <c r="GF27" s="104"/>
      <c r="GG27" s="104"/>
      <c r="GH27" s="104"/>
      <c r="GI27" s="104"/>
      <c r="GJ27" s="104"/>
      <c r="GK27" s="104"/>
      <c r="GL27" s="104"/>
      <c r="GM27" s="104"/>
      <c r="GN27" s="104"/>
      <c r="GO27" s="104"/>
      <c r="GP27" s="104"/>
      <c r="GQ27" s="104"/>
      <c r="GR27" s="104"/>
      <c r="GS27" s="104"/>
      <c r="GT27" s="104"/>
      <c r="GU27" s="104"/>
      <c r="GV27" s="104"/>
      <c r="GW27" s="104"/>
      <c r="GX27" s="104"/>
      <c r="GY27" s="104"/>
      <c r="GZ27" s="104"/>
      <c r="HA27" s="104"/>
      <c r="HB27" s="104"/>
      <c r="HC27" s="104"/>
      <c r="HD27" s="104"/>
      <c r="HE27" s="104"/>
      <c r="HF27" s="104"/>
      <c r="HG27" s="104"/>
      <c r="HH27" s="104"/>
      <c r="HI27" s="104"/>
      <c r="HJ27" s="104"/>
      <c r="HK27" s="104"/>
      <c r="HL27" s="104"/>
      <c r="HM27" s="104"/>
      <c r="HN27" s="104"/>
      <c r="HO27" s="104"/>
      <c r="HP27" s="104"/>
      <c r="HQ27" s="104"/>
      <c r="HR27" s="104"/>
      <c r="HS27" s="104"/>
      <c r="HT27" s="104"/>
      <c r="HU27" s="104"/>
      <c r="HV27" s="104"/>
      <c r="HW27" s="104"/>
      <c r="HX27" s="104"/>
      <c r="HY27" s="104"/>
      <c r="HZ27" s="104"/>
      <c r="IA27" s="104"/>
      <c r="IB27" s="104"/>
      <c r="IC27" s="104"/>
      <c r="ID27" s="104"/>
      <c r="IE27" s="104"/>
      <c r="IF27" s="104"/>
      <c r="IG27" s="104"/>
      <c r="IH27" s="104"/>
      <c r="II27" s="104"/>
      <c r="IJ27" s="104"/>
      <c r="IK27" s="104"/>
      <c r="IL27" s="104"/>
      <c r="IM27" s="104"/>
      <c r="IN27" s="104"/>
      <c r="IO27" s="104"/>
      <c r="IP27" s="104"/>
      <c r="IQ27" s="104"/>
      <c r="IR27" s="104"/>
      <c r="IS27" s="104"/>
      <c r="IT27" s="104"/>
      <c r="IU27" s="104"/>
      <c r="IV27" s="104"/>
      <c r="IW27" s="104"/>
      <c r="IX27" s="104"/>
      <c r="IY27" s="104"/>
    </row>
    <row r="28" spans="1:259" s="125" customFormat="1">
      <c r="A28" s="111">
        <v>4</v>
      </c>
      <c r="B28" s="112">
        <v>45996</v>
      </c>
      <c r="C28" s="260" t="s">
        <v>63</v>
      </c>
      <c r="D28" s="256">
        <v>16579</v>
      </c>
      <c r="E28" s="129">
        <v>3</v>
      </c>
      <c r="F28" s="133">
        <f t="shared" si="12"/>
        <v>5526.333333333333</v>
      </c>
      <c r="G28" s="129">
        <v>3</v>
      </c>
      <c r="H28" s="133">
        <f t="shared" si="13"/>
        <v>5526.333333333333</v>
      </c>
      <c r="I28" s="129">
        <v>39</v>
      </c>
      <c r="J28" s="117">
        <f t="shared" si="14"/>
        <v>1</v>
      </c>
      <c r="K28" s="115"/>
      <c r="L28" s="115"/>
      <c r="M28" s="115">
        <v>7493</v>
      </c>
      <c r="N28" s="115"/>
      <c r="O28" s="115"/>
      <c r="P28" s="115"/>
      <c r="Q28" s="115"/>
      <c r="R28" s="99">
        <f t="shared" si="15"/>
        <v>7.6923076923076927E-2</v>
      </c>
      <c r="S28" s="119">
        <f t="shared" si="16"/>
        <v>0.28155717735053654</v>
      </c>
      <c r="T28" s="120">
        <f t="shared" si="17"/>
        <v>58883.244092759436</v>
      </c>
      <c r="U28" s="121">
        <f t="shared" si="18"/>
        <v>7.1896512933772199</v>
      </c>
      <c r="V28" s="121">
        <f t="shared" si="19"/>
        <v>4.279554341295964</v>
      </c>
      <c r="W28" s="120">
        <f t="shared" ref="W28:W40" si="20">IF(AA28&lt;&gt;"",IF(D28&lt;&gt;"",D28,($I$8-SUM($W$25:W27))*Z28*AA28/SUMPRODUCT($AA28:$AA$57,$Z28:$Z$57)),"")</f>
        <v>16579</v>
      </c>
      <c r="X28" s="121">
        <f t="shared" ref="X28:X40" si="21">IF(AA28&lt;&gt;"",IF(E28&lt;&gt;"",E28,($I$9-SUM($X$25:X27))*Z28*AA28/SUMPRODUCT($AA28:$AA$57,$Z28:$Z$57)),"")</f>
        <v>3</v>
      </c>
      <c r="Y28" s="121">
        <f t="shared" ref="Y28:Y40" si="22">IF(AA28&lt;&gt;"",IF($I$12&lt;&gt;"",IF(G28&lt;&gt;"",G28,($I$9/$I$12-SUM($Y$25:Y27))*Z28*AA28/SUMPRODUCT($AA28:$AA$57,$Z28:$Z$57)),""),"")</f>
        <v>3</v>
      </c>
      <c r="Z28" s="122">
        <v>1.05797433831278</v>
      </c>
      <c r="AA28" s="122">
        <v>1.05797433831278</v>
      </c>
      <c r="AB28" s="123"/>
      <c r="AC28" s="123"/>
      <c r="AD28" s="124"/>
      <c r="AE28" s="124"/>
      <c r="AF28" s="124"/>
      <c r="AG28" s="124"/>
      <c r="AH28" s="124"/>
      <c r="AI28" s="124"/>
      <c r="AJ28" s="124"/>
      <c r="AK28" s="124"/>
      <c r="AL28" s="124"/>
      <c r="AM28" s="124"/>
      <c r="AN28" s="124"/>
    </row>
    <row r="29" spans="1:259" s="125" customFormat="1">
      <c r="A29" s="127">
        <v>5</v>
      </c>
      <c r="B29" s="112">
        <v>45997</v>
      </c>
      <c r="C29" s="113" t="s">
        <v>65</v>
      </c>
      <c r="D29" s="256">
        <v>73034</v>
      </c>
      <c r="E29" s="129">
        <v>7</v>
      </c>
      <c r="F29" s="116">
        <f t="shared" si="12"/>
        <v>10433.428571428571</v>
      </c>
      <c r="G29" s="129">
        <v>4</v>
      </c>
      <c r="H29" s="116">
        <f t="shared" si="13"/>
        <v>18258.5</v>
      </c>
      <c r="I29" s="129">
        <v>36</v>
      </c>
      <c r="J29" s="117">
        <f t="shared" si="14"/>
        <v>1.75</v>
      </c>
      <c r="K29" s="115">
        <v>18990</v>
      </c>
      <c r="L29" s="115"/>
      <c r="M29" s="115">
        <v>8082</v>
      </c>
      <c r="N29" s="115"/>
      <c r="O29" s="115"/>
      <c r="P29" s="115">
        <v>19680</v>
      </c>
      <c r="Q29" s="115"/>
      <c r="R29" s="99">
        <f t="shared" si="15"/>
        <v>0.1111111111111111</v>
      </c>
      <c r="S29" s="119">
        <f t="shared" si="16"/>
        <v>1.3883009662241192</v>
      </c>
      <c r="T29" s="120">
        <f t="shared" si="17"/>
        <v>52606.748663898732</v>
      </c>
      <c r="U29" s="121">
        <f t="shared" si="18"/>
        <v>6.4232904351524702</v>
      </c>
      <c r="V29" s="121">
        <f t="shared" si="19"/>
        <v>3.8233871637812324</v>
      </c>
      <c r="W29" s="120">
        <f t="shared" si="20"/>
        <v>73034</v>
      </c>
      <c r="X29" s="121">
        <f t="shared" si="21"/>
        <v>7</v>
      </c>
      <c r="Y29" s="121">
        <f t="shared" si="22"/>
        <v>4</v>
      </c>
      <c r="Z29" s="350">
        <v>1</v>
      </c>
      <c r="AA29" s="350">
        <v>1</v>
      </c>
      <c r="AB29" s="123"/>
      <c r="AC29" s="123"/>
      <c r="AD29" s="124"/>
      <c r="AE29" s="124"/>
      <c r="AF29" s="124"/>
      <c r="AG29" s="124"/>
      <c r="AH29" s="124"/>
      <c r="AI29" s="124"/>
      <c r="AJ29" s="124"/>
      <c r="AK29" s="124"/>
    </row>
    <row r="30" spans="1:259" s="90" customFormat="1">
      <c r="A30" s="128">
        <v>6</v>
      </c>
      <c r="B30" s="92">
        <v>46000</v>
      </c>
      <c r="C30" s="252" t="s">
        <v>57</v>
      </c>
      <c r="D30" s="253">
        <v>33446</v>
      </c>
      <c r="E30" s="108">
        <v>2</v>
      </c>
      <c r="F30" s="254">
        <f t="shared" si="12"/>
        <v>16723</v>
      </c>
      <c r="G30" s="108">
        <v>1</v>
      </c>
      <c r="H30" s="254">
        <f t="shared" si="13"/>
        <v>33446</v>
      </c>
      <c r="I30" s="108">
        <v>22</v>
      </c>
      <c r="J30" s="97">
        <f t="shared" si="14"/>
        <v>2</v>
      </c>
      <c r="K30" s="98"/>
      <c r="L30" s="98"/>
      <c r="M30" s="98"/>
      <c r="N30" s="98"/>
      <c r="O30" s="98">
        <v>33446</v>
      </c>
      <c r="P30" s="98"/>
      <c r="Q30" s="98"/>
      <c r="R30" s="249">
        <f t="shared" si="15"/>
        <v>4.5454545454545456E-2</v>
      </c>
      <c r="S30" s="100">
        <f t="shared" si="16"/>
        <v>0.63577394249708208</v>
      </c>
      <c r="T30" s="101">
        <f t="shared" si="17"/>
        <v>52606.748663898732</v>
      </c>
      <c r="U30" s="102">
        <f t="shared" si="18"/>
        <v>6.4232904351524702</v>
      </c>
      <c r="V30" s="102">
        <f t="shared" si="19"/>
        <v>3.8233871637812324</v>
      </c>
      <c r="W30" s="101">
        <f t="shared" si="20"/>
        <v>33446</v>
      </c>
      <c r="X30" s="102">
        <f t="shared" si="21"/>
        <v>2</v>
      </c>
      <c r="Y30" s="102">
        <f t="shared" si="22"/>
        <v>1</v>
      </c>
      <c r="Z30" s="312">
        <v>1</v>
      </c>
      <c r="AA30" s="312">
        <v>1</v>
      </c>
      <c r="AB30" s="105"/>
      <c r="AC30" s="105"/>
      <c r="AD30" s="251"/>
      <c r="AE30" s="104"/>
      <c r="AF30" s="104"/>
      <c r="AG30" s="104"/>
      <c r="AH30" s="104"/>
      <c r="AI30" s="104"/>
      <c r="AJ30" s="104"/>
      <c r="AK30" s="104"/>
    </row>
    <row r="31" spans="1:259" s="90" customFormat="1">
      <c r="A31" s="128">
        <v>7</v>
      </c>
      <c r="B31" s="92">
        <v>46001</v>
      </c>
      <c r="C31" s="93" t="s">
        <v>59</v>
      </c>
      <c r="D31" s="253">
        <v>25432</v>
      </c>
      <c r="E31" s="108">
        <v>4</v>
      </c>
      <c r="F31" s="96">
        <f t="shared" si="12"/>
        <v>6358</v>
      </c>
      <c r="G31" s="108">
        <v>3</v>
      </c>
      <c r="H31" s="96">
        <f t="shared" si="13"/>
        <v>8477.3333333333339</v>
      </c>
      <c r="I31" s="108">
        <v>27</v>
      </c>
      <c r="J31" s="97">
        <f t="shared" si="14"/>
        <v>1.3333333333333333</v>
      </c>
      <c r="K31" s="383"/>
      <c r="L31" s="383"/>
      <c r="M31" s="383"/>
      <c r="N31" s="383"/>
      <c r="O31" s="98"/>
      <c r="P31" s="98">
        <v>15084</v>
      </c>
      <c r="Q31" s="98"/>
      <c r="R31" s="249">
        <f t="shared" si="15"/>
        <v>0.1111111111111111</v>
      </c>
      <c r="S31" s="100">
        <f t="shared" si="16"/>
        <v>0.48343607324002241</v>
      </c>
      <c r="T31" s="101">
        <f t="shared" si="17"/>
        <v>52606.748663898732</v>
      </c>
      <c r="U31" s="102">
        <f t="shared" si="18"/>
        <v>6.4232904351524702</v>
      </c>
      <c r="V31" s="102">
        <f t="shared" si="19"/>
        <v>3.8233871637812324</v>
      </c>
      <c r="W31" s="101">
        <f t="shared" si="20"/>
        <v>25432</v>
      </c>
      <c r="X31" s="102">
        <f t="shared" si="21"/>
        <v>4</v>
      </c>
      <c r="Y31" s="102">
        <f t="shared" si="22"/>
        <v>3</v>
      </c>
      <c r="Z31" s="312">
        <v>1</v>
      </c>
      <c r="AA31" s="312">
        <v>1</v>
      </c>
      <c r="AB31" s="105"/>
      <c r="AC31" s="105"/>
      <c r="AD31" s="251"/>
      <c r="AE31" s="104"/>
      <c r="AF31" s="104"/>
      <c r="AG31" s="104"/>
      <c r="AH31" s="104"/>
      <c r="AI31" s="104"/>
      <c r="AJ31" s="104"/>
      <c r="AK31" s="104"/>
    </row>
    <row r="32" spans="1:259" s="90" customFormat="1">
      <c r="A32" s="128">
        <v>8</v>
      </c>
      <c r="B32" s="92">
        <v>46002</v>
      </c>
      <c r="C32" s="252" t="s">
        <v>61</v>
      </c>
      <c r="D32" s="253">
        <v>0</v>
      </c>
      <c r="E32" s="108">
        <v>0</v>
      </c>
      <c r="F32" s="254" t="str">
        <f t="shared" si="12"/>
        <v/>
      </c>
      <c r="G32" s="108">
        <v>0</v>
      </c>
      <c r="H32" s="254" t="str">
        <f t="shared" si="13"/>
        <v/>
      </c>
      <c r="I32" s="108">
        <v>28</v>
      </c>
      <c r="J32" s="357" t="str">
        <f t="shared" si="14"/>
        <v/>
      </c>
      <c r="K32" s="325"/>
      <c r="L32" s="325"/>
      <c r="M32" s="325"/>
      <c r="N32" s="325"/>
      <c r="O32" s="95"/>
      <c r="P32" s="96"/>
      <c r="Q32" s="96"/>
      <c r="R32" s="249">
        <f t="shared" si="15"/>
        <v>0</v>
      </c>
      <c r="S32" s="100">
        <f t="shared" si="16"/>
        <v>0</v>
      </c>
      <c r="T32" s="101">
        <f t="shared" si="17"/>
        <v>52606.748663898732</v>
      </c>
      <c r="U32" s="102">
        <f t="shared" si="18"/>
        <v>6.4232904351524702</v>
      </c>
      <c r="V32" s="102">
        <f t="shared" si="19"/>
        <v>3.8233871637812324</v>
      </c>
      <c r="W32" s="101">
        <f t="shared" si="20"/>
        <v>0</v>
      </c>
      <c r="X32" s="102">
        <f t="shared" si="21"/>
        <v>0</v>
      </c>
      <c r="Y32" s="102">
        <f t="shared" si="22"/>
        <v>0</v>
      </c>
      <c r="Z32" s="312">
        <v>1</v>
      </c>
      <c r="AA32" s="312">
        <v>1</v>
      </c>
      <c r="AB32" s="105"/>
      <c r="AC32" s="105"/>
      <c r="AD32" s="104"/>
      <c r="AE32" s="104"/>
      <c r="AF32" s="104"/>
      <c r="AG32" s="104"/>
      <c r="AH32" s="104"/>
      <c r="AI32" s="104"/>
      <c r="AJ32" s="104"/>
      <c r="AK32" s="104"/>
    </row>
    <row r="33" spans="1:259" s="125" customFormat="1">
      <c r="A33" s="127">
        <v>9</v>
      </c>
      <c r="B33" s="112">
        <v>46003</v>
      </c>
      <c r="C33" s="113" t="s">
        <v>63</v>
      </c>
      <c r="D33" s="256">
        <v>14496</v>
      </c>
      <c r="E33" s="354">
        <v>2</v>
      </c>
      <c r="F33" s="116">
        <f t="shared" si="12"/>
        <v>7248</v>
      </c>
      <c r="G33" s="129">
        <v>2</v>
      </c>
      <c r="H33" s="116">
        <f t="shared" si="13"/>
        <v>7248</v>
      </c>
      <c r="I33" s="129">
        <v>32</v>
      </c>
      <c r="J33" s="351">
        <f t="shared" si="14"/>
        <v>1</v>
      </c>
      <c r="K33" s="352"/>
      <c r="L33" s="352"/>
      <c r="M33" s="352"/>
      <c r="N33" s="352"/>
      <c r="O33" s="118"/>
      <c r="P33" s="133"/>
      <c r="Q33" s="133"/>
      <c r="R33" s="99">
        <f t="shared" si="15"/>
        <v>6.25E-2</v>
      </c>
      <c r="S33" s="268">
        <f t="shared" si="16"/>
        <v>0.27555399959450161</v>
      </c>
      <c r="T33" s="120">
        <f t="shared" si="17"/>
        <v>52606.748663898732</v>
      </c>
      <c r="U33" s="269">
        <f t="shared" si="18"/>
        <v>6.4232904351524702</v>
      </c>
      <c r="V33" s="121">
        <f t="shared" si="19"/>
        <v>3.8233871637812324</v>
      </c>
      <c r="W33" s="120">
        <f t="shared" si="20"/>
        <v>14496</v>
      </c>
      <c r="X33" s="121">
        <f t="shared" si="21"/>
        <v>2</v>
      </c>
      <c r="Y33" s="269">
        <f t="shared" si="22"/>
        <v>2</v>
      </c>
      <c r="Z33" s="350">
        <v>1</v>
      </c>
      <c r="AA33" s="350">
        <v>1</v>
      </c>
      <c r="AB33" s="123"/>
      <c r="AC33" s="123"/>
      <c r="AD33" s="124"/>
      <c r="AE33" s="124"/>
      <c r="AF33" s="124"/>
      <c r="AG33" s="124"/>
      <c r="AH33" s="124"/>
      <c r="AI33" s="124"/>
      <c r="AJ33" s="124"/>
      <c r="AK33" s="124"/>
    </row>
    <row r="34" spans="1:259" s="125" customFormat="1">
      <c r="A34" s="127">
        <v>10</v>
      </c>
      <c r="B34" s="112">
        <v>46004</v>
      </c>
      <c r="C34" s="113" t="s">
        <v>65</v>
      </c>
      <c r="D34" s="117">
        <v>39474</v>
      </c>
      <c r="E34" s="116">
        <v>8</v>
      </c>
      <c r="F34" s="116">
        <f t="shared" si="12"/>
        <v>4934.25</v>
      </c>
      <c r="G34" s="116">
        <v>4</v>
      </c>
      <c r="H34" s="116">
        <f t="shared" si="13"/>
        <v>9868.5</v>
      </c>
      <c r="I34" s="116">
        <v>45</v>
      </c>
      <c r="J34" s="351">
        <f t="shared" si="14"/>
        <v>2</v>
      </c>
      <c r="K34" s="352"/>
      <c r="L34" s="352"/>
      <c r="M34" s="352"/>
      <c r="N34" s="352"/>
      <c r="O34" s="133"/>
      <c r="P34" s="116"/>
      <c r="Q34" s="133"/>
      <c r="R34" s="379">
        <f t="shared" si="15"/>
        <v>8.8888888888888892E-2</v>
      </c>
      <c r="S34" s="119">
        <f t="shared" si="16"/>
        <v>0.75036000137923264</v>
      </c>
      <c r="T34" s="384">
        <f t="shared" si="17"/>
        <v>52606.748663898732</v>
      </c>
      <c r="U34" s="121">
        <f t="shared" si="18"/>
        <v>6.4232904351524702</v>
      </c>
      <c r="V34" s="269">
        <f t="shared" si="19"/>
        <v>3.8233871637812324</v>
      </c>
      <c r="W34" s="120">
        <f t="shared" si="20"/>
        <v>39474</v>
      </c>
      <c r="X34" s="269">
        <f t="shared" si="21"/>
        <v>8</v>
      </c>
      <c r="Y34" s="121">
        <f t="shared" si="22"/>
        <v>4</v>
      </c>
      <c r="Z34" s="350">
        <v>1</v>
      </c>
      <c r="AA34" s="350">
        <v>1</v>
      </c>
      <c r="AB34" s="123"/>
      <c r="AC34" s="123"/>
      <c r="AD34" s="131"/>
      <c r="AE34" s="124"/>
      <c r="AF34" s="124"/>
      <c r="AG34" s="124"/>
      <c r="AH34" s="124"/>
      <c r="AI34" s="124"/>
      <c r="AJ34" s="124"/>
      <c r="AK34" s="124"/>
      <c r="AL34" s="124"/>
      <c r="AM34" s="124"/>
      <c r="AN34" s="124"/>
      <c r="AO34" s="124"/>
      <c r="AP34" s="124"/>
      <c r="AQ34" s="124"/>
      <c r="AR34" s="124"/>
      <c r="AS34" s="124"/>
      <c r="AT34" s="124"/>
      <c r="AU34" s="124"/>
      <c r="AV34" s="124"/>
      <c r="AW34" s="124"/>
      <c r="AX34" s="124"/>
      <c r="AY34" s="124"/>
      <c r="AZ34" s="124"/>
      <c r="BA34" s="124"/>
      <c r="BB34" s="124"/>
      <c r="BC34" s="124"/>
      <c r="BD34" s="124"/>
      <c r="BE34" s="124"/>
      <c r="BF34" s="124"/>
      <c r="BG34" s="124"/>
      <c r="BH34" s="124"/>
      <c r="BI34" s="124"/>
      <c r="BJ34" s="124"/>
      <c r="BK34" s="124"/>
      <c r="BL34" s="124"/>
      <c r="BM34" s="124"/>
      <c r="BN34" s="124"/>
      <c r="BO34" s="124"/>
      <c r="BP34" s="124"/>
      <c r="BQ34" s="124"/>
      <c r="BR34" s="124"/>
      <c r="BS34" s="124"/>
      <c r="BT34" s="124"/>
      <c r="BU34" s="124"/>
      <c r="BV34" s="124"/>
      <c r="BW34" s="124"/>
      <c r="BX34" s="124"/>
      <c r="BY34" s="124"/>
      <c r="BZ34" s="124"/>
      <c r="CA34" s="124"/>
      <c r="CB34" s="124"/>
      <c r="CC34" s="124"/>
      <c r="CD34" s="124"/>
      <c r="CE34" s="124"/>
      <c r="CF34" s="124"/>
      <c r="CG34" s="124"/>
      <c r="CH34" s="124"/>
      <c r="CI34" s="124"/>
      <c r="CJ34" s="124"/>
      <c r="CK34" s="124"/>
      <c r="CL34" s="124"/>
      <c r="CM34" s="124"/>
      <c r="CN34" s="124"/>
      <c r="CO34" s="124"/>
      <c r="CP34" s="124"/>
      <c r="CQ34" s="124"/>
      <c r="CR34" s="124"/>
      <c r="CS34" s="124"/>
      <c r="CT34" s="124"/>
      <c r="CU34" s="124"/>
      <c r="CV34" s="124"/>
      <c r="CW34" s="124"/>
      <c r="CX34" s="124"/>
      <c r="CY34" s="124"/>
      <c r="CZ34" s="124"/>
      <c r="DA34" s="124"/>
      <c r="DB34" s="124"/>
      <c r="DC34" s="124"/>
      <c r="DD34" s="124"/>
      <c r="DE34" s="124"/>
      <c r="DF34" s="124"/>
      <c r="DG34" s="124"/>
      <c r="DH34" s="124"/>
      <c r="DI34" s="124"/>
      <c r="DJ34" s="124"/>
      <c r="DK34" s="124"/>
      <c r="DL34" s="124"/>
      <c r="DM34" s="124"/>
      <c r="DN34" s="124"/>
      <c r="DO34" s="124"/>
      <c r="DP34" s="124"/>
      <c r="DQ34" s="124"/>
      <c r="DR34" s="124"/>
      <c r="DS34" s="124"/>
      <c r="DT34" s="124"/>
      <c r="DU34" s="124"/>
      <c r="DV34" s="124"/>
      <c r="DW34" s="124"/>
      <c r="DX34" s="124"/>
      <c r="DY34" s="124"/>
      <c r="DZ34" s="124"/>
      <c r="EA34" s="124"/>
      <c r="EB34" s="124"/>
      <c r="EC34" s="124"/>
      <c r="ED34" s="124"/>
      <c r="EE34" s="124"/>
      <c r="EF34" s="124"/>
      <c r="EG34" s="124"/>
      <c r="EH34" s="124"/>
      <c r="EI34" s="124"/>
      <c r="EJ34" s="124"/>
      <c r="EK34" s="124"/>
      <c r="EL34" s="124"/>
      <c r="EM34" s="124"/>
      <c r="EN34" s="124"/>
      <c r="EO34" s="124"/>
      <c r="EP34" s="124"/>
      <c r="EQ34" s="124"/>
      <c r="ER34" s="124"/>
      <c r="ES34" s="124"/>
      <c r="ET34" s="124"/>
      <c r="EU34" s="124"/>
      <c r="EV34" s="124"/>
      <c r="EW34" s="124"/>
      <c r="EX34" s="124"/>
      <c r="EY34" s="124"/>
      <c r="EZ34" s="124"/>
      <c r="FA34" s="124"/>
      <c r="FB34" s="124"/>
      <c r="FC34" s="124"/>
      <c r="FD34" s="124"/>
      <c r="FE34" s="124"/>
      <c r="FF34" s="124"/>
      <c r="FG34" s="124"/>
      <c r="FH34" s="124"/>
      <c r="FI34" s="124"/>
      <c r="FJ34" s="124"/>
      <c r="FK34" s="124"/>
      <c r="FL34" s="124"/>
      <c r="FM34" s="124"/>
      <c r="FN34" s="124"/>
      <c r="FO34" s="124"/>
      <c r="FP34" s="124"/>
      <c r="FQ34" s="124"/>
      <c r="FR34" s="124"/>
      <c r="FS34" s="124"/>
      <c r="FT34" s="124"/>
      <c r="FU34" s="124"/>
      <c r="FV34" s="124"/>
      <c r="FW34" s="124"/>
      <c r="FX34" s="124"/>
      <c r="FY34" s="124"/>
      <c r="FZ34" s="124"/>
      <c r="GA34" s="124"/>
      <c r="GB34" s="124"/>
      <c r="GC34" s="124"/>
      <c r="GD34" s="124"/>
      <c r="GE34" s="124"/>
      <c r="GF34" s="124"/>
      <c r="GG34" s="124"/>
      <c r="GH34" s="124"/>
      <c r="GI34" s="124"/>
      <c r="GJ34" s="124"/>
      <c r="GK34" s="124"/>
      <c r="GL34" s="124"/>
      <c r="GM34" s="124"/>
      <c r="GN34" s="124"/>
      <c r="GO34" s="124"/>
      <c r="GP34" s="124"/>
      <c r="GQ34" s="124"/>
      <c r="GR34" s="124"/>
      <c r="GS34" s="124"/>
      <c r="GT34" s="124"/>
      <c r="GU34" s="124"/>
      <c r="GV34" s="124"/>
      <c r="GW34" s="124"/>
      <c r="GX34" s="124"/>
      <c r="GY34" s="124"/>
      <c r="GZ34" s="124"/>
      <c r="HA34" s="124"/>
      <c r="HB34" s="124"/>
      <c r="HC34" s="124"/>
      <c r="HD34" s="124"/>
      <c r="HE34" s="124"/>
      <c r="HF34" s="124"/>
      <c r="HG34" s="124"/>
      <c r="HH34" s="124"/>
      <c r="HI34" s="124"/>
      <c r="HJ34" s="124"/>
      <c r="HK34" s="124"/>
      <c r="HL34" s="124"/>
      <c r="HM34" s="124"/>
      <c r="HN34" s="124"/>
      <c r="HO34" s="124"/>
      <c r="HP34" s="124"/>
      <c r="HQ34" s="124"/>
      <c r="HR34" s="124"/>
      <c r="HS34" s="124"/>
      <c r="HT34" s="124"/>
      <c r="HU34" s="124"/>
      <c r="HV34" s="124"/>
      <c r="HW34" s="124"/>
      <c r="HX34" s="124"/>
      <c r="HY34" s="124"/>
      <c r="HZ34" s="124"/>
      <c r="IA34" s="124"/>
      <c r="IB34" s="124"/>
      <c r="IC34" s="124"/>
      <c r="ID34" s="124"/>
      <c r="IE34" s="124"/>
      <c r="IF34" s="124"/>
      <c r="IG34" s="124"/>
      <c r="IH34" s="124"/>
      <c r="II34" s="124"/>
      <c r="IJ34" s="124"/>
      <c r="IK34" s="124"/>
      <c r="IL34" s="124"/>
      <c r="IM34" s="124"/>
      <c r="IN34" s="124"/>
      <c r="IO34" s="124"/>
      <c r="IP34" s="124"/>
      <c r="IQ34" s="124"/>
      <c r="IR34" s="124"/>
      <c r="IS34" s="124"/>
      <c r="IT34" s="124"/>
      <c r="IU34" s="124"/>
      <c r="IV34" s="124"/>
      <c r="IW34" s="124"/>
      <c r="IX34" s="124"/>
      <c r="IY34" s="124"/>
    </row>
    <row r="35" spans="1:259" s="90" customFormat="1">
      <c r="A35" s="128">
        <v>11</v>
      </c>
      <c r="B35" s="92">
        <v>46007</v>
      </c>
      <c r="C35" s="252" t="s">
        <v>57</v>
      </c>
      <c r="D35" s="253">
        <v>24071</v>
      </c>
      <c r="E35" s="108">
        <v>4</v>
      </c>
      <c r="F35" s="254">
        <f t="shared" si="12"/>
        <v>6017.75</v>
      </c>
      <c r="G35" s="108">
        <v>3</v>
      </c>
      <c r="H35" s="254">
        <f t="shared" si="13"/>
        <v>8023.666666666667</v>
      </c>
      <c r="I35" s="108">
        <v>26</v>
      </c>
      <c r="J35" s="357">
        <f t="shared" si="14"/>
        <v>1.3333333333333333</v>
      </c>
      <c r="K35" s="325"/>
      <c r="L35" s="325"/>
      <c r="M35" s="325"/>
      <c r="N35" s="325"/>
      <c r="O35" s="95"/>
      <c r="P35" s="254"/>
      <c r="Q35" s="254"/>
      <c r="R35" s="249">
        <f t="shared" si="15"/>
        <v>0.11538461538461539</v>
      </c>
      <c r="S35" s="274">
        <f t="shared" si="16"/>
        <v>0.45756486784211153</v>
      </c>
      <c r="T35" s="101">
        <f t="shared" si="17"/>
        <v>52606.748663898732</v>
      </c>
      <c r="U35" s="273">
        <f t="shared" si="18"/>
        <v>6.4232904351524702</v>
      </c>
      <c r="V35" s="102">
        <f t="shared" si="19"/>
        <v>3.8233871637812324</v>
      </c>
      <c r="W35" s="101">
        <f t="shared" si="20"/>
        <v>24071</v>
      </c>
      <c r="X35" s="102">
        <f t="shared" si="21"/>
        <v>4</v>
      </c>
      <c r="Y35" s="102">
        <f t="shared" si="22"/>
        <v>3</v>
      </c>
      <c r="Z35" s="312">
        <v>1</v>
      </c>
      <c r="AA35" s="312">
        <v>1</v>
      </c>
      <c r="AB35" s="105"/>
      <c r="AC35" s="105"/>
      <c r="AD35" s="251"/>
      <c r="AE35" s="104"/>
      <c r="AF35" s="104"/>
      <c r="AG35" s="104"/>
      <c r="AH35" s="104"/>
      <c r="AI35" s="104"/>
      <c r="AJ35" s="104"/>
      <c r="AK35" s="104"/>
    </row>
    <row r="36" spans="1:259" s="90" customFormat="1">
      <c r="A36" s="91">
        <v>12</v>
      </c>
      <c r="B36" s="92">
        <v>46008</v>
      </c>
      <c r="C36" s="93" t="s">
        <v>59</v>
      </c>
      <c r="D36" s="253">
        <v>5893</v>
      </c>
      <c r="E36" s="108">
        <v>1</v>
      </c>
      <c r="F36" s="96">
        <f t="shared" si="12"/>
        <v>5893</v>
      </c>
      <c r="G36" s="108">
        <v>1</v>
      </c>
      <c r="H36" s="96">
        <f t="shared" si="13"/>
        <v>5893</v>
      </c>
      <c r="I36" s="108">
        <v>40</v>
      </c>
      <c r="J36" s="357">
        <f t="shared" si="14"/>
        <v>1</v>
      </c>
      <c r="K36" s="385"/>
      <c r="L36" s="385"/>
      <c r="M36" s="385"/>
      <c r="N36" s="385"/>
      <c r="O36" s="386"/>
      <c r="P36" s="387"/>
      <c r="Q36" s="387"/>
      <c r="R36" s="249">
        <f t="shared" si="15"/>
        <v>2.5000000000000001E-2</v>
      </c>
      <c r="S36" s="100">
        <f t="shared" si="16"/>
        <v>0.11201984820711908</v>
      </c>
      <c r="T36" s="101">
        <f t="shared" si="17"/>
        <v>52606.748663898732</v>
      </c>
      <c r="U36" s="102">
        <f t="shared" si="18"/>
        <v>6.4232904351524702</v>
      </c>
      <c r="V36" s="102">
        <f t="shared" si="19"/>
        <v>3.8233871637812324</v>
      </c>
      <c r="W36" s="101">
        <f t="shared" si="20"/>
        <v>5893</v>
      </c>
      <c r="X36" s="102">
        <f t="shared" si="21"/>
        <v>1</v>
      </c>
      <c r="Y36" s="102">
        <f t="shared" si="22"/>
        <v>1</v>
      </c>
      <c r="Z36" s="312">
        <v>1</v>
      </c>
      <c r="AA36" s="312">
        <v>1</v>
      </c>
      <c r="AB36" s="105"/>
      <c r="AC36" s="105"/>
      <c r="AD36" s="251"/>
      <c r="AE36" s="104"/>
      <c r="AF36" s="104"/>
      <c r="AG36" s="104"/>
      <c r="AH36" s="104"/>
      <c r="AI36" s="104"/>
      <c r="AJ36" s="104"/>
      <c r="AK36" s="104"/>
    </row>
    <row r="37" spans="1:259" s="125" customFormat="1">
      <c r="A37" s="111">
        <v>13</v>
      </c>
      <c r="B37" s="112">
        <v>46009</v>
      </c>
      <c r="C37" s="260" t="s">
        <v>61</v>
      </c>
      <c r="D37" s="117">
        <v>23665</v>
      </c>
      <c r="E37" s="116">
        <v>2</v>
      </c>
      <c r="F37" s="116">
        <f t="shared" si="12"/>
        <v>11832.5</v>
      </c>
      <c r="G37" s="116">
        <v>2</v>
      </c>
      <c r="H37" s="116">
        <f t="shared" si="13"/>
        <v>11832.5</v>
      </c>
      <c r="I37" s="116">
        <v>30</v>
      </c>
      <c r="J37" s="117">
        <f t="shared" si="14"/>
        <v>1</v>
      </c>
      <c r="K37" s="116"/>
      <c r="L37" s="116"/>
      <c r="M37" s="116"/>
      <c r="N37" s="116"/>
      <c r="O37" s="116">
        <v>15066</v>
      </c>
      <c r="P37" s="116"/>
      <c r="Q37" s="116"/>
      <c r="R37" s="99">
        <f t="shared" si="15"/>
        <v>6.6666666666666666E-2</v>
      </c>
      <c r="S37" s="268">
        <f t="shared" si="16"/>
        <v>0.44984722684905359</v>
      </c>
      <c r="T37" s="120">
        <f t="shared" si="17"/>
        <v>52606.748663898732</v>
      </c>
      <c r="U37" s="269">
        <f t="shared" si="18"/>
        <v>6.4232904351524702</v>
      </c>
      <c r="V37" s="121">
        <f t="shared" si="19"/>
        <v>3.8233871637812324</v>
      </c>
      <c r="W37" s="120">
        <f t="shared" si="20"/>
        <v>23665</v>
      </c>
      <c r="X37" s="121">
        <f t="shared" si="21"/>
        <v>2</v>
      </c>
      <c r="Y37" s="121">
        <f t="shared" si="22"/>
        <v>2</v>
      </c>
      <c r="Z37" s="350">
        <v>1</v>
      </c>
      <c r="AA37" s="350">
        <v>1</v>
      </c>
      <c r="AB37" s="123"/>
      <c r="AC37" s="123"/>
      <c r="AD37" s="131"/>
      <c r="AE37" s="124"/>
      <c r="AF37" s="124"/>
      <c r="AG37" s="124"/>
      <c r="AH37" s="124"/>
      <c r="AI37" s="124"/>
      <c r="AJ37" s="124"/>
      <c r="AK37" s="124"/>
      <c r="AL37" s="124"/>
      <c r="AM37" s="124"/>
      <c r="AN37" s="124"/>
      <c r="AO37" s="124"/>
      <c r="AP37" s="124"/>
      <c r="AQ37" s="124"/>
      <c r="AR37" s="124"/>
      <c r="AS37" s="124"/>
      <c r="AT37" s="124"/>
      <c r="AU37" s="124"/>
      <c r="AV37" s="124"/>
      <c r="AW37" s="124"/>
      <c r="AX37" s="124"/>
      <c r="AY37" s="124"/>
      <c r="AZ37" s="124"/>
      <c r="BA37" s="124"/>
      <c r="BB37" s="124"/>
      <c r="BC37" s="124"/>
      <c r="BD37" s="124"/>
      <c r="BE37" s="124"/>
      <c r="BF37" s="124"/>
      <c r="BG37" s="124"/>
      <c r="BH37" s="124"/>
      <c r="BI37" s="124"/>
      <c r="BJ37" s="124"/>
      <c r="BK37" s="124"/>
      <c r="BL37" s="124"/>
      <c r="BM37" s="124"/>
      <c r="BN37" s="124"/>
      <c r="BO37" s="124"/>
      <c r="BP37" s="124"/>
      <c r="BQ37" s="124"/>
      <c r="BR37" s="124"/>
      <c r="BS37" s="124"/>
      <c r="BT37" s="124"/>
      <c r="BU37" s="124"/>
      <c r="BV37" s="124"/>
      <c r="BW37" s="124"/>
      <c r="BX37" s="124"/>
      <c r="BY37" s="124"/>
      <c r="BZ37" s="124"/>
      <c r="CA37" s="124"/>
      <c r="CB37" s="124"/>
      <c r="CC37" s="124"/>
      <c r="CD37" s="124"/>
      <c r="CE37" s="124"/>
      <c r="CF37" s="124"/>
      <c r="CG37" s="124"/>
      <c r="CH37" s="124"/>
      <c r="CI37" s="124"/>
      <c r="CJ37" s="124"/>
      <c r="CK37" s="124"/>
      <c r="CL37" s="124"/>
      <c r="CM37" s="124"/>
      <c r="CN37" s="124"/>
      <c r="CO37" s="124"/>
      <c r="CP37" s="124"/>
      <c r="CQ37" s="124"/>
      <c r="CR37" s="124"/>
      <c r="CS37" s="124"/>
      <c r="CT37" s="124"/>
      <c r="CU37" s="124"/>
      <c r="CV37" s="124"/>
      <c r="CW37" s="124"/>
      <c r="CX37" s="124"/>
      <c r="CY37" s="124"/>
      <c r="CZ37" s="124"/>
      <c r="DA37" s="124"/>
      <c r="DB37" s="124"/>
      <c r="DC37" s="124"/>
      <c r="DD37" s="124"/>
      <c r="DE37" s="124"/>
      <c r="DF37" s="124"/>
      <c r="DG37" s="124"/>
      <c r="DH37" s="124"/>
      <c r="DI37" s="124"/>
      <c r="DJ37" s="124"/>
      <c r="DK37" s="124"/>
      <c r="DL37" s="124"/>
      <c r="DM37" s="124"/>
      <c r="DN37" s="124"/>
      <c r="DO37" s="124"/>
      <c r="DP37" s="124"/>
      <c r="DQ37" s="124"/>
      <c r="DR37" s="124"/>
      <c r="DS37" s="124"/>
      <c r="DT37" s="124"/>
      <c r="DU37" s="124"/>
      <c r="DV37" s="124"/>
      <c r="DW37" s="124"/>
      <c r="DX37" s="124"/>
      <c r="DY37" s="124"/>
      <c r="DZ37" s="124"/>
      <c r="EA37" s="124"/>
      <c r="EB37" s="124"/>
      <c r="EC37" s="124"/>
      <c r="ED37" s="124"/>
      <c r="EE37" s="124"/>
      <c r="EF37" s="124"/>
      <c r="EG37" s="124"/>
      <c r="EH37" s="124"/>
      <c r="EI37" s="124"/>
      <c r="EJ37" s="124"/>
      <c r="EK37" s="124"/>
      <c r="EL37" s="124"/>
      <c r="EM37" s="124"/>
      <c r="EN37" s="124"/>
      <c r="EO37" s="124"/>
      <c r="EP37" s="124"/>
      <c r="EQ37" s="124"/>
      <c r="ER37" s="124"/>
      <c r="ES37" s="124"/>
      <c r="ET37" s="124"/>
      <c r="EU37" s="124"/>
      <c r="EV37" s="124"/>
      <c r="EW37" s="124"/>
      <c r="EX37" s="124"/>
      <c r="EY37" s="124"/>
      <c r="EZ37" s="124"/>
      <c r="FA37" s="124"/>
      <c r="FB37" s="124"/>
      <c r="FC37" s="124"/>
      <c r="FD37" s="124"/>
      <c r="FE37" s="124"/>
      <c r="FF37" s="124"/>
      <c r="FG37" s="124"/>
      <c r="FH37" s="124"/>
      <c r="FI37" s="124"/>
      <c r="FJ37" s="124"/>
      <c r="FK37" s="124"/>
      <c r="FL37" s="124"/>
      <c r="FM37" s="124"/>
      <c r="FN37" s="124"/>
      <c r="FO37" s="124"/>
      <c r="FP37" s="124"/>
      <c r="FQ37" s="124"/>
      <c r="FR37" s="124"/>
      <c r="FS37" s="124"/>
      <c r="FT37" s="124"/>
      <c r="FU37" s="124"/>
      <c r="FV37" s="124"/>
      <c r="FW37" s="124"/>
      <c r="FX37" s="124"/>
      <c r="FY37" s="124"/>
      <c r="FZ37" s="124"/>
      <c r="GA37" s="124"/>
      <c r="GB37" s="124"/>
      <c r="GC37" s="124"/>
      <c r="GD37" s="124"/>
      <c r="GE37" s="124"/>
      <c r="GF37" s="124"/>
      <c r="GG37" s="124"/>
      <c r="GH37" s="124"/>
      <c r="GI37" s="124"/>
      <c r="GJ37" s="124"/>
      <c r="GK37" s="124"/>
      <c r="GL37" s="124"/>
      <c r="GM37" s="124"/>
      <c r="GN37" s="124"/>
      <c r="GO37" s="124"/>
      <c r="GP37" s="124"/>
      <c r="GQ37" s="124"/>
      <c r="GR37" s="124"/>
      <c r="GS37" s="124"/>
      <c r="GT37" s="124"/>
      <c r="GU37" s="124"/>
      <c r="GV37" s="124"/>
      <c r="GW37" s="124"/>
      <c r="GX37" s="124"/>
      <c r="GY37" s="124"/>
      <c r="GZ37" s="124"/>
      <c r="HA37" s="124"/>
      <c r="HB37" s="124"/>
      <c r="HC37" s="124"/>
      <c r="HD37" s="124"/>
      <c r="HE37" s="124"/>
      <c r="HF37" s="124"/>
      <c r="HG37" s="124"/>
      <c r="HH37" s="124"/>
      <c r="HI37" s="124"/>
      <c r="HJ37" s="124"/>
      <c r="HK37" s="124"/>
      <c r="HL37" s="124"/>
      <c r="HM37" s="124"/>
      <c r="HN37" s="124"/>
      <c r="HO37" s="124"/>
      <c r="HP37" s="124"/>
      <c r="HQ37" s="124"/>
      <c r="HR37" s="124"/>
      <c r="HS37" s="124"/>
      <c r="HT37" s="124"/>
      <c r="HU37" s="124"/>
      <c r="HV37" s="124"/>
      <c r="HW37" s="124"/>
      <c r="HX37" s="124"/>
      <c r="HY37" s="124"/>
      <c r="HZ37" s="124"/>
      <c r="IA37" s="124"/>
      <c r="IB37" s="124"/>
      <c r="IC37" s="124"/>
      <c r="ID37" s="124"/>
      <c r="IE37" s="124"/>
      <c r="IF37" s="124"/>
      <c r="IG37" s="124"/>
      <c r="IH37" s="124"/>
      <c r="II37" s="124"/>
      <c r="IJ37" s="124"/>
      <c r="IK37" s="124"/>
      <c r="IL37" s="124"/>
      <c r="IM37" s="124"/>
      <c r="IN37" s="124"/>
      <c r="IO37" s="124"/>
      <c r="IP37" s="124"/>
      <c r="IQ37" s="124"/>
      <c r="IR37" s="124"/>
      <c r="IS37" s="124"/>
      <c r="IT37" s="124"/>
      <c r="IU37" s="124"/>
      <c r="IV37" s="124"/>
      <c r="IW37" s="124"/>
      <c r="IX37" s="124"/>
      <c r="IY37" s="124"/>
    </row>
    <row r="38" spans="1:259" s="125" customFormat="1">
      <c r="A38" s="111">
        <v>14</v>
      </c>
      <c r="B38" s="112">
        <v>46010</v>
      </c>
      <c r="C38" s="132" t="s">
        <v>63</v>
      </c>
      <c r="D38" s="117">
        <v>89483</v>
      </c>
      <c r="E38" s="116">
        <v>10</v>
      </c>
      <c r="F38" s="116">
        <f t="shared" si="12"/>
        <v>8948.2999999999993</v>
      </c>
      <c r="G38" s="116">
        <v>5</v>
      </c>
      <c r="H38" s="116">
        <f t="shared" si="13"/>
        <v>17896.599999999999</v>
      </c>
      <c r="I38" s="116">
        <v>20</v>
      </c>
      <c r="J38" s="117">
        <f t="shared" si="14"/>
        <v>2</v>
      </c>
      <c r="K38" s="116"/>
      <c r="L38" s="116"/>
      <c r="M38" s="116">
        <v>25272</v>
      </c>
      <c r="N38" s="116">
        <v>5690</v>
      </c>
      <c r="O38" s="116">
        <v>22172</v>
      </c>
      <c r="P38" s="116"/>
      <c r="Q38" s="116"/>
      <c r="R38" s="276">
        <f t="shared" si="15"/>
        <v>0.25</v>
      </c>
      <c r="S38" s="377">
        <f t="shared" si="16"/>
        <v>1.5468657377657762</v>
      </c>
      <c r="T38" s="120">
        <f t="shared" ref="T38:T40" si="23">$I$8*Z38*AA38/SUMPRODUCT($AA$25:$AA$47,$Z$25:$Z$47)</f>
        <v>57847.942336123655</v>
      </c>
      <c r="U38" s="121">
        <f t="shared" ref="U38:U40" si="24">$I$9*Z38*AA38/SUMPRODUCT($AA$25:$AA$47,$Z$25:$Z$47)</f>
        <v>7.0632408224815206</v>
      </c>
      <c r="V38" s="121">
        <f t="shared" si="19"/>
        <v>4.2043100133818578</v>
      </c>
      <c r="W38" s="120">
        <f t="shared" si="20"/>
        <v>89483</v>
      </c>
      <c r="X38" s="121">
        <f t="shared" si="21"/>
        <v>10</v>
      </c>
      <c r="Y38" s="121">
        <f t="shared" si="22"/>
        <v>5</v>
      </c>
      <c r="Z38" s="350">
        <v>1</v>
      </c>
      <c r="AA38" s="350">
        <v>1</v>
      </c>
      <c r="AB38" s="277"/>
      <c r="AC38" s="277"/>
    </row>
    <row r="39" spans="1:259" s="125" customFormat="1">
      <c r="A39" s="111">
        <v>15</v>
      </c>
      <c r="B39" s="112">
        <v>46011</v>
      </c>
      <c r="C39" s="132" t="s">
        <v>65</v>
      </c>
      <c r="D39" s="117">
        <f>23979+6744+11298+8036+7983+5494</f>
        <v>63534</v>
      </c>
      <c r="E39" s="116">
        <f>2+1+1+2+1+1</f>
        <v>8</v>
      </c>
      <c r="F39" s="116">
        <f t="shared" si="12"/>
        <v>7941.75</v>
      </c>
      <c r="G39" s="116">
        <v>6</v>
      </c>
      <c r="H39" s="116">
        <f t="shared" si="13"/>
        <v>10589</v>
      </c>
      <c r="I39" s="116">
        <v>60</v>
      </c>
      <c r="J39" s="117">
        <f t="shared" si="14"/>
        <v>1.3333333333333333</v>
      </c>
      <c r="K39" s="116">
        <v>7983</v>
      </c>
      <c r="L39" s="116"/>
      <c r="M39" s="116"/>
      <c r="N39" s="116"/>
      <c r="O39" s="116">
        <f>14313+11298</f>
        <v>25611</v>
      </c>
      <c r="P39" s="116">
        <v>6744</v>
      </c>
      <c r="Q39" s="116"/>
      <c r="R39" s="276">
        <f t="shared" si="15"/>
        <v>0.1</v>
      </c>
      <c r="S39" s="377">
        <f t="shared" si="16"/>
        <v>1.0982931705822427</v>
      </c>
      <c r="T39" s="120">
        <f t="shared" si="23"/>
        <v>57847.942336123655</v>
      </c>
      <c r="U39" s="121">
        <f t="shared" si="24"/>
        <v>7.0632408224815206</v>
      </c>
      <c r="V39" s="121">
        <f t="shared" si="19"/>
        <v>4.2043100133818578</v>
      </c>
      <c r="W39" s="120">
        <f t="shared" si="20"/>
        <v>63534</v>
      </c>
      <c r="X39" s="121">
        <f t="shared" si="21"/>
        <v>8</v>
      </c>
      <c r="Y39" s="121">
        <f t="shared" si="22"/>
        <v>6</v>
      </c>
      <c r="Z39" s="350">
        <v>1</v>
      </c>
      <c r="AA39" s="350">
        <v>1</v>
      </c>
      <c r="AB39" s="277"/>
      <c r="AC39" s="277"/>
      <c r="AD39" s="363"/>
    </row>
    <row r="40" spans="1:259" s="125" customFormat="1">
      <c r="A40" s="111">
        <v>16</v>
      </c>
      <c r="B40" s="112">
        <v>46012</v>
      </c>
      <c r="C40" s="132" t="s">
        <v>67</v>
      </c>
      <c r="D40" s="117">
        <v>22675</v>
      </c>
      <c r="E40" s="116">
        <v>3</v>
      </c>
      <c r="F40" s="116">
        <f t="shared" si="12"/>
        <v>7558.333333333333</v>
      </c>
      <c r="G40" s="116">
        <v>1</v>
      </c>
      <c r="H40" s="116">
        <f t="shared" si="13"/>
        <v>22675</v>
      </c>
      <c r="I40" s="116">
        <v>29</v>
      </c>
      <c r="J40" s="117">
        <f t="shared" si="14"/>
        <v>3</v>
      </c>
      <c r="K40" s="116"/>
      <c r="L40" s="116"/>
      <c r="M40" s="116"/>
      <c r="N40" s="116"/>
      <c r="O40" s="116"/>
      <c r="P40" s="116"/>
      <c r="Q40" s="116"/>
      <c r="R40" s="276">
        <f t="shared" si="15"/>
        <v>3.4482758620689655E-2</v>
      </c>
      <c r="S40" s="377">
        <f t="shared" si="16"/>
        <v>0.39197591278610439</v>
      </c>
      <c r="T40" s="120">
        <f t="shared" si="23"/>
        <v>57847.942336123655</v>
      </c>
      <c r="U40" s="121">
        <f t="shared" si="24"/>
        <v>7.0632408224815206</v>
      </c>
      <c r="V40" s="121">
        <f t="shared" si="19"/>
        <v>4.2043100133818578</v>
      </c>
      <c r="W40" s="120">
        <f t="shared" si="20"/>
        <v>22675</v>
      </c>
      <c r="X40" s="121">
        <f t="shared" si="21"/>
        <v>3</v>
      </c>
      <c r="Y40" s="121">
        <f t="shared" si="22"/>
        <v>1</v>
      </c>
      <c r="Z40" s="350">
        <v>1</v>
      </c>
      <c r="AA40" s="350">
        <v>1</v>
      </c>
      <c r="AB40" s="277"/>
      <c r="AC40" s="277"/>
      <c r="AD40" s="363"/>
    </row>
    <row r="41" spans="1:259" s="125" customFormat="1">
      <c r="A41" s="111">
        <v>17</v>
      </c>
      <c r="B41" s="112">
        <v>46014</v>
      </c>
      <c r="C41" s="132" t="s">
        <v>57</v>
      </c>
      <c r="D41" s="117">
        <f>5824+7282</f>
        <v>13106</v>
      </c>
      <c r="E41" s="116">
        <v>2</v>
      </c>
      <c r="F41" s="116">
        <f t="shared" si="12"/>
        <v>6553</v>
      </c>
      <c r="G41" s="116">
        <v>2</v>
      </c>
      <c r="H41" s="116">
        <f t="shared" si="13"/>
        <v>6553</v>
      </c>
      <c r="I41" s="116">
        <v>27</v>
      </c>
      <c r="J41" s="117">
        <f t="shared" si="14"/>
        <v>1</v>
      </c>
      <c r="K41" s="115"/>
      <c r="L41" s="115"/>
      <c r="M41" s="115"/>
      <c r="N41" s="115"/>
      <c r="O41" s="115"/>
      <c r="P41" s="118"/>
      <c r="Q41" s="118"/>
      <c r="R41" s="99">
        <f t="shared" si="15"/>
        <v>7.407407407407407E-2</v>
      </c>
      <c r="S41" s="119">
        <f t="shared" si="16"/>
        <v>0.249131534125658</v>
      </c>
      <c r="T41" s="120">
        <f t="shared" ref="T41:T49" si="25">$I$8*Z41*AA41/SUMPRODUCT($AA$25:$AA$55,$Z$25:$Z$55)</f>
        <v>52606.748663898732</v>
      </c>
      <c r="U41" s="121">
        <f t="shared" ref="U41:U49" si="26">$I$9*Z41*AA41/SUMPRODUCT($AA$25:$AA$55,$Z$25:$Z$55)</f>
        <v>6.4232904351524702</v>
      </c>
      <c r="V41" s="121">
        <f t="shared" si="19"/>
        <v>3.8233871637812324</v>
      </c>
      <c r="W41" s="120">
        <f t="shared" ref="W41:W49" si="27">IF(AA41&lt;&gt;"",IF(D41&lt;&gt;"",D41,($I$8-SUM($W$25:W40))*Z41*AA41/SUMPRODUCT($AA41:$AA$55,$Z41:$Z$55)),"")</f>
        <v>13106</v>
      </c>
      <c r="X41" s="121">
        <f t="shared" ref="X41:X49" si="28">IF(AA41&lt;&gt;"",IF(E41&lt;&gt;"",E41,($I$9-SUM($X$25:X40))*Z41*AA41/SUMPRODUCT($AA41:$AA$55,$Z41:$Z$55)),"")</f>
        <v>2</v>
      </c>
      <c r="Y41" s="121">
        <f t="shared" ref="Y41:Y49" si="29">IF(AA41&lt;&gt;"",IF($I$12&lt;&gt;"",IF(G41&lt;&gt;"",G41,($I$9/$I$12-SUM($Y$25:Y40))*Z41*AA41/SUMPRODUCT($AA41:$AA$55,$Z41:$Z$55)),""),"")</f>
        <v>2</v>
      </c>
      <c r="Z41" s="122">
        <v>1</v>
      </c>
      <c r="AA41" s="122">
        <v>1</v>
      </c>
      <c r="AB41" s="123"/>
      <c r="AC41" s="123"/>
      <c r="AD41" s="131"/>
      <c r="AE41" s="124"/>
      <c r="AF41" s="124"/>
      <c r="AG41" s="124"/>
      <c r="AH41" s="124"/>
      <c r="AI41" s="124"/>
      <c r="AJ41" s="124"/>
      <c r="AK41" s="124"/>
      <c r="AL41" s="124"/>
      <c r="AM41" s="124"/>
      <c r="AN41" s="124"/>
      <c r="AO41" s="124"/>
      <c r="AP41" s="124"/>
      <c r="AQ41" s="124"/>
      <c r="AR41" s="124"/>
      <c r="AS41" s="124"/>
      <c r="AT41" s="124"/>
      <c r="AU41" s="124"/>
      <c r="AV41" s="124"/>
      <c r="AW41" s="124"/>
      <c r="AX41" s="124"/>
      <c r="AY41" s="124"/>
      <c r="AZ41" s="124"/>
      <c r="BA41" s="124"/>
      <c r="BB41" s="124"/>
      <c r="BC41" s="124"/>
      <c r="BD41" s="124"/>
      <c r="BE41" s="124"/>
      <c r="BF41" s="124"/>
      <c r="BG41" s="124"/>
      <c r="BH41" s="124"/>
      <c r="BI41" s="124"/>
      <c r="BJ41" s="124"/>
      <c r="BK41" s="124"/>
      <c r="BL41" s="124"/>
      <c r="BM41" s="124"/>
      <c r="BN41" s="124"/>
      <c r="BO41" s="124"/>
      <c r="BP41" s="124"/>
      <c r="BQ41" s="124"/>
      <c r="BR41" s="124"/>
      <c r="BS41" s="124"/>
      <c r="BT41" s="124"/>
      <c r="BU41" s="124"/>
      <c r="BV41" s="124"/>
      <c r="BW41" s="124"/>
      <c r="BX41" s="124"/>
      <c r="BY41" s="124"/>
      <c r="BZ41" s="124"/>
      <c r="CA41" s="124"/>
      <c r="CB41" s="124"/>
      <c r="CC41" s="124"/>
      <c r="CD41" s="124"/>
      <c r="CE41" s="124"/>
      <c r="CF41" s="124"/>
      <c r="CG41" s="124"/>
      <c r="CH41" s="124"/>
      <c r="CI41" s="124"/>
      <c r="CJ41" s="124"/>
      <c r="CK41" s="124"/>
      <c r="CL41" s="124"/>
      <c r="CM41" s="124"/>
      <c r="CN41" s="124"/>
      <c r="CO41" s="124"/>
      <c r="CP41" s="124"/>
      <c r="CQ41" s="124"/>
      <c r="CR41" s="124"/>
      <c r="CS41" s="124"/>
      <c r="CT41" s="124"/>
      <c r="CU41" s="124"/>
      <c r="CV41" s="124"/>
      <c r="CW41" s="124"/>
      <c r="CX41" s="124"/>
      <c r="CY41" s="124"/>
      <c r="CZ41" s="124"/>
      <c r="DA41" s="124"/>
      <c r="DB41" s="124"/>
      <c r="DC41" s="124"/>
      <c r="DD41" s="124"/>
      <c r="DE41" s="124"/>
      <c r="DF41" s="124"/>
      <c r="DG41" s="124"/>
      <c r="DH41" s="124"/>
      <c r="DI41" s="124"/>
      <c r="DJ41" s="124"/>
      <c r="DK41" s="124"/>
      <c r="DL41" s="124"/>
      <c r="DM41" s="124"/>
      <c r="DN41" s="124"/>
      <c r="DO41" s="124"/>
      <c r="DP41" s="124"/>
      <c r="DQ41" s="124"/>
      <c r="DR41" s="124"/>
      <c r="DS41" s="124"/>
      <c r="DT41" s="124"/>
      <c r="DU41" s="124"/>
      <c r="DV41" s="124"/>
      <c r="DW41" s="124"/>
      <c r="DX41" s="124"/>
      <c r="DY41" s="124"/>
      <c r="DZ41" s="124"/>
      <c r="EA41" s="124"/>
      <c r="EB41" s="124"/>
      <c r="EC41" s="124"/>
      <c r="ED41" s="124"/>
      <c r="EE41" s="124"/>
      <c r="EF41" s="124"/>
      <c r="EG41" s="124"/>
      <c r="EH41" s="124"/>
      <c r="EI41" s="124"/>
      <c r="EJ41" s="124"/>
      <c r="EK41" s="124"/>
      <c r="EL41" s="124"/>
      <c r="EM41" s="124"/>
      <c r="EN41" s="124"/>
      <c r="EO41" s="124"/>
      <c r="EP41" s="124"/>
      <c r="EQ41" s="124"/>
      <c r="ER41" s="124"/>
      <c r="ES41" s="124"/>
      <c r="ET41" s="124"/>
      <c r="EU41" s="124"/>
      <c r="EV41" s="124"/>
      <c r="EW41" s="124"/>
      <c r="EX41" s="124"/>
      <c r="EY41" s="124"/>
      <c r="EZ41" s="124"/>
      <c r="FA41" s="124"/>
      <c r="FB41" s="124"/>
      <c r="FC41" s="124"/>
      <c r="FD41" s="124"/>
      <c r="FE41" s="124"/>
      <c r="FF41" s="124"/>
      <c r="FG41" s="124"/>
      <c r="FH41" s="124"/>
      <c r="FI41" s="124"/>
      <c r="FJ41" s="124"/>
      <c r="FK41" s="124"/>
      <c r="FL41" s="124"/>
      <c r="FM41" s="124"/>
      <c r="FN41" s="124"/>
      <c r="FO41" s="124"/>
      <c r="FP41" s="124"/>
      <c r="FQ41" s="124"/>
      <c r="FR41" s="124"/>
      <c r="FS41" s="124"/>
      <c r="FT41" s="124"/>
      <c r="FU41" s="124"/>
      <c r="FV41" s="124"/>
      <c r="FW41" s="124"/>
      <c r="FX41" s="124"/>
      <c r="FY41" s="124"/>
      <c r="FZ41" s="124"/>
      <c r="GA41" s="124"/>
      <c r="GB41" s="124"/>
      <c r="GC41" s="124"/>
      <c r="GD41" s="124"/>
      <c r="GE41" s="124"/>
      <c r="GF41" s="124"/>
      <c r="GG41" s="124"/>
      <c r="GH41" s="124"/>
      <c r="GI41" s="124"/>
      <c r="GJ41" s="124"/>
      <c r="GK41" s="124"/>
      <c r="GL41" s="124"/>
      <c r="GM41" s="124"/>
      <c r="GN41" s="124"/>
      <c r="GO41" s="124"/>
      <c r="GP41" s="124"/>
      <c r="GQ41" s="124"/>
      <c r="GR41" s="124"/>
      <c r="GS41" s="124"/>
      <c r="GT41" s="124"/>
      <c r="GU41" s="124"/>
      <c r="GV41" s="124"/>
      <c r="GW41" s="124"/>
      <c r="GX41" s="124"/>
      <c r="GY41" s="124"/>
      <c r="GZ41" s="124"/>
      <c r="HA41" s="124"/>
      <c r="HB41" s="124"/>
      <c r="HC41" s="124"/>
      <c r="HD41" s="124"/>
      <c r="HE41" s="124"/>
      <c r="HF41" s="124"/>
      <c r="HG41" s="124"/>
      <c r="HH41" s="124"/>
      <c r="HI41" s="124"/>
      <c r="HJ41" s="124"/>
      <c r="HK41" s="124"/>
      <c r="HL41" s="124"/>
      <c r="HM41" s="124"/>
      <c r="HN41" s="124"/>
      <c r="HO41" s="124"/>
      <c r="HP41" s="124"/>
      <c r="HQ41" s="124"/>
      <c r="HR41" s="124"/>
      <c r="HS41" s="124"/>
      <c r="HT41" s="124"/>
      <c r="HU41" s="124"/>
      <c r="HV41" s="124"/>
      <c r="HW41" s="124"/>
      <c r="HX41" s="124"/>
      <c r="HY41" s="124"/>
      <c r="HZ41" s="124"/>
      <c r="IA41" s="124"/>
      <c r="IB41" s="124"/>
      <c r="IC41" s="124"/>
      <c r="ID41" s="124"/>
      <c r="IE41" s="124"/>
      <c r="IF41" s="124"/>
      <c r="IG41" s="124"/>
      <c r="IH41" s="124"/>
      <c r="II41" s="124"/>
      <c r="IJ41" s="124"/>
      <c r="IK41" s="124"/>
      <c r="IL41" s="124"/>
      <c r="IM41" s="124"/>
      <c r="IN41" s="124"/>
      <c r="IO41" s="124"/>
      <c r="IP41" s="124"/>
      <c r="IQ41" s="124"/>
      <c r="IR41" s="124"/>
      <c r="IS41" s="124"/>
      <c r="IT41" s="124"/>
      <c r="IU41" s="124"/>
      <c r="IV41" s="124"/>
      <c r="IW41" s="124"/>
      <c r="IX41" s="124"/>
      <c r="IY41" s="124"/>
    </row>
    <row r="42" spans="1:259" s="125" customFormat="1">
      <c r="A42" s="111">
        <v>18</v>
      </c>
      <c r="B42" s="112">
        <v>46015</v>
      </c>
      <c r="C42" s="130" t="s">
        <v>59</v>
      </c>
      <c r="D42" s="117">
        <f>42185</f>
        <v>42185</v>
      </c>
      <c r="E42" s="116">
        <f>2</f>
        <v>2</v>
      </c>
      <c r="F42" s="116">
        <f t="shared" si="12"/>
        <v>21092.5</v>
      </c>
      <c r="G42" s="116">
        <v>1</v>
      </c>
      <c r="H42" s="116">
        <f t="shared" si="13"/>
        <v>42185</v>
      </c>
      <c r="I42" s="116">
        <v>20</v>
      </c>
      <c r="J42" s="117">
        <f t="shared" si="14"/>
        <v>2</v>
      </c>
      <c r="K42" s="115">
        <v>25495</v>
      </c>
      <c r="L42" s="115"/>
      <c r="M42" s="115"/>
      <c r="N42" s="115"/>
      <c r="O42" s="115">
        <v>16690</v>
      </c>
      <c r="P42" s="118"/>
      <c r="Q42" s="118"/>
      <c r="R42" s="99">
        <f t="shared" si="15"/>
        <v>0.05</v>
      </c>
      <c r="S42" s="119">
        <f t="shared" si="16"/>
        <v>0.80189331352745941</v>
      </c>
      <c r="T42" s="120">
        <f t="shared" si="25"/>
        <v>52606.748663898732</v>
      </c>
      <c r="U42" s="121">
        <f t="shared" si="26"/>
        <v>6.4232904351524702</v>
      </c>
      <c r="V42" s="121">
        <f t="shared" si="19"/>
        <v>3.8233871637812324</v>
      </c>
      <c r="W42" s="120">
        <f t="shared" si="27"/>
        <v>42185</v>
      </c>
      <c r="X42" s="121">
        <f t="shared" si="28"/>
        <v>2</v>
      </c>
      <c r="Y42" s="121">
        <f t="shared" si="29"/>
        <v>1</v>
      </c>
      <c r="Z42" s="122">
        <v>1</v>
      </c>
      <c r="AA42" s="122">
        <v>1</v>
      </c>
      <c r="AB42" s="123"/>
      <c r="AC42" s="123"/>
      <c r="AD42" s="131"/>
      <c r="AE42" s="124"/>
      <c r="AF42" s="124"/>
      <c r="AG42" s="124"/>
      <c r="AH42" s="124"/>
      <c r="AI42" s="124"/>
      <c r="AJ42" s="124"/>
      <c r="AK42" s="124"/>
      <c r="AL42" s="124"/>
      <c r="AM42" s="124"/>
      <c r="AN42" s="124"/>
    </row>
    <row r="43" spans="1:259" s="125" customFormat="1">
      <c r="A43" s="111">
        <v>19</v>
      </c>
      <c r="B43" s="112">
        <v>46016</v>
      </c>
      <c r="C43" s="132" t="s">
        <v>61</v>
      </c>
      <c r="D43" s="117">
        <f>890+16484</f>
        <v>17374</v>
      </c>
      <c r="E43" s="116">
        <v>2</v>
      </c>
      <c r="F43" s="116">
        <f t="shared" si="12"/>
        <v>8687</v>
      </c>
      <c r="G43" s="116">
        <v>2</v>
      </c>
      <c r="H43" s="116">
        <f t="shared" si="13"/>
        <v>8687</v>
      </c>
      <c r="I43" s="116">
        <v>25</v>
      </c>
      <c r="J43" s="117">
        <f t="shared" si="14"/>
        <v>1</v>
      </c>
      <c r="K43" s="115"/>
      <c r="L43" s="115"/>
      <c r="M43" s="115"/>
      <c r="N43" s="115"/>
      <c r="O43" s="115"/>
      <c r="P43" s="118"/>
      <c r="Q43" s="267">
        <v>9602</v>
      </c>
      <c r="R43" s="99">
        <f t="shared" si="15"/>
        <v>0.08</v>
      </c>
      <c r="S43" s="119">
        <f t="shared" si="16"/>
        <v>0.33026180939258215</v>
      </c>
      <c r="T43" s="120">
        <f t="shared" si="25"/>
        <v>52606.748663898732</v>
      </c>
      <c r="U43" s="121">
        <f t="shared" si="26"/>
        <v>6.4232904351524702</v>
      </c>
      <c r="V43" s="121">
        <f t="shared" si="19"/>
        <v>3.8233871637812324</v>
      </c>
      <c r="W43" s="120">
        <f t="shared" si="27"/>
        <v>17374</v>
      </c>
      <c r="X43" s="121">
        <f t="shared" si="28"/>
        <v>2</v>
      </c>
      <c r="Y43" s="121">
        <f t="shared" si="29"/>
        <v>2</v>
      </c>
      <c r="Z43" s="122">
        <v>1</v>
      </c>
      <c r="AA43" s="122">
        <v>1</v>
      </c>
      <c r="AB43" s="123"/>
      <c r="AC43" s="123"/>
      <c r="AD43" s="131"/>
      <c r="AE43" s="124"/>
      <c r="AF43" s="124"/>
      <c r="AG43" s="124"/>
      <c r="AH43" s="124"/>
      <c r="AI43" s="124"/>
      <c r="AJ43" s="124"/>
      <c r="AK43" s="124"/>
      <c r="AL43" s="124"/>
      <c r="AM43" s="124"/>
      <c r="AN43" s="124"/>
    </row>
    <row r="44" spans="1:259" s="125" customFormat="1">
      <c r="A44" s="111">
        <v>20</v>
      </c>
      <c r="B44" s="112">
        <v>46017</v>
      </c>
      <c r="C44" s="130" t="s">
        <v>63</v>
      </c>
      <c r="D44" s="117">
        <v>9602</v>
      </c>
      <c r="E44" s="116">
        <v>1</v>
      </c>
      <c r="F44" s="116">
        <f t="shared" si="12"/>
        <v>9602</v>
      </c>
      <c r="G44" s="116">
        <v>1</v>
      </c>
      <c r="H44" s="116">
        <f t="shared" si="13"/>
        <v>9602</v>
      </c>
      <c r="I44" s="116">
        <v>25</v>
      </c>
      <c r="J44" s="117">
        <f t="shared" si="14"/>
        <v>1</v>
      </c>
      <c r="K44" s="115"/>
      <c r="L44" s="115"/>
      <c r="M44" s="115"/>
      <c r="N44" s="115"/>
      <c r="O44" s="115"/>
      <c r="P44" s="118"/>
      <c r="Q44" s="118"/>
      <c r="R44" s="99">
        <f t="shared" si="15"/>
        <v>0.04</v>
      </c>
      <c r="S44" s="119">
        <f t="shared" si="16"/>
        <v>0.12675285443237239</v>
      </c>
      <c r="T44" s="120">
        <f t="shared" si="25"/>
        <v>75753.718076014164</v>
      </c>
      <c r="U44" s="121">
        <f t="shared" si="26"/>
        <v>9.2495382266195563</v>
      </c>
      <c r="V44" s="121">
        <f t="shared" si="19"/>
        <v>5.5056775158449742</v>
      </c>
      <c r="W44" s="120">
        <f t="shared" si="27"/>
        <v>9602</v>
      </c>
      <c r="X44" s="121">
        <f t="shared" si="28"/>
        <v>1</v>
      </c>
      <c r="Y44" s="121">
        <f t="shared" si="29"/>
        <v>1</v>
      </c>
      <c r="Z44" s="122">
        <v>1.2</v>
      </c>
      <c r="AA44" s="122">
        <v>1.2</v>
      </c>
      <c r="AB44" s="123"/>
      <c r="AC44" s="123"/>
      <c r="AD44" s="131"/>
      <c r="AE44" s="124"/>
      <c r="AF44" s="124"/>
      <c r="AG44" s="124"/>
      <c r="AH44" s="124"/>
      <c r="AI44" s="124"/>
      <c r="AJ44" s="124"/>
      <c r="AK44" s="124"/>
      <c r="AL44" s="124"/>
      <c r="AM44" s="124"/>
      <c r="AN44" s="124"/>
    </row>
    <row r="45" spans="1:259" s="125" customFormat="1">
      <c r="A45" s="111">
        <v>21</v>
      </c>
      <c r="B45" s="112">
        <v>46018</v>
      </c>
      <c r="C45" s="132" t="s">
        <v>65</v>
      </c>
      <c r="D45" s="117">
        <f>8082+6893+7864+5001+5001+13547+890+10000</f>
        <v>57278</v>
      </c>
      <c r="E45" s="116">
        <v>5</v>
      </c>
      <c r="F45" s="116">
        <f t="shared" si="12"/>
        <v>11455.6</v>
      </c>
      <c r="G45" s="116">
        <v>8</v>
      </c>
      <c r="H45" s="116">
        <f t="shared" si="13"/>
        <v>7159.75</v>
      </c>
      <c r="I45" s="116">
        <v>28</v>
      </c>
      <c r="J45" s="117">
        <f t="shared" si="14"/>
        <v>0.625</v>
      </c>
      <c r="K45" s="115"/>
      <c r="L45" s="115"/>
      <c r="M45" s="115">
        <v>8082</v>
      </c>
      <c r="N45" s="115"/>
      <c r="O45" s="115"/>
      <c r="P45" s="118"/>
      <c r="Q45" s="118"/>
      <c r="R45" s="99">
        <f t="shared" si="15"/>
        <v>0.2857142857142857</v>
      </c>
      <c r="S45" s="119">
        <f t="shared" si="16"/>
        <v>0.75610810208054835</v>
      </c>
      <c r="T45" s="120">
        <f t="shared" si="25"/>
        <v>75753.718076014164</v>
      </c>
      <c r="U45" s="121">
        <f t="shared" si="26"/>
        <v>9.2495382266195563</v>
      </c>
      <c r="V45" s="121">
        <f t="shared" si="19"/>
        <v>5.5056775158449742</v>
      </c>
      <c r="W45" s="120">
        <f t="shared" si="27"/>
        <v>57278</v>
      </c>
      <c r="X45" s="121">
        <f t="shared" si="28"/>
        <v>5</v>
      </c>
      <c r="Y45" s="121">
        <f t="shared" si="29"/>
        <v>8</v>
      </c>
      <c r="Z45" s="122">
        <v>1.2</v>
      </c>
      <c r="AA45" s="122">
        <v>1.2</v>
      </c>
      <c r="AB45" s="123"/>
      <c r="AC45" s="123"/>
      <c r="AD45" s="131"/>
      <c r="AE45" s="124"/>
      <c r="AF45" s="124"/>
      <c r="AG45" s="124"/>
      <c r="AH45" s="124"/>
      <c r="AI45" s="124"/>
      <c r="AJ45" s="124"/>
      <c r="AK45" s="124"/>
      <c r="AL45" s="124"/>
      <c r="AM45" s="124"/>
      <c r="AN45" s="124"/>
    </row>
    <row r="46" spans="1:259" s="125" customFormat="1">
      <c r="A46" s="111">
        <v>22</v>
      </c>
      <c r="B46" s="112">
        <v>46019</v>
      </c>
      <c r="C46" s="130" t="s">
        <v>67</v>
      </c>
      <c r="D46" s="117">
        <f>20490+5001+11216+13984</f>
        <v>50691</v>
      </c>
      <c r="E46" s="116">
        <v>7</v>
      </c>
      <c r="F46" s="116">
        <f t="shared" si="12"/>
        <v>7241.5714285714284</v>
      </c>
      <c r="G46" s="116">
        <v>3</v>
      </c>
      <c r="H46" s="116">
        <f t="shared" si="13"/>
        <v>16897</v>
      </c>
      <c r="I46" s="116"/>
      <c r="J46" s="117">
        <f t="shared" si="14"/>
        <v>2.3333333333333335</v>
      </c>
      <c r="K46" s="115">
        <v>14093</v>
      </c>
      <c r="L46" s="115"/>
      <c r="M46" s="115"/>
      <c r="N46" s="115"/>
      <c r="O46" s="115"/>
      <c r="P46" s="118"/>
      <c r="Q46" s="118"/>
      <c r="R46" s="99" t="str">
        <f t="shared" si="15"/>
        <v/>
      </c>
      <c r="S46" s="119">
        <f t="shared" si="16"/>
        <v>0.66915527432111943</v>
      </c>
      <c r="T46" s="120">
        <f t="shared" si="25"/>
        <v>75753.718076014164</v>
      </c>
      <c r="U46" s="121">
        <f t="shared" si="26"/>
        <v>9.2495382266195563</v>
      </c>
      <c r="V46" s="121">
        <f t="shared" si="19"/>
        <v>5.5056775158449742</v>
      </c>
      <c r="W46" s="120">
        <f t="shared" si="27"/>
        <v>50691</v>
      </c>
      <c r="X46" s="121">
        <f t="shared" si="28"/>
        <v>7</v>
      </c>
      <c r="Y46" s="121">
        <f t="shared" si="29"/>
        <v>3</v>
      </c>
      <c r="Z46" s="122">
        <v>1.2</v>
      </c>
      <c r="AA46" s="122">
        <v>1.2</v>
      </c>
      <c r="AB46" s="123"/>
      <c r="AC46" s="123"/>
      <c r="AD46" s="131"/>
      <c r="AE46" s="124"/>
      <c r="AF46" s="124"/>
      <c r="AG46" s="124"/>
      <c r="AH46" s="124"/>
      <c r="AI46" s="124"/>
      <c r="AJ46" s="124"/>
      <c r="AK46" s="124"/>
      <c r="AL46" s="124"/>
      <c r="AM46" s="124"/>
      <c r="AN46" s="124"/>
      <c r="AO46" s="124"/>
      <c r="AP46" s="124"/>
      <c r="AQ46" s="124"/>
      <c r="AR46" s="124"/>
      <c r="AS46" s="124"/>
      <c r="AT46" s="124"/>
      <c r="AU46" s="124"/>
      <c r="AV46" s="124"/>
      <c r="AW46" s="124"/>
      <c r="AX46" s="124"/>
      <c r="AY46" s="124"/>
      <c r="AZ46" s="124"/>
      <c r="BA46" s="124"/>
      <c r="BB46" s="124"/>
      <c r="BC46" s="124"/>
      <c r="BD46" s="124"/>
      <c r="BE46" s="124"/>
      <c r="BF46" s="124"/>
      <c r="BG46" s="124"/>
      <c r="BH46" s="124"/>
      <c r="BI46" s="124"/>
      <c r="BJ46" s="124"/>
      <c r="BK46" s="124"/>
      <c r="BL46" s="124"/>
      <c r="BM46" s="124"/>
      <c r="BN46" s="124"/>
      <c r="BO46" s="124"/>
      <c r="BP46" s="124"/>
      <c r="BQ46" s="124"/>
      <c r="BR46" s="124"/>
      <c r="BS46" s="124"/>
      <c r="BT46" s="124"/>
      <c r="BU46" s="124"/>
      <c r="BV46" s="124"/>
      <c r="BW46" s="124"/>
      <c r="BX46" s="124"/>
      <c r="BY46" s="124"/>
      <c r="BZ46" s="124"/>
      <c r="CA46" s="124"/>
      <c r="CB46" s="124"/>
      <c r="CC46" s="124"/>
      <c r="CD46" s="124"/>
      <c r="CE46" s="124"/>
      <c r="CF46" s="124"/>
      <c r="CG46" s="124"/>
      <c r="CH46" s="124"/>
      <c r="CI46" s="124"/>
      <c r="CJ46" s="124"/>
      <c r="CK46" s="124"/>
      <c r="CL46" s="124"/>
      <c r="CM46" s="124"/>
      <c r="CN46" s="124"/>
      <c r="CO46" s="124"/>
      <c r="CP46" s="124"/>
      <c r="CQ46" s="124"/>
      <c r="CR46" s="124"/>
      <c r="CS46" s="124"/>
      <c r="CT46" s="124"/>
      <c r="CU46" s="124"/>
      <c r="CV46" s="124"/>
      <c r="CW46" s="124"/>
      <c r="CX46" s="124"/>
      <c r="CY46" s="124"/>
      <c r="CZ46" s="124"/>
      <c r="DA46" s="124"/>
      <c r="DB46" s="124"/>
      <c r="DC46" s="124"/>
      <c r="DD46" s="124"/>
      <c r="DE46" s="124"/>
      <c r="DF46" s="124"/>
      <c r="DG46" s="124"/>
      <c r="DH46" s="124"/>
      <c r="DI46" s="124"/>
      <c r="DJ46" s="124"/>
      <c r="DK46" s="124"/>
      <c r="DL46" s="124"/>
      <c r="DM46" s="124"/>
      <c r="DN46" s="124"/>
      <c r="DO46" s="124"/>
      <c r="DP46" s="124"/>
      <c r="DQ46" s="124"/>
      <c r="DR46" s="124"/>
      <c r="DS46" s="124"/>
      <c r="DT46" s="124"/>
      <c r="DU46" s="124"/>
      <c r="DV46" s="124"/>
      <c r="DW46" s="124"/>
      <c r="DX46" s="124"/>
      <c r="DY46" s="124"/>
      <c r="DZ46" s="124"/>
      <c r="EA46" s="124"/>
      <c r="EB46" s="124"/>
      <c r="EC46" s="124"/>
      <c r="ED46" s="124"/>
      <c r="EE46" s="124"/>
      <c r="EF46" s="124"/>
      <c r="EG46" s="124"/>
      <c r="EH46" s="124"/>
      <c r="EI46" s="124"/>
      <c r="EJ46" s="124"/>
      <c r="EK46" s="124"/>
      <c r="EL46" s="124"/>
      <c r="EM46" s="124"/>
      <c r="EN46" s="124"/>
      <c r="EO46" s="124"/>
      <c r="EP46" s="124"/>
      <c r="EQ46" s="124"/>
      <c r="ER46" s="124"/>
      <c r="ES46" s="124"/>
      <c r="ET46" s="124"/>
      <c r="EU46" s="124"/>
      <c r="EV46" s="124"/>
      <c r="EW46" s="124"/>
      <c r="EX46" s="124"/>
      <c r="EY46" s="124"/>
      <c r="EZ46" s="124"/>
      <c r="FA46" s="124"/>
      <c r="FB46" s="124"/>
      <c r="FC46" s="124"/>
      <c r="FD46" s="124"/>
      <c r="FE46" s="124"/>
      <c r="FF46" s="124"/>
      <c r="FG46" s="124"/>
      <c r="FH46" s="124"/>
      <c r="FI46" s="124"/>
      <c r="FJ46" s="124"/>
      <c r="FK46" s="124"/>
      <c r="FL46" s="124"/>
      <c r="FM46" s="124"/>
      <c r="FN46" s="124"/>
      <c r="FO46" s="124"/>
      <c r="FP46" s="124"/>
      <c r="FQ46" s="124"/>
      <c r="FR46" s="124"/>
      <c r="FS46" s="124"/>
      <c r="FT46" s="124"/>
      <c r="FU46" s="124"/>
      <c r="FV46" s="124"/>
      <c r="FW46" s="124"/>
      <c r="FX46" s="124"/>
      <c r="FY46" s="124"/>
      <c r="FZ46" s="124"/>
      <c r="GA46" s="124"/>
      <c r="GB46" s="124"/>
      <c r="GC46" s="124"/>
      <c r="GD46" s="124"/>
      <c r="GE46" s="124"/>
      <c r="GF46" s="124"/>
      <c r="GG46" s="124"/>
      <c r="GH46" s="124"/>
      <c r="GI46" s="124"/>
      <c r="GJ46" s="124"/>
      <c r="GK46" s="124"/>
      <c r="GL46" s="124"/>
      <c r="GM46" s="124"/>
      <c r="GN46" s="124"/>
      <c r="GO46" s="124"/>
      <c r="GP46" s="124"/>
      <c r="GQ46" s="124"/>
      <c r="GR46" s="124"/>
      <c r="GS46" s="124"/>
      <c r="GT46" s="124"/>
      <c r="GU46" s="124"/>
      <c r="GV46" s="124"/>
      <c r="GW46" s="124"/>
      <c r="GX46" s="124"/>
      <c r="GY46" s="124"/>
      <c r="GZ46" s="124"/>
      <c r="HA46" s="124"/>
      <c r="HB46" s="124"/>
      <c r="HC46" s="124"/>
      <c r="HD46" s="124"/>
      <c r="HE46" s="124"/>
      <c r="HF46" s="124"/>
      <c r="HG46" s="124"/>
      <c r="HH46" s="124"/>
      <c r="HI46" s="124"/>
      <c r="HJ46" s="124"/>
      <c r="HK46" s="124"/>
      <c r="HL46" s="124"/>
      <c r="HM46" s="124"/>
      <c r="HN46" s="124"/>
      <c r="HO46" s="124"/>
      <c r="HP46" s="124"/>
      <c r="HQ46" s="124"/>
      <c r="HR46" s="124"/>
      <c r="HS46" s="124"/>
      <c r="HT46" s="124"/>
      <c r="HU46" s="124"/>
      <c r="HV46" s="124"/>
      <c r="HW46" s="124"/>
      <c r="HX46" s="124"/>
      <c r="HY46" s="124"/>
      <c r="HZ46" s="124"/>
      <c r="IA46" s="124"/>
      <c r="IB46" s="124"/>
      <c r="IC46" s="124"/>
      <c r="ID46" s="124"/>
      <c r="IE46" s="124"/>
      <c r="IF46" s="124"/>
      <c r="IG46" s="124"/>
      <c r="IH46" s="124"/>
      <c r="II46" s="124"/>
      <c r="IJ46" s="124"/>
      <c r="IK46" s="124"/>
      <c r="IL46" s="124"/>
      <c r="IM46" s="124"/>
      <c r="IN46" s="124"/>
      <c r="IO46" s="124"/>
      <c r="IP46" s="124"/>
      <c r="IQ46" s="124"/>
      <c r="IR46" s="124"/>
      <c r="IS46" s="124"/>
      <c r="IT46" s="124"/>
      <c r="IU46" s="124"/>
      <c r="IV46" s="124"/>
      <c r="IW46" s="124"/>
      <c r="IX46" s="124"/>
      <c r="IY46" s="124"/>
    </row>
    <row r="47" spans="1:259" s="125" customFormat="1">
      <c r="A47" s="111">
        <v>23</v>
      </c>
      <c r="B47" s="112">
        <v>46020</v>
      </c>
      <c r="C47" s="132" t="s">
        <v>55</v>
      </c>
      <c r="D47" s="117">
        <f>8882+41532+6203</f>
        <v>56617</v>
      </c>
      <c r="E47" s="116">
        <v>9</v>
      </c>
      <c r="F47" s="116">
        <f t="shared" si="12"/>
        <v>6290.7777777777774</v>
      </c>
      <c r="G47" s="116">
        <v>3</v>
      </c>
      <c r="H47" s="116">
        <f t="shared" si="13"/>
        <v>18872.333333333332</v>
      </c>
      <c r="I47" s="116"/>
      <c r="J47" s="117">
        <f t="shared" si="14"/>
        <v>3</v>
      </c>
      <c r="K47" s="115"/>
      <c r="L47" s="115">
        <v>6203</v>
      </c>
      <c r="M47" s="115">
        <v>7990</v>
      </c>
      <c r="N47" s="115"/>
      <c r="O47" s="115"/>
      <c r="P47" s="118"/>
      <c r="Q47" s="118"/>
      <c r="R47" s="99" t="str">
        <f t="shared" si="15"/>
        <v/>
      </c>
      <c r="S47" s="119">
        <f t="shared" si="16"/>
        <v>0.74738245775855316</v>
      </c>
      <c r="T47" s="120">
        <f t="shared" si="25"/>
        <v>75753.718076014164</v>
      </c>
      <c r="U47" s="121">
        <f t="shared" si="26"/>
        <v>9.2495382266195563</v>
      </c>
      <c r="V47" s="121">
        <f t="shared" si="19"/>
        <v>5.5056775158449742</v>
      </c>
      <c r="W47" s="120">
        <f t="shared" si="27"/>
        <v>56617</v>
      </c>
      <c r="X47" s="121">
        <f t="shared" si="28"/>
        <v>9</v>
      </c>
      <c r="Y47" s="121">
        <f t="shared" si="29"/>
        <v>3</v>
      </c>
      <c r="Z47" s="122">
        <v>1.2</v>
      </c>
      <c r="AA47" s="122">
        <v>1.2</v>
      </c>
      <c r="AB47" s="123"/>
      <c r="AC47" s="123"/>
      <c r="AD47" s="131"/>
      <c r="AE47" s="124"/>
      <c r="AF47" s="124"/>
      <c r="AG47" s="124"/>
      <c r="AH47" s="124"/>
      <c r="AI47" s="124"/>
      <c r="AJ47" s="124"/>
      <c r="AK47" s="124"/>
      <c r="AL47" s="124"/>
      <c r="AM47" s="124"/>
      <c r="AN47" s="124"/>
      <c r="AO47" s="124"/>
      <c r="AP47" s="124"/>
      <c r="AQ47" s="124"/>
      <c r="AR47" s="124"/>
      <c r="AS47" s="124"/>
      <c r="AT47" s="124"/>
      <c r="AU47" s="124"/>
      <c r="AV47" s="124"/>
      <c r="AW47" s="124"/>
      <c r="AX47" s="124"/>
      <c r="AY47" s="124"/>
      <c r="AZ47" s="124"/>
      <c r="BA47" s="124"/>
      <c r="BB47" s="124"/>
      <c r="BC47" s="124"/>
      <c r="BD47" s="124"/>
      <c r="BE47" s="124"/>
      <c r="BF47" s="124"/>
      <c r="BG47" s="124"/>
      <c r="BH47" s="124"/>
      <c r="BI47" s="124"/>
      <c r="BJ47" s="124"/>
      <c r="BK47" s="124"/>
      <c r="BL47" s="124"/>
      <c r="BM47" s="124"/>
      <c r="BN47" s="124"/>
      <c r="BO47" s="124"/>
      <c r="BP47" s="124"/>
      <c r="BQ47" s="124"/>
      <c r="BR47" s="124"/>
      <c r="BS47" s="124"/>
      <c r="BT47" s="124"/>
      <c r="BU47" s="124"/>
      <c r="BV47" s="124"/>
      <c r="BW47" s="124"/>
      <c r="BX47" s="124"/>
      <c r="BY47" s="124"/>
      <c r="BZ47" s="124"/>
      <c r="CA47" s="124"/>
      <c r="CB47" s="124"/>
      <c r="CC47" s="124"/>
      <c r="CD47" s="124"/>
      <c r="CE47" s="124"/>
      <c r="CF47" s="124"/>
      <c r="CG47" s="124"/>
      <c r="CH47" s="124"/>
      <c r="CI47" s="124"/>
      <c r="CJ47" s="124"/>
      <c r="CK47" s="124"/>
      <c r="CL47" s="124"/>
      <c r="CM47" s="124"/>
      <c r="CN47" s="124"/>
      <c r="CO47" s="124"/>
      <c r="CP47" s="124"/>
      <c r="CQ47" s="124"/>
      <c r="CR47" s="124"/>
      <c r="CS47" s="124"/>
      <c r="CT47" s="124"/>
      <c r="CU47" s="124"/>
      <c r="CV47" s="124"/>
      <c r="CW47" s="124"/>
      <c r="CX47" s="124"/>
      <c r="CY47" s="124"/>
      <c r="CZ47" s="124"/>
      <c r="DA47" s="124"/>
      <c r="DB47" s="124"/>
      <c r="DC47" s="124"/>
      <c r="DD47" s="124"/>
      <c r="DE47" s="124"/>
      <c r="DF47" s="124"/>
      <c r="DG47" s="124"/>
      <c r="DH47" s="124"/>
      <c r="DI47" s="124"/>
      <c r="DJ47" s="124"/>
      <c r="DK47" s="124"/>
      <c r="DL47" s="124"/>
      <c r="DM47" s="124"/>
      <c r="DN47" s="124"/>
      <c r="DO47" s="124"/>
      <c r="DP47" s="124"/>
      <c r="DQ47" s="124"/>
      <c r="DR47" s="124"/>
      <c r="DS47" s="124"/>
      <c r="DT47" s="124"/>
      <c r="DU47" s="124"/>
      <c r="DV47" s="124"/>
      <c r="DW47" s="124"/>
      <c r="DX47" s="124"/>
      <c r="DY47" s="124"/>
      <c r="DZ47" s="124"/>
      <c r="EA47" s="124"/>
      <c r="EB47" s="124"/>
      <c r="EC47" s="124"/>
      <c r="ED47" s="124"/>
      <c r="EE47" s="124"/>
      <c r="EF47" s="124"/>
      <c r="EG47" s="124"/>
      <c r="EH47" s="124"/>
      <c r="EI47" s="124"/>
      <c r="EJ47" s="124"/>
      <c r="EK47" s="124"/>
      <c r="EL47" s="124"/>
      <c r="EM47" s="124"/>
      <c r="EN47" s="124"/>
      <c r="EO47" s="124"/>
      <c r="EP47" s="124"/>
      <c r="EQ47" s="124"/>
      <c r="ER47" s="124"/>
      <c r="ES47" s="124"/>
      <c r="ET47" s="124"/>
      <c r="EU47" s="124"/>
      <c r="EV47" s="124"/>
      <c r="EW47" s="124"/>
      <c r="EX47" s="124"/>
      <c r="EY47" s="124"/>
      <c r="EZ47" s="124"/>
      <c r="FA47" s="124"/>
      <c r="FB47" s="124"/>
      <c r="FC47" s="124"/>
      <c r="FD47" s="124"/>
      <c r="FE47" s="124"/>
      <c r="FF47" s="124"/>
      <c r="FG47" s="124"/>
      <c r="FH47" s="124"/>
      <c r="FI47" s="124"/>
      <c r="FJ47" s="124"/>
      <c r="FK47" s="124"/>
      <c r="FL47" s="124"/>
      <c r="FM47" s="124"/>
      <c r="FN47" s="124"/>
      <c r="FO47" s="124"/>
      <c r="FP47" s="124"/>
      <c r="FQ47" s="124"/>
      <c r="FR47" s="124"/>
      <c r="FS47" s="124"/>
      <c r="FT47" s="124"/>
      <c r="FU47" s="124"/>
      <c r="FV47" s="124"/>
      <c r="FW47" s="124"/>
      <c r="FX47" s="124"/>
      <c r="FY47" s="124"/>
      <c r="FZ47" s="124"/>
      <c r="GA47" s="124"/>
      <c r="GB47" s="124"/>
      <c r="GC47" s="124"/>
      <c r="GD47" s="124"/>
      <c r="GE47" s="124"/>
      <c r="GF47" s="124"/>
      <c r="GG47" s="124"/>
      <c r="GH47" s="124"/>
      <c r="GI47" s="124"/>
      <c r="GJ47" s="124"/>
      <c r="GK47" s="124"/>
      <c r="GL47" s="124"/>
      <c r="GM47" s="124"/>
      <c r="GN47" s="124"/>
      <c r="GO47" s="124"/>
      <c r="GP47" s="124"/>
      <c r="GQ47" s="124"/>
      <c r="GR47" s="124"/>
      <c r="GS47" s="124"/>
      <c r="GT47" s="124"/>
      <c r="GU47" s="124"/>
      <c r="GV47" s="124"/>
      <c r="GW47" s="124"/>
      <c r="GX47" s="124"/>
      <c r="GY47" s="124"/>
      <c r="GZ47" s="124"/>
      <c r="HA47" s="124"/>
      <c r="HB47" s="124"/>
      <c r="HC47" s="124"/>
      <c r="HD47" s="124"/>
      <c r="HE47" s="124"/>
      <c r="HF47" s="124"/>
      <c r="HG47" s="124"/>
      <c r="HH47" s="124"/>
      <c r="HI47" s="124"/>
      <c r="HJ47" s="124"/>
      <c r="HK47" s="124"/>
      <c r="HL47" s="124"/>
      <c r="HM47" s="124"/>
      <c r="HN47" s="124"/>
      <c r="HO47" s="124"/>
      <c r="HP47" s="124"/>
      <c r="HQ47" s="124"/>
      <c r="HR47" s="124"/>
      <c r="HS47" s="124"/>
      <c r="HT47" s="124"/>
      <c r="HU47" s="124"/>
      <c r="HV47" s="124"/>
      <c r="HW47" s="124"/>
      <c r="HX47" s="124"/>
      <c r="HY47" s="124"/>
      <c r="HZ47" s="124"/>
      <c r="IA47" s="124"/>
      <c r="IB47" s="124"/>
      <c r="IC47" s="124"/>
      <c r="ID47" s="124"/>
      <c r="IE47" s="124"/>
      <c r="IF47" s="124"/>
      <c r="IG47" s="124"/>
      <c r="IH47" s="124"/>
      <c r="II47" s="124"/>
      <c r="IJ47" s="124"/>
      <c r="IK47" s="124"/>
      <c r="IL47" s="124"/>
      <c r="IM47" s="124"/>
      <c r="IN47" s="124"/>
      <c r="IO47" s="124"/>
      <c r="IP47" s="124"/>
      <c r="IQ47" s="124"/>
      <c r="IR47" s="124"/>
      <c r="IS47" s="124"/>
      <c r="IT47" s="124"/>
      <c r="IU47" s="124"/>
      <c r="IV47" s="124"/>
      <c r="IW47" s="124"/>
      <c r="IX47" s="124"/>
      <c r="IY47" s="124"/>
    </row>
    <row r="48" spans="1:259" s="125" customFormat="1" ht="15" customHeight="1">
      <c r="A48" s="111">
        <v>24</v>
      </c>
      <c r="B48" s="112">
        <v>46021</v>
      </c>
      <c r="C48" s="130" t="s">
        <v>57</v>
      </c>
      <c r="D48" s="117">
        <f>5001+48897+30916+10684+11584+2097+11283+10482</f>
        <v>130944</v>
      </c>
      <c r="E48" s="116">
        <v>12</v>
      </c>
      <c r="F48" s="116">
        <f t="shared" si="12"/>
        <v>10912</v>
      </c>
      <c r="G48" s="116">
        <v>8</v>
      </c>
      <c r="H48" s="116">
        <f t="shared" si="13"/>
        <v>16368</v>
      </c>
      <c r="I48" s="116"/>
      <c r="J48" s="117">
        <f t="shared" si="14"/>
        <v>1.5</v>
      </c>
      <c r="K48" s="115">
        <f>30916+48897+10482</f>
        <v>90295</v>
      </c>
      <c r="L48" s="115"/>
      <c r="M48" s="115"/>
      <c r="N48" s="115"/>
      <c r="O48" s="115"/>
      <c r="P48" s="118"/>
      <c r="Q48" s="118"/>
      <c r="R48" s="99" t="str">
        <f t="shared" si="15"/>
        <v/>
      </c>
      <c r="S48" s="119">
        <f t="shared" si="16"/>
        <v>1.7285488201200343</v>
      </c>
      <c r="T48" s="120">
        <f t="shared" si="25"/>
        <v>75753.718076014164</v>
      </c>
      <c r="U48" s="121">
        <f t="shared" si="26"/>
        <v>9.2495382266195563</v>
      </c>
      <c r="V48" s="121">
        <f t="shared" si="19"/>
        <v>5.5056775158449742</v>
      </c>
      <c r="W48" s="120">
        <f t="shared" si="27"/>
        <v>130944</v>
      </c>
      <c r="X48" s="121">
        <f t="shared" si="28"/>
        <v>12</v>
      </c>
      <c r="Y48" s="121">
        <f t="shared" si="29"/>
        <v>8</v>
      </c>
      <c r="Z48" s="122">
        <v>1.2</v>
      </c>
      <c r="AA48" s="122">
        <v>1.2</v>
      </c>
      <c r="AB48" s="123"/>
      <c r="AC48" s="123"/>
      <c r="AD48" s="131"/>
      <c r="AE48" s="124"/>
      <c r="AF48" s="124"/>
      <c r="AG48" s="124"/>
      <c r="AH48" s="124"/>
      <c r="AI48" s="124"/>
      <c r="AJ48" s="124"/>
      <c r="AK48" s="124"/>
      <c r="AL48" s="124"/>
      <c r="AM48" s="124"/>
      <c r="AN48" s="124"/>
      <c r="AO48" s="124"/>
      <c r="AP48" s="124"/>
      <c r="AQ48" s="124"/>
      <c r="AR48" s="124"/>
      <c r="AS48" s="124"/>
      <c r="AT48" s="124"/>
      <c r="AU48" s="124"/>
      <c r="AV48" s="124"/>
      <c r="AW48" s="124"/>
      <c r="AX48" s="124"/>
      <c r="AY48" s="124"/>
      <c r="AZ48" s="124"/>
      <c r="BA48" s="124"/>
      <c r="BB48" s="124"/>
      <c r="BC48" s="124"/>
      <c r="BD48" s="124"/>
      <c r="BE48" s="124"/>
      <c r="BF48" s="124"/>
      <c r="BG48" s="124"/>
      <c r="BH48" s="124"/>
      <c r="BI48" s="124"/>
      <c r="BJ48" s="124"/>
      <c r="BK48" s="124"/>
      <c r="BL48" s="124"/>
      <c r="BM48" s="124"/>
      <c r="BN48" s="124"/>
      <c r="BO48" s="124"/>
      <c r="BP48" s="124"/>
      <c r="BQ48" s="124"/>
      <c r="BR48" s="124"/>
      <c r="BS48" s="124"/>
      <c r="BT48" s="124"/>
      <c r="BU48" s="124"/>
      <c r="BV48" s="124"/>
      <c r="BW48" s="124"/>
      <c r="BX48" s="124"/>
      <c r="BY48" s="124"/>
      <c r="BZ48" s="124"/>
      <c r="CA48" s="124"/>
      <c r="CB48" s="124"/>
      <c r="CC48" s="124"/>
      <c r="CD48" s="124"/>
      <c r="CE48" s="124"/>
      <c r="CF48" s="124"/>
      <c r="CG48" s="124"/>
      <c r="CH48" s="124"/>
      <c r="CI48" s="124"/>
      <c r="CJ48" s="124"/>
      <c r="CK48" s="124"/>
      <c r="CL48" s="124"/>
      <c r="CM48" s="124"/>
      <c r="CN48" s="124"/>
      <c r="CO48" s="124"/>
      <c r="CP48" s="124"/>
      <c r="CQ48" s="124"/>
      <c r="CR48" s="124"/>
      <c r="CS48" s="124"/>
      <c r="CT48" s="124"/>
      <c r="CU48" s="124"/>
      <c r="CV48" s="124"/>
      <c r="CW48" s="124"/>
      <c r="CX48" s="124"/>
      <c r="CY48" s="124"/>
      <c r="CZ48" s="124"/>
      <c r="DA48" s="124"/>
      <c r="DB48" s="124"/>
      <c r="DC48" s="124"/>
      <c r="DD48" s="124"/>
      <c r="DE48" s="124"/>
      <c r="DF48" s="124"/>
      <c r="DG48" s="124"/>
      <c r="DH48" s="124"/>
      <c r="DI48" s="124"/>
      <c r="DJ48" s="124"/>
      <c r="DK48" s="124"/>
      <c r="DL48" s="124"/>
      <c r="DM48" s="124"/>
      <c r="DN48" s="124"/>
      <c r="DO48" s="124"/>
      <c r="DP48" s="124"/>
      <c r="DQ48" s="124"/>
      <c r="DR48" s="124"/>
      <c r="DS48" s="124"/>
      <c r="DT48" s="124"/>
      <c r="DU48" s="124"/>
      <c r="DV48" s="124"/>
      <c r="DW48" s="124"/>
      <c r="DX48" s="124"/>
      <c r="DY48" s="124"/>
      <c r="DZ48" s="124"/>
      <c r="EA48" s="124"/>
      <c r="EB48" s="124"/>
      <c r="EC48" s="124"/>
      <c r="ED48" s="124"/>
      <c r="EE48" s="124"/>
      <c r="EF48" s="124"/>
      <c r="EG48" s="124"/>
      <c r="EH48" s="124"/>
      <c r="EI48" s="124"/>
      <c r="EJ48" s="124"/>
      <c r="EK48" s="124"/>
      <c r="EL48" s="124"/>
      <c r="EM48" s="124"/>
      <c r="EN48" s="124"/>
      <c r="EO48" s="124"/>
      <c r="EP48" s="124"/>
      <c r="EQ48" s="124"/>
      <c r="ER48" s="124"/>
      <c r="ES48" s="124"/>
      <c r="ET48" s="124"/>
      <c r="EU48" s="124"/>
      <c r="EV48" s="124"/>
      <c r="EW48" s="124"/>
      <c r="EX48" s="124"/>
      <c r="EY48" s="124"/>
      <c r="EZ48" s="124"/>
      <c r="FA48" s="124"/>
      <c r="FB48" s="124"/>
      <c r="FC48" s="124"/>
      <c r="FD48" s="124"/>
      <c r="FE48" s="124"/>
      <c r="FF48" s="124"/>
      <c r="FG48" s="124"/>
      <c r="FH48" s="124"/>
      <c r="FI48" s="124"/>
      <c r="FJ48" s="124"/>
      <c r="FK48" s="124"/>
      <c r="FL48" s="124"/>
      <c r="FM48" s="124"/>
      <c r="FN48" s="124"/>
      <c r="FO48" s="124"/>
      <c r="FP48" s="124"/>
      <c r="FQ48" s="124"/>
      <c r="FR48" s="124"/>
      <c r="FS48" s="124"/>
      <c r="FT48" s="124"/>
      <c r="FU48" s="124"/>
      <c r="FV48" s="124"/>
      <c r="FW48" s="124"/>
      <c r="FX48" s="124"/>
      <c r="FY48" s="124"/>
      <c r="FZ48" s="124"/>
      <c r="GA48" s="124"/>
      <c r="GB48" s="124"/>
      <c r="GC48" s="124"/>
      <c r="GD48" s="124"/>
      <c r="GE48" s="124"/>
      <c r="GF48" s="124"/>
      <c r="GG48" s="124"/>
      <c r="GH48" s="124"/>
      <c r="GI48" s="124"/>
      <c r="GJ48" s="124"/>
      <c r="GK48" s="124"/>
      <c r="GL48" s="124"/>
      <c r="GM48" s="124"/>
      <c r="GN48" s="124"/>
      <c r="GO48" s="124"/>
      <c r="GP48" s="124"/>
      <c r="GQ48" s="124"/>
      <c r="GR48" s="124"/>
      <c r="GS48" s="124"/>
      <c r="GT48" s="124"/>
      <c r="GU48" s="124"/>
      <c r="GV48" s="124"/>
      <c r="GW48" s="124"/>
      <c r="GX48" s="124"/>
      <c r="GY48" s="124"/>
      <c r="GZ48" s="124"/>
      <c r="HA48" s="124"/>
      <c r="HB48" s="124"/>
      <c r="HC48" s="124"/>
      <c r="HD48" s="124"/>
      <c r="HE48" s="124"/>
      <c r="HF48" s="124"/>
      <c r="HG48" s="124"/>
      <c r="HH48" s="124"/>
      <c r="HI48" s="124"/>
      <c r="HJ48" s="124"/>
      <c r="HK48" s="124"/>
      <c r="HL48" s="124"/>
      <c r="HM48" s="124"/>
      <c r="HN48" s="124"/>
      <c r="HO48" s="124"/>
      <c r="HP48" s="124"/>
      <c r="HQ48" s="124"/>
      <c r="HR48" s="124"/>
      <c r="HS48" s="124"/>
      <c r="HT48" s="124"/>
      <c r="HU48" s="124"/>
      <c r="HV48" s="124"/>
      <c r="HW48" s="124"/>
      <c r="HX48" s="124"/>
      <c r="HY48" s="124"/>
      <c r="HZ48" s="124"/>
      <c r="IA48" s="124"/>
      <c r="IB48" s="124"/>
      <c r="IC48" s="124"/>
      <c r="ID48" s="124"/>
      <c r="IE48" s="124"/>
      <c r="IF48" s="124"/>
      <c r="IG48" s="124"/>
      <c r="IH48" s="124"/>
      <c r="II48" s="124"/>
      <c r="IJ48" s="124"/>
      <c r="IK48" s="124"/>
      <c r="IL48" s="124"/>
      <c r="IM48" s="124"/>
      <c r="IN48" s="124"/>
      <c r="IO48" s="124"/>
      <c r="IP48" s="124"/>
      <c r="IQ48" s="124"/>
      <c r="IR48" s="124"/>
      <c r="IS48" s="124"/>
      <c r="IT48" s="124"/>
      <c r="IU48" s="124"/>
      <c r="IV48" s="124"/>
      <c r="IW48" s="124"/>
      <c r="IX48" s="124"/>
      <c r="IY48" s="124"/>
    </row>
    <row r="49" spans="1:40" s="125" customFormat="1" ht="15" customHeight="1">
      <c r="A49" s="111">
        <v>25</v>
      </c>
      <c r="B49" s="112">
        <v>46022</v>
      </c>
      <c r="C49" s="132" t="s">
        <v>59</v>
      </c>
      <c r="D49" s="117">
        <f>5693+11784</f>
        <v>17477</v>
      </c>
      <c r="E49" s="116">
        <v>3</v>
      </c>
      <c r="F49" s="116">
        <f t="shared" si="12"/>
        <v>5825.666666666667</v>
      </c>
      <c r="G49" s="116">
        <v>2</v>
      </c>
      <c r="H49" s="116">
        <f t="shared" si="13"/>
        <v>8738.5</v>
      </c>
      <c r="I49" s="116"/>
      <c r="J49" s="117">
        <f t="shared" si="14"/>
        <v>1.5</v>
      </c>
      <c r="K49" s="115"/>
      <c r="L49" s="115"/>
      <c r="M49" s="115"/>
      <c r="N49" s="115"/>
      <c r="O49" s="115"/>
      <c r="P49" s="118"/>
      <c r="Q49" s="118"/>
      <c r="R49" s="99" t="str">
        <f t="shared" si="15"/>
        <v/>
      </c>
      <c r="S49" s="119">
        <f t="shared" si="16"/>
        <v>0.33221973309279146</v>
      </c>
      <c r="T49" s="120">
        <f t="shared" si="25"/>
        <v>52606.748663898732</v>
      </c>
      <c r="U49" s="121">
        <f t="shared" si="26"/>
        <v>6.4232904351524702</v>
      </c>
      <c r="V49" s="121">
        <f t="shared" si="19"/>
        <v>3.8233871637812324</v>
      </c>
      <c r="W49" s="120">
        <f t="shared" si="27"/>
        <v>17477</v>
      </c>
      <c r="X49" s="121">
        <f t="shared" si="28"/>
        <v>3</v>
      </c>
      <c r="Y49" s="121">
        <f t="shared" si="29"/>
        <v>2</v>
      </c>
      <c r="Z49" s="122">
        <v>1</v>
      </c>
      <c r="AA49" s="122">
        <v>1</v>
      </c>
      <c r="AB49" s="123"/>
      <c r="AC49" s="123"/>
      <c r="AD49" s="124"/>
      <c r="AE49" s="124"/>
      <c r="AF49" s="124"/>
      <c r="AG49" s="124"/>
      <c r="AH49" s="124"/>
      <c r="AI49" s="124"/>
      <c r="AJ49" s="124"/>
      <c r="AK49" s="124"/>
      <c r="AL49" s="124"/>
      <c r="AM49" s="124"/>
      <c r="AN49" s="124"/>
    </row>
    <row r="50" spans="1:40" ht="15" customHeight="1">
      <c r="B50" s="860" t="s">
        <v>84</v>
      </c>
      <c r="C50" s="860"/>
      <c r="D50" s="298">
        <f>SUM(D25:D49)</f>
        <v>875652</v>
      </c>
      <c r="E50" s="298">
        <f>SUM(E25:E49)</f>
        <v>99</v>
      </c>
      <c r="F50" s="298">
        <f t="shared" si="12"/>
        <v>8844.9696969696961</v>
      </c>
      <c r="G50" s="298">
        <f>SUM(G25:G49)</f>
        <v>68</v>
      </c>
      <c r="H50" s="298">
        <f t="shared" si="13"/>
        <v>12877.235294117647</v>
      </c>
      <c r="I50" s="298">
        <f>SUM(I25:I49)</f>
        <v>627</v>
      </c>
      <c r="J50" s="299">
        <f t="shared" si="14"/>
        <v>1.4558823529411764</v>
      </c>
      <c r="K50" s="298">
        <f>SUM(K25:K49)</f>
        <v>156856</v>
      </c>
      <c r="L50" s="298">
        <f t="shared" ref="L50:P50" si="30">SUM(L25:L49)</f>
        <v>6203</v>
      </c>
      <c r="M50" s="298">
        <f t="shared" si="30"/>
        <v>56919</v>
      </c>
      <c r="N50" s="298">
        <f t="shared" si="30"/>
        <v>5690</v>
      </c>
      <c r="O50" s="298">
        <f t="shared" si="30"/>
        <v>112985</v>
      </c>
      <c r="P50" s="298">
        <f t="shared" si="30"/>
        <v>41508</v>
      </c>
      <c r="Q50" s="298">
        <f>SUM(Q25:Q49)</f>
        <v>9602</v>
      </c>
      <c r="R50" s="135">
        <f t="shared" si="15"/>
        <v>0.10845295055821372</v>
      </c>
      <c r="S50" s="300">
        <f t="shared" si="16"/>
        <v>0.62541457701714886</v>
      </c>
      <c r="T50" s="301">
        <f t="shared" ref="T50:Y50" si="31">SUM(T25:T49)</f>
        <v>1400114.4715499487</v>
      </c>
      <c r="U50" s="301">
        <f t="shared" si="31"/>
        <v>173.22789640414504</v>
      </c>
      <c r="V50" s="301">
        <f t="shared" si="31"/>
        <v>102.73089071675305</v>
      </c>
      <c r="W50" s="301">
        <f t="shared" si="31"/>
        <v>843667</v>
      </c>
      <c r="X50" s="301">
        <f t="shared" si="31"/>
        <v>100</v>
      </c>
      <c r="Y50" s="301">
        <f t="shared" si="31"/>
        <v>68</v>
      </c>
      <c r="Z50" s="302"/>
      <c r="AA50" s="302"/>
    </row>
    <row r="51" spans="1:40">
      <c r="B51" s="138"/>
      <c r="C51" s="139"/>
      <c r="D51" s="140">
        <f>SUMIF(D25:D49,"",T25:T49)+D50</f>
        <v>875652</v>
      </c>
      <c r="E51" s="141"/>
      <c r="F51" s="139"/>
      <c r="G51" s="139"/>
      <c r="H51" s="142"/>
      <c r="I51" s="143"/>
      <c r="J51" s="142"/>
      <c r="O51" s="144"/>
      <c r="P51" s="141"/>
      <c r="Q51" s="141"/>
      <c r="R51" s="144"/>
      <c r="S51" s="144"/>
      <c r="T51" s="144"/>
      <c r="U51" s="145"/>
    </row>
    <row r="52" spans="1:40">
      <c r="D52" s="147"/>
    </row>
    <row r="54" spans="1:40">
      <c r="D54" s="147"/>
    </row>
    <row r="55" spans="1:40">
      <c r="D55" s="147"/>
    </row>
  </sheetData>
  <mergeCells count="28">
    <mergeCell ref="T22:AA22"/>
    <mergeCell ref="B50:C50"/>
    <mergeCell ref="F18:H18"/>
    <mergeCell ref="F19:H19"/>
    <mergeCell ref="F20:H20"/>
    <mergeCell ref="B22:R22"/>
    <mergeCell ref="S22:S24"/>
    <mergeCell ref="F14:H14"/>
    <mergeCell ref="F15:H15"/>
    <mergeCell ref="F16:H16"/>
    <mergeCell ref="S16:S17"/>
    <mergeCell ref="F17:H17"/>
    <mergeCell ref="F9:H9"/>
    <mergeCell ref="F10:H10"/>
    <mergeCell ref="F11:H11"/>
    <mergeCell ref="F12:H12"/>
    <mergeCell ref="F13:H13"/>
    <mergeCell ref="J5:R5"/>
    <mergeCell ref="F6:R6"/>
    <mergeCell ref="F7:H7"/>
    <mergeCell ref="P7:R7"/>
    <mergeCell ref="F8:H8"/>
    <mergeCell ref="B1:C1"/>
    <mergeCell ref="U1:X4"/>
    <mergeCell ref="B2:C2"/>
    <mergeCell ref="J2:T2"/>
    <mergeCell ref="J3:R4"/>
    <mergeCell ref="C4:D4"/>
  </mergeCells>
  <conditionalFormatting sqref="J16">
    <cfRule type="cellIs" dxfId="85" priority="367" operator="greaterThan">
      <formula>0</formula>
    </cfRule>
    <cfRule type="cellIs" dxfId="84" priority="366" operator="lessThan">
      <formula>0</formula>
    </cfRule>
  </conditionalFormatting>
  <conditionalFormatting sqref="J25:J36">
    <cfRule type="cellIs" dxfId="83" priority="14" operator="lessThan">
      <formula>$I$12</formula>
    </cfRule>
  </conditionalFormatting>
  <conditionalFormatting sqref="J25:J40">
    <cfRule type="cellIs" dxfId="82" priority="15" operator="greaterThan">
      <formula>$I$12</formula>
    </cfRule>
  </conditionalFormatting>
  <conditionalFormatting sqref="J33:J37">
    <cfRule type="cellIs" dxfId="81" priority="393" operator="lessThan">
      <formula>$I$12</formula>
    </cfRule>
  </conditionalFormatting>
  <conditionalFormatting sqref="J38:J49">
    <cfRule type="cellIs" dxfId="80" priority="3" operator="lessThan">
      <formula>$I$12</formula>
    </cfRule>
  </conditionalFormatting>
  <conditionalFormatting sqref="J41:J49">
    <cfRule type="cellIs" dxfId="79" priority="4" operator="greaterThan">
      <formula>$I$12</formula>
    </cfRule>
  </conditionalFormatting>
  <conditionalFormatting sqref="K10:K12">
    <cfRule type="cellIs" dxfId="78" priority="37" operator="greaterThan">
      <formula>1</formula>
    </cfRule>
    <cfRule type="cellIs" dxfId="77" priority="36" operator="lessThan">
      <formula>1</formula>
    </cfRule>
  </conditionalFormatting>
  <conditionalFormatting sqref="K15">
    <cfRule type="cellIs" dxfId="76" priority="39" operator="greaterThan">
      <formula>1</formula>
    </cfRule>
    <cfRule type="cellIs" dxfId="75" priority="38" operator="lessThan">
      <formula>1</formula>
    </cfRule>
  </conditionalFormatting>
  <conditionalFormatting sqref="K20">
    <cfRule type="cellIs" dxfId="74" priority="12" operator="lessThan">
      <formula>1</formula>
    </cfRule>
    <cfRule type="cellIs" dxfId="73" priority="13" operator="greaterThan">
      <formula>1</formula>
    </cfRule>
  </conditionalFormatting>
  <conditionalFormatting sqref="M9:M15">
    <cfRule type="cellIs" dxfId="72" priority="41" operator="greaterThan">
      <formula>1</formula>
    </cfRule>
    <cfRule type="cellIs" dxfId="71" priority="40" operator="lessThan">
      <formula>1</formula>
    </cfRule>
  </conditionalFormatting>
  <conditionalFormatting sqref="P10:Q10">
    <cfRule type="cellIs" dxfId="70" priority="368" operator="lessThan">
      <formula>0</formula>
    </cfRule>
  </conditionalFormatting>
  <conditionalFormatting sqref="R25:R36">
    <cfRule type="cellIs" dxfId="69" priority="22" operator="between">
      <formula>0.2</formula>
      <formula>0.25</formula>
    </cfRule>
    <cfRule type="cellIs" dxfId="68" priority="23" operator="greaterThanOrEqual">
      <formula>0.25</formula>
    </cfRule>
  </conditionalFormatting>
  <conditionalFormatting sqref="R25:R40">
    <cfRule type="cellIs" dxfId="67" priority="24" operator="lessThan">
      <formula>0.2</formula>
    </cfRule>
  </conditionalFormatting>
  <conditionalFormatting sqref="R33:R35">
    <cfRule type="cellIs" dxfId="66" priority="399" operator="between">
      <formula>0.2</formula>
      <formula>0.25</formula>
    </cfRule>
  </conditionalFormatting>
  <conditionalFormatting sqref="R37">
    <cfRule type="cellIs" dxfId="65" priority="416" operator="between">
      <formula>0.2</formula>
      <formula>0.25</formula>
    </cfRule>
  </conditionalFormatting>
  <conditionalFormatting sqref="R37:R40">
    <cfRule type="cellIs" dxfId="64" priority="148" operator="greaterThanOrEqual">
      <formula>0.25</formula>
    </cfRule>
  </conditionalFormatting>
  <conditionalFormatting sqref="R38:R40">
    <cfRule type="cellIs" dxfId="63" priority="147" operator="between">
      <formula>0.2</formula>
      <formula>0.25</formula>
    </cfRule>
  </conditionalFormatting>
  <conditionalFormatting sqref="R41:R49">
    <cfRule type="cellIs" dxfId="62" priority="1" operator="lessThan">
      <formula>$I$20</formula>
    </cfRule>
    <cfRule type="cellIs" dxfId="61" priority="11" operator="lessThan">
      <formula>$I$20</formula>
    </cfRule>
    <cfRule type="cellIs" dxfId="60" priority="2" operator="greaterThan">
      <formula>$I$20</formula>
    </cfRule>
  </conditionalFormatting>
  <conditionalFormatting sqref="S25:S31">
    <cfRule type="cellIs" dxfId="59" priority="21" operator="between">
      <formula>0.01</formula>
      <formula>0.99</formula>
    </cfRule>
  </conditionalFormatting>
  <conditionalFormatting sqref="S25:S32">
    <cfRule type="cellIs" dxfId="58" priority="20" operator="between">
      <formula>0.85</formula>
      <formula>1</formula>
    </cfRule>
    <cfRule type="cellIs" dxfId="57" priority="17" operator="lessThan">
      <formula>0.9</formula>
    </cfRule>
    <cfRule type="cellIs" dxfId="56" priority="16" operator="between">
      <formula>0.9001</formula>
      <formula>0.9999</formula>
    </cfRule>
  </conditionalFormatting>
  <conditionalFormatting sqref="S25:S49">
    <cfRule type="cellIs" dxfId="55" priority="8" operator="greaterThan">
      <formula>100</formula>
    </cfRule>
    <cfRule type="cellIs" dxfId="54" priority="7" operator="greaterThan">
      <formula>1</formula>
    </cfRule>
  </conditionalFormatting>
  <conditionalFormatting sqref="S32:S40">
    <cfRule type="cellIs" dxfId="53" priority="135" operator="between">
      <formula>0.01</formula>
      <formula>0.99</formula>
    </cfRule>
  </conditionalFormatting>
  <conditionalFormatting sqref="S33:S35">
    <cfRule type="cellIs" dxfId="52" priority="403" operator="between">
      <formula>0.85</formula>
      <formula>1</formula>
    </cfRule>
    <cfRule type="cellIs" dxfId="51" priority="409" operator="lessThan">
      <formula>0.9</formula>
    </cfRule>
    <cfRule type="cellIs" dxfId="50" priority="411" operator="between">
      <formula>0.9001</formula>
      <formula>0.9999</formula>
    </cfRule>
  </conditionalFormatting>
  <conditionalFormatting sqref="S35:S36">
    <cfRule type="cellIs" dxfId="49" priority="130" operator="between">
      <formula>0.9001</formula>
      <formula>0.9999</formula>
    </cfRule>
    <cfRule type="cellIs" dxfId="48" priority="131" operator="lessThan">
      <formula>0.9</formula>
    </cfRule>
  </conditionalFormatting>
  <conditionalFormatting sqref="S36">
    <cfRule type="cellIs" dxfId="47" priority="134" operator="between">
      <formula>0.85</formula>
      <formula>1</formula>
    </cfRule>
  </conditionalFormatting>
  <conditionalFormatting sqref="S37">
    <cfRule type="cellIs" dxfId="46" priority="418" operator="between">
      <formula>0.85</formula>
      <formula>1</formula>
    </cfRule>
    <cfRule type="cellIs" dxfId="45" priority="421" operator="lessThan">
      <formula>0.9</formula>
    </cfRule>
    <cfRule type="cellIs" dxfId="44" priority="422" operator="between">
      <formula>0.9001</formula>
      <formula>0.9999</formula>
    </cfRule>
  </conditionalFormatting>
  <conditionalFormatting sqref="S38:S49">
    <cfRule type="cellIs" dxfId="43" priority="9" operator="between">
      <formula>0.85</formula>
      <formula>1</formula>
    </cfRule>
    <cfRule type="cellIs" dxfId="42" priority="6" operator="lessThan">
      <formula>0.9</formula>
    </cfRule>
    <cfRule type="cellIs" dxfId="41" priority="5" operator="between">
      <formula>0.9001</formula>
      <formula>0.9999</formula>
    </cfRule>
  </conditionalFormatting>
  <conditionalFormatting sqref="S41:S49">
    <cfRule type="cellIs" dxfId="40" priority="10" operator="between">
      <formula>0.01</formula>
      <formula>0.99</formula>
    </cfRule>
  </conditionalFormatting>
  <dataValidations count="1">
    <dataValidation type="decimal" allowBlank="1" showErrorMessage="1" sqref="I8:J13 L10:L11 I14" xr:uid="{0024001E-007A-4523-99AB-008700F30009}">
      <formula1>0</formula1>
      <formula2>1000000000000000</formula2>
    </dataValidation>
  </dataValidations>
  <printOptions gridLines="1"/>
  <pageMargins left="0.7" right="0.7" top="0.75" bottom="0.75" header="0.51200000000000001" footer="0.51200000000000001"/>
  <pageSetup paperSize="9" firstPageNumber="0" fitToHeight="0" orientation="landscape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DBDBDB"/>
    <pageSetUpPr fitToPage="1"/>
  </sheetPr>
  <dimension ref="A1:IY53"/>
  <sheetViews>
    <sheetView showGridLines="0" showZeros="0" topLeftCell="A7" zoomScale="92" workbookViewId="0">
      <selection activeCell="D40" sqref="D40"/>
    </sheetView>
  </sheetViews>
  <sheetFormatPr baseColWidth="10" defaultColWidth="9.1640625" defaultRowHeight="15"/>
  <cols>
    <col min="1" max="1" width="3.83203125" style="1" customWidth="1"/>
    <col min="2" max="2" width="10.33203125" style="1" customWidth="1"/>
    <col min="3" max="3" width="10.83203125" style="1" customWidth="1"/>
    <col min="4" max="4" width="10.33203125" style="1" customWidth="1"/>
    <col min="5" max="5" width="10.1640625" style="1" customWidth="1"/>
    <col min="6" max="6" width="11.33203125" style="1" customWidth="1"/>
    <col min="7" max="7" width="9.83203125" style="1" customWidth="1"/>
    <col min="8" max="8" width="9.5" style="1" customWidth="1"/>
    <col min="9" max="9" width="12" style="1" customWidth="1"/>
    <col min="10" max="10" width="8.83203125" style="1" customWidth="1"/>
    <col min="11" max="14" width="12.6640625" style="1" customWidth="1"/>
    <col min="15" max="16" width="10.1640625" style="1" customWidth="1"/>
    <col min="17" max="17" width="10.83203125" style="1" customWidth="1"/>
    <col min="18" max="18" width="11.6640625" style="1" customWidth="1"/>
    <col min="19" max="19" width="12.83203125" style="1" customWidth="1"/>
    <col min="20" max="20" width="10.33203125" style="1" customWidth="1"/>
    <col min="21" max="22" width="11.33203125" style="1" customWidth="1"/>
    <col min="23" max="23" width="11" style="1" customWidth="1"/>
    <col min="24" max="24" width="9.5" style="1" customWidth="1"/>
    <col min="25" max="25" width="9.1640625" style="1"/>
    <col min="26" max="27" width="10.5" style="1" customWidth="1"/>
    <col min="28" max="37" width="9.1640625" style="1"/>
    <col min="38" max="259" width="9.1640625" style="2"/>
  </cols>
  <sheetData>
    <row r="1" spans="2:27" ht="15.75" customHeight="1">
      <c r="B1" s="780">
        <f ca="1">TODAY()-1</f>
        <v>46031</v>
      </c>
      <c r="C1" s="780"/>
      <c r="D1" s="3"/>
      <c r="E1" s="3"/>
      <c r="F1" s="4"/>
      <c r="G1" s="4"/>
      <c r="H1" s="4"/>
      <c r="I1" s="4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781"/>
      <c r="V1" s="781"/>
      <c r="W1" s="781"/>
      <c r="X1" s="781"/>
      <c r="Y1" s="4"/>
      <c r="Z1" s="4"/>
      <c r="AA1" s="4"/>
    </row>
    <row r="2" spans="2:27" ht="21.75" customHeight="1">
      <c r="B2" s="782" t="s">
        <v>0</v>
      </c>
      <c r="C2" s="782"/>
      <c r="D2" s="3"/>
      <c r="E2" s="3"/>
      <c r="F2" s="4"/>
      <c r="G2" s="4"/>
      <c r="H2" s="4"/>
      <c r="I2" s="4"/>
      <c r="J2" s="853" t="s">
        <v>1</v>
      </c>
      <c r="K2" s="853"/>
      <c r="L2" s="853"/>
      <c r="M2" s="853"/>
      <c r="N2" s="853"/>
      <c r="O2" s="853"/>
      <c r="P2" s="853"/>
      <c r="Q2" s="853"/>
      <c r="R2" s="853"/>
      <c r="S2" s="853"/>
      <c r="T2" s="853"/>
      <c r="U2" s="781"/>
      <c r="V2" s="781"/>
      <c r="W2" s="781"/>
      <c r="X2" s="781"/>
      <c r="Y2" s="4"/>
      <c r="Z2" s="4"/>
      <c r="AA2" s="4"/>
    </row>
    <row r="3" spans="2:27" ht="14" customHeight="1">
      <c r="B3" s="7" t="s">
        <v>2</v>
      </c>
      <c r="C3" s="3"/>
      <c r="D3" s="3"/>
      <c r="E3" s="3"/>
      <c r="F3" s="4"/>
      <c r="G3" s="4"/>
      <c r="H3" s="4"/>
      <c r="I3" s="4"/>
      <c r="J3" s="854" t="str">
        <f>График!B24</f>
        <v>Рогалевич Ирина</v>
      </c>
      <c r="K3" s="854"/>
      <c r="L3" s="854"/>
      <c r="M3" s="854"/>
      <c r="N3" s="854"/>
      <c r="O3" s="854"/>
      <c r="P3" s="854"/>
      <c r="Q3" s="854"/>
      <c r="R3" s="854"/>
      <c r="S3" s="5"/>
      <c r="T3" s="8"/>
      <c r="U3" s="781"/>
      <c r="V3" s="781"/>
      <c r="W3" s="781"/>
      <c r="X3" s="781"/>
      <c r="Y3" s="4"/>
      <c r="Z3" s="4"/>
      <c r="AA3" s="4"/>
    </row>
    <row r="4" spans="2:27" ht="15" customHeight="1">
      <c r="B4" s="3"/>
      <c r="C4" s="855">
        <f>I8-D48</f>
        <v>295581.41772455093</v>
      </c>
      <c r="D4" s="855"/>
      <c r="E4" s="226">
        <f>IF(I8&lt;&gt;0,C4/I8,0)</f>
        <v>0.31161578962597958</v>
      </c>
      <c r="F4" s="4"/>
      <c r="G4" s="4"/>
      <c r="H4" s="4"/>
      <c r="I4" s="4"/>
      <c r="J4" s="854"/>
      <c r="K4" s="854"/>
      <c r="L4" s="854"/>
      <c r="M4" s="854"/>
      <c r="N4" s="854"/>
      <c r="O4" s="854"/>
      <c r="P4" s="854"/>
      <c r="Q4" s="854"/>
      <c r="R4" s="854"/>
      <c r="S4" s="4"/>
      <c r="T4" s="4"/>
      <c r="U4" s="781"/>
      <c r="V4" s="781"/>
      <c r="W4" s="781"/>
      <c r="X4" s="781"/>
      <c r="Y4" s="4"/>
      <c r="Z4" s="4"/>
      <c r="AA4" s="4"/>
    </row>
    <row r="5" spans="2:27">
      <c r="B5" s="4"/>
      <c r="C5" s="4"/>
      <c r="D5" s="4"/>
      <c r="E5" s="4"/>
      <c r="F5" s="4"/>
      <c r="G5" s="4"/>
      <c r="H5" s="4"/>
      <c r="I5" s="4"/>
      <c r="J5" s="791"/>
      <c r="K5" s="791"/>
      <c r="L5" s="791"/>
      <c r="M5" s="791"/>
      <c r="N5" s="791"/>
      <c r="O5" s="791"/>
      <c r="P5" s="791"/>
      <c r="Q5" s="791"/>
      <c r="R5" s="791"/>
      <c r="S5" s="4"/>
      <c r="T5" s="4"/>
      <c r="U5" s="4"/>
      <c r="V5" s="4"/>
      <c r="W5" s="4"/>
      <c r="X5" s="4"/>
      <c r="Y5" s="4"/>
      <c r="Z5" s="4"/>
      <c r="AA5" s="4"/>
    </row>
    <row r="6" spans="2:27" ht="15.75" customHeight="1">
      <c r="B6" s="11"/>
      <c r="C6" s="4"/>
      <c r="D6" s="4"/>
      <c r="E6" s="4"/>
      <c r="F6" s="793" t="s">
        <v>4</v>
      </c>
      <c r="G6" s="794"/>
      <c r="H6" s="794"/>
      <c r="I6" s="794"/>
      <c r="J6" s="794"/>
      <c r="K6" s="794"/>
      <c r="L6" s="794"/>
      <c r="M6" s="794"/>
      <c r="N6" s="794"/>
      <c r="O6" s="868"/>
      <c r="P6" s="794"/>
      <c r="Q6" s="794"/>
      <c r="R6" s="795"/>
      <c r="S6" s="4"/>
      <c r="T6" s="4"/>
      <c r="U6" s="4"/>
      <c r="V6" s="12"/>
      <c r="W6" s="12"/>
      <c r="X6" s="4"/>
      <c r="Y6" s="4"/>
      <c r="Z6" s="4"/>
      <c r="AA6" s="4"/>
    </row>
    <row r="7" spans="2:27" ht="50.75" customHeight="1">
      <c r="B7" s="11"/>
      <c r="C7" s="4"/>
      <c r="D7" s="4"/>
      <c r="E7" s="4"/>
      <c r="F7" s="856" t="s">
        <v>5</v>
      </c>
      <c r="G7" s="856"/>
      <c r="H7" s="856"/>
      <c r="I7" s="14" t="s">
        <v>6</v>
      </c>
      <c r="J7" s="15" t="s">
        <v>7</v>
      </c>
      <c r="K7" s="16" t="s">
        <v>8</v>
      </c>
      <c r="L7" s="17" t="s">
        <v>9</v>
      </c>
      <c r="M7" s="17" t="s">
        <v>10</v>
      </c>
      <c r="N7" s="19" t="s">
        <v>11</v>
      </c>
      <c r="O7" s="388" t="s">
        <v>12</v>
      </c>
      <c r="P7" s="857" t="s">
        <v>13</v>
      </c>
      <c r="Q7" s="857"/>
      <c r="R7" s="12"/>
      <c r="S7" s="12"/>
      <c r="T7" s="4"/>
      <c r="U7" s="4"/>
      <c r="V7" s="4"/>
      <c r="W7" s="4"/>
    </row>
    <row r="8" spans="2:27" ht="15.75" customHeight="1">
      <c r="B8" s="11"/>
      <c r="C8" s="4"/>
      <c r="D8" s="4"/>
      <c r="E8" s="4"/>
      <c r="F8" s="802" t="s">
        <v>14</v>
      </c>
      <c r="G8" s="802"/>
      <c r="H8" s="802"/>
      <c r="I8" s="389">
        <f>Центрум!I8/График!AJ29*График!AJ24</f>
        <v>948544.41772455093</v>
      </c>
      <c r="J8" s="21">
        <f>D48</f>
        <v>652963</v>
      </c>
      <c r="K8" s="228">
        <f t="shared" ref="K8:K19" si="0">IF(AND(I8&lt;&gt;"",I8&lt;&gt;0,J8&lt;&gt;""),J8/I8,"")</f>
        <v>0.68838421037402042</v>
      </c>
      <c r="L8" s="1">
        <f>IF(SUMIF($D$25:$D$47,"&gt;=0",$T$25:$T$47)&lt;&gt;0,I8*D48/SUMIF($D$25:$D$47,"&gt;=0",$T$25:$T$47),0)</f>
        <v>652962.99999999977</v>
      </c>
      <c r="M8" s="229">
        <f>L8/I8</f>
        <v>0.6883842103740202</v>
      </c>
      <c r="N8" s="27">
        <f t="shared" ref="N8:N9" si="1">IF(AND(J8&lt;&gt;0,J8&lt;&gt;"",I8&lt;&gt;0,I8&lt;&gt;""),L8-I8,"")</f>
        <v>-295581.41772455117</v>
      </c>
      <c r="O8" s="390"/>
      <c r="P8" s="25" t="str">
        <f t="shared" ref="P8:P9" si="2">IF(AND(O8&lt;&gt;"",O8&lt;&gt;0,L8&lt;&gt;"",L8&lt;&gt;0),-O8+L8,"")</f>
        <v/>
      </c>
      <c r="Q8" s="28" t="str">
        <f t="shared" ref="Q8:Q9" si="3">IF(AND(P8&lt;&gt;"",P8&lt;&gt;0,O8&lt;&gt;0,O8&lt;&gt;""),P8/O8,"")</f>
        <v/>
      </c>
      <c r="R8" s="12"/>
      <c r="S8" s="12"/>
      <c r="T8" s="4"/>
      <c r="U8" s="4"/>
      <c r="V8" s="4"/>
      <c r="W8" s="4"/>
    </row>
    <row r="9" spans="2:27" ht="15.75" customHeight="1">
      <c r="B9" s="11"/>
      <c r="C9" s="4"/>
      <c r="D9" s="4"/>
      <c r="E9" s="4"/>
      <c r="F9" s="801" t="s">
        <v>15</v>
      </c>
      <c r="G9" s="801"/>
      <c r="H9" s="801"/>
      <c r="I9" s="29">
        <f>I8/I11</f>
        <v>115.81738922155689</v>
      </c>
      <c r="J9" s="30">
        <f>E48</f>
        <v>82</v>
      </c>
      <c r="K9" s="230">
        <f t="shared" si="0"/>
        <v>0.70801112467779126</v>
      </c>
      <c r="L9" s="57">
        <f>IF(SUMIF($E$25:$E$47,"&gt;=0",$U$25:$U$47)&lt;&gt;0,I9*E48/SUMIF($E$25:$E$47,"&gt;=0",$U$25:$U$47),0)</f>
        <v>82.000000000000028</v>
      </c>
      <c r="M9" s="231">
        <f>IF(AND(I9&lt;&gt;"",I9&lt;&gt;0,L9&lt;&gt;"",L9&lt;&gt;0),L9/I9,"")</f>
        <v>0.70801112467779159</v>
      </c>
      <c r="N9" s="36">
        <f t="shared" si="1"/>
        <v>-33.817389221556866</v>
      </c>
      <c r="O9" s="391" t="e">
        <f>O8/O11</f>
        <v>#DIV/0!</v>
      </c>
      <c r="P9" s="34" t="e">
        <f t="shared" si="2"/>
        <v>#DIV/0!</v>
      </c>
      <c r="Q9" s="37" t="e">
        <f t="shared" si="3"/>
        <v>#DIV/0!</v>
      </c>
      <c r="R9" s="12"/>
      <c r="S9" s="12"/>
      <c r="T9" s="4"/>
      <c r="U9" s="4"/>
      <c r="V9" s="4"/>
      <c r="W9" s="4"/>
    </row>
    <row r="10" spans="2:27" ht="15.75" customHeight="1">
      <c r="B10" s="11"/>
      <c r="C10" s="4"/>
      <c r="D10" s="4"/>
      <c r="E10" s="4"/>
      <c r="F10" s="802" t="s">
        <v>16</v>
      </c>
      <c r="G10" s="802"/>
      <c r="H10" s="802"/>
      <c r="I10" s="38">
        <f>I11*I12</f>
        <v>13759.199999999999</v>
      </c>
      <c r="J10" s="39">
        <f>H48</f>
        <v>14510.288888888888</v>
      </c>
      <c r="K10" s="232">
        <f t="shared" si="0"/>
        <v>1.0545881220484397</v>
      </c>
      <c r="L10" s="57">
        <f>J10</f>
        <v>14510.288888888888</v>
      </c>
      <c r="M10" s="233">
        <f t="shared" ref="M10:M20" si="4">IF(AND(I10&lt;&gt;"",I10&lt;&gt;0,L10&lt;&gt;"",L10&lt;&gt;0),L10/I10,"")</f>
        <v>1.0545881220484397</v>
      </c>
      <c r="N10" s="43">
        <f t="shared" ref="N10:N20" si="5">IF(AND(J10&lt;&gt;0,J10&lt;&gt;"",I10&lt;&gt;0,I10&lt;&gt;""),L10-I10,"")</f>
        <v>751.08888888888941</v>
      </c>
      <c r="O10" s="392">
        <f>O11*O12</f>
        <v>0</v>
      </c>
      <c r="P10" s="42" t="str">
        <f t="shared" ref="P10:P20" si="6">IF(AND(O10&lt;&gt;"",O10&lt;&gt;0,L10&lt;&gt;"",L10&lt;&gt;0),-O10+L10,"")</f>
        <v/>
      </c>
      <c r="Q10" s="44" t="str">
        <f t="shared" ref="Q10:Q20" si="7">IF(AND(P10&lt;&gt;"",P10&lt;&gt;0,O10&lt;&gt;0,O10&lt;&gt;""),P10/O10,"")</f>
        <v/>
      </c>
      <c r="R10" s="12"/>
      <c r="S10" s="12"/>
      <c r="T10" s="4"/>
      <c r="U10" s="4"/>
      <c r="V10" s="4"/>
      <c r="W10" s="4"/>
    </row>
    <row r="11" spans="2:27" ht="15.75" customHeight="1">
      <c r="B11" s="11"/>
      <c r="C11" s="4"/>
      <c r="D11" s="4"/>
      <c r="E11" s="4"/>
      <c r="F11" s="801" t="s">
        <v>17</v>
      </c>
      <c r="G11" s="801"/>
      <c r="H11" s="801"/>
      <c r="I11" s="45">
        <f>Центрум!I11</f>
        <v>8190</v>
      </c>
      <c r="J11" s="30">
        <f>F48</f>
        <v>7962.9634146341459</v>
      </c>
      <c r="K11" s="230">
        <f t="shared" si="0"/>
        <v>0.97227880520563448</v>
      </c>
      <c r="L11" s="57">
        <f>IF(L9&gt;0,L8/L9,"")</f>
        <v>7962.9634146341405</v>
      </c>
      <c r="M11" s="231">
        <f t="shared" si="4"/>
        <v>0.97227880520563381</v>
      </c>
      <c r="N11" s="36">
        <f t="shared" si="5"/>
        <v>-227.03658536585954</v>
      </c>
      <c r="O11" s="393"/>
      <c r="P11" s="34" t="str">
        <f t="shared" si="6"/>
        <v/>
      </c>
      <c r="Q11" s="37" t="str">
        <f t="shared" si="7"/>
        <v/>
      </c>
      <c r="R11" s="12"/>
      <c r="S11" s="4"/>
      <c r="T11" s="4"/>
      <c r="U11" s="4"/>
      <c r="V11" s="4"/>
      <c r="W11" s="4"/>
    </row>
    <row r="12" spans="2:27" ht="15.75" customHeight="1">
      <c r="B12" s="11"/>
      <c r="C12" s="4"/>
      <c r="D12" s="4"/>
      <c r="E12" s="4"/>
      <c r="F12" s="801" t="s">
        <v>18</v>
      </c>
      <c r="G12" s="801"/>
      <c r="H12" s="801"/>
      <c r="I12" s="47">
        <f>Центрум!I12</f>
        <v>1.68</v>
      </c>
      <c r="J12" s="48">
        <f>J48</f>
        <v>1.8222222222222222</v>
      </c>
      <c r="K12" s="230">
        <f t="shared" si="0"/>
        <v>1.0846560846560847</v>
      </c>
      <c r="L12" s="394">
        <f>J12</f>
        <v>1.8222222222222222</v>
      </c>
      <c r="M12" s="231">
        <f t="shared" si="4"/>
        <v>1.0846560846560847</v>
      </c>
      <c r="N12" s="395">
        <f t="shared" si="5"/>
        <v>0.14222222222222225</v>
      </c>
      <c r="O12" s="396"/>
      <c r="P12" s="34" t="str">
        <f t="shared" si="6"/>
        <v/>
      </c>
      <c r="Q12" s="37" t="str">
        <f t="shared" si="7"/>
        <v/>
      </c>
      <c r="R12" s="12"/>
      <c r="S12" s="4"/>
      <c r="T12" s="4"/>
      <c r="U12" s="4"/>
      <c r="V12" s="4"/>
      <c r="W12" s="4"/>
    </row>
    <row r="13" spans="2:27" ht="15.75" customHeight="1">
      <c r="B13" s="11"/>
      <c r="C13" s="4"/>
      <c r="D13" s="4"/>
      <c r="E13" s="4"/>
      <c r="F13" s="801" t="s">
        <v>19</v>
      </c>
      <c r="G13" s="801"/>
      <c r="H13" s="801"/>
      <c r="I13" s="29">
        <f>IF(I12&lt;&gt;0,I9/I12,"")</f>
        <v>68.93892215568863</v>
      </c>
      <c r="J13" s="30">
        <f>G48</f>
        <v>45</v>
      </c>
      <c r="K13" s="230">
        <f t="shared" si="0"/>
        <v>0.65275171982489044</v>
      </c>
      <c r="L13" s="57">
        <f>IF(SUMIF($G$25:$G$47,"&gt;=0",$V$25:$V$47)&lt;&gt;0,I13*G48/SUMIF($G$25:$G$47,"&gt;=0",$V$25:$V$47),"")</f>
        <v>45.000000000000007</v>
      </c>
      <c r="M13" s="231">
        <f t="shared" si="4"/>
        <v>0.65275171982489055</v>
      </c>
      <c r="N13" s="395">
        <f t="shared" si="5"/>
        <v>-23.938922155688623</v>
      </c>
      <c r="O13" s="397"/>
      <c r="P13" s="34" t="str">
        <f t="shared" si="6"/>
        <v/>
      </c>
      <c r="Q13" s="37" t="str">
        <f t="shared" si="7"/>
        <v/>
      </c>
      <c r="R13" s="12"/>
      <c r="S13" s="4"/>
      <c r="T13" s="4"/>
      <c r="U13" s="4"/>
      <c r="V13" s="4"/>
      <c r="W13" s="4"/>
    </row>
    <row r="14" spans="2:27" ht="15.75" customHeight="1">
      <c r="B14" s="11"/>
      <c r="C14" s="4"/>
      <c r="D14" s="4"/>
      <c r="E14" s="4"/>
      <c r="F14" s="801" t="s">
        <v>97</v>
      </c>
      <c r="G14" s="801"/>
      <c r="H14" s="801"/>
      <c r="I14" s="45">
        <f>График!AI24</f>
        <v>16</v>
      </c>
      <c r="J14" s="53">
        <v>16</v>
      </c>
      <c r="K14" s="230">
        <f t="shared" si="0"/>
        <v>1</v>
      </c>
      <c r="L14" s="57">
        <f>IF(SUMIF($D$25:$D$47,"&gt;=0",$T$25:$T$47),I48*I8/SUMIF($D$25:$D$47,"&gt;=0",$T$25:$T$47),"")</f>
        <v>481.99999999999983</v>
      </c>
      <c r="M14" s="231">
        <f t="shared" si="4"/>
        <v>30.124999999999989</v>
      </c>
      <c r="N14" s="36">
        <f t="shared" si="5"/>
        <v>465.99999999999983</v>
      </c>
      <c r="O14" s="397"/>
      <c r="P14" s="34" t="str">
        <f t="shared" si="6"/>
        <v/>
      </c>
      <c r="Q14" s="37" t="str">
        <f t="shared" si="7"/>
        <v/>
      </c>
      <c r="R14" s="12"/>
      <c r="S14" s="54"/>
      <c r="T14" s="4"/>
      <c r="U14" s="4"/>
      <c r="V14" s="4"/>
      <c r="W14" s="4"/>
    </row>
    <row r="15" spans="2:27" ht="15.75" customHeight="1">
      <c r="B15" s="11"/>
      <c r="C15" s="4"/>
      <c r="D15" s="4"/>
      <c r="E15" s="4"/>
      <c r="F15" s="801" t="s">
        <v>21</v>
      </c>
      <c r="G15" s="801"/>
      <c r="H15" s="801"/>
      <c r="I15" s="234">
        <f>Центрум!I15</f>
        <v>196534.63741935484</v>
      </c>
      <c r="J15" s="62">
        <f>J8/J14</f>
        <v>40810.1875</v>
      </c>
      <c r="K15" s="235">
        <f t="shared" si="0"/>
        <v>0.2076488299256963</v>
      </c>
      <c r="L15" s="63">
        <f t="shared" ref="L15:L16" si="8">J15</f>
        <v>40810.1875</v>
      </c>
      <c r="M15" s="398">
        <f t="shared" si="4"/>
        <v>0.2076488299256963</v>
      </c>
      <c r="N15" s="36">
        <f t="shared" si="5"/>
        <v>-155724.44991935484</v>
      </c>
      <c r="O15" s="399"/>
      <c r="P15" s="34" t="str">
        <f t="shared" si="6"/>
        <v/>
      </c>
      <c r="Q15" s="37" t="str">
        <f t="shared" si="7"/>
        <v/>
      </c>
      <c r="R15" s="12"/>
      <c r="S15" s="12"/>
      <c r="T15" s="4"/>
      <c r="U15" s="4"/>
      <c r="V15" s="4"/>
      <c r="W15" s="4"/>
    </row>
    <row r="16" spans="2:27" ht="15.75" customHeight="1">
      <c r="B16" s="11"/>
      <c r="C16" s="4"/>
      <c r="D16" s="4"/>
      <c r="E16" s="4"/>
      <c r="F16" s="801" t="s">
        <v>22</v>
      </c>
      <c r="G16" s="801"/>
      <c r="H16" s="801"/>
      <c r="I16" s="234"/>
      <c r="J16" s="62">
        <f>J8-I15*J14</f>
        <v>-2491591.1987096774</v>
      </c>
      <c r="K16" s="235" t="str">
        <f t="shared" si="0"/>
        <v/>
      </c>
      <c r="L16" s="63">
        <f t="shared" si="8"/>
        <v>-2491591.1987096774</v>
      </c>
      <c r="M16" s="236" t="str">
        <f t="shared" si="4"/>
        <v/>
      </c>
      <c r="N16" s="36" t="str">
        <f t="shared" si="5"/>
        <v/>
      </c>
      <c r="O16" s="399"/>
      <c r="P16" s="34" t="str">
        <f t="shared" si="6"/>
        <v/>
      </c>
      <c r="Q16" s="37" t="str">
        <f t="shared" si="7"/>
        <v/>
      </c>
      <c r="R16" s="12"/>
      <c r="S16" s="858" t="s">
        <v>23</v>
      </c>
      <c r="T16" s="4"/>
      <c r="U16" s="4"/>
      <c r="V16" s="4"/>
      <c r="W16" s="4"/>
    </row>
    <row r="17" spans="1:259" ht="15.75" customHeight="1">
      <c r="B17" s="11"/>
      <c r="C17" s="4"/>
      <c r="D17" s="4"/>
      <c r="E17" s="4"/>
      <c r="F17" s="801" t="s">
        <v>24</v>
      </c>
      <c r="G17" s="801"/>
      <c r="H17" s="801"/>
      <c r="I17" s="234">
        <f>Центрум!I17/График!AJ29*График!AJ24</f>
        <v>560.4790419161676</v>
      </c>
      <c r="J17" s="62">
        <f>I48</f>
        <v>482</v>
      </c>
      <c r="K17" s="235">
        <f t="shared" si="0"/>
        <v>0.8599786324786326</v>
      </c>
      <c r="L17" s="63">
        <f>J17/J14*I14</f>
        <v>482</v>
      </c>
      <c r="M17" s="236">
        <f t="shared" si="4"/>
        <v>0.8599786324786326</v>
      </c>
      <c r="N17" s="36">
        <f t="shared" si="5"/>
        <v>-78.479041916167603</v>
      </c>
      <c r="O17" s="399"/>
      <c r="P17" s="34" t="str">
        <f t="shared" si="6"/>
        <v/>
      </c>
      <c r="Q17" s="37" t="str">
        <f t="shared" si="7"/>
        <v/>
      </c>
      <c r="R17" s="12"/>
      <c r="S17" s="858"/>
      <c r="T17" s="4"/>
      <c r="U17" s="4"/>
      <c r="V17" s="4"/>
      <c r="W17" s="4"/>
    </row>
    <row r="18" spans="1:259" ht="15.75" customHeight="1">
      <c r="B18" s="11"/>
      <c r="C18" s="4"/>
      <c r="D18" s="4"/>
      <c r="E18" s="4"/>
      <c r="F18" s="801"/>
      <c r="G18" s="801"/>
      <c r="H18" s="801"/>
      <c r="I18" s="61"/>
      <c r="J18" s="62"/>
      <c r="K18" s="235" t="str">
        <f t="shared" si="0"/>
        <v/>
      </c>
      <c r="L18" s="63">
        <f t="shared" ref="L18:L19" si="9">J18</f>
        <v>0</v>
      </c>
      <c r="M18" s="236" t="str">
        <f t="shared" si="4"/>
        <v/>
      </c>
      <c r="N18" s="36" t="str">
        <f t="shared" si="5"/>
        <v/>
      </c>
      <c r="O18" s="400">
        <v>0</v>
      </c>
      <c r="P18" s="34" t="str">
        <f t="shared" si="6"/>
        <v/>
      </c>
      <c r="Q18" s="37" t="str">
        <f t="shared" si="7"/>
        <v/>
      </c>
      <c r="R18" s="12"/>
      <c r="S18" s="60"/>
      <c r="T18" s="4"/>
      <c r="U18" s="4"/>
      <c r="V18" s="4"/>
      <c r="W18" s="4"/>
    </row>
    <row r="19" spans="1:259" ht="15.75" customHeight="1">
      <c r="B19" s="11"/>
      <c r="C19" s="4"/>
      <c r="D19" s="4"/>
      <c r="E19" s="4"/>
      <c r="F19" s="801"/>
      <c r="G19" s="801"/>
      <c r="H19" s="801"/>
      <c r="I19" s="61"/>
      <c r="J19" s="62">
        <f>Q48</f>
        <v>8593</v>
      </c>
      <c r="K19" s="235" t="str">
        <f t="shared" si="0"/>
        <v/>
      </c>
      <c r="L19" s="63">
        <f t="shared" si="9"/>
        <v>8593</v>
      </c>
      <c r="M19" s="236" t="str">
        <f t="shared" si="4"/>
        <v/>
      </c>
      <c r="N19" s="36" t="str">
        <f t="shared" si="5"/>
        <v/>
      </c>
      <c r="O19" s="399">
        <v>0</v>
      </c>
      <c r="P19" s="34" t="str">
        <f t="shared" si="6"/>
        <v/>
      </c>
      <c r="Q19" s="37" t="str">
        <f t="shared" si="7"/>
        <v/>
      </c>
      <c r="R19" s="12"/>
      <c r="S19" s="31" t="e">
        <f>S18/I16</f>
        <v>#DIV/0!</v>
      </c>
      <c r="T19" s="4"/>
      <c r="U19" s="4"/>
      <c r="V19" s="4"/>
      <c r="W19" s="4"/>
    </row>
    <row r="20" spans="1:259" ht="15.75" customHeight="1">
      <c r="B20" s="11"/>
      <c r="C20" s="4"/>
      <c r="D20" s="4"/>
      <c r="E20" s="4"/>
      <c r="F20" s="811" t="s">
        <v>101</v>
      </c>
      <c r="G20" s="811"/>
      <c r="H20" s="811"/>
      <c r="I20" s="238">
        <f>Центрум!I20</f>
        <v>0.123</v>
      </c>
      <c r="J20" s="239">
        <f>R48</f>
        <v>9.3360995850622408E-2</v>
      </c>
      <c r="K20" s="67">
        <f>J20/I20</f>
        <v>0.7590324865904261</v>
      </c>
      <c r="L20" s="68">
        <f>IF(AND(K8&lt;&gt;0,I14&lt;&gt;0,I48&lt;&gt;0),(I48*R48+(I48/K8-I48)*I20)/(I48/K8),0)</f>
        <v>0.10259697753235839</v>
      </c>
      <c r="M20" s="240">
        <f t="shared" si="4"/>
        <v>0.83412176855575926</v>
      </c>
      <c r="N20" s="401">
        <f t="shared" si="5"/>
        <v>-2.0403022467641613E-2</v>
      </c>
      <c r="O20" s="402"/>
      <c r="P20" s="72" t="str">
        <f t="shared" si="6"/>
        <v/>
      </c>
      <c r="Q20" s="74" t="str">
        <f t="shared" si="7"/>
        <v/>
      </c>
      <c r="R20" s="12"/>
      <c r="S20" s="12"/>
      <c r="T20" s="4"/>
      <c r="U20" s="4"/>
      <c r="V20" s="4"/>
      <c r="W20" s="4"/>
    </row>
    <row r="21" spans="1:259" ht="15.75" customHeight="1">
      <c r="B21" s="11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12"/>
      <c r="W21" s="12"/>
      <c r="X21" s="4"/>
      <c r="Y21" s="4"/>
      <c r="Z21" s="4"/>
      <c r="AA21" s="4"/>
    </row>
    <row r="22" spans="1:259" ht="16.5" customHeight="1">
      <c r="B22" s="859" t="s">
        <v>26</v>
      </c>
      <c r="C22" s="859"/>
      <c r="D22" s="859"/>
      <c r="E22" s="859"/>
      <c r="F22" s="859"/>
      <c r="G22" s="859"/>
      <c r="H22" s="859"/>
      <c r="I22" s="859"/>
      <c r="J22" s="859"/>
      <c r="K22" s="859"/>
      <c r="L22" s="859"/>
      <c r="M22" s="859"/>
      <c r="N22" s="859"/>
      <c r="O22" s="859"/>
      <c r="P22" s="867"/>
      <c r="Q22" s="859"/>
      <c r="R22" s="859"/>
      <c r="S22" s="861" t="s">
        <v>45</v>
      </c>
      <c r="T22" s="859" t="s">
        <v>27</v>
      </c>
      <c r="U22" s="859"/>
      <c r="V22" s="859"/>
      <c r="W22" s="859"/>
      <c r="X22" s="859"/>
      <c r="Y22" s="859"/>
      <c r="Z22" s="859"/>
      <c r="AA22" s="859"/>
    </row>
    <row r="23" spans="1:259" ht="36">
      <c r="B23" s="241" t="s">
        <v>29</v>
      </c>
      <c r="C23" s="241" t="s">
        <v>30</v>
      </c>
      <c r="D23" s="241" t="s">
        <v>31</v>
      </c>
      <c r="E23" s="241" t="s">
        <v>32</v>
      </c>
      <c r="F23" s="241" t="s">
        <v>33</v>
      </c>
      <c r="G23" s="241" t="s">
        <v>34</v>
      </c>
      <c r="H23" s="241" t="s">
        <v>35</v>
      </c>
      <c r="I23" s="241" t="s">
        <v>24</v>
      </c>
      <c r="J23" s="241" t="s">
        <v>36</v>
      </c>
      <c r="K23" s="242" t="s">
        <v>37</v>
      </c>
      <c r="L23" s="78" t="s">
        <v>38</v>
      </c>
      <c r="M23" s="242" t="s">
        <v>39</v>
      </c>
      <c r="N23" s="78" t="s">
        <v>40</v>
      </c>
      <c r="O23" s="242" t="s">
        <v>41</v>
      </c>
      <c r="P23" s="80" t="s">
        <v>43</v>
      </c>
      <c r="Q23" s="403" t="s">
        <v>42</v>
      </c>
      <c r="R23" s="241" t="s">
        <v>44</v>
      </c>
      <c r="S23" s="861"/>
      <c r="T23" s="241" t="s">
        <v>46</v>
      </c>
      <c r="U23" s="241" t="s">
        <v>47</v>
      </c>
      <c r="V23" s="241" t="s">
        <v>48</v>
      </c>
      <c r="W23" s="241" t="s">
        <v>49</v>
      </c>
      <c r="X23" s="241" t="s">
        <v>50</v>
      </c>
      <c r="Y23" s="241" t="s">
        <v>51</v>
      </c>
      <c r="Z23" s="243" t="s">
        <v>52</v>
      </c>
      <c r="AA23" s="243" t="s">
        <v>53</v>
      </c>
      <c r="AB23" s="147"/>
    </row>
    <row r="24" spans="1:259">
      <c r="A24" s="244"/>
      <c r="B24" s="245">
        <v>1</v>
      </c>
      <c r="C24" s="247">
        <v>2</v>
      </c>
      <c r="D24" s="247">
        <v>3</v>
      </c>
      <c r="E24" s="247" t="s">
        <v>102</v>
      </c>
      <c r="F24" s="246">
        <v>5</v>
      </c>
      <c r="G24" s="247">
        <v>6</v>
      </c>
      <c r="H24" s="246">
        <v>7</v>
      </c>
      <c r="I24" s="247">
        <v>8</v>
      </c>
      <c r="J24" s="247">
        <v>9</v>
      </c>
      <c r="K24" s="84">
        <v>10</v>
      </c>
      <c r="L24" s="84">
        <v>11</v>
      </c>
      <c r="M24" s="84">
        <v>12</v>
      </c>
      <c r="N24" s="84">
        <v>13</v>
      </c>
      <c r="O24" s="85">
        <v>14</v>
      </c>
      <c r="P24" s="404">
        <v>15</v>
      </c>
      <c r="Q24" s="405">
        <v>16</v>
      </c>
      <c r="R24" s="247">
        <v>17</v>
      </c>
      <c r="S24" s="861"/>
      <c r="T24" s="248">
        <v>1</v>
      </c>
      <c r="U24" s="248">
        <v>2</v>
      </c>
      <c r="V24" s="248">
        <v>3</v>
      </c>
      <c r="W24" s="248">
        <v>4</v>
      </c>
      <c r="X24" s="248">
        <v>5</v>
      </c>
      <c r="Y24" s="248">
        <v>6</v>
      </c>
      <c r="Z24" s="248">
        <v>10</v>
      </c>
      <c r="AA24" s="248">
        <v>11</v>
      </c>
    </row>
    <row r="25" spans="1:259" s="90" customFormat="1">
      <c r="A25" s="128">
        <v>1</v>
      </c>
      <c r="B25" s="92">
        <v>45992</v>
      </c>
      <c r="C25" s="252" t="s">
        <v>55</v>
      </c>
      <c r="D25" s="253">
        <v>0</v>
      </c>
      <c r="E25" s="108">
        <v>0</v>
      </c>
      <c r="F25" s="96" t="str">
        <f t="shared" ref="F25:F48" si="10">IF(AND(E25&lt;&gt;"",E25&lt;&gt;0),D25/E25,"")</f>
        <v/>
      </c>
      <c r="G25" s="108">
        <v>0</v>
      </c>
      <c r="H25" s="96" t="str">
        <f t="shared" ref="H25:H48" si="11">IF(AND(G25&lt;&gt;"",G25&lt;&gt;0),D25/G25,"")</f>
        <v/>
      </c>
      <c r="I25" s="108">
        <v>32</v>
      </c>
      <c r="J25" s="97" t="str">
        <f t="shared" ref="J25:J48" si="12">IF(AND(G25&lt;&gt;"",G25&lt;&gt;0),E25/G25,"")</f>
        <v/>
      </c>
      <c r="K25" s="98"/>
      <c r="L25" s="98"/>
      <c r="M25" s="98"/>
      <c r="N25" s="98"/>
      <c r="O25" s="344"/>
      <c r="P25" s="406"/>
      <c r="Q25" s="98"/>
      <c r="R25" s="249">
        <f t="shared" ref="R25:R48" si="13">IF(AND(I25&lt;&gt;"",I25&lt;&gt;0),G25/I25,"")</f>
        <v>0</v>
      </c>
      <c r="S25" s="100">
        <f t="shared" ref="S25:S48" si="14">D25/T25</f>
        <v>0</v>
      </c>
      <c r="T25" s="101">
        <f t="shared" ref="T25:T37" si="15">$I$8*Z25*AA25/SUMPRODUCT($AA$25:$AA$55,$Z$25:$Z$55)</f>
        <v>59284.026107784433</v>
      </c>
      <c r="U25" s="102">
        <f t="shared" ref="U25:U37" si="16">$I$9*Z25*AA25/SUMPRODUCT($AA$25:$AA$55,$Z$25:$Z$55)</f>
        <v>7.2385868263473059</v>
      </c>
      <c r="V25" s="102">
        <f t="shared" ref="V25:V47" si="17">IF($I$12="","",U25/$I$12)</f>
        <v>4.3086826347305394</v>
      </c>
      <c r="W25" s="101">
        <f>IF(AA25&lt;&gt;"",IF(D25&lt;&gt;"",D25,($I$8-SUM($W24:W$25))*Z25*AA25/SUMPRODUCT($AA25:$AA$55,$Z25:$Z$55)),"")</f>
        <v>0</v>
      </c>
      <c r="X25" s="102">
        <f>IF(AA25&lt;&gt;"",IF(E25&lt;&gt;"",E25,($I$9-SUM($X24:X$25))*Z25*AA25/SUMPRODUCT($AA25:$AA$55,$Z25:$Z$55)),"")</f>
        <v>0</v>
      </c>
      <c r="Y25" s="102">
        <f>IF(AA25&lt;&gt;"",IF($I$12&lt;&gt;"",IF(G25&lt;&gt;"",G25,($I$9/$I$12-SUM($Y24:Y$25))*Z25*AA25/SUMPRODUCT($AA25:$AA$55,$Z25:$Z$55)),""),"")</f>
        <v>0</v>
      </c>
      <c r="Z25" s="312">
        <v>1</v>
      </c>
      <c r="AA25" s="312">
        <v>1</v>
      </c>
      <c r="AB25" s="105"/>
      <c r="AC25" s="105"/>
      <c r="AD25" s="251"/>
      <c r="AE25" s="104"/>
      <c r="AF25" s="104"/>
      <c r="AG25" s="104"/>
      <c r="AH25" s="104"/>
      <c r="AI25" s="104"/>
      <c r="AJ25" s="104"/>
      <c r="AK25" s="104"/>
    </row>
    <row r="26" spans="1:259" s="407" customFormat="1">
      <c r="A26" s="128">
        <v>2</v>
      </c>
      <c r="B26" s="92">
        <v>45993</v>
      </c>
      <c r="C26" s="93" t="s">
        <v>57</v>
      </c>
      <c r="D26" s="253">
        <v>22077</v>
      </c>
      <c r="E26" s="108">
        <v>3</v>
      </c>
      <c r="F26" s="254">
        <f t="shared" si="10"/>
        <v>7359</v>
      </c>
      <c r="G26" s="108">
        <v>2</v>
      </c>
      <c r="H26" s="254">
        <f t="shared" si="11"/>
        <v>11038.5</v>
      </c>
      <c r="I26" s="108">
        <v>35</v>
      </c>
      <c r="J26" s="97">
        <f t="shared" si="12"/>
        <v>1.5</v>
      </c>
      <c r="K26" s="98"/>
      <c r="L26" s="98"/>
      <c r="M26" s="98"/>
      <c r="N26" s="98"/>
      <c r="O26" s="344"/>
      <c r="P26" s="406"/>
      <c r="Q26" s="98">
        <v>8593</v>
      </c>
      <c r="R26" s="249">
        <f t="shared" si="13"/>
        <v>5.7142857142857141E-2</v>
      </c>
      <c r="S26" s="100">
        <f t="shared" si="14"/>
        <v>0.3723937365499056</v>
      </c>
      <c r="T26" s="101">
        <f t="shared" si="15"/>
        <v>59284.026107784433</v>
      </c>
      <c r="U26" s="102">
        <f t="shared" si="16"/>
        <v>7.2385868263473059</v>
      </c>
      <c r="V26" s="102">
        <f t="shared" si="17"/>
        <v>4.3086826347305394</v>
      </c>
      <c r="W26" s="101">
        <f t="shared" ref="W26:W38" si="18">IF(AA26&lt;&gt;"",IF(D26&lt;&gt;"",D26,($I$8-SUM($W$25:W25))*Z26*AA26/SUMPRODUCT($AA26:$AA$55,$Z26:$Z$55)),"")</f>
        <v>22077</v>
      </c>
      <c r="X26" s="102">
        <f t="shared" ref="X26:X27" si="19">IF(AA26&lt;&gt;"",IF(E26&lt;&gt;"",E26,($I$9-SUM($X$25:X25))*Z26*AA26/SUMPRODUCT($AA26:$AA$55,$Z26:$Z$55)),"")</f>
        <v>3</v>
      </c>
      <c r="Y26" s="102">
        <f t="shared" ref="Y26:Y34" si="20">IF(AA26&lt;&gt;"",IF($I$12&lt;&gt;"",IF(G26&lt;&gt;"",G26,($I$9/$I$12-SUM($Y$25:Y25))*Z26*AA26/SUMPRODUCT($AA26:$AA$55,$Z26:$Z$55)),""),"")</f>
        <v>2</v>
      </c>
      <c r="Z26" s="312">
        <v>1</v>
      </c>
      <c r="AA26" s="312">
        <v>1</v>
      </c>
      <c r="AB26" s="105"/>
      <c r="AC26" s="105"/>
      <c r="AD26" s="104"/>
      <c r="AE26" s="104"/>
      <c r="AF26" s="104"/>
      <c r="AG26" s="104"/>
      <c r="AH26" s="104"/>
      <c r="AI26" s="104"/>
      <c r="AJ26" s="104"/>
      <c r="AK26" s="104"/>
      <c r="AL26" s="104"/>
      <c r="AM26" s="104"/>
      <c r="AN26" s="104"/>
      <c r="AO26" s="104"/>
      <c r="AP26" s="104"/>
      <c r="AQ26" s="104"/>
      <c r="AR26" s="104"/>
      <c r="AS26" s="104"/>
      <c r="AT26" s="104"/>
      <c r="AU26" s="104"/>
      <c r="AV26" s="104"/>
      <c r="AW26" s="104"/>
      <c r="AX26" s="104"/>
      <c r="AY26" s="104"/>
      <c r="AZ26" s="104"/>
      <c r="BA26" s="104"/>
      <c r="BB26" s="104"/>
      <c r="BC26" s="104"/>
      <c r="BD26" s="104"/>
      <c r="BE26" s="104"/>
      <c r="BF26" s="104"/>
      <c r="BG26" s="104"/>
      <c r="BH26" s="104"/>
      <c r="BI26" s="104"/>
      <c r="BJ26" s="104"/>
      <c r="BK26" s="104"/>
      <c r="BL26" s="104"/>
      <c r="BM26" s="104"/>
      <c r="BN26" s="104"/>
      <c r="BO26" s="104"/>
      <c r="BP26" s="104"/>
      <c r="BQ26" s="104"/>
      <c r="BR26" s="104"/>
      <c r="BS26" s="104"/>
      <c r="BT26" s="104"/>
      <c r="BU26" s="104"/>
      <c r="BV26" s="104"/>
      <c r="BW26" s="104"/>
      <c r="BX26" s="104"/>
      <c r="BY26" s="104"/>
      <c r="BZ26" s="104"/>
      <c r="CA26" s="104"/>
      <c r="CB26" s="104"/>
      <c r="CC26" s="104"/>
      <c r="CD26" s="104"/>
      <c r="CE26" s="104"/>
      <c r="CF26" s="104"/>
      <c r="CG26" s="104"/>
      <c r="CH26" s="104"/>
      <c r="CI26" s="104"/>
      <c r="CJ26" s="104"/>
      <c r="CK26" s="104"/>
      <c r="CL26" s="104"/>
      <c r="CM26" s="104"/>
      <c r="CN26" s="104"/>
      <c r="CO26" s="104"/>
      <c r="CP26" s="104"/>
      <c r="CQ26" s="104"/>
      <c r="CR26" s="104"/>
      <c r="CS26" s="104"/>
      <c r="CT26" s="104"/>
      <c r="CU26" s="104"/>
      <c r="CV26" s="104"/>
      <c r="CW26" s="104"/>
      <c r="CX26" s="104"/>
      <c r="CY26" s="104"/>
      <c r="CZ26" s="104"/>
      <c r="DA26" s="104"/>
      <c r="DB26" s="104"/>
      <c r="DC26" s="104"/>
      <c r="DD26" s="104"/>
      <c r="DE26" s="104"/>
      <c r="DF26" s="104"/>
      <c r="DG26" s="104"/>
      <c r="DH26" s="104"/>
      <c r="DI26" s="104"/>
      <c r="DJ26" s="104"/>
      <c r="DK26" s="104"/>
      <c r="DL26" s="104"/>
      <c r="DM26" s="104"/>
      <c r="DN26" s="104"/>
      <c r="DO26" s="104"/>
      <c r="DP26" s="104"/>
      <c r="DQ26" s="104"/>
      <c r="DR26" s="104"/>
      <c r="DS26" s="104"/>
      <c r="DT26" s="104"/>
      <c r="DU26" s="104"/>
      <c r="DV26" s="104"/>
      <c r="DW26" s="104"/>
      <c r="DX26" s="104"/>
      <c r="DY26" s="104"/>
      <c r="DZ26" s="104"/>
      <c r="EA26" s="104"/>
      <c r="EB26" s="104"/>
      <c r="EC26" s="104"/>
      <c r="ED26" s="104"/>
      <c r="EE26" s="104"/>
      <c r="EF26" s="104"/>
      <c r="EG26" s="104"/>
      <c r="EH26" s="104"/>
      <c r="EI26" s="104"/>
      <c r="EJ26" s="104"/>
      <c r="EK26" s="104"/>
      <c r="EL26" s="104"/>
      <c r="EM26" s="104"/>
      <c r="EN26" s="104"/>
      <c r="EO26" s="104"/>
      <c r="EP26" s="104"/>
      <c r="EQ26" s="104"/>
      <c r="ER26" s="104"/>
      <c r="ES26" s="104"/>
      <c r="ET26" s="104"/>
      <c r="EU26" s="104"/>
      <c r="EV26" s="104"/>
      <c r="EW26" s="104"/>
      <c r="EX26" s="104"/>
      <c r="EY26" s="104"/>
      <c r="EZ26" s="104"/>
      <c r="FA26" s="104"/>
      <c r="FB26" s="104"/>
      <c r="FC26" s="104"/>
      <c r="FD26" s="104"/>
      <c r="FE26" s="104"/>
      <c r="FF26" s="104"/>
      <c r="FG26" s="104"/>
      <c r="FH26" s="104"/>
      <c r="FI26" s="104"/>
      <c r="FJ26" s="104"/>
      <c r="FK26" s="104"/>
      <c r="FL26" s="104"/>
      <c r="FM26" s="104"/>
      <c r="FN26" s="104"/>
      <c r="FO26" s="104"/>
      <c r="FP26" s="104"/>
      <c r="FQ26" s="104"/>
      <c r="FR26" s="104"/>
      <c r="FS26" s="104"/>
      <c r="FT26" s="104"/>
      <c r="FU26" s="104"/>
      <c r="FV26" s="104"/>
      <c r="FW26" s="104"/>
      <c r="FX26" s="104"/>
      <c r="FY26" s="104"/>
      <c r="FZ26" s="104"/>
      <c r="GA26" s="104"/>
      <c r="GB26" s="104"/>
      <c r="GC26" s="104"/>
      <c r="GD26" s="104"/>
      <c r="GE26" s="104"/>
      <c r="GF26" s="104"/>
      <c r="GG26" s="104"/>
      <c r="GH26" s="104"/>
      <c r="GI26" s="104"/>
      <c r="GJ26" s="104"/>
      <c r="GK26" s="104"/>
      <c r="GL26" s="104"/>
      <c r="GM26" s="104"/>
      <c r="GN26" s="104"/>
      <c r="GO26" s="104"/>
      <c r="GP26" s="104"/>
      <c r="GQ26" s="104"/>
      <c r="GR26" s="104"/>
      <c r="GS26" s="104"/>
      <c r="GT26" s="104"/>
      <c r="GU26" s="104"/>
      <c r="GV26" s="104"/>
      <c r="GW26" s="104"/>
      <c r="GX26" s="104"/>
      <c r="GY26" s="104"/>
      <c r="GZ26" s="104"/>
      <c r="HA26" s="104"/>
      <c r="HB26" s="104"/>
      <c r="HC26" s="104"/>
      <c r="HD26" s="104"/>
      <c r="HE26" s="104"/>
      <c r="HF26" s="104"/>
      <c r="HG26" s="104"/>
      <c r="HH26" s="104"/>
      <c r="HI26" s="104"/>
      <c r="HJ26" s="104"/>
      <c r="HK26" s="104"/>
      <c r="HL26" s="104"/>
      <c r="HM26" s="104"/>
      <c r="HN26" s="104"/>
      <c r="HO26" s="104"/>
      <c r="HP26" s="104"/>
      <c r="HQ26" s="104"/>
      <c r="HR26" s="104"/>
      <c r="HS26" s="104"/>
      <c r="HT26" s="104"/>
      <c r="HU26" s="104"/>
      <c r="HV26" s="104"/>
      <c r="HW26" s="104"/>
      <c r="HX26" s="104"/>
      <c r="HY26" s="104"/>
      <c r="HZ26" s="104"/>
      <c r="IA26" s="104"/>
      <c r="IB26" s="104"/>
      <c r="IC26" s="104"/>
      <c r="ID26" s="104"/>
      <c r="IE26" s="104"/>
      <c r="IF26" s="104"/>
      <c r="IG26" s="104"/>
      <c r="IH26" s="104"/>
      <c r="II26" s="104"/>
      <c r="IJ26" s="104"/>
      <c r="IK26" s="104"/>
      <c r="IL26" s="104"/>
      <c r="IM26" s="104"/>
      <c r="IN26" s="104"/>
      <c r="IO26" s="104"/>
      <c r="IP26" s="104"/>
      <c r="IQ26" s="104"/>
      <c r="IR26" s="104"/>
      <c r="IS26" s="104"/>
      <c r="IT26" s="104"/>
      <c r="IU26" s="104"/>
      <c r="IV26" s="104"/>
      <c r="IW26" s="104"/>
      <c r="IX26" s="104"/>
      <c r="IY26" s="104"/>
    </row>
    <row r="27" spans="1:259" s="90" customFormat="1">
      <c r="A27" s="128">
        <v>3</v>
      </c>
      <c r="B27" s="92">
        <v>45994</v>
      </c>
      <c r="C27" s="93" t="s">
        <v>59</v>
      </c>
      <c r="D27" s="253">
        <v>67931</v>
      </c>
      <c r="E27" s="108">
        <v>6</v>
      </c>
      <c r="F27" s="96">
        <f t="shared" si="10"/>
        <v>11321.833333333334</v>
      </c>
      <c r="G27" s="108">
        <v>3</v>
      </c>
      <c r="H27" s="96">
        <f t="shared" si="11"/>
        <v>22643.666666666668</v>
      </c>
      <c r="I27" s="108">
        <v>24</v>
      </c>
      <c r="J27" s="97">
        <f t="shared" si="12"/>
        <v>2</v>
      </c>
      <c r="K27" s="98"/>
      <c r="L27" s="98"/>
      <c r="M27" s="98">
        <v>15190</v>
      </c>
      <c r="N27" s="98">
        <f>27149+5307</f>
        <v>32456</v>
      </c>
      <c r="O27" s="344">
        <v>15390</v>
      </c>
      <c r="P27" s="406"/>
      <c r="Q27" s="98"/>
      <c r="R27" s="249">
        <f t="shared" si="13"/>
        <v>0.125</v>
      </c>
      <c r="S27" s="100">
        <f t="shared" si="14"/>
        <v>1.1458567249885236</v>
      </c>
      <c r="T27" s="101">
        <f t="shared" si="15"/>
        <v>59284.026107784433</v>
      </c>
      <c r="U27" s="102">
        <f t="shared" si="16"/>
        <v>7.2385868263473059</v>
      </c>
      <c r="V27" s="102">
        <f t="shared" si="17"/>
        <v>4.3086826347305394</v>
      </c>
      <c r="W27" s="101">
        <f t="shared" si="18"/>
        <v>67931</v>
      </c>
      <c r="X27" s="102">
        <f t="shared" si="19"/>
        <v>6</v>
      </c>
      <c r="Y27" s="102">
        <f t="shared" si="20"/>
        <v>3</v>
      </c>
      <c r="Z27" s="312">
        <v>1</v>
      </c>
      <c r="AA27" s="312">
        <v>1</v>
      </c>
      <c r="AB27" s="105"/>
      <c r="AC27" s="105"/>
      <c r="AD27" s="104"/>
      <c r="AE27" s="104"/>
      <c r="AF27" s="104"/>
      <c r="AG27" s="104"/>
      <c r="AH27" s="104"/>
      <c r="AI27" s="104"/>
      <c r="AJ27" s="104"/>
      <c r="AK27" s="104"/>
    </row>
    <row r="28" spans="1:259" s="90" customFormat="1">
      <c r="A28" s="91">
        <v>4</v>
      </c>
      <c r="B28" s="92">
        <v>45995</v>
      </c>
      <c r="C28" s="252" t="s">
        <v>61</v>
      </c>
      <c r="D28" s="253">
        <v>17372</v>
      </c>
      <c r="E28" s="108">
        <v>2</v>
      </c>
      <c r="F28" s="254">
        <f t="shared" si="10"/>
        <v>8686</v>
      </c>
      <c r="G28" s="108">
        <v>2</v>
      </c>
      <c r="H28" s="254">
        <f t="shared" si="11"/>
        <v>8686</v>
      </c>
      <c r="I28" s="108">
        <v>22</v>
      </c>
      <c r="J28" s="97">
        <f t="shared" si="12"/>
        <v>1</v>
      </c>
      <c r="K28" s="96">
        <v>11493</v>
      </c>
      <c r="L28" s="96"/>
      <c r="M28" s="96"/>
      <c r="N28" s="96"/>
      <c r="O28" s="408"/>
      <c r="P28" s="409"/>
      <c r="Q28" s="95"/>
      <c r="R28" s="249">
        <f t="shared" si="13"/>
        <v>9.0909090909090912E-2</v>
      </c>
      <c r="S28" s="100">
        <f t="shared" si="14"/>
        <v>0.29303003086220769</v>
      </c>
      <c r="T28" s="101">
        <f t="shared" si="15"/>
        <v>59284.026107784433</v>
      </c>
      <c r="U28" s="102">
        <f t="shared" si="16"/>
        <v>7.2385868263473059</v>
      </c>
      <c r="V28" s="102">
        <f t="shared" si="17"/>
        <v>4.3086826347305394</v>
      </c>
      <c r="W28" s="101">
        <f t="shared" si="18"/>
        <v>17372</v>
      </c>
      <c r="X28" s="102">
        <f>IF(AA28&lt;&gt;"",IF(E27&lt;&gt;"",E27,($I$9-SUM($X$25:X27))*Z28*AA28/SUMPRODUCT($AA28:$AA$55,$Z28:$Z$55)),"")</f>
        <v>6</v>
      </c>
      <c r="Y28" s="102">
        <f t="shared" si="20"/>
        <v>2</v>
      </c>
      <c r="Z28" s="312">
        <v>1</v>
      </c>
      <c r="AA28" s="312">
        <v>1</v>
      </c>
      <c r="AB28" s="105"/>
      <c r="AC28" s="105"/>
      <c r="AD28" s="104"/>
      <c r="AE28" s="104"/>
      <c r="AF28" s="104"/>
      <c r="AG28" s="104"/>
      <c r="AH28" s="104"/>
      <c r="AI28" s="104"/>
      <c r="AJ28" s="104"/>
      <c r="AK28" s="104"/>
    </row>
    <row r="29" spans="1:259" s="125" customFormat="1">
      <c r="A29" s="127">
        <v>5</v>
      </c>
      <c r="B29" s="112">
        <v>45996</v>
      </c>
      <c r="C29" s="113" t="s">
        <v>63</v>
      </c>
      <c r="D29" s="256">
        <v>32615</v>
      </c>
      <c r="E29" s="129">
        <v>5</v>
      </c>
      <c r="F29" s="116">
        <f t="shared" si="10"/>
        <v>6523</v>
      </c>
      <c r="G29" s="129">
        <v>3</v>
      </c>
      <c r="H29" s="116">
        <f t="shared" si="11"/>
        <v>10871.666666666666</v>
      </c>
      <c r="I29" s="129">
        <v>39</v>
      </c>
      <c r="J29" s="117">
        <f t="shared" si="12"/>
        <v>1.6666666666666667</v>
      </c>
      <c r="K29" s="115"/>
      <c r="L29" s="115"/>
      <c r="M29" s="115">
        <v>15922</v>
      </c>
      <c r="N29" s="115"/>
      <c r="O29" s="347"/>
      <c r="P29" s="410"/>
      <c r="Q29" s="115"/>
      <c r="R29" s="99">
        <f t="shared" si="13"/>
        <v>7.6923076923076927E-2</v>
      </c>
      <c r="S29" s="119">
        <f t="shared" si="14"/>
        <v>0.55014819575010965</v>
      </c>
      <c r="T29" s="120">
        <f t="shared" si="15"/>
        <v>59284.026107784433</v>
      </c>
      <c r="U29" s="121">
        <f t="shared" si="16"/>
        <v>7.2385868263473059</v>
      </c>
      <c r="V29" s="121">
        <f t="shared" si="17"/>
        <v>4.3086826347305394</v>
      </c>
      <c r="W29" s="120">
        <f t="shared" si="18"/>
        <v>32615</v>
      </c>
      <c r="X29" s="121">
        <f t="shared" ref="X29:X34" si="21">IF(AA29&lt;&gt;"",IF(E29&lt;&gt;"",E29,($I$9-SUM($X$25:X28))*Z29*AA29/SUMPRODUCT($AA29:$AA$55,$Z29:$Z$55)),"")</f>
        <v>5</v>
      </c>
      <c r="Y29" s="121">
        <f t="shared" si="20"/>
        <v>3</v>
      </c>
      <c r="Z29" s="350">
        <v>1</v>
      </c>
      <c r="AA29" s="350">
        <v>1</v>
      </c>
      <c r="AB29" s="123"/>
      <c r="AC29" s="123"/>
      <c r="AD29" s="124"/>
      <c r="AE29" s="124"/>
      <c r="AF29" s="124"/>
      <c r="AG29" s="124"/>
      <c r="AH29" s="124"/>
      <c r="AI29" s="124"/>
      <c r="AJ29" s="124"/>
      <c r="AK29" s="124"/>
    </row>
    <row r="30" spans="1:259" s="125" customFormat="1">
      <c r="A30" s="127">
        <v>6</v>
      </c>
      <c r="B30" s="112">
        <v>45997</v>
      </c>
      <c r="C30" s="260" t="s">
        <v>65</v>
      </c>
      <c r="D30" s="256">
        <v>15486</v>
      </c>
      <c r="E30" s="129">
        <v>2</v>
      </c>
      <c r="F30" s="133">
        <f t="shared" si="10"/>
        <v>7743</v>
      </c>
      <c r="G30" s="129">
        <v>2</v>
      </c>
      <c r="H30" s="133">
        <f t="shared" si="11"/>
        <v>7743</v>
      </c>
      <c r="I30" s="129">
        <v>36</v>
      </c>
      <c r="J30" s="117">
        <f t="shared" si="12"/>
        <v>1</v>
      </c>
      <c r="K30" s="115"/>
      <c r="L30" s="115"/>
      <c r="M30" s="115"/>
      <c r="N30" s="115"/>
      <c r="O30" s="133"/>
      <c r="P30" s="411"/>
      <c r="Q30" s="115"/>
      <c r="R30" s="99">
        <f t="shared" si="13"/>
        <v>5.5555555555555552E-2</v>
      </c>
      <c r="S30" s="119">
        <f t="shared" si="14"/>
        <v>0.26121707678633138</v>
      </c>
      <c r="T30" s="120">
        <f t="shared" si="15"/>
        <v>59284.026107784433</v>
      </c>
      <c r="U30" s="121">
        <f t="shared" si="16"/>
        <v>7.2385868263473059</v>
      </c>
      <c r="V30" s="121">
        <f t="shared" si="17"/>
        <v>4.3086826347305394</v>
      </c>
      <c r="W30" s="120">
        <f t="shared" si="18"/>
        <v>15486</v>
      </c>
      <c r="X30" s="121">
        <f t="shared" si="21"/>
        <v>2</v>
      </c>
      <c r="Y30" s="121">
        <f t="shared" si="20"/>
        <v>2</v>
      </c>
      <c r="Z30" s="350">
        <v>1</v>
      </c>
      <c r="AA30" s="350">
        <v>1</v>
      </c>
      <c r="AB30" s="123"/>
      <c r="AC30" s="123"/>
      <c r="AD30" s="131"/>
      <c r="AE30" s="124"/>
      <c r="AF30" s="124"/>
      <c r="AG30" s="124"/>
      <c r="AH30" s="124"/>
      <c r="AI30" s="124"/>
      <c r="AJ30" s="124"/>
      <c r="AK30" s="124"/>
    </row>
    <row r="31" spans="1:259" s="125" customFormat="1">
      <c r="A31" s="412">
        <v>7</v>
      </c>
      <c r="B31" s="413">
        <v>45998</v>
      </c>
      <c r="C31" s="353" t="s">
        <v>67</v>
      </c>
      <c r="D31" s="264">
        <v>11286</v>
      </c>
      <c r="E31" s="263">
        <v>2</v>
      </c>
      <c r="F31" s="265">
        <f t="shared" si="10"/>
        <v>5643</v>
      </c>
      <c r="G31" s="263">
        <v>2</v>
      </c>
      <c r="H31" s="265">
        <f t="shared" si="11"/>
        <v>5643</v>
      </c>
      <c r="I31" s="263">
        <v>36</v>
      </c>
      <c r="J31" s="264">
        <f t="shared" si="12"/>
        <v>1</v>
      </c>
      <c r="K31" s="349"/>
      <c r="L31" s="349"/>
      <c r="M31" s="349"/>
      <c r="N31" s="133"/>
      <c r="O31" s="352"/>
      <c r="P31" s="352"/>
      <c r="Q31" s="349"/>
      <c r="R31" s="414">
        <f t="shared" si="13"/>
        <v>5.5555555555555552E-2</v>
      </c>
      <c r="S31" s="415">
        <f t="shared" si="14"/>
        <v>0.19037168594927908</v>
      </c>
      <c r="T31" s="416">
        <f t="shared" si="15"/>
        <v>59284.026107784433</v>
      </c>
      <c r="U31" s="417">
        <f t="shared" si="16"/>
        <v>7.2385868263473059</v>
      </c>
      <c r="V31" s="417">
        <f t="shared" si="17"/>
        <v>4.3086826347305394</v>
      </c>
      <c r="W31" s="416">
        <f t="shared" si="18"/>
        <v>11286</v>
      </c>
      <c r="X31" s="417">
        <f t="shared" si="21"/>
        <v>2</v>
      </c>
      <c r="Y31" s="417">
        <f t="shared" si="20"/>
        <v>2</v>
      </c>
      <c r="Z31" s="418">
        <v>1</v>
      </c>
      <c r="AA31" s="418">
        <v>1</v>
      </c>
      <c r="AB31" s="123"/>
      <c r="AC31" s="123"/>
      <c r="AD31" s="131"/>
      <c r="AE31" s="124"/>
      <c r="AF31" s="124"/>
      <c r="AG31" s="124"/>
      <c r="AH31" s="124"/>
      <c r="AI31" s="124"/>
      <c r="AJ31" s="124"/>
      <c r="AK31" s="124"/>
    </row>
    <row r="32" spans="1:259" s="419" customFormat="1">
      <c r="A32" s="111">
        <v>8</v>
      </c>
      <c r="B32" s="112">
        <v>46010</v>
      </c>
      <c r="C32" s="113" t="s">
        <v>63</v>
      </c>
      <c r="D32" s="117">
        <v>71288</v>
      </c>
      <c r="E32" s="116">
        <v>8</v>
      </c>
      <c r="F32" s="116">
        <f t="shared" si="10"/>
        <v>8911</v>
      </c>
      <c r="G32" s="116">
        <v>3</v>
      </c>
      <c r="H32" s="116">
        <f t="shared" si="11"/>
        <v>23762.666666666668</v>
      </c>
      <c r="I32" s="116">
        <v>22</v>
      </c>
      <c r="J32" s="420">
        <f t="shared" si="12"/>
        <v>2.6666666666666665</v>
      </c>
      <c r="K32" s="421">
        <v>43070</v>
      </c>
      <c r="L32" s="352"/>
      <c r="M32" s="352"/>
      <c r="N32" s="352"/>
      <c r="O32" s="352"/>
      <c r="P32" s="352"/>
      <c r="Q32" s="422"/>
      <c r="R32" s="414">
        <f t="shared" si="13"/>
        <v>0.13636363636363635</v>
      </c>
      <c r="S32" s="423">
        <f t="shared" si="14"/>
        <v>1.2024824338075675</v>
      </c>
      <c r="T32" s="424">
        <f t="shared" si="15"/>
        <v>59284.026107784433</v>
      </c>
      <c r="U32" s="425">
        <f t="shared" si="16"/>
        <v>7.2385868263473059</v>
      </c>
      <c r="V32" s="425">
        <f t="shared" si="17"/>
        <v>4.3086826347305394</v>
      </c>
      <c r="W32" s="424">
        <f t="shared" si="18"/>
        <v>71288</v>
      </c>
      <c r="X32" s="425">
        <f t="shared" si="21"/>
        <v>8</v>
      </c>
      <c r="Y32" s="425">
        <f t="shared" si="20"/>
        <v>3</v>
      </c>
      <c r="Z32" s="426">
        <v>1</v>
      </c>
      <c r="AA32" s="426">
        <v>1</v>
      </c>
      <c r="AB32" s="427"/>
      <c r="AC32" s="427"/>
      <c r="AD32" s="428"/>
      <c r="AE32" s="428"/>
      <c r="AF32" s="428"/>
      <c r="AG32" s="428"/>
      <c r="AH32" s="428"/>
      <c r="AI32" s="428"/>
      <c r="AJ32" s="428"/>
      <c r="AK32" s="428"/>
    </row>
    <row r="33" spans="1:259" s="125" customFormat="1">
      <c r="A33" s="127">
        <v>9</v>
      </c>
      <c r="B33" s="429">
        <v>46011</v>
      </c>
      <c r="C33" s="430" t="s">
        <v>65</v>
      </c>
      <c r="D33" s="256">
        <f>13098+18113+13374+38720+14785+5029+31592</f>
        <v>134711</v>
      </c>
      <c r="E33" s="129">
        <v>21</v>
      </c>
      <c r="F33" s="129">
        <f t="shared" si="10"/>
        <v>6414.8095238095239</v>
      </c>
      <c r="G33" s="129">
        <v>7</v>
      </c>
      <c r="H33" s="129">
        <f t="shared" si="11"/>
        <v>19244.428571428572</v>
      </c>
      <c r="I33" s="129">
        <v>62</v>
      </c>
      <c r="J33" s="256">
        <f t="shared" si="12"/>
        <v>3</v>
      </c>
      <c r="K33" s="133">
        <v>19267</v>
      </c>
      <c r="L33" s="352"/>
      <c r="M33" s="352"/>
      <c r="N33" s="352"/>
      <c r="O33" s="352"/>
      <c r="P33" s="352"/>
      <c r="Q33" s="133"/>
      <c r="R33" s="414">
        <f t="shared" si="13"/>
        <v>0.11290322580645161</v>
      </c>
      <c r="S33" s="268">
        <f t="shared" si="14"/>
        <v>2.2722984392976548</v>
      </c>
      <c r="T33" s="431">
        <f t="shared" si="15"/>
        <v>59284.026107784433</v>
      </c>
      <c r="U33" s="269">
        <f t="shared" si="16"/>
        <v>7.2385868263473059</v>
      </c>
      <c r="V33" s="432">
        <f t="shared" si="17"/>
        <v>4.3086826347305394</v>
      </c>
      <c r="W33" s="384">
        <f t="shared" si="18"/>
        <v>134711</v>
      </c>
      <c r="X33" s="432">
        <f t="shared" si="21"/>
        <v>21</v>
      </c>
      <c r="Y33" s="269">
        <f t="shared" si="20"/>
        <v>7</v>
      </c>
      <c r="Z33" s="433">
        <v>1</v>
      </c>
      <c r="AA33" s="433">
        <v>1</v>
      </c>
      <c r="AB33" s="123"/>
      <c r="AC33" s="123"/>
      <c r="AD33" s="124"/>
      <c r="AE33" s="124"/>
      <c r="AF33" s="124"/>
      <c r="AG33" s="124"/>
      <c r="AH33" s="124"/>
      <c r="AI33" s="124"/>
      <c r="AJ33" s="124"/>
      <c r="AK33" s="124"/>
    </row>
    <row r="34" spans="1:259" s="125" customFormat="1">
      <c r="A34" s="111">
        <v>10</v>
      </c>
      <c r="B34" s="112">
        <v>46012</v>
      </c>
      <c r="C34" s="113" t="s">
        <v>67</v>
      </c>
      <c r="D34" s="267">
        <v>24172</v>
      </c>
      <c r="E34" s="129">
        <v>2</v>
      </c>
      <c r="F34" s="133">
        <f t="shared" si="10"/>
        <v>12086</v>
      </c>
      <c r="G34" s="129">
        <v>1</v>
      </c>
      <c r="H34" s="133">
        <f t="shared" si="11"/>
        <v>24172</v>
      </c>
      <c r="I34" s="129">
        <v>33</v>
      </c>
      <c r="J34" s="267">
        <f t="shared" si="12"/>
        <v>2</v>
      </c>
      <c r="K34" s="434">
        <v>24172</v>
      </c>
      <c r="L34" s="352"/>
      <c r="M34" s="352"/>
      <c r="N34" s="352"/>
      <c r="O34" s="352"/>
      <c r="P34" s="352"/>
      <c r="Q34" s="118"/>
      <c r="R34" s="414">
        <f t="shared" si="13"/>
        <v>3.0303030303030304E-2</v>
      </c>
      <c r="S34" s="119">
        <f t="shared" si="14"/>
        <v>0.40773209221743523</v>
      </c>
      <c r="T34" s="384">
        <f t="shared" si="15"/>
        <v>59284.026107784433</v>
      </c>
      <c r="U34" s="121">
        <f t="shared" si="16"/>
        <v>7.2385868263473059</v>
      </c>
      <c r="V34" s="269">
        <f t="shared" si="17"/>
        <v>4.3086826347305394</v>
      </c>
      <c r="W34" s="120">
        <f t="shared" si="18"/>
        <v>24172</v>
      </c>
      <c r="X34" s="269">
        <f t="shared" si="21"/>
        <v>2</v>
      </c>
      <c r="Y34" s="121">
        <f t="shared" si="20"/>
        <v>1</v>
      </c>
      <c r="Z34" s="350">
        <v>1</v>
      </c>
      <c r="AA34" s="350">
        <v>1</v>
      </c>
      <c r="AB34" s="123"/>
      <c r="AC34" s="123"/>
      <c r="AD34" s="131"/>
      <c r="AE34" s="124"/>
      <c r="AF34" s="124"/>
      <c r="AG34" s="124"/>
      <c r="AH34" s="124"/>
      <c r="AI34" s="124"/>
      <c r="AJ34" s="124"/>
      <c r="AK34" s="124"/>
    </row>
    <row r="35" spans="1:259" s="125" customFormat="1">
      <c r="A35" s="127">
        <v>11</v>
      </c>
      <c r="B35" s="112">
        <v>46013</v>
      </c>
      <c r="C35" s="132" t="s">
        <v>55</v>
      </c>
      <c r="D35" s="117">
        <f>6382+6395+20889+4892</f>
        <v>38558</v>
      </c>
      <c r="E35" s="115">
        <v>6</v>
      </c>
      <c r="F35" s="116">
        <f t="shared" si="10"/>
        <v>6426.333333333333</v>
      </c>
      <c r="G35" s="115">
        <v>4</v>
      </c>
      <c r="H35" s="116">
        <f t="shared" si="11"/>
        <v>9639.5</v>
      </c>
      <c r="I35" s="115">
        <v>40</v>
      </c>
      <c r="J35" s="117">
        <f t="shared" si="12"/>
        <v>1.5</v>
      </c>
      <c r="K35" s="115"/>
      <c r="L35" s="115"/>
      <c r="M35" s="115"/>
      <c r="N35" s="347"/>
      <c r="O35" s="352"/>
      <c r="P35" s="352">
        <v>20889</v>
      </c>
      <c r="Q35" s="118"/>
      <c r="R35" s="414">
        <f t="shared" si="13"/>
        <v>0.1</v>
      </c>
      <c r="S35" s="119">
        <f t="shared" si="14"/>
        <v>0.6503944237845386</v>
      </c>
      <c r="T35" s="120">
        <f t="shared" si="15"/>
        <v>59284.026107784433</v>
      </c>
      <c r="U35" s="121">
        <f t="shared" si="16"/>
        <v>7.2385868263473059</v>
      </c>
      <c r="V35" s="121">
        <f t="shared" si="17"/>
        <v>4.3086826347305394</v>
      </c>
      <c r="W35" s="120">
        <f t="shared" si="18"/>
        <v>38558</v>
      </c>
      <c r="X35" s="121">
        <f>IF(AA34&lt;&gt;"",IF(E34&lt;&gt;"",E34,($I$9-SUM($X$25:X33))*Z34*AA34/SUMPRODUCT($AA34:$AA$55,$Z34:$Z$55)),"")</f>
        <v>2</v>
      </c>
      <c r="Y35" s="121">
        <f>IF(AA34&lt;&gt;"",IF($I$12&lt;&gt;"",IF(G34&lt;&gt;"",G34,($I$9/$I$12-SUM($Y$25:Y33))*Z34*AA34/SUMPRODUCT($AA34:$AA$55,$Z34:$Z$55)),""),"")</f>
        <v>1</v>
      </c>
      <c r="Z35" s="122">
        <v>1</v>
      </c>
      <c r="AA35" s="122">
        <v>1</v>
      </c>
      <c r="AB35" s="123"/>
      <c r="AC35" s="123"/>
      <c r="AD35" s="131"/>
      <c r="AE35" s="124"/>
      <c r="AF35" s="124"/>
      <c r="AG35" s="124"/>
      <c r="AH35" s="124"/>
      <c r="AI35" s="124"/>
      <c r="AJ35" s="124"/>
      <c r="AK35" s="124"/>
      <c r="AL35" s="124"/>
      <c r="AM35" s="124"/>
      <c r="AN35" s="124"/>
      <c r="AO35" s="124"/>
      <c r="AP35" s="124"/>
      <c r="AQ35" s="124"/>
      <c r="AR35" s="124"/>
      <c r="AS35" s="124"/>
      <c r="AT35" s="124"/>
      <c r="AU35" s="124"/>
      <c r="AV35" s="124"/>
      <c r="AW35" s="124"/>
      <c r="AX35" s="124"/>
      <c r="AY35" s="124"/>
      <c r="AZ35" s="124"/>
      <c r="BA35" s="124"/>
      <c r="BB35" s="124"/>
      <c r="BC35" s="124"/>
      <c r="BD35" s="124"/>
      <c r="BE35" s="124"/>
      <c r="BF35" s="124"/>
      <c r="BG35" s="124"/>
      <c r="BH35" s="124"/>
      <c r="BI35" s="124"/>
      <c r="BJ35" s="124"/>
      <c r="BK35" s="124"/>
      <c r="BL35" s="124"/>
      <c r="BM35" s="124"/>
      <c r="BN35" s="124"/>
      <c r="BO35" s="124"/>
      <c r="BP35" s="124"/>
      <c r="BQ35" s="124"/>
      <c r="BR35" s="124"/>
      <c r="BS35" s="124"/>
      <c r="BT35" s="124"/>
      <c r="BU35" s="124"/>
      <c r="BV35" s="124"/>
      <c r="BW35" s="124"/>
      <c r="BX35" s="124"/>
      <c r="BY35" s="124"/>
      <c r="BZ35" s="124"/>
      <c r="CA35" s="124"/>
      <c r="CB35" s="124"/>
      <c r="CC35" s="124"/>
      <c r="CD35" s="124"/>
      <c r="CE35" s="124"/>
      <c r="CF35" s="124"/>
      <c r="CG35" s="124"/>
      <c r="CH35" s="124"/>
      <c r="CI35" s="124"/>
      <c r="CJ35" s="124"/>
      <c r="CK35" s="124"/>
      <c r="CL35" s="124"/>
      <c r="CM35" s="124"/>
      <c r="CN35" s="124"/>
      <c r="CO35" s="124"/>
      <c r="CP35" s="124"/>
      <c r="CQ35" s="124"/>
      <c r="CR35" s="124"/>
      <c r="CS35" s="124"/>
      <c r="CT35" s="124"/>
      <c r="CU35" s="124"/>
      <c r="CV35" s="124"/>
      <c r="CW35" s="124"/>
      <c r="CX35" s="124"/>
      <c r="CY35" s="124"/>
      <c r="CZ35" s="124"/>
      <c r="DA35" s="124"/>
      <c r="DB35" s="124"/>
      <c r="DC35" s="124"/>
      <c r="DD35" s="124"/>
      <c r="DE35" s="124"/>
      <c r="DF35" s="124"/>
      <c r="DG35" s="124"/>
      <c r="DH35" s="124"/>
      <c r="DI35" s="124"/>
      <c r="DJ35" s="124"/>
      <c r="DK35" s="124"/>
      <c r="DL35" s="124"/>
      <c r="DM35" s="124"/>
      <c r="DN35" s="124"/>
      <c r="DO35" s="124"/>
      <c r="DP35" s="124"/>
      <c r="DQ35" s="124"/>
      <c r="DR35" s="124"/>
      <c r="DS35" s="124"/>
      <c r="DT35" s="124"/>
      <c r="DU35" s="124"/>
      <c r="DV35" s="124"/>
      <c r="DW35" s="124"/>
      <c r="DX35" s="124"/>
      <c r="DY35" s="124"/>
      <c r="DZ35" s="124"/>
      <c r="EA35" s="124"/>
      <c r="EB35" s="124"/>
      <c r="EC35" s="124"/>
      <c r="ED35" s="124"/>
      <c r="EE35" s="124"/>
      <c r="EF35" s="124"/>
      <c r="EG35" s="124"/>
      <c r="EH35" s="124"/>
      <c r="EI35" s="124"/>
      <c r="EJ35" s="124"/>
      <c r="EK35" s="124"/>
      <c r="EL35" s="124"/>
      <c r="EM35" s="124"/>
      <c r="EN35" s="124"/>
      <c r="EO35" s="124"/>
      <c r="EP35" s="124"/>
      <c r="EQ35" s="124"/>
      <c r="ER35" s="124"/>
      <c r="ES35" s="124"/>
      <c r="ET35" s="124"/>
      <c r="EU35" s="124"/>
      <c r="EV35" s="124"/>
      <c r="EW35" s="124"/>
      <c r="EX35" s="124"/>
      <c r="EY35" s="124"/>
      <c r="EZ35" s="124"/>
      <c r="FA35" s="124"/>
      <c r="FB35" s="124"/>
      <c r="FC35" s="124"/>
      <c r="FD35" s="124"/>
      <c r="FE35" s="124"/>
      <c r="FF35" s="124"/>
      <c r="FG35" s="124"/>
      <c r="FH35" s="124"/>
      <c r="FI35" s="124"/>
      <c r="FJ35" s="124"/>
      <c r="FK35" s="124"/>
      <c r="FL35" s="124"/>
      <c r="FM35" s="124"/>
      <c r="FN35" s="124"/>
      <c r="FO35" s="124"/>
      <c r="FP35" s="124"/>
      <c r="FQ35" s="124"/>
      <c r="FR35" s="124"/>
      <c r="FS35" s="124"/>
      <c r="FT35" s="124"/>
      <c r="FU35" s="124"/>
      <c r="FV35" s="124"/>
      <c r="FW35" s="124"/>
      <c r="FX35" s="124"/>
      <c r="FY35" s="124"/>
      <c r="FZ35" s="124"/>
      <c r="GA35" s="124"/>
      <c r="GB35" s="124"/>
      <c r="GC35" s="124"/>
      <c r="GD35" s="124"/>
      <c r="GE35" s="124"/>
      <c r="GF35" s="124"/>
      <c r="GG35" s="124"/>
      <c r="GH35" s="124"/>
      <c r="GI35" s="124"/>
      <c r="GJ35" s="124"/>
      <c r="GK35" s="124"/>
      <c r="GL35" s="124"/>
      <c r="GM35" s="124"/>
      <c r="GN35" s="124"/>
      <c r="GO35" s="124"/>
      <c r="GP35" s="124"/>
      <c r="GQ35" s="124"/>
      <c r="GR35" s="124"/>
      <c r="GS35" s="124"/>
      <c r="GT35" s="124"/>
      <c r="GU35" s="124"/>
      <c r="GV35" s="124"/>
      <c r="GW35" s="124"/>
      <c r="GX35" s="124"/>
      <c r="GY35" s="124"/>
      <c r="GZ35" s="124"/>
      <c r="HA35" s="124"/>
      <c r="HB35" s="124"/>
      <c r="HC35" s="124"/>
      <c r="HD35" s="124"/>
      <c r="HE35" s="124"/>
      <c r="HF35" s="124"/>
      <c r="HG35" s="124"/>
      <c r="HH35" s="124"/>
      <c r="HI35" s="124"/>
      <c r="HJ35" s="124"/>
      <c r="HK35" s="124"/>
      <c r="HL35" s="124"/>
      <c r="HM35" s="124"/>
      <c r="HN35" s="124"/>
      <c r="HO35" s="124"/>
      <c r="HP35" s="124"/>
      <c r="HQ35" s="124"/>
      <c r="HR35" s="124"/>
      <c r="HS35" s="124"/>
      <c r="HT35" s="124"/>
      <c r="HU35" s="124"/>
      <c r="HV35" s="124"/>
      <c r="HW35" s="124"/>
      <c r="HX35" s="124"/>
      <c r="HY35" s="124"/>
      <c r="HZ35" s="124"/>
      <c r="IA35" s="124"/>
      <c r="IB35" s="124"/>
      <c r="IC35" s="124"/>
      <c r="ID35" s="124"/>
      <c r="IE35" s="124"/>
      <c r="IF35" s="124"/>
      <c r="IG35" s="124"/>
      <c r="IH35" s="124"/>
      <c r="II35" s="124"/>
      <c r="IJ35" s="124"/>
      <c r="IK35" s="124"/>
      <c r="IL35" s="124"/>
      <c r="IM35" s="124"/>
      <c r="IN35" s="124"/>
      <c r="IO35" s="124"/>
      <c r="IP35" s="124"/>
      <c r="IQ35" s="124"/>
      <c r="IR35" s="124"/>
      <c r="IS35" s="124"/>
      <c r="IT35" s="124"/>
      <c r="IU35" s="124"/>
      <c r="IV35" s="124"/>
      <c r="IW35" s="124"/>
      <c r="IX35" s="124"/>
      <c r="IY35" s="124"/>
    </row>
    <row r="36" spans="1:259" s="125" customFormat="1">
      <c r="A36" s="111">
        <v>12</v>
      </c>
      <c r="B36" s="112">
        <v>46015</v>
      </c>
      <c r="C36" s="132" t="s">
        <v>59</v>
      </c>
      <c r="D36" s="117">
        <f>11984+5001</f>
        <v>16985</v>
      </c>
      <c r="E36" s="116">
        <f>2</f>
        <v>2</v>
      </c>
      <c r="F36" s="116">
        <f t="shared" si="10"/>
        <v>8492.5</v>
      </c>
      <c r="G36" s="116">
        <v>2</v>
      </c>
      <c r="H36" s="116">
        <f t="shared" si="11"/>
        <v>8492.5</v>
      </c>
      <c r="I36" s="116">
        <v>20</v>
      </c>
      <c r="J36" s="117">
        <f t="shared" si="12"/>
        <v>1</v>
      </c>
      <c r="K36" s="434"/>
      <c r="L36" s="352"/>
      <c r="M36" s="352"/>
      <c r="N36" s="352"/>
      <c r="O36" s="352"/>
      <c r="P36" s="352"/>
      <c r="Q36" s="118"/>
      <c r="R36" s="414">
        <f t="shared" si="13"/>
        <v>0.1</v>
      </c>
      <c r="S36" s="119">
        <f t="shared" si="14"/>
        <v>0.2865021341350793</v>
      </c>
      <c r="T36" s="120">
        <f t="shared" si="15"/>
        <v>59284.026107784433</v>
      </c>
      <c r="U36" s="121">
        <f t="shared" si="16"/>
        <v>7.2385868263473059</v>
      </c>
      <c r="V36" s="121">
        <f t="shared" si="17"/>
        <v>4.3086826347305394</v>
      </c>
      <c r="W36" s="120">
        <f t="shared" si="18"/>
        <v>16985</v>
      </c>
      <c r="X36" s="121">
        <f t="shared" ref="X36:X39" si="22">IF(AA36&lt;&gt;"",IF(E36&lt;&gt;"",E36,($I$9-SUM($X$25:X35))*Z36*AA36/SUMPRODUCT($AA36:$AA$55,$Z36:$Z$55)),"")</f>
        <v>2</v>
      </c>
      <c r="Y36" s="121">
        <f t="shared" ref="Y36:Y41" si="23">IF(AA36&lt;&gt;"",IF($I$12&lt;&gt;"",IF(G36&lt;&gt;"",G36,($I$9/$I$12-SUM($Y$25:Y35))*Z36*AA36/SUMPRODUCT($AA36:$AA$55,$Z36:$Z$55)),""),"")</f>
        <v>2</v>
      </c>
      <c r="Z36" s="122">
        <v>1</v>
      </c>
      <c r="AA36" s="122">
        <v>1</v>
      </c>
      <c r="AB36" s="123"/>
      <c r="AC36" s="123"/>
      <c r="AD36" s="131"/>
      <c r="AE36" s="124"/>
      <c r="AF36" s="124"/>
      <c r="AG36" s="124"/>
      <c r="AH36" s="124"/>
      <c r="AI36" s="124"/>
      <c r="AJ36" s="124"/>
      <c r="AK36" s="124"/>
    </row>
    <row r="37" spans="1:259" s="125" customFormat="1">
      <c r="A37" s="111">
        <v>13</v>
      </c>
      <c r="B37" s="112">
        <v>46016</v>
      </c>
      <c r="C37" s="132" t="s">
        <v>61</v>
      </c>
      <c r="D37" s="117">
        <f>25368+10001</f>
        <v>35369</v>
      </c>
      <c r="E37" s="133">
        <v>4</v>
      </c>
      <c r="F37" s="116">
        <f t="shared" si="10"/>
        <v>8842.25</v>
      </c>
      <c r="G37" s="133">
        <v>2</v>
      </c>
      <c r="H37" s="116">
        <f t="shared" si="11"/>
        <v>17684.5</v>
      </c>
      <c r="I37" s="133">
        <v>26</v>
      </c>
      <c r="J37" s="117">
        <f t="shared" si="12"/>
        <v>2</v>
      </c>
      <c r="K37" s="133"/>
      <c r="L37" s="352"/>
      <c r="M37" s="352"/>
      <c r="N37" s="352"/>
      <c r="O37" s="352"/>
      <c r="P37" s="352"/>
      <c r="Q37" s="133"/>
      <c r="R37" s="414">
        <f t="shared" si="13"/>
        <v>7.6923076923076927E-2</v>
      </c>
      <c r="S37" s="268">
        <f t="shared" si="14"/>
        <v>0.59660253059897672</v>
      </c>
      <c r="T37" s="120">
        <f t="shared" si="15"/>
        <v>59284.026107784433</v>
      </c>
      <c r="U37" s="269">
        <f t="shared" si="16"/>
        <v>7.2385868263473059</v>
      </c>
      <c r="V37" s="121">
        <f t="shared" si="17"/>
        <v>4.3086826347305394</v>
      </c>
      <c r="W37" s="384">
        <f t="shared" si="18"/>
        <v>35369</v>
      </c>
      <c r="X37" s="121">
        <f t="shared" si="22"/>
        <v>4</v>
      </c>
      <c r="Y37" s="269">
        <f t="shared" si="23"/>
        <v>2</v>
      </c>
      <c r="Z37" s="122">
        <v>1</v>
      </c>
      <c r="AA37" s="122">
        <v>1</v>
      </c>
      <c r="AB37" s="123"/>
      <c r="AC37" s="123"/>
      <c r="AD37" s="131"/>
      <c r="AE37" s="124"/>
      <c r="AF37" s="124"/>
      <c r="AG37" s="124"/>
      <c r="AH37" s="124"/>
      <c r="AI37" s="124"/>
      <c r="AJ37" s="124"/>
      <c r="AK37" s="124"/>
    </row>
    <row r="38" spans="1:259" s="125" customFormat="1">
      <c r="A38" s="435">
        <v>14</v>
      </c>
      <c r="B38" s="112">
        <v>46017</v>
      </c>
      <c r="C38" s="132" t="s">
        <v>63</v>
      </c>
      <c r="D38" s="436">
        <v>44761</v>
      </c>
      <c r="E38" s="375">
        <v>5</v>
      </c>
      <c r="F38" s="116">
        <f t="shared" si="10"/>
        <v>8952.2000000000007</v>
      </c>
      <c r="G38" s="375">
        <v>3</v>
      </c>
      <c r="H38" s="116">
        <f t="shared" si="11"/>
        <v>14920.333333333334</v>
      </c>
      <c r="I38" s="375">
        <v>25</v>
      </c>
      <c r="J38" s="117">
        <f t="shared" si="12"/>
        <v>1.6666666666666667</v>
      </c>
      <c r="K38" s="434">
        <v>25984</v>
      </c>
      <c r="L38" s="352"/>
      <c r="M38" s="352"/>
      <c r="N38" s="352"/>
      <c r="O38" s="352"/>
      <c r="P38" s="352"/>
      <c r="Q38" s="118"/>
      <c r="R38" s="414">
        <f t="shared" si="13"/>
        <v>0.12</v>
      </c>
      <c r="S38" s="377">
        <f t="shared" si="14"/>
        <v>0.75502631887078508</v>
      </c>
      <c r="T38" s="120">
        <f t="shared" ref="T38:T47" si="24">$I$8*Z38*AA38/SUMPRODUCT($AA$25:$AA$46,$Z$25:$Z$46)</f>
        <v>59284.026107784433</v>
      </c>
      <c r="U38" s="121">
        <f t="shared" ref="U38:U47" si="25">$I$9*Z38*AA38/SUMPRODUCT($AA$25:$AA$46,$Z$25:$Z$46)</f>
        <v>7.2385868263473059</v>
      </c>
      <c r="V38" s="121">
        <f t="shared" si="17"/>
        <v>4.3086826347305394</v>
      </c>
      <c r="W38" s="120">
        <f t="shared" si="18"/>
        <v>44761</v>
      </c>
      <c r="X38" s="121">
        <f t="shared" si="22"/>
        <v>5</v>
      </c>
      <c r="Y38" s="121">
        <f t="shared" si="23"/>
        <v>3</v>
      </c>
      <c r="Z38" s="122">
        <v>1</v>
      </c>
      <c r="AA38" s="122">
        <v>1</v>
      </c>
      <c r="AB38" s="277"/>
      <c r="AC38" s="277"/>
    </row>
    <row r="39" spans="1:259" s="125" customFormat="1">
      <c r="A39" s="125">
        <v>15</v>
      </c>
      <c r="B39" s="112">
        <v>46018</v>
      </c>
      <c r="C39" s="132" t="s">
        <v>65</v>
      </c>
      <c r="D39" s="436">
        <f>13665+18785+11868+10001</f>
        <v>54319</v>
      </c>
      <c r="E39" s="375">
        <v>6</v>
      </c>
      <c r="F39" s="116">
        <f t="shared" si="10"/>
        <v>9053.1666666666661</v>
      </c>
      <c r="G39" s="375">
        <v>3</v>
      </c>
      <c r="H39" s="116">
        <f t="shared" si="11"/>
        <v>18106.333333333332</v>
      </c>
      <c r="I39" s="375">
        <v>29</v>
      </c>
      <c r="J39" s="117">
        <f t="shared" si="12"/>
        <v>2</v>
      </c>
      <c r="K39" s="116">
        <v>11990</v>
      </c>
      <c r="L39" s="129"/>
      <c r="M39" s="129">
        <v>7090</v>
      </c>
      <c r="N39" s="372"/>
      <c r="O39" s="352"/>
      <c r="P39" s="352"/>
      <c r="Q39" s="118"/>
      <c r="R39" s="414">
        <f t="shared" si="13"/>
        <v>0.10344827586206896</v>
      </c>
      <c r="S39" s="377">
        <f t="shared" si="14"/>
        <v>0.91625018687567694</v>
      </c>
      <c r="T39" s="120">
        <f t="shared" si="24"/>
        <v>59284.026107784433</v>
      </c>
      <c r="U39" s="121">
        <f t="shared" si="25"/>
        <v>7.2385868263473059</v>
      </c>
      <c r="V39" s="121">
        <f t="shared" si="17"/>
        <v>4.3086826347305394</v>
      </c>
      <c r="W39" s="120">
        <f>IF(AA39&lt;&gt;"",IF(D39&lt;&gt;"",D39,($I$8-SUM($W$25:W38))*Z39*AA39/SUMPRODUCT($AA39:$AA$47,$Z39:$Z$47)),"")</f>
        <v>54319</v>
      </c>
      <c r="X39" s="121">
        <f t="shared" si="22"/>
        <v>6</v>
      </c>
      <c r="Y39" s="121">
        <f t="shared" si="23"/>
        <v>3</v>
      </c>
      <c r="Z39" s="122">
        <v>1</v>
      </c>
      <c r="AA39" s="122">
        <v>1</v>
      </c>
      <c r="AB39" s="277"/>
      <c r="AC39" s="277"/>
      <c r="AD39" s="363"/>
    </row>
    <row r="40" spans="1:259" s="125" customFormat="1">
      <c r="A40" s="125">
        <v>16</v>
      </c>
      <c r="B40" s="112">
        <v>46019</v>
      </c>
      <c r="C40" s="132" t="s">
        <v>67</v>
      </c>
      <c r="D40" s="436">
        <f>16293+7093+28876+3425+4693</f>
        <v>60380</v>
      </c>
      <c r="E40" s="375">
        <v>7</v>
      </c>
      <c r="F40" s="116">
        <f t="shared" si="10"/>
        <v>8625.7142857142862</v>
      </c>
      <c r="G40" s="375">
        <v>5</v>
      </c>
      <c r="H40" s="116">
        <f t="shared" si="11"/>
        <v>12076</v>
      </c>
      <c r="I40" s="375"/>
      <c r="J40" s="117">
        <f t="shared" si="12"/>
        <v>1.4</v>
      </c>
      <c r="K40" s="116">
        <f>11990+13490</f>
        <v>25480</v>
      </c>
      <c r="L40" s="116"/>
      <c r="M40" s="116">
        <v>16293</v>
      </c>
      <c r="N40" s="434"/>
      <c r="O40" s="352"/>
      <c r="P40" s="352">
        <v>7093</v>
      </c>
      <c r="Q40" s="118"/>
      <c r="R40" s="414" t="str">
        <f t="shared" si="13"/>
        <v/>
      </c>
      <c r="S40" s="377">
        <f t="shared" si="14"/>
        <v>1.0184868330336232</v>
      </c>
      <c r="T40" s="120">
        <f t="shared" si="24"/>
        <v>59284.026107784433</v>
      </c>
      <c r="U40" s="121">
        <f t="shared" si="25"/>
        <v>7.2385868263473059</v>
      </c>
      <c r="V40" s="121">
        <f t="shared" si="17"/>
        <v>4.3086826347305394</v>
      </c>
      <c r="W40" s="120">
        <f t="shared" ref="W40:W46" si="26">IF(AA40&lt;&gt;"",IF(D40&lt;&gt;"",D40,($I$8-SUM($W$25:W39))*Z40*AA40/SUMPRODUCT($AA40:$AA$46,$Z40:$Z$46)),"")</f>
        <v>60380</v>
      </c>
      <c r="X40" s="121">
        <f t="shared" ref="X40:X45" si="27">IF(AA40&lt;&gt;"",IF(E40&lt;&gt;"",E40,($I$9-SUM($X$25:X39))*Z40*AA40/SUMPRODUCT($AA40:$AA$46,$Z40:$Z$46)),"")</f>
        <v>7</v>
      </c>
      <c r="Y40" s="121">
        <f t="shared" si="23"/>
        <v>5</v>
      </c>
      <c r="Z40" s="122">
        <v>1</v>
      </c>
      <c r="AA40" s="122">
        <v>1</v>
      </c>
      <c r="AB40" s="277"/>
      <c r="AC40" s="277"/>
      <c r="AD40" s="363"/>
    </row>
    <row r="41" spans="1:259" s="90" customFormat="1">
      <c r="B41" s="437"/>
      <c r="C41" s="93"/>
      <c r="D41" s="438"/>
      <c r="E41" s="439"/>
      <c r="F41" s="96" t="str">
        <f t="shared" si="10"/>
        <v/>
      </c>
      <c r="G41" s="439"/>
      <c r="H41" s="96" t="str">
        <f t="shared" si="11"/>
        <v/>
      </c>
      <c r="I41" s="439"/>
      <c r="J41" s="97" t="str">
        <f t="shared" si="12"/>
        <v/>
      </c>
      <c r="K41" s="96"/>
      <c r="L41" s="96"/>
      <c r="M41" s="96"/>
      <c r="N41" s="408"/>
      <c r="O41" s="325"/>
      <c r="P41" s="325"/>
      <c r="Q41" s="95"/>
      <c r="R41" s="414" t="str">
        <f t="shared" si="13"/>
        <v/>
      </c>
      <c r="S41" s="340" t="e">
        <f t="shared" si="14"/>
        <v>#DIV/0!</v>
      </c>
      <c r="T41" s="101">
        <f t="shared" si="24"/>
        <v>0</v>
      </c>
      <c r="U41" s="102">
        <f t="shared" si="25"/>
        <v>0</v>
      </c>
      <c r="V41" s="102">
        <f t="shared" si="17"/>
        <v>0</v>
      </c>
      <c r="W41" s="101" t="str">
        <f t="shared" si="26"/>
        <v/>
      </c>
      <c r="X41" s="102" t="str">
        <f t="shared" si="27"/>
        <v/>
      </c>
      <c r="Y41" s="102" t="str">
        <f t="shared" si="23"/>
        <v/>
      </c>
      <c r="Z41" s="341"/>
      <c r="AA41" s="341"/>
      <c r="AB41" s="342"/>
      <c r="AC41" s="342"/>
      <c r="AD41" s="440"/>
    </row>
    <row r="42" spans="1:259" s="90" customFormat="1">
      <c r="B42" s="92"/>
      <c r="C42" s="93"/>
      <c r="D42" s="438"/>
      <c r="E42" s="439"/>
      <c r="F42" s="96" t="str">
        <f t="shared" si="10"/>
        <v/>
      </c>
      <c r="G42" s="439"/>
      <c r="H42" s="96" t="str">
        <f t="shared" si="11"/>
        <v/>
      </c>
      <c r="I42" s="439"/>
      <c r="J42" s="97" t="str">
        <f t="shared" si="12"/>
        <v/>
      </c>
      <c r="K42" s="96"/>
      <c r="L42" s="96"/>
      <c r="M42" s="96"/>
      <c r="N42" s="408"/>
      <c r="O42" s="325"/>
      <c r="P42" s="325"/>
      <c r="Q42" s="95"/>
      <c r="R42" s="414" t="str">
        <f t="shared" si="13"/>
        <v/>
      </c>
      <c r="S42" s="340" t="e">
        <f t="shared" si="14"/>
        <v>#DIV/0!</v>
      </c>
      <c r="T42" s="101">
        <f t="shared" si="24"/>
        <v>0</v>
      </c>
      <c r="U42" s="102">
        <f t="shared" si="25"/>
        <v>0</v>
      </c>
      <c r="V42" s="102">
        <f t="shared" si="17"/>
        <v>0</v>
      </c>
      <c r="W42" s="101" t="str">
        <f t="shared" si="26"/>
        <v/>
      </c>
      <c r="X42" s="102" t="str">
        <f t="shared" si="27"/>
        <v/>
      </c>
      <c r="Y42" s="102" t="str">
        <f t="shared" ref="Y42:Y45" si="28">IF(AA42&lt;&gt;"",IF($I$12&lt;&gt;"",IF(G42&lt;&gt;"",G42,($I$9/$I$12-SUM($Y$25:Y41))*Z42*AA42/SUMPRODUCT($AA42:$AA$46,$Z42:$Z$46)),""),"")</f>
        <v/>
      </c>
      <c r="Z42" s="341"/>
      <c r="AA42" s="341"/>
      <c r="AB42" s="342"/>
      <c r="AC42" s="342"/>
      <c r="AD42" s="440"/>
    </row>
    <row r="43" spans="1:259" s="90" customFormat="1" ht="15" customHeight="1">
      <c r="B43" s="92"/>
      <c r="C43" s="93"/>
      <c r="D43" s="438"/>
      <c r="E43" s="439"/>
      <c r="F43" s="96" t="str">
        <f t="shared" si="10"/>
        <v/>
      </c>
      <c r="G43" s="439"/>
      <c r="H43" s="96" t="str">
        <f t="shared" si="11"/>
        <v/>
      </c>
      <c r="I43" s="439"/>
      <c r="J43" s="97" t="str">
        <f t="shared" si="12"/>
        <v/>
      </c>
      <c r="K43" s="96"/>
      <c r="L43" s="96"/>
      <c r="M43" s="96"/>
      <c r="N43" s="96"/>
      <c r="O43" s="441"/>
      <c r="P43" s="442"/>
      <c r="Q43" s="95"/>
      <c r="R43" s="414" t="str">
        <f t="shared" si="13"/>
        <v/>
      </c>
      <c r="S43" s="340" t="e">
        <f t="shared" si="14"/>
        <v>#DIV/0!</v>
      </c>
      <c r="T43" s="101">
        <f t="shared" si="24"/>
        <v>0</v>
      </c>
      <c r="U43" s="102">
        <f t="shared" si="25"/>
        <v>0</v>
      </c>
      <c r="V43" s="102">
        <f t="shared" si="17"/>
        <v>0</v>
      </c>
      <c r="W43" s="101" t="str">
        <f t="shared" si="26"/>
        <v/>
      </c>
      <c r="X43" s="102" t="str">
        <f t="shared" si="27"/>
        <v/>
      </c>
      <c r="Y43" s="102" t="str">
        <f t="shared" si="28"/>
        <v/>
      </c>
      <c r="Z43" s="341"/>
      <c r="AA43" s="341"/>
      <c r="AB43" s="342"/>
      <c r="AC43" s="342"/>
      <c r="AD43" s="440"/>
    </row>
    <row r="44" spans="1:259" s="90" customFormat="1">
      <c r="B44" s="92"/>
      <c r="C44" s="93"/>
      <c r="D44" s="438"/>
      <c r="E44" s="439"/>
      <c r="F44" s="96" t="str">
        <f t="shared" si="10"/>
        <v/>
      </c>
      <c r="G44" s="439"/>
      <c r="H44" s="96" t="str">
        <f t="shared" si="11"/>
        <v/>
      </c>
      <c r="I44" s="439"/>
      <c r="J44" s="97" t="str">
        <f t="shared" si="12"/>
        <v/>
      </c>
      <c r="K44" s="96"/>
      <c r="L44" s="96"/>
      <c r="M44" s="96"/>
      <c r="N44" s="96"/>
      <c r="O44" s="96"/>
      <c r="P44" s="108"/>
      <c r="Q44" s="96"/>
      <c r="R44" s="414" t="str">
        <f t="shared" si="13"/>
        <v/>
      </c>
      <c r="S44" s="340" t="e">
        <f t="shared" si="14"/>
        <v>#DIV/0!</v>
      </c>
      <c r="T44" s="101">
        <f t="shared" si="24"/>
        <v>0</v>
      </c>
      <c r="U44" s="102">
        <f t="shared" si="25"/>
        <v>0</v>
      </c>
      <c r="V44" s="102">
        <f t="shared" si="17"/>
        <v>0</v>
      </c>
      <c r="W44" s="101" t="str">
        <f t="shared" si="26"/>
        <v/>
      </c>
      <c r="X44" s="102" t="str">
        <f t="shared" si="27"/>
        <v/>
      </c>
      <c r="Y44" s="102" t="str">
        <f t="shared" si="28"/>
        <v/>
      </c>
      <c r="Z44" s="341"/>
      <c r="AA44" s="341"/>
      <c r="AB44" s="342"/>
      <c r="AC44" s="342"/>
      <c r="AD44" s="440"/>
    </row>
    <row r="45" spans="1:259" s="90" customFormat="1">
      <c r="A45" s="337"/>
      <c r="B45" s="92"/>
      <c r="C45" s="252"/>
      <c r="D45" s="438"/>
      <c r="E45" s="439"/>
      <c r="F45" s="96" t="str">
        <f t="shared" si="10"/>
        <v/>
      </c>
      <c r="G45" s="439"/>
      <c r="H45" s="96" t="str">
        <f t="shared" si="11"/>
        <v/>
      </c>
      <c r="I45" s="439"/>
      <c r="J45" s="97" t="str">
        <f t="shared" si="12"/>
        <v/>
      </c>
      <c r="K45" s="96"/>
      <c r="L45" s="96"/>
      <c r="M45" s="96"/>
      <c r="N45" s="96"/>
      <c r="O45" s="96"/>
      <c r="P45" s="96"/>
      <c r="Q45" s="96"/>
      <c r="R45" s="414" t="str">
        <f t="shared" si="13"/>
        <v/>
      </c>
      <c r="S45" s="340" t="e">
        <f t="shared" si="14"/>
        <v>#DIV/0!</v>
      </c>
      <c r="T45" s="101">
        <f t="shared" si="24"/>
        <v>0</v>
      </c>
      <c r="U45" s="102">
        <f t="shared" si="25"/>
        <v>0</v>
      </c>
      <c r="V45" s="102">
        <f t="shared" si="17"/>
        <v>0</v>
      </c>
      <c r="W45" s="101" t="str">
        <f t="shared" si="26"/>
        <v/>
      </c>
      <c r="X45" s="102" t="str">
        <f t="shared" si="27"/>
        <v/>
      </c>
      <c r="Y45" s="102" t="str">
        <f t="shared" si="28"/>
        <v/>
      </c>
      <c r="Z45" s="341"/>
      <c r="AA45" s="341"/>
      <c r="AB45" s="342"/>
      <c r="AC45" s="342"/>
      <c r="AD45" s="440"/>
    </row>
    <row r="46" spans="1:259" s="90" customFormat="1">
      <c r="A46" s="337"/>
      <c r="B46" s="92"/>
      <c r="C46" s="93"/>
      <c r="D46" s="253"/>
      <c r="E46" s="108"/>
      <c r="F46" s="254" t="str">
        <f t="shared" si="10"/>
        <v/>
      </c>
      <c r="G46" s="108"/>
      <c r="H46" s="254" t="str">
        <f t="shared" si="11"/>
        <v/>
      </c>
      <c r="I46" s="108"/>
      <c r="J46" s="97" t="str">
        <f t="shared" si="12"/>
        <v/>
      </c>
      <c r="K46" s="96"/>
      <c r="L46" s="96"/>
      <c r="M46" s="96"/>
      <c r="N46" s="96"/>
      <c r="O46" s="96"/>
      <c r="P46" s="96"/>
      <c r="Q46" s="96"/>
      <c r="R46" s="414" t="str">
        <f t="shared" si="13"/>
        <v/>
      </c>
      <c r="S46" s="340" t="e">
        <f t="shared" si="14"/>
        <v>#DIV/0!</v>
      </c>
      <c r="T46" s="101">
        <f t="shared" si="24"/>
        <v>0</v>
      </c>
      <c r="U46" s="102">
        <f t="shared" si="25"/>
        <v>0</v>
      </c>
      <c r="V46" s="102">
        <f t="shared" si="17"/>
        <v>0</v>
      </c>
      <c r="W46" s="101" t="str">
        <f t="shared" si="26"/>
        <v/>
      </c>
      <c r="X46" s="102" t="str">
        <f>IF(AA46&lt;&gt;"",IF(E46&lt;&gt;"",E46,($I$9-SUM($X$25:X39))*Z46*AA46/SUMPRODUCT($AA46:$AA$46,$Z46:$Z$46)),"")</f>
        <v/>
      </c>
      <c r="Y46" s="102" t="str">
        <f>IF(AA46&lt;&gt;"",IF($I$12&lt;&gt;"",IF(G46&lt;&gt;"",G46,($I$9/$I$12-SUM($Y$25:Y39))*Z46*AA46/SUMPRODUCT($AA46:$AA$46,$Z46:$Z$46)),""),"")</f>
        <v/>
      </c>
      <c r="Z46" s="341"/>
      <c r="AA46" s="341"/>
      <c r="AB46" s="342"/>
      <c r="AC46" s="443"/>
    </row>
    <row r="47" spans="1:259" s="90" customFormat="1">
      <c r="A47" s="337" t="s">
        <v>103</v>
      </c>
      <c r="B47" s="92">
        <v>45999</v>
      </c>
      <c r="C47" s="252" t="s">
        <v>55</v>
      </c>
      <c r="D47" s="253">
        <v>5653</v>
      </c>
      <c r="E47" s="108">
        <v>1</v>
      </c>
      <c r="F47" s="96">
        <f t="shared" si="10"/>
        <v>5653</v>
      </c>
      <c r="G47" s="108">
        <v>1</v>
      </c>
      <c r="H47" s="96">
        <f t="shared" si="11"/>
        <v>5653</v>
      </c>
      <c r="I47" s="108">
        <v>1</v>
      </c>
      <c r="J47" s="97">
        <f t="shared" si="12"/>
        <v>1</v>
      </c>
      <c r="K47" s="96"/>
      <c r="L47" s="96"/>
      <c r="M47" s="96"/>
      <c r="N47" s="96"/>
      <c r="O47" s="96"/>
      <c r="P47" s="96"/>
      <c r="Q47" s="96"/>
      <c r="R47" s="414">
        <f t="shared" si="13"/>
        <v>1</v>
      </c>
      <c r="S47" s="340" t="e">
        <f t="shared" si="14"/>
        <v>#DIV/0!</v>
      </c>
      <c r="T47" s="101">
        <f t="shared" si="24"/>
        <v>0</v>
      </c>
      <c r="U47" s="102">
        <f t="shared" si="25"/>
        <v>0</v>
      </c>
      <c r="V47" s="102">
        <f t="shared" si="17"/>
        <v>0</v>
      </c>
      <c r="W47" s="101" t="str">
        <f>IF(AA47&lt;&gt;"",IF(D47&lt;&gt;"",D47,($I$8-SUM($W$25:W46))*Z47*AA47/SUMPRODUCT($AA$47:$AA47,$Z$47:$Z47)),"")</f>
        <v/>
      </c>
      <c r="X47" s="102" t="str">
        <f>IF(AA47&lt;&gt;"",IF(E47&lt;&gt;"",E47,($I$9-SUM(#REF!))*Z47*AA47/SUMPRODUCT($AA$47:$AA47,$Z$47:$Z47)),"")</f>
        <v/>
      </c>
      <c r="Y47" s="102" t="str">
        <f>IF(AA47&lt;&gt;"",IF($I$12&lt;&gt;"",IF(G47&lt;&gt;"",G47,($I$9/$I$12-SUM(#REF!))*Z47*AA47/SUMPRODUCT($AA$47:$AA47,$Z$47:$Z47)),""),"")</f>
        <v/>
      </c>
      <c r="Z47" s="341"/>
      <c r="AA47" s="341"/>
      <c r="AB47" s="342"/>
      <c r="AC47" s="342"/>
    </row>
    <row r="48" spans="1:259" ht="15" customHeight="1">
      <c r="B48" s="860" t="s">
        <v>84</v>
      </c>
      <c r="C48" s="860"/>
      <c r="D48" s="298">
        <f>SUM(D25:D47)</f>
        <v>652963</v>
      </c>
      <c r="E48" s="298">
        <f>SUM(E25:E47)</f>
        <v>82</v>
      </c>
      <c r="F48" s="444">
        <f t="shared" si="10"/>
        <v>7962.9634146341459</v>
      </c>
      <c r="G48" s="298">
        <f>SUM(G25:G47)</f>
        <v>45</v>
      </c>
      <c r="H48" s="444">
        <f t="shared" si="11"/>
        <v>14510.288888888888</v>
      </c>
      <c r="I48" s="298">
        <f>SUM(I25:I47)</f>
        <v>482</v>
      </c>
      <c r="J48" s="299">
        <f t="shared" si="12"/>
        <v>1.8222222222222222</v>
      </c>
      <c r="K48" s="298">
        <f>SUM(K25:K47)</f>
        <v>161456</v>
      </c>
      <c r="L48" s="298">
        <f t="shared" ref="L48:Q48" si="29">SUM(L25:L47)</f>
        <v>0</v>
      </c>
      <c r="M48" s="298">
        <f t="shared" si="29"/>
        <v>54495</v>
      </c>
      <c r="N48" s="298">
        <f t="shared" si="29"/>
        <v>32456</v>
      </c>
      <c r="O48" s="298">
        <f t="shared" si="29"/>
        <v>15390</v>
      </c>
      <c r="P48" s="298"/>
      <c r="Q48" s="298">
        <f t="shared" si="29"/>
        <v>8593</v>
      </c>
      <c r="R48" s="135">
        <f t="shared" si="13"/>
        <v>9.3360995850622408E-2</v>
      </c>
      <c r="S48" s="300">
        <f t="shared" si="14"/>
        <v>0.68838421037402031</v>
      </c>
      <c r="T48" s="301">
        <f t="shared" ref="T48:Y48" si="30">SUM(T25:T47)</f>
        <v>948544.41772455117</v>
      </c>
      <c r="U48" s="301">
        <f t="shared" si="30"/>
        <v>115.81738922155687</v>
      </c>
      <c r="V48" s="301">
        <f t="shared" si="30"/>
        <v>68.938922155688616</v>
      </c>
      <c r="W48" s="301">
        <f t="shared" si="30"/>
        <v>647310</v>
      </c>
      <c r="X48" s="301">
        <f t="shared" si="30"/>
        <v>81</v>
      </c>
      <c r="Y48" s="301">
        <f t="shared" si="30"/>
        <v>41</v>
      </c>
      <c r="Z48" s="302"/>
      <c r="AA48" s="302"/>
    </row>
    <row r="49" spans="2:21">
      <c r="B49" s="138"/>
      <c r="C49" s="139"/>
      <c r="D49" s="140">
        <f>SUMIF(D25:D47,"",T25:T47)+D48</f>
        <v>652963</v>
      </c>
      <c r="E49" s="141"/>
      <c r="F49" s="139"/>
      <c r="G49" s="139"/>
      <c r="H49" s="142"/>
      <c r="I49" s="143"/>
      <c r="J49" s="142"/>
      <c r="O49" s="144"/>
      <c r="P49" s="144"/>
      <c r="Q49" s="141"/>
      <c r="R49" s="144"/>
      <c r="S49" s="144"/>
      <c r="T49" s="144"/>
      <c r="U49" s="145"/>
    </row>
    <row r="50" spans="2:21">
      <c r="D50" s="147"/>
    </row>
    <row r="52" spans="2:21">
      <c r="D52" s="147"/>
    </row>
    <row r="53" spans="2:21">
      <c r="D53" s="147"/>
    </row>
  </sheetData>
  <mergeCells count="28">
    <mergeCell ref="T22:AA22"/>
    <mergeCell ref="B48:C48"/>
    <mergeCell ref="F18:H18"/>
    <mergeCell ref="F19:H19"/>
    <mergeCell ref="F20:H20"/>
    <mergeCell ref="B22:R22"/>
    <mergeCell ref="S22:S24"/>
    <mergeCell ref="F14:H14"/>
    <mergeCell ref="F15:H15"/>
    <mergeCell ref="F16:H16"/>
    <mergeCell ref="S16:S17"/>
    <mergeCell ref="F17:H17"/>
    <mergeCell ref="F9:H9"/>
    <mergeCell ref="F10:H10"/>
    <mergeCell ref="F11:H11"/>
    <mergeCell ref="F12:H12"/>
    <mergeCell ref="F13:H13"/>
    <mergeCell ref="J5:R5"/>
    <mergeCell ref="F6:R6"/>
    <mergeCell ref="F7:H7"/>
    <mergeCell ref="P7:Q7"/>
    <mergeCell ref="F8:H8"/>
    <mergeCell ref="B1:C1"/>
    <mergeCell ref="U1:X4"/>
    <mergeCell ref="B2:C2"/>
    <mergeCell ref="J2:T2"/>
    <mergeCell ref="J3:R4"/>
    <mergeCell ref="C4:D4"/>
  </mergeCells>
  <conditionalFormatting sqref="J16">
    <cfRule type="cellIs" dxfId="39" priority="341" operator="greaterThan">
      <formula>0</formula>
    </cfRule>
    <cfRule type="cellIs" dxfId="38" priority="340" operator="lessThan">
      <formula>0</formula>
    </cfRule>
  </conditionalFormatting>
  <conditionalFormatting sqref="J25:J36">
    <cfRule type="cellIs" dxfId="37" priority="4" operator="greaterThan">
      <formula>$I$12</formula>
    </cfRule>
    <cfRule type="cellIs" dxfId="36" priority="3" operator="lessThan">
      <formula>$I$12</formula>
    </cfRule>
  </conditionalFormatting>
  <conditionalFormatting sqref="J33:J34">
    <cfRule type="cellIs" dxfId="35" priority="367" operator="lessThan">
      <formula>$I$12</formula>
    </cfRule>
  </conditionalFormatting>
  <conditionalFormatting sqref="J37">
    <cfRule type="cellIs" dxfId="34" priority="387" operator="lessThan">
      <formula>$I$12</formula>
    </cfRule>
  </conditionalFormatting>
  <conditionalFormatting sqref="J37:J47">
    <cfRule type="cellIs" dxfId="33" priority="125" operator="greaterThan">
      <formula>$I$12</formula>
    </cfRule>
  </conditionalFormatting>
  <conditionalFormatting sqref="J38:J47">
    <cfRule type="cellIs" dxfId="32" priority="124" operator="lessThan">
      <formula>$I$12</formula>
    </cfRule>
  </conditionalFormatting>
  <conditionalFormatting sqref="K10:K12 K15">
    <cfRule type="cellIs" dxfId="31" priority="339" operator="greaterThan">
      <formula>1</formula>
    </cfRule>
    <cfRule type="cellIs" dxfId="30" priority="338" operator="lessThan">
      <formula>1</formula>
    </cfRule>
  </conditionalFormatting>
  <conditionalFormatting sqref="K20">
    <cfRule type="cellIs" dxfId="29" priority="12" operator="lessThan">
      <formula>1</formula>
    </cfRule>
    <cfRule type="cellIs" dxfId="28" priority="13" operator="greaterThan">
      <formula>1</formula>
    </cfRule>
  </conditionalFormatting>
  <conditionalFormatting sqref="M9:M15">
    <cfRule type="cellIs" dxfId="27" priority="330" operator="greaterThan">
      <formula>1</formula>
    </cfRule>
    <cfRule type="cellIs" dxfId="26" priority="329" operator="lessThan">
      <formula>1</formula>
    </cfRule>
  </conditionalFormatting>
  <conditionalFormatting sqref="P10:Q10">
    <cfRule type="cellIs" dxfId="25" priority="342" operator="lessThan">
      <formula>0</formula>
    </cfRule>
  </conditionalFormatting>
  <conditionalFormatting sqref="R25:R47">
    <cfRule type="cellIs" dxfId="24" priority="23" operator="between">
      <formula>0.2</formula>
      <formula>0.25</formula>
    </cfRule>
    <cfRule type="cellIs" dxfId="23" priority="24" operator="greaterThanOrEqual">
      <formula>0.25</formula>
    </cfRule>
    <cfRule type="cellIs" dxfId="22" priority="18" operator="lessThan">
      <formula>0.2</formula>
    </cfRule>
  </conditionalFormatting>
  <conditionalFormatting sqref="S25:S32">
    <cfRule type="cellIs" dxfId="21" priority="20" operator="lessThan">
      <formula>0.9</formula>
    </cfRule>
    <cfRule type="cellIs" dxfId="20" priority="19" operator="between">
      <formula>0.9001</formula>
      <formula>0.9999</formula>
    </cfRule>
    <cfRule type="cellIs" dxfId="19" priority="21" operator="between">
      <formula>0.85</formula>
      <formula>1</formula>
    </cfRule>
  </conditionalFormatting>
  <conditionalFormatting sqref="S25:S34">
    <cfRule type="cellIs" dxfId="18" priority="22" operator="between">
      <formula>0.01</formula>
      <formula>0.99</formula>
    </cfRule>
  </conditionalFormatting>
  <conditionalFormatting sqref="S25:S47">
    <cfRule type="cellIs" dxfId="17" priority="8" operator="greaterThan">
      <formula>100</formula>
    </cfRule>
    <cfRule type="cellIs" dxfId="16" priority="7" operator="greaterThan">
      <formula>1</formula>
    </cfRule>
  </conditionalFormatting>
  <conditionalFormatting sqref="S33:S34">
    <cfRule type="cellIs" dxfId="15" priority="385" operator="between">
      <formula>0.9001</formula>
      <formula>0.9999</formula>
    </cfRule>
    <cfRule type="cellIs" dxfId="14" priority="383" operator="lessThan">
      <formula>0.9</formula>
    </cfRule>
    <cfRule type="cellIs" dxfId="13" priority="377" operator="between">
      <formula>0.85</formula>
      <formula>1</formula>
    </cfRule>
  </conditionalFormatting>
  <conditionalFormatting sqref="S35:S36">
    <cfRule type="cellIs" dxfId="12" priority="5" operator="between">
      <formula>0.9001</formula>
      <formula>0.9999</formula>
    </cfRule>
    <cfRule type="cellIs" dxfId="11" priority="6" operator="lessThan">
      <formula>0.9</formula>
    </cfRule>
    <cfRule type="cellIs" dxfId="10" priority="10" operator="between">
      <formula>0.01</formula>
      <formula>0.99</formula>
    </cfRule>
    <cfRule type="cellIs" dxfId="9" priority="9" operator="between">
      <formula>0.85</formula>
      <formula>1</formula>
    </cfRule>
  </conditionalFormatting>
  <conditionalFormatting sqref="S37">
    <cfRule type="cellIs" dxfId="8" priority="396" operator="between">
      <formula>0.9001</formula>
      <formula>0.9999</formula>
    </cfRule>
    <cfRule type="cellIs" dxfId="7" priority="392" operator="between">
      <formula>0.85</formula>
      <formula>1</formula>
    </cfRule>
    <cfRule type="cellIs" dxfId="6" priority="395" operator="lessThan">
      <formula>0.9</formula>
    </cfRule>
  </conditionalFormatting>
  <conditionalFormatting sqref="S37:S45 S47">
    <cfRule type="cellIs" dxfId="5" priority="337" operator="between">
      <formula>0.01</formula>
      <formula>0.99</formula>
    </cfRule>
  </conditionalFormatting>
  <conditionalFormatting sqref="S38:S45 S47">
    <cfRule type="cellIs" dxfId="4" priority="336" operator="between">
      <formula>0.85</formula>
      <formula>1</formula>
    </cfRule>
  </conditionalFormatting>
  <conditionalFormatting sqref="S38:S47">
    <cfRule type="cellIs" dxfId="3" priority="334" operator="lessThan">
      <formula>0.9</formula>
    </cfRule>
    <cfRule type="cellIs" dxfId="2" priority="333" operator="between">
      <formula>0.9001</formula>
      <formula>0.9999</formula>
    </cfRule>
  </conditionalFormatting>
  <conditionalFormatting sqref="S46">
    <cfRule type="cellIs" dxfId="1" priority="332" operator="between">
      <formula>0.01</formula>
      <formula>0.99</formula>
    </cfRule>
    <cfRule type="cellIs" dxfId="0" priority="331" operator="between">
      <formula>0.85</formula>
      <formula>1</formula>
    </cfRule>
  </conditionalFormatting>
  <dataValidations count="3">
    <dataValidation type="decimal" allowBlank="1" showErrorMessage="1" sqref="I41" xr:uid="{000200D6-00CF-4170-B673-00D800CB00F9}">
      <formula1>0</formula1>
      <formula2>10000000000000000</formula2>
    </dataValidation>
    <dataValidation type="decimal" allowBlank="1" showErrorMessage="1" sqref="L10:L11 I14 I8:J13" xr:uid="{00DB000C-0017-4C9A-B96A-004C007C00AB}">
      <formula1>0</formula1>
      <formula2>1000000000000000</formula2>
    </dataValidation>
    <dataValidation type="date" allowBlank="1" showErrorMessage="1" sqref="B41" xr:uid="{00570067-00D5-4C7D-A725-00EF00090092}">
      <formula1>40544</formula1>
      <formula2>73051</formula2>
    </dataValidation>
  </dataValidations>
  <printOptions gridLines="1"/>
  <pageMargins left="0.7" right="0.7" top="0.75" bottom="0.75" header="0.51200000000000001" footer="0.51200000000000001"/>
  <pageSetup paperSize="9" firstPageNumber="0" fitToHeight="0" orientation="landscape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DBDBDB"/>
  </sheetPr>
  <dimension ref="A1:N27"/>
  <sheetViews>
    <sheetView tabSelected="1" zoomScale="91" workbookViewId="0">
      <selection activeCell="P17" sqref="P17"/>
    </sheetView>
  </sheetViews>
  <sheetFormatPr baseColWidth="10" defaultColWidth="11.5" defaultRowHeight="15"/>
  <cols>
    <col min="1" max="1" width="2.1640625" style="1" customWidth="1"/>
    <col min="2" max="2" width="11.6640625" style="1" customWidth="1"/>
    <col min="3" max="3" width="19.1640625" style="1" customWidth="1"/>
    <col min="4" max="4" width="10.83203125" style="1" customWidth="1"/>
    <col min="5" max="6" width="11.5" style="1"/>
    <col min="7" max="7" width="12.6640625" style="1" customWidth="1"/>
    <col min="8" max="8" width="11.5" style="1" customWidth="1"/>
    <col min="9" max="9" width="16.33203125" style="1" customWidth="1"/>
    <col min="10" max="10" width="17.1640625" style="1" customWidth="1"/>
    <col min="11" max="11" width="14.1640625" style="1" customWidth="1"/>
    <col min="12" max="12" width="13.83203125" style="1" customWidth="1"/>
    <col min="13" max="13" width="15.5" style="1" customWidth="1"/>
    <col min="14" max="14" width="15.83203125" customWidth="1"/>
  </cols>
  <sheetData>
    <row r="1" spans="1:14" ht="22" customHeight="1">
      <c r="A1" s="869" t="str">
        <f>График!B1</f>
        <v>Декабрь, 2025</v>
      </c>
      <c r="B1" s="870"/>
      <c r="C1" s="870"/>
      <c r="D1" s="871"/>
      <c r="E1" s="445"/>
      <c r="F1" s="446"/>
      <c r="G1" s="446"/>
      <c r="H1" s="446"/>
      <c r="I1" s="446"/>
      <c r="J1" s="446"/>
      <c r="K1" s="446"/>
      <c r="L1" s="446"/>
      <c r="M1" s="446"/>
      <c r="N1" s="447"/>
    </row>
    <row r="2" spans="1:14" ht="19" customHeight="1">
      <c r="A2" s="872" t="str">
        <f>График!B3</f>
        <v>ул. Севастопольская, 62</v>
      </c>
      <c r="B2" s="873"/>
      <c r="C2" s="874"/>
      <c r="D2" s="448" t="str">
        <f>График!B4</f>
        <v>GL-0004</v>
      </c>
      <c r="E2" s="449"/>
      <c r="F2" s="450"/>
      <c r="G2" s="450"/>
      <c r="H2" s="450"/>
      <c r="I2" s="450"/>
      <c r="J2" s="450"/>
      <c r="K2" s="451"/>
      <c r="L2" s="451"/>
      <c r="M2" s="450"/>
      <c r="N2" s="452"/>
    </row>
    <row r="3" spans="1:14" ht="75">
      <c r="A3" s="875" t="s">
        <v>28</v>
      </c>
      <c r="B3" s="876"/>
      <c r="C3" s="877"/>
      <c r="D3" s="453" t="s">
        <v>104</v>
      </c>
      <c r="E3" s="454" t="s">
        <v>105</v>
      </c>
      <c r="F3" s="455" t="s">
        <v>106</v>
      </c>
      <c r="G3" s="456" t="s">
        <v>107</v>
      </c>
      <c r="H3" s="457" t="s">
        <v>108</v>
      </c>
      <c r="I3" s="457" t="s">
        <v>109</v>
      </c>
      <c r="J3" s="458" t="s">
        <v>110</v>
      </c>
      <c r="K3" s="459" t="s">
        <v>87</v>
      </c>
      <c r="L3" s="460" t="s">
        <v>111</v>
      </c>
      <c r="M3" s="455" t="s">
        <v>112</v>
      </c>
      <c r="N3" s="461" t="s">
        <v>113</v>
      </c>
    </row>
    <row r="4" spans="1:14" ht="19" customHeight="1">
      <c r="A4" s="878" t="str">
        <f>График!B28</f>
        <v>Стекольщикова Алла</v>
      </c>
      <c r="B4" s="879"/>
      <c r="C4" s="880"/>
      <c r="D4" s="462">
        <f>44000-C8</f>
        <v>38280</v>
      </c>
      <c r="E4" s="463"/>
      <c r="F4" s="464">
        <f>H8+H9</f>
        <v>21178.145199999999</v>
      </c>
      <c r="G4" s="465">
        <f>D13</f>
        <v>23300</v>
      </c>
      <c r="H4" s="466">
        <f>D20</f>
        <v>43782.600000000006</v>
      </c>
      <c r="I4" s="466">
        <f>M20</f>
        <v>14358.050127145711</v>
      </c>
      <c r="J4" s="467">
        <f>M13</f>
        <v>12705</v>
      </c>
      <c r="K4" s="468">
        <f>H4+J4+G4+F4+I4</f>
        <v>115323.79532714572</v>
      </c>
      <c r="L4" s="469">
        <f>C8+C9+C10+C11</f>
        <v>5920</v>
      </c>
      <c r="M4" s="464">
        <f>K4-L4-D4-E4</f>
        <v>71123.795327145723</v>
      </c>
      <c r="N4" s="470"/>
    </row>
    <row r="5" spans="1:14">
      <c r="A5" s="471"/>
      <c r="B5" s="472"/>
      <c r="C5" s="473"/>
      <c r="D5" s="473"/>
      <c r="E5" s="473"/>
      <c r="F5" s="473"/>
      <c r="G5" s="473"/>
      <c r="H5" s="473"/>
      <c r="I5" s="473"/>
      <c r="J5" s="473"/>
      <c r="K5" s="474"/>
      <c r="L5" s="473"/>
      <c r="M5" s="475"/>
      <c r="N5" s="476"/>
    </row>
    <row r="6" spans="1:14">
      <c r="A6" s="477"/>
      <c r="B6" s="478" t="s">
        <v>111</v>
      </c>
      <c r="C6" s="479"/>
      <c r="D6" s="479"/>
      <c r="E6" s="479"/>
      <c r="F6" s="473"/>
      <c r="G6" s="472" t="s">
        <v>114</v>
      </c>
      <c r="H6" s="473"/>
      <c r="I6" s="473"/>
      <c r="J6" s="473"/>
      <c r="K6" s="473"/>
      <c r="L6" s="473"/>
      <c r="M6" s="475"/>
      <c r="N6" s="480"/>
    </row>
    <row r="7" spans="1:14" ht="20" customHeight="1">
      <c r="A7" s="481"/>
      <c r="B7" s="482" t="s">
        <v>29</v>
      </c>
      <c r="C7" s="482" t="s">
        <v>115</v>
      </c>
      <c r="D7" s="881" t="s">
        <v>116</v>
      </c>
      <c r="E7" s="881"/>
      <c r="F7" s="483"/>
      <c r="G7" s="482" t="s">
        <v>29</v>
      </c>
      <c r="H7" s="881" t="s">
        <v>115</v>
      </c>
      <c r="I7" s="881"/>
      <c r="J7" s="881" t="s">
        <v>116</v>
      </c>
      <c r="K7" s="881"/>
      <c r="L7" s="484"/>
      <c r="M7" s="485"/>
      <c r="N7" s="486"/>
    </row>
    <row r="8" spans="1:14" ht="16" customHeight="1">
      <c r="A8" s="487"/>
      <c r="B8" s="488">
        <v>46022</v>
      </c>
      <c r="C8" s="489">
        <v>5720</v>
      </c>
      <c r="D8" s="882" t="s">
        <v>117</v>
      </c>
      <c r="E8" s="882"/>
      <c r="F8" s="491"/>
      <c r="G8" s="488">
        <v>46022</v>
      </c>
      <c r="H8" s="883">
        <f>Центрум!E62*1%+9694.75</f>
        <v>21178.145199999999</v>
      </c>
      <c r="I8" s="883"/>
      <c r="J8" s="882" t="s">
        <v>118</v>
      </c>
      <c r="K8" s="882"/>
      <c r="L8" s="473"/>
      <c r="M8" s="475"/>
      <c r="N8" s="480"/>
    </row>
    <row r="9" spans="1:14" ht="24" customHeight="1">
      <c r="A9" s="477"/>
      <c r="B9" s="488">
        <v>46031</v>
      </c>
      <c r="C9" s="489">
        <v>200</v>
      </c>
      <c r="D9" s="882" t="s">
        <v>163</v>
      </c>
      <c r="E9" s="882"/>
      <c r="F9" s="473"/>
      <c r="G9" s="488">
        <v>46022</v>
      </c>
      <c r="H9" s="883">
        <v>0</v>
      </c>
      <c r="I9" s="883"/>
      <c r="J9" s="882" t="s">
        <v>119</v>
      </c>
      <c r="K9" s="882"/>
      <c r="L9" s="473"/>
      <c r="M9" s="475"/>
      <c r="N9" s="480"/>
    </row>
    <row r="10" spans="1:14" ht="24" customHeight="1">
      <c r="A10" s="492"/>
      <c r="B10" s="493"/>
      <c r="C10" s="494"/>
      <c r="D10" s="884"/>
      <c r="E10" s="884"/>
      <c r="F10" s="495"/>
      <c r="G10" s="488">
        <v>46022</v>
      </c>
      <c r="H10" s="883">
        <v>0</v>
      </c>
      <c r="I10" s="883"/>
      <c r="J10" s="882" t="s">
        <v>120</v>
      </c>
      <c r="K10" s="882"/>
      <c r="L10" s="473"/>
      <c r="M10" s="475"/>
      <c r="N10" s="480"/>
    </row>
    <row r="11" spans="1:14" ht="29" customHeight="1">
      <c r="A11" s="492"/>
      <c r="B11" s="496"/>
      <c r="C11" s="497"/>
      <c r="D11" s="885"/>
      <c r="E11" s="885"/>
      <c r="F11" s="495"/>
      <c r="G11" s="473"/>
      <c r="H11" s="473"/>
      <c r="I11" s="473"/>
      <c r="J11" s="473"/>
      <c r="K11" s="473"/>
      <c r="L11" s="473"/>
      <c r="M11" s="475"/>
      <c r="N11" s="480"/>
    </row>
    <row r="12" spans="1:14">
      <c r="A12" s="477"/>
      <c r="B12" s="498"/>
      <c r="C12" s="499"/>
      <c r="D12" s="500"/>
      <c r="E12" s="500"/>
      <c r="F12" s="473"/>
      <c r="G12" s="473"/>
      <c r="H12" s="473"/>
      <c r="I12" s="473"/>
      <c r="J12" s="473"/>
      <c r="K12" s="473"/>
      <c r="L12" s="473"/>
      <c r="M12" s="475"/>
      <c r="N12" s="480"/>
    </row>
    <row r="13" spans="1:14" ht="19" customHeight="1">
      <c r="A13" s="501" t="s">
        <v>121</v>
      </c>
      <c r="B13" s="502"/>
      <c r="C13" s="502"/>
      <c r="D13" s="503">
        <f>G17+G18</f>
        <v>23300</v>
      </c>
      <c r="E13" s="504"/>
      <c r="F13" s="505"/>
      <c r="G13" s="502"/>
      <c r="H13" s="502"/>
      <c r="I13" s="506" t="s">
        <v>122</v>
      </c>
      <c r="J13" s="502"/>
      <c r="K13" s="502"/>
      <c r="L13" s="502"/>
      <c r="M13" s="507">
        <f>K17+K18</f>
        <v>12705</v>
      </c>
      <c r="N13" s="508"/>
    </row>
    <row r="14" spans="1:14">
      <c r="A14" s="477"/>
      <c r="B14" s="472"/>
      <c r="C14" s="473"/>
      <c r="D14" s="509"/>
      <c r="E14" s="509"/>
      <c r="F14" s="473"/>
      <c r="G14" s="473"/>
      <c r="H14" s="473"/>
      <c r="I14" s="473"/>
      <c r="J14" s="473"/>
      <c r="K14" s="475"/>
      <c r="L14" s="475"/>
      <c r="M14" s="475"/>
      <c r="N14" s="480"/>
    </row>
    <row r="15" spans="1:14">
      <c r="A15" s="510"/>
      <c r="B15" s="511" t="s">
        <v>121</v>
      </c>
      <c r="C15" s="509"/>
      <c r="D15" s="509"/>
      <c r="E15" s="509"/>
      <c r="F15" s="509"/>
      <c r="G15" s="509"/>
      <c r="H15" s="509"/>
      <c r="I15" s="512" t="s">
        <v>110</v>
      </c>
      <c r="J15" s="513"/>
      <c r="K15" s="513"/>
      <c r="L15" s="514"/>
      <c r="M15" s="514"/>
      <c r="N15" s="515"/>
    </row>
    <row r="16" spans="1:14" ht="24">
      <c r="A16" s="510"/>
      <c r="B16" s="516" t="s">
        <v>123</v>
      </c>
      <c r="C16" s="516" t="s">
        <v>124</v>
      </c>
      <c r="D16" s="516" t="s">
        <v>125</v>
      </c>
      <c r="E16" s="516" t="s">
        <v>126</v>
      </c>
      <c r="F16" s="516" t="s">
        <v>127</v>
      </c>
      <c r="G16" s="516" t="s">
        <v>128</v>
      </c>
      <c r="H16" s="517"/>
      <c r="I16" s="516" t="s">
        <v>124</v>
      </c>
      <c r="J16" s="516" t="s">
        <v>129</v>
      </c>
      <c r="K16" s="516" t="s">
        <v>130</v>
      </c>
      <c r="L16" s="514"/>
      <c r="M16" s="514"/>
      <c r="N16" s="515"/>
    </row>
    <row r="17" spans="1:14">
      <c r="A17" s="477"/>
      <c r="B17" s="518">
        <f>График!AI28</f>
        <v>25</v>
      </c>
      <c r="C17" s="519" t="str">
        <f>A2</f>
        <v>ул. Севастопольская, 62</v>
      </c>
      <c r="D17" s="519" t="s">
        <v>131</v>
      </c>
      <c r="E17" s="520">
        <f>График!AJ28</f>
        <v>233</v>
      </c>
      <c r="F17" s="521">
        <v>100</v>
      </c>
      <c r="G17" s="522">
        <f>E17*F17</f>
        <v>23300</v>
      </c>
      <c r="H17" s="523"/>
      <c r="I17" s="519" t="str">
        <f>C17</f>
        <v>ул. Севастопольская, 62</v>
      </c>
      <c r="J17" s="524">
        <v>1</v>
      </c>
      <c r="K17" s="521">
        <v>12705</v>
      </c>
      <c r="L17" s="475"/>
      <c r="M17" s="475"/>
      <c r="N17" s="480"/>
    </row>
    <row r="18" spans="1:14">
      <c r="A18" s="510"/>
      <c r="B18" s="516"/>
      <c r="C18" s="519"/>
      <c r="D18" s="519"/>
      <c r="E18" s="525"/>
      <c r="F18" s="521"/>
      <c r="G18" s="522"/>
      <c r="H18" s="517"/>
      <c r="I18" s="526"/>
      <c r="J18" s="527"/>
      <c r="K18" s="521"/>
      <c r="L18" s="514"/>
      <c r="M18" s="514"/>
      <c r="N18" s="515"/>
    </row>
    <row r="19" spans="1:14">
      <c r="A19" s="510"/>
      <c r="B19" s="509"/>
      <c r="C19" s="528"/>
      <c r="D19" s="473"/>
      <c r="E19" s="529"/>
      <c r="F19" s="529"/>
      <c r="G19" s="530"/>
      <c r="H19" s="509"/>
      <c r="I19" s="509"/>
      <c r="J19" s="509"/>
      <c r="K19" s="509"/>
      <c r="L19" s="514"/>
      <c r="M19" s="514"/>
      <c r="N19" s="515"/>
    </row>
    <row r="20" spans="1:14">
      <c r="A20" s="501" t="s">
        <v>132</v>
      </c>
      <c r="B20" s="502"/>
      <c r="C20" s="502"/>
      <c r="D20" s="531">
        <f>G25+G26</f>
        <v>43782.600000000006</v>
      </c>
      <c r="E20" s="532"/>
      <c r="F20" s="505"/>
      <c r="G20" s="505"/>
      <c r="H20" s="505"/>
      <c r="I20" s="533" t="s">
        <v>109</v>
      </c>
      <c r="J20" s="505"/>
      <c r="K20" s="505"/>
      <c r="L20" s="505"/>
      <c r="M20" s="531">
        <f>N25+N26</f>
        <v>14358.050127145711</v>
      </c>
      <c r="N20" s="508"/>
    </row>
    <row r="21" spans="1:14">
      <c r="A21" s="534"/>
      <c r="B21" s="472"/>
      <c r="C21" s="475"/>
      <c r="D21" s="475"/>
      <c r="E21" s="475"/>
      <c r="F21" s="475"/>
      <c r="G21" s="475"/>
      <c r="H21" s="475"/>
      <c r="I21" s="475"/>
      <c r="J21" s="475"/>
      <c r="K21" s="535"/>
      <c r="L21" s="139"/>
      <c r="M21" s="139"/>
      <c r="N21" s="536"/>
    </row>
    <row r="22" spans="1:14">
      <c r="A22" s="534"/>
      <c r="B22" s="473"/>
      <c r="C22" s="472"/>
      <c r="D22" s="475"/>
      <c r="E22" s="475"/>
      <c r="F22" s="475"/>
      <c r="G22" s="475"/>
      <c r="H22" s="475"/>
      <c r="I22" s="475"/>
      <c r="J22" s="475"/>
      <c r="K22" s="475"/>
      <c r="L22" s="475"/>
      <c r="M22" s="475"/>
      <c r="N22" s="480"/>
    </row>
    <row r="23" spans="1:14">
      <c r="A23" s="534"/>
      <c r="B23" s="472" t="s">
        <v>133</v>
      </c>
      <c r="C23" s="475"/>
      <c r="D23" s="475"/>
      <c r="E23" s="475"/>
      <c r="F23" s="475"/>
      <c r="G23" s="475"/>
      <c r="H23" s="475"/>
      <c r="I23" s="537" t="s">
        <v>134</v>
      </c>
      <c r="J23" s="537"/>
      <c r="K23" s="538"/>
      <c r="L23" s="538"/>
      <c r="M23" s="538"/>
      <c r="N23" s="539"/>
    </row>
    <row r="24" spans="1:14" ht="36">
      <c r="A24" s="540"/>
      <c r="B24" s="516" t="s">
        <v>28</v>
      </c>
      <c r="C24" s="886" t="s">
        <v>124</v>
      </c>
      <c r="D24" s="886"/>
      <c r="E24" s="516" t="s">
        <v>135</v>
      </c>
      <c r="F24" s="516" t="s">
        <v>136</v>
      </c>
      <c r="G24" s="516" t="s">
        <v>137</v>
      </c>
      <c r="H24" s="517"/>
      <c r="I24" s="516" t="s">
        <v>28</v>
      </c>
      <c r="J24" s="516" t="s">
        <v>124</v>
      </c>
      <c r="K24" s="516" t="s">
        <v>138</v>
      </c>
      <c r="L24" s="516" t="s">
        <v>139</v>
      </c>
      <c r="M24" s="516" t="s">
        <v>135</v>
      </c>
      <c r="N24" s="541" t="s">
        <v>137</v>
      </c>
    </row>
    <row r="25" spans="1:14" ht="20" customHeight="1">
      <c r="A25" s="534"/>
      <c r="B25" s="519" t="str">
        <f>A4</f>
        <v>Стекольщикова Алла</v>
      </c>
      <c r="C25" s="887" t="str">
        <f>A2</f>
        <v>ул. Севастопольская, 62</v>
      </c>
      <c r="D25" s="887"/>
      <c r="E25" s="524">
        <v>0.05</v>
      </c>
      <c r="F25" s="489">
        <f>'Стекольщикова А. А.'!J8</f>
        <v>875652</v>
      </c>
      <c r="G25" s="542">
        <f>F25*E25</f>
        <v>43782.600000000006</v>
      </c>
      <c r="H25" s="543"/>
      <c r="I25" s="544" t="str">
        <f>B25</f>
        <v>Стекольщикова Алла</v>
      </c>
      <c r="J25" s="545" t="str">
        <f>C25</f>
        <v>ул. Севастопольская, 62</v>
      </c>
      <c r="K25" s="545">
        <f>E17</f>
        <v>233</v>
      </c>
      <c r="L25" s="546">
        <f>График!AJ29</f>
        <v>1002</v>
      </c>
      <c r="M25" s="524">
        <v>0.02</v>
      </c>
      <c r="N25" s="547">
        <f>Центрум!J8*M25*K25/L25</f>
        <v>14358.050127145711</v>
      </c>
    </row>
    <row r="26" spans="1:14" ht="18" customHeight="1">
      <c r="A26" s="540"/>
      <c r="B26" s="519"/>
      <c r="C26" s="888"/>
      <c r="D26" s="888"/>
      <c r="E26" s="524"/>
      <c r="F26" s="548"/>
      <c r="G26" s="542"/>
      <c r="H26" s="517"/>
      <c r="I26" s="544"/>
      <c r="J26" s="549"/>
      <c r="K26" s="550"/>
      <c r="L26" s="551"/>
      <c r="M26" s="524"/>
      <c r="N26" s="547"/>
    </row>
    <row r="27" spans="1:14">
      <c r="A27" s="552"/>
      <c r="B27" s="553"/>
      <c r="C27" s="553"/>
      <c r="D27" s="553"/>
      <c r="E27" s="553"/>
      <c r="F27" s="553"/>
      <c r="G27" s="553"/>
      <c r="H27" s="553"/>
      <c r="I27" s="554"/>
      <c r="J27" s="554"/>
      <c r="K27" s="554"/>
      <c r="L27" s="554"/>
      <c r="M27" s="554"/>
      <c r="N27" s="555"/>
    </row>
  </sheetData>
  <mergeCells count="20">
    <mergeCell ref="D11:E11"/>
    <mergeCell ref="C24:D24"/>
    <mergeCell ref="C25:D25"/>
    <mergeCell ref="C26:D26"/>
    <mergeCell ref="D9:E9"/>
    <mergeCell ref="H9:I9"/>
    <mergeCell ref="J9:K9"/>
    <mergeCell ref="D10:E10"/>
    <mergeCell ref="H10:I10"/>
    <mergeCell ref="J10:K10"/>
    <mergeCell ref="H7:I7"/>
    <mergeCell ref="J7:K7"/>
    <mergeCell ref="D8:E8"/>
    <mergeCell ref="H8:I8"/>
    <mergeCell ref="J8:K8"/>
    <mergeCell ref="A1:D1"/>
    <mergeCell ref="A2:C2"/>
    <mergeCell ref="A3:C3"/>
    <mergeCell ref="A4:C4"/>
    <mergeCell ref="D7:E7"/>
  </mergeCells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DBDBDB"/>
  </sheetPr>
  <dimension ref="A1:N28"/>
  <sheetViews>
    <sheetView zoomScale="82" workbookViewId="0">
      <selection activeCell="Q17" sqref="Q17"/>
    </sheetView>
  </sheetViews>
  <sheetFormatPr baseColWidth="10" defaultColWidth="11.5" defaultRowHeight="15"/>
  <cols>
    <col min="1" max="1" width="4.5" style="1" customWidth="1"/>
    <col min="2" max="2" width="11.6640625" style="1" customWidth="1"/>
    <col min="3" max="3" width="17" style="1" customWidth="1"/>
    <col min="4" max="6" width="11.5" style="1"/>
    <col min="7" max="7" width="12.6640625" style="1" customWidth="1"/>
    <col min="8" max="8" width="12.5" style="1" customWidth="1"/>
    <col min="9" max="10" width="17.1640625" style="1" customWidth="1"/>
    <col min="11" max="11" width="15.83203125" style="1" customWidth="1"/>
    <col min="12" max="12" width="17.1640625" style="1" customWidth="1"/>
    <col min="13" max="13" width="17.33203125" style="1" customWidth="1"/>
    <col min="14" max="14" width="18.5" customWidth="1"/>
  </cols>
  <sheetData>
    <row r="1" spans="1:14" ht="21" customHeight="1">
      <c r="A1" s="869" t="str">
        <f>График!B1</f>
        <v>Декабрь, 2025</v>
      </c>
      <c r="B1" s="870"/>
      <c r="C1" s="870"/>
      <c r="D1" s="871"/>
      <c r="E1" s="445"/>
      <c r="F1" s="446"/>
      <c r="G1" s="446"/>
      <c r="H1" s="446"/>
      <c r="I1" s="446"/>
      <c r="J1" s="446"/>
      <c r="K1" s="446"/>
      <c r="L1" s="446"/>
      <c r="M1" s="446"/>
      <c r="N1" s="447"/>
    </row>
    <row r="2" spans="1:14" ht="21" customHeight="1">
      <c r="A2" s="872" t="str">
        <f>График!B3</f>
        <v>ул. Севастопольская, 62</v>
      </c>
      <c r="B2" s="873"/>
      <c r="C2" s="874"/>
      <c r="D2" s="448" t="str">
        <f>График!B4</f>
        <v>GL-0004</v>
      </c>
      <c r="E2" s="556"/>
      <c r="F2" s="557"/>
      <c r="G2" s="557"/>
      <c r="H2" s="557"/>
      <c r="I2" s="557"/>
      <c r="J2" s="557"/>
      <c r="K2" s="558"/>
      <c r="L2" s="558"/>
      <c r="M2" s="557"/>
      <c r="N2" s="559"/>
    </row>
    <row r="3" spans="1:14" ht="75">
      <c r="A3" s="889" t="s">
        <v>28</v>
      </c>
      <c r="B3" s="890"/>
      <c r="C3" s="891"/>
      <c r="D3" s="561" t="s">
        <v>104</v>
      </c>
      <c r="E3" s="454" t="s">
        <v>105</v>
      </c>
      <c r="F3" s="455" t="s">
        <v>106</v>
      </c>
      <c r="G3" s="456" t="s">
        <v>107</v>
      </c>
      <c r="H3" s="457" t="s">
        <v>108</v>
      </c>
      <c r="I3" s="457" t="s">
        <v>109</v>
      </c>
      <c r="J3" s="458" t="s">
        <v>110</v>
      </c>
      <c r="K3" s="560" t="s">
        <v>87</v>
      </c>
      <c r="L3" s="454" t="s">
        <v>111</v>
      </c>
      <c r="M3" s="455" t="s">
        <v>112</v>
      </c>
      <c r="N3" s="562" t="s">
        <v>113</v>
      </c>
    </row>
    <row r="4" spans="1:14" ht="20" customHeight="1">
      <c r="A4" s="892" t="str">
        <f>График!B26</f>
        <v>Козлова Валерия</v>
      </c>
      <c r="B4" s="893"/>
      <c r="C4" s="894"/>
      <c r="D4" s="563">
        <f>36000-C8</f>
        <v>31320</v>
      </c>
      <c r="E4" s="564"/>
      <c r="F4" s="565">
        <f>H8+H9</f>
        <v>0</v>
      </c>
      <c r="G4" s="566">
        <f>D13</f>
        <v>21500</v>
      </c>
      <c r="H4" s="567">
        <f>D21</f>
        <v>21995.350000000002</v>
      </c>
      <c r="I4" s="567">
        <f>M21</f>
        <v>13955.54704343571</v>
      </c>
      <c r="J4" s="568">
        <f>M13</f>
        <v>11220</v>
      </c>
      <c r="K4" s="569">
        <f>H4+J4+G4+F4+I4</f>
        <v>68670.897043435718</v>
      </c>
      <c r="L4" s="570">
        <f>C8+C9</f>
        <v>4880</v>
      </c>
      <c r="M4" s="565">
        <f>K4-L4-D4-E4</f>
        <v>32470.897043435718</v>
      </c>
      <c r="N4" s="571"/>
    </row>
    <row r="5" spans="1:14">
      <c r="A5" s="477"/>
      <c r="B5" s="472"/>
      <c r="C5" s="473"/>
      <c r="D5" s="473"/>
      <c r="E5" s="473"/>
      <c r="F5" s="473"/>
      <c r="G5" s="473"/>
      <c r="H5" s="473"/>
      <c r="I5" s="473"/>
      <c r="J5" s="473"/>
      <c r="K5" s="474"/>
      <c r="L5" s="473"/>
      <c r="M5" s="475"/>
      <c r="N5" s="480"/>
    </row>
    <row r="6" spans="1:14">
      <c r="A6" s="477"/>
      <c r="B6" s="472" t="s">
        <v>111</v>
      </c>
      <c r="C6" s="473"/>
      <c r="D6" s="473"/>
      <c r="E6" s="473"/>
      <c r="F6" s="473"/>
      <c r="G6" s="472" t="s">
        <v>114</v>
      </c>
      <c r="H6" s="473"/>
      <c r="I6" s="473"/>
      <c r="J6" s="473"/>
      <c r="K6" s="473"/>
      <c r="L6" s="473"/>
      <c r="M6" s="475"/>
      <c r="N6" s="480"/>
    </row>
    <row r="7" spans="1:14" ht="16" customHeight="1">
      <c r="A7" s="481"/>
      <c r="B7" s="482" t="s">
        <v>29</v>
      </c>
      <c r="C7" s="482" t="s">
        <v>115</v>
      </c>
      <c r="D7" s="881" t="s">
        <v>116</v>
      </c>
      <c r="E7" s="881"/>
      <c r="F7" s="484"/>
      <c r="G7" s="482" t="s">
        <v>29</v>
      </c>
      <c r="H7" s="881" t="s">
        <v>115</v>
      </c>
      <c r="I7" s="881"/>
      <c r="J7" s="881" t="s">
        <v>116</v>
      </c>
      <c r="K7" s="881"/>
      <c r="L7" s="484"/>
      <c r="M7" s="485"/>
      <c r="N7" s="486"/>
    </row>
    <row r="8" spans="1:14" ht="18" customHeight="1">
      <c r="A8" s="487"/>
      <c r="B8" s="488">
        <v>46022</v>
      </c>
      <c r="C8" s="489">
        <v>4680</v>
      </c>
      <c r="D8" s="882" t="s">
        <v>117</v>
      </c>
      <c r="E8" s="882"/>
      <c r="F8" s="473"/>
      <c r="G8" s="488"/>
      <c r="H8" s="883"/>
      <c r="I8" s="883"/>
      <c r="J8" s="882"/>
      <c r="K8" s="882"/>
      <c r="L8" s="473"/>
      <c r="M8" s="475"/>
      <c r="N8" s="480"/>
    </row>
    <row r="9" spans="1:14" ht="26" customHeight="1">
      <c r="A9" s="477"/>
      <c r="B9" s="488">
        <v>46031</v>
      </c>
      <c r="C9" s="489">
        <v>200</v>
      </c>
      <c r="D9" s="882" t="s">
        <v>163</v>
      </c>
      <c r="E9" s="882"/>
      <c r="F9" s="473"/>
      <c r="G9" s="488"/>
      <c r="H9" s="883"/>
      <c r="I9" s="883"/>
      <c r="J9" s="882"/>
      <c r="K9" s="882"/>
      <c r="L9" s="473"/>
      <c r="M9" s="475"/>
      <c r="N9" s="480"/>
    </row>
    <row r="10" spans="1:14" ht="19" customHeight="1">
      <c r="A10" s="492"/>
      <c r="B10" s="493"/>
      <c r="C10" s="494"/>
      <c r="D10" s="884"/>
      <c r="E10" s="884"/>
      <c r="F10" s="495"/>
      <c r="G10" s="473"/>
      <c r="H10" s="473"/>
      <c r="I10" s="473"/>
      <c r="J10" s="473"/>
      <c r="K10" s="473"/>
      <c r="L10" s="473"/>
      <c r="M10" s="475"/>
      <c r="N10" s="480"/>
    </row>
    <row r="11" spans="1:14" ht="19" customHeight="1">
      <c r="A11" s="492"/>
      <c r="B11" s="496"/>
      <c r="C11" s="497"/>
      <c r="D11" s="885"/>
      <c r="E11" s="885"/>
      <c r="F11" s="495"/>
      <c r="G11" s="473"/>
      <c r="H11" s="473"/>
      <c r="I11" s="473"/>
      <c r="J11" s="473"/>
      <c r="K11" s="473"/>
      <c r="L11" s="473"/>
      <c r="M11" s="475"/>
      <c r="N11" s="480"/>
    </row>
    <row r="12" spans="1:14">
      <c r="A12" s="477"/>
      <c r="B12" s="498"/>
      <c r="C12" s="499"/>
      <c r="D12" s="500"/>
      <c r="E12" s="500"/>
      <c r="F12" s="473"/>
      <c r="G12" s="473"/>
      <c r="H12" s="473"/>
      <c r="I12" s="473"/>
      <c r="J12" s="473"/>
      <c r="K12" s="473"/>
      <c r="L12" s="473"/>
      <c r="M12" s="475"/>
      <c r="N12" s="480"/>
    </row>
    <row r="13" spans="1:14">
      <c r="A13" s="572" t="s">
        <v>121</v>
      </c>
      <c r="B13" s="502"/>
      <c r="C13" s="502"/>
      <c r="D13" s="503">
        <f>G17+G19+G18</f>
        <v>21500</v>
      </c>
      <c r="E13" s="504"/>
      <c r="F13" s="505"/>
      <c r="G13" s="502"/>
      <c r="H13" s="502"/>
      <c r="I13" s="506" t="s">
        <v>122</v>
      </c>
      <c r="J13" s="502"/>
      <c r="K13" s="502"/>
      <c r="L13" s="502"/>
      <c r="M13" s="507">
        <f>K17+K19+K18</f>
        <v>11220</v>
      </c>
      <c r="N13" s="508"/>
    </row>
    <row r="14" spans="1:14">
      <c r="A14" s="477"/>
      <c r="B14" s="472"/>
      <c r="C14" s="473"/>
      <c r="D14" s="509"/>
      <c r="E14" s="509"/>
      <c r="F14" s="473"/>
      <c r="G14" s="473"/>
      <c r="H14" s="473"/>
      <c r="I14" s="473"/>
      <c r="J14" s="473"/>
      <c r="K14" s="475"/>
      <c r="L14" s="475"/>
      <c r="M14" s="475"/>
      <c r="N14" s="480"/>
    </row>
    <row r="15" spans="1:14">
      <c r="A15" s="510"/>
      <c r="B15" s="511" t="s">
        <v>121</v>
      </c>
      <c r="C15" s="509"/>
      <c r="D15" s="509"/>
      <c r="E15" s="509"/>
      <c r="F15" s="509"/>
      <c r="G15" s="509"/>
      <c r="H15" s="509"/>
      <c r="I15" s="573" t="s">
        <v>110</v>
      </c>
      <c r="J15" s="574"/>
      <c r="K15" s="574"/>
      <c r="L15" s="514"/>
      <c r="M15" s="514"/>
      <c r="N15" s="515"/>
    </row>
    <row r="16" spans="1:14" ht="24">
      <c r="A16" s="575"/>
      <c r="B16" s="576" t="s">
        <v>123</v>
      </c>
      <c r="C16" s="576" t="s">
        <v>124</v>
      </c>
      <c r="D16" s="576" t="s">
        <v>125</v>
      </c>
      <c r="E16" s="576" t="s">
        <v>126</v>
      </c>
      <c r="F16" s="576" t="s">
        <v>127</v>
      </c>
      <c r="G16" s="576" t="s">
        <v>128</v>
      </c>
      <c r="H16" s="509"/>
      <c r="I16" s="516" t="s">
        <v>124</v>
      </c>
      <c r="J16" s="516" t="s">
        <v>129</v>
      </c>
      <c r="K16" s="516" t="s">
        <v>130</v>
      </c>
      <c r="L16" s="514"/>
      <c r="M16" s="514"/>
      <c r="N16" s="515"/>
    </row>
    <row r="17" spans="1:14" ht="17" customHeight="1">
      <c r="A17" s="487"/>
      <c r="B17" s="577">
        <f>График!AI26</f>
        <v>21</v>
      </c>
      <c r="C17" s="473" t="str">
        <f>A2</f>
        <v>ул. Севастопольская, 62</v>
      </c>
      <c r="D17" s="578" t="s">
        <v>140</v>
      </c>
      <c r="E17" s="579">
        <f>График!AJ26</f>
        <v>204</v>
      </c>
      <c r="F17" s="580">
        <v>100</v>
      </c>
      <c r="G17" s="581">
        <f t="shared" ref="G17:G18" si="0">E17*F17</f>
        <v>20400</v>
      </c>
      <c r="H17" s="582"/>
      <c r="I17" s="473" t="str">
        <f t="shared" ref="I17:I18" si="1">C17</f>
        <v>ул. Севастопольская, 62</v>
      </c>
      <c r="J17" s="524">
        <v>1</v>
      </c>
      <c r="K17" s="521">
        <f>G17*55%</f>
        <v>11220</v>
      </c>
      <c r="L17" s="475"/>
      <c r="M17" s="475"/>
      <c r="N17" s="480"/>
    </row>
    <row r="18" spans="1:14" ht="24">
      <c r="A18" s="583"/>
      <c r="B18" s="584">
        <v>1</v>
      </c>
      <c r="C18" s="585" t="s">
        <v>141</v>
      </c>
      <c r="D18" s="578" t="s">
        <v>140</v>
      </c>
      <c r="E18" s="586">
        <v>11</v>
      </c>
      <c r="F18" s="580">
        <v>100</v>
      </c>
      <c r="G18" s="587">
        <f t="shared" si="0"/>
        <v>1100</v>
      </c>
      <c r="H18" s="588"/>
      <c r="I18" s="490" t="str">
        <f t="shared" si="1"/>
        <v>ул. Евпаторийское шоссе, 8</v>
      </c>
      <c r="J18" s="527">
        <v>0.55930000000000002</v>
      </c>
      <c r="K18" s="521">
        <v>0</v>
      </c>
      <c r="L18" s="574"/>
      <c r="M18" s="574"/>
      <c r="N18" s="589"/>
    </row>
    <row r="19" spans="1:14" ht="19" customHeight="1">
      <c r="A19" s="590"/>
      <c r="B19" s="591"/>
      <c r="C19" s="585"/>
      <c r="D19" s="585"/>
      <c r="E19" s="592"/>
      <c r="F19" s="593"/>
      <c r="G19" s="594"/>
      <c r="H19" s="595"/>
      <c r="I19" s="596"/>
      <c r="J19" s="597"/>
      <c r="K19" s="598"/>
      <c r="L19" s="514"/>
      <c r="M19" s="514"/>
      <c r="N19" s="515"/>
    </row>
    <row r="20" spans="1:14">
      <c r="A20" s="510"/>
      <c r="B20" s="509"/>
      <c r="C20" s="528"/>
      <c r="D20" s="473"/>
      <c r="E20" s="529"/>
      <c r="F20" s="529"/>
      <c r="G20" s="530"/>
      <c r="H20" s="509"/>
      <c r="I20" s="509"/>
      <c r="J20" s="509"/>
      <c r="K20" s="509"/>
      <c r="L20" s="514"/>
      <c r="M20" s="514"/>
      <c r="N20" s="515"/>
    </row>
    <row r="21" spans="1:14" ht="19" customHeight="1">
      <c r="A21" s="572" t="s">
        <v>132</v>
      </c>
      <c r="B21" s="502"/>
      <c r="C21" s="502"/>
      <c r="D21" s="531">
        <f>G26+G27+G28</f>
        <v>21995.350000000002</v>
      </c>
      <c r="E21" s="532"/>
      <c r="F21" s="505"/>
      <c r="G21" s="505"/>
      <c r="H21" s="505"/>
      <c r="I21" s="502" t="s">
        <v>109</v>
      </c>
      <c r="J21" s="505"/>
      <c r="K21" s="505"/>
      <c r="L21" s="505"/>
      <c r="M21" s="531">
        <f>N26+N27+N28</f>
        <v>13955.54704343571</v>
      </c>
      <c r="N21" s="508"/>
    </row>
    <row r="22" spans="1:14">
      <c r="A22" s="534"/>
      <c r="B22" s="472"/>
      <c r="C22" s="475"/>
      <c r="D22" s="475"/>
      <c r="E22" s="475"/>
      <c r="F22" s="475"/>
      <c r="G22" s="475"/>
      <c r="H22" s="475"/>
      <c r="I22" s="475"/>
      <c r="J22" s="475"/>
      <c r="K22" s="535"/>
      <c r="L22" s="139"/>
      <c r="M22" s="139"/>
      <c r="N22" s="536"/>
    </row>
    <row r="23" spans="1:14">
      <c r="A23" s="534"/>
      <c r="B23" s="473"/>
      <c r="C23" s="472"/>
      <c r="D23" s="475"/>
      <c r="E23" s="475"/>
      <c r="F23" s="475"/>
      <c r="G23" s="475"/>
      <c r="H23" s="475"/>
      <c r="I23" s="475"/>
      <c r="J23" s="475"/>
      <c r="K23" s="475"/>
      <c r="L23" s="475"/>
      <c r="M23" s="475"/>
      <c r="N23" s="480"/>
    </row>
    <row r="24" spans="1:14" ht="28" customHeight="1">
      <c r="A24" s="599"/>
      <c r="B24" s="895" t="s">
        <v>133</v>
      </c>
      <c r="C24" s="895"/>
      <c r="D24" s="513"/>
      <c r="E24" s="513"/>
      <c r="F24" s="513"/>
      <c r="G24" s="513"/>
      <c r="H24" s="574"/>
      <c r="I24" s="600" t="s">
        <v>134</v>
      </c>
      <c r="J24" s="600"/>
      <c r="K24" s="513"/>
      <c r="L24" s="513"/>
      <c r="M24" s="513"/>
      <c r="N24" s="601"/>
    </row>
    <row r="25" spans="1:14" ht="36">
      <c r="A25" s="602"/>
      <c r="B25" s="516" t="s">
        <v>28</v>
      </c>
      <c r="C25" s="896" t="s">
        <v>124</v>
      </c>
      <c r="D25" s="897"/>
      <c r="E25" s="516" t="s">
        <v>135</v>
      </c>
      <c r="F25" s="516" t="s">
        <v>136</v>
      </c>
      <c r="G25" s="603" t="s">
        <v>137</v>
      </c>
      <c r="H25" s="509"/>
      <c r="I25" s="516" t="s">
        <v>28</v>
      </c>
      <c r="J25" s="509" t="s">
        <v>124</v>
      </c>
      <c r="K25" s="516" t="s">
        <v>138</v>
      </c>
      <c r="L25" s="509" t="s">
        <v>139</v>
      </c>
      <c r="M25" s="516" t="s">
        <v>135</v>
      </c>
      <c r="N25" s="604" t="s">
        <v>137</v>
      </c>
    </row>
    <row r="26" spans="1:14" ht="20" customHeight="1">
      <c r="A26" s="605"/>
      <c r="B26" s="519" t="str">
        <f>A4</f>
        <v>Козлова Валерия</v>
      </c>
      <c r="C26" s="898" t="str">
        <f>A2</f>
        <v>ул. Севастопольская, 62</v>
      </c>
      <c r="D26" s="899"/>
      <c r="E26" s="524">
        <v>0.05</v>
      </c>
      <c r="F26" s="606">
        <f>'Козлова В. Э.'!J8</f>
        <v>439907</v>
      </c>
      <c r="G26" s="607">
        <f t="shared" ref="G26:G27" si="2">F26*E26</f>
        <v>21995.350000000002</v>
      </c>
      <c r="H26" s="500"/>
      <c r="I26" s="544" t="str">
        <f t="shared" ref="I26:I27" si="3">B26</f>
        <v>Козлова Валерия</v>
      </c>
      <c r="J26" s="545" t="str">
        <f>C26</f>
        <v>ул. Севастопольская, 62</v>
      </c>
      <c r="K26" s="608">
        <f t="shared" ref="K26:K27" si="4">E17</f>
        <v>204</v>
      </c>
      <c r="L26" s="546">
        <f>График!AJ29</f>
        <v>1002</v>
      </c>
      <c r="M26" s="609">
        <v>0.02</v>
      </c>
      <c r="N26" s="547">
        <f>Центрум!J8*M26*K26/L26</f>
        <v>12570.996677844312</v>
      </c>
    </row>
    <row r="27" spans="1:14" ht="20" customHeight="1">
      <c r="A27" s="602"/>
      <c r="B27" s="519" t="str">
        <f>A4</f>
        <v>Козлова Валерия</v>
      </c>
      <c r="C27" s="900" t="str">
        <f>C18</f>
        <v>ул. Евпаторийское шоссе, 8</v>
      </c>
      <c r="D27" s="901"/>
      <c r="E27" s="524">
        <v>5.5E-2</v>
      </c>
      <c r="F27" s="548">
        <v>0</v>
      </c>
      <c r="G27" s="610">
        <f t="shared" si="2"/>
        <v>0</v>
      </c>
      <c r="H27" s="611"/>
      <c r="I27" s="544" t="str">
        <f t="shared" si="3"/>
        <v>Козлова Валерия</v>
      </c>
      <c r="J27" s="612" t="str">
        <f>C18</f>
        <v>ул. Евпаторийское шоссе, 8</v>
      </c>
      <c r="K27" s="550">
        <f t="shared" si="4"/>
        <v>11</v>
      </c>
      <c r="L27" s="551">
        <v>465</v>
      </c>
      <c r="M27" s="524">
        <v>0.04</v>
      </c>
      <c r="N27" s="547">
        <f>1463218*M27*K27/L27</f>
        <v>1384.5503655913978</v>
      </c>
    </row>
    <row r="28" spans="1:14" ht="20" customHeight="1">
      <c r="A28" s="613"/>
      <c r="B28" s="614"/>
      <c r="C28" s="902"/>
      <c r="D28" s="903"/>
      <c r="E28" s="615"/>
      <c r="F28" s="616"/>
      <c r="G28" s="617"/>
      <c r="H28" s="618"/>
      <c r="I28" s="619"/>
      <c r="J28" s="618"/>
      <c r="K28" s="620"/>
      <c r="L28" s="618"/>
      <c r="M28" s="621"/>
      <c r="N28" s="622"/>
    </row>
  </sheetData>
  <mergeCells count="20">
    <mergeCell ref="B24:C24"/>
    <mergeCell ref="C25:D25"/>
    <mergeCell ref="C26:D26"/>
    <mergeCell ref="C27:D27"/>
    <mergeCell ref="C28:D28"/>
    <mergeCell ref="D9:E9"/>
    <mergeCell ref="H9:I9"/>
    <mergeCell ref="J9:K9"/>
    <mergeCell ref="D10:E10"/>
    <mergeCell ref="D11:E11"/>
    <mergeCell ref="H7:I7"/>
    <mergeCell ref="J7:K7"/>
    <mergeCell ref="D8:E8"/>
    <mergeCell ref="H8:I8"/>
    <mergeCell ref="J8:K8"/>
    <mergeCell ref="A1:D1"/>
    <mergeCell ref="A2:C2"/>
    <mergeCell ref="A3:C3"/>
    <mergeCell ref="A4:C4"/>
    <mergeCell ref="D7:E7"/>
  </mergeCells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DBDBDB"/>
  </sheetPr>
  <dimension ref="A1:N27"/>
  <sheetViews>
    <sheetView zoomScale="92" workbookViewId="0">
      <selection activeCell="Q16" sqref="Q16"/>
    </sheetView>
  </sheetViews>
  <sheetFormatPr baseColWidth="10" defaultColWidth="11.5" defaultRowHeight="15"/>
  <cols>
    <col min="1" max="1" width="2.6640625" style="1" customWidth="1"/>
    <col min="2" max="2" width="11.6640625" style="1" customWidth="1"/>
    <col min="3" max="3" width="16.5" style="1" customWidth="1"/>
    <col min="4" max="6" width="11.5" style="1"/>
    <col min="7" max="7" width="12.6640625" style="1" customWidth="1"/>
    <col min="8" max="8" width="11.5" style="1" customWidth="1"/>
    <col min="9" max="9" width="15.5" style="1" customWidth="1"/>
    <col min="10" max="10" width="17.1640625" style="1" customWidth="1"/>
    <col min="11" max="11" width="14.5" style="1" customWidth="1"/>
    <col min="12" max="12" width="15" style="1" customWidth="1"/>
    <col min="13" max="13" width="14.83203125" style="1" customWidth="1"/>
    <col min="14" max="14" width="15.33203125" customWidth="1"/>
  </cols>
  <sheetData>
    <row r="1" spans="1:14" ht="18" customHeight="1">
      <c r="A1" s="869" t="str">
        <f>График!B1</f>
        <v>Декабрь, 2025</v>
      </c>
      <c r="B1" s="870"/>
      <c r="C1" s="870"/>
      <c r="D1" s="871"/>
      <c r="E1" s="445"/>
      <c r="F1" s="446"/>
      <c r="G1" s="446"/>
      <c r="H1" s="446"/>
      <c r="I1" s="446"/>
      <c r="J1" s="446"/>
      <c r="K1" s="446"/>
      <c r="L1" s="446"/>
      <c r="M1" s="446"/>
      <c r="N1" s="447"/>
    </row>
    <row r="2" spans="1:14" ht="19" customHeight="1">
      <c r="A2" s="872" t="str">
        <f>График!B3</f>
        <v>ул. Севастопольская, 62</v>
      </c>
      <c r="B2" s="873"/>
      <c r="C2" s="874"/>
      <c r="D2" s="448" t="str">
        <f>График!B4</f>
        <v>GL-0004</v>
      </c>
      <c r="E2" s="449"/>
      <c r="F2" s="557"/>
      <c r="G2" s="557"/>
      <c r="H2" s="557"/>
      <c r="I2" s="557"/>
      <c r="J2" s="557"/>
      <c r="K2" s="557"/>
      <c r="L2" s="557"/>
      <c r="M2" s="557"/>
      <c r="N2" s="452"/>
    </row>
    <row r="3" spans="1:14" ht="75">
      <c r="A3" s="875" t="s">
        <v>28</v>
      </c>
      <c r="B3" s="876"/>
      <c r="C3" s="877"/>
      <c r="D3" s="560" t="s">
        <v>104</v>
      </c>
      <c r="E3" s="454" t="s">
        <v>105</v>
      </c>
      <c r="F3" s="455" t="s">
        <v>106</v>
      </c>
      <c r="G3" s="456" t="s">
        <v>107</v>
      </c>
      <c r="H3" s="457" t="s">
        <v>108</v>
      </c>
      <c r="I3" s="457" t="s">
        <v>109</v>
      </c>
      <c r="J3" s="458" t="s">
        <v>110</v>
      </c>
      <c r="K3" s="459" t="s">
        <v>87</v>
      </c>
      <c r="L3" s="460" t="s">
        <v>111</v>
      </c>
      <c r="M3" s="455" t="s">
        <v>112</v>
      </c>
      <c r="N3" s="461" t="s">
        <v>113</v>
      </c>
    </row>
    <row r="4" spans="1:14" ht="15" customHeight="1">
      <c r="A4" s="904" t="str">
        <f>График!B27</f>
        <v>Свидовская София</v>
      </c>
      <c r="B4" s="905"/>
      <c r="C4" s="906"/>
      <c r="D4" s="623">
        <f>36000-C8</f>
        <v>31320</v>
      </c>
      <c r="E4" s="624"/>
      <c r="F4" s="625">
        <f>H8+H9</f>
        <v>0</v>
      </c>
      <c r="G4" s="626">
        <f>D13</f>
        <v>20200</v>
      </c>
      <c r="H4" s="627">
        <f>D20</f>
        <v>32897.726000000002</v>
      </c>
      <c r="I4" s="627">
        <f>M20</f>
        <v>12447.75161237525</v>
      </c>
      <c r="J4" s="628">
        <f>M13</f>
        <v>11110</v>
      </c>
      <c r="K4" s="629">
        <f>H4+J4+G4+F4+I4</f>
        <v>76655.477612375253</v>
      </c>
      <c r="L4" s="630">
        <f>C8+C9+C10+C11</f>
        <v>4880</v>
      </c>
      <c r="M4" s="625">
        <f>K4-L4-D4-E4</f>
        <v>40455.477612375253</v>
      </c>
      <c r="N4" s="631"/>
    </row>
    <row r="5" spans="1:14">
      <c r="A5" s="477"/>
      <c r="B5" s="472"/>
      <c r="C5" s="473"/>
      <c r="D5" s="473"/>
      <c r="E5" s="473"/>
      <c r="F5" s="473"/>
      <c r="G5" s="473"/>
      <c r="H5" s="473"/>
      <c r="I5" s="473"/>
      <c r="J5" s="473"/>
      <c r="K5" s="474"/>
      <c r="L5" s="473"/>
      <c r="M5" s="475"/>
      <c r="N5" s="480"/>
    </row>
    <row r="6" spans="1:14">
      <c r="A6" s="477"/>
      <c r="B6" s="478" t="s">
        <v>111</v>
      </c>
      <c r="C6" s="479"/>
      <c r="D6" s="479"/>
      <c r="E6" s="479"/>
      <c r="F6" s="473"/>
      <c r="G6" s="478" t="s">
        <v>114</v>
      </c>
      <c r="H6" s="479"/>
      <c r="I6" s="479"/>
      <c r="J6" s="479"/>
      <c r="K6" s="479"/>
      <c r="L6" s="473"/>
      <c r="M6" s="475"/>
      <c r="N6" s="480"/>
    </row>
    <row r="7" spans="1:14" ht="16" customHeight="1">
      <c r="A7" s="481"/>
      <c r="B7" s="482" t="s">
        <v>29</v>
      </c>
      <c r="C7" s="482" t="s">
        <v>115</v>
      </c>
      <c r="D7" s="881" t="s">
        <v>116</v>
      </c>
      <c r="E7" s="881"/>
      <c r="F7" s="632"/>
      <c r="G7" s="633" t="s">
        <v>29</v>
      </c>
      <c r="H7" s="910" t="s">
        <v>115</v>
      </c>
      <c r="I7" s="911"/>
      <c r="J7" s="910" t="s">
        <v>116</v>
      </c>
      <c r="K7" s="911"/>
      <c r="L7" s="484"/>
      <c r="M7" s="485"/>
      <c r="N7" s="486"/>
    </row>
    <row r="8" spans="1:14" ht="16" customHeight="1">
      <c r="A8" s="487"/>
      <c r="B8" s="488">
        <v>46022</v>
      </c>
      <c r="C8" s="489">
        <v>4680</v>
      </c>
      <c r="D8" s="882" t="s">
        <v>117</v>
      </c>
      <c r="E8" s="882"/>
      <c r="F8" s="634"/>
      <c r="G8" s="635"/>
      <c r="H8" s="912"/>
      <c r="I8" s="913"/>
      <c r="J8" s="907"/>
      <c r="K8" s="908"/>
      <c r="L8" s="473"/>
      <c r="M8" s="475"/>
      <c r="N8" s="480"/>
    </row>
    <row r="9" spans="1:14" ht="21" customHeight="1">
      <c r="A9" s="477"/>
      <c r="B9" s="488">
        <v>46031</v>
      </c>
      <c r="C9" s="489">
        <v>200</v>
      </c>
      <c r="D9" s="882" t="s">
        <v>163</v>
      </c>
      <c r="E9" s="882"/>
      <c r="F9" s="636"/>
      <c r="G9" s="635"/>
      <c r="H9" s="912"/>
      <c r="I9" s="913"/>
      <c r="J9" s="907"/>
      <c r="K9" s="908"/>
      <c r="L9" s="473"/>
      <c r="M9" s="475"/>
      <c r="N9" s="480"/>
    </row>
    <row r="10" spans="1:14" ht="29" customHeight="1">
      <c r="A10" s="492"/>
      <c r="B10" s="493"/>
      <c r="C10" s="494"/>
      <c r="D10" s="909"/>
      <c r="E10" s="909"/>
      <c r="F10" s="495"/>
      <c r="G10" s="473"/>
      <c r="H10" s="473"/>
      <c r="I10" s="473"/>
      <c r="J10" s="473"/>
      <c r="K10" s="473"/>
      <c r="L10" s="473"/>
      <c r="M10" s="475"/>
      <c r="N10" s="480"/>
    </row>
    <row r="11" spans="1:14" ht="29" customHeight="1">
      <c r="A11" s="492"/>
      <c r="B11" s="496"/>
      <c r="C11" s="497"/>
      <c r="D11" s="885"/>
      <c r="E11" s="885"/>
      <c r="F11" s="495"/>
      <c r="G11" s="473"/>
      <c r="H11" s="473"/>
      <c r="I11" s="473"/>
      <c r="J11" s="473"/>
      <c r="K11" s="473"/>
      <c r="L11" s="473"/>
      <c r="M11" s="475"/>
      <c r="N11" s="480"/>
    </row>
    <row r="12" spans="1:14">
      <c r="A12" s="477"/>
      <c r="B12" s="498"/>
      <c r="C12" s="499"/>
      <c r="D12" s="500"/>
      <c r="E12" s="500"/>
      <c r="F12" s="473"/>
      <c r="G12" s="473"/>
      <c r="H12" s="473"/>
      <c r="I12" s="473"/>
      <c r="J12" s="473"/>
      <c r="K12" s="473"/>
      <c r="L12" s="473"/>
      <c r="M12" s="475"/>
      <c r="N12" s="480"/>
    </row>
    <row r="13" spans="1:14" ht="17" customHeight="1">
      <c r="A13" s="572" t="s">
        <v>121</v>
      </c>
      <c r="B13" s="502"/>
      <c r="C13" s="502"/>
      <c r="D13" s="503">
        <f>G17+G18</f>
        <v>20200</v>
      </c>
      <c r="E13" s="504"/>
      <c r="F13" s="505"/>
      <c r="G13" s="502"/>
      <c r="H13" s="502"/>
      <c r="I13" s="506" t="s">
        <v>122</v>
      </c>
      <c r="J13" s="502"/>
      <c r="K13" s="502"/>
      <c r="L13" s="502"/>
      <c r="M13" s="507">
        <f>K17+K18</f>
        <v>11110</v>
      </c>
      <c r="N13" s="508"/>
    </row>
    <row r="14" spans="1:14">
      <c r="A14" s="477"/>
      <c r="B14" s="472"/>
      <c r="C14" s="473"/>
      <c r="D14" s="509"/>
      <c r="E14" s="509"/>
      <c r="F14" s="473"/>
      <c r="G14" s="473"/>
      <c r="H14" s="473"/>
      <c r="I14" s="473"/>
      <c r="J14" s="473"/>
      <c r="K14" s="475"/>
      <c r="L14" s="475"/>
      <c r="M14" s="475"/>
      <c r="N14" s="480"/>
    </row>
    <row r="15" spans="1:14">
      <c r="A15" s="510"/>
      <c r="B15" s="511" t="s">
        <v>121</v>
      </c>
      <c r="C15" s="509"/>
      <c r="D15" s="509"/>
      <c r="E15" s="509"/>
      <c r="F15" s="509"/>
      <c r="G15" s="509"/>
      <c r="H15" s="509"/>
      <c r="I15" s="512" t="s">
        <v>110</v>
      </c>
      <c r="J15" s="513"/>
      <c r="K15" s="513"/>
      <c r="L15" s="514"/>
      <c r="M15" s="514"/>
      <c r="N15" s="515"/>
    </row>
    <row r="16" spans="1:14" ht="24">
      <c r="A16" s="575"/>
      <c r="B16" s="576" t="s">
        <v>123</v>
      </c>
      <c r="C16" s="576" t="s">
        <v>124</v>
      </c>
      <c r="D16" s="576" t="s">
        <v>125</v>
      </c>
      <c r="E16" s="576" t="s">
        <v>126</v>
      </c>
      <c r="F16" s="576" t="s">
        <v>127</v>
      </c>
      <c r="G16" s="576" t="s">
        <v>128</v>
      </c>
      <c r="H16" s="637"/>
      <c r="I16" s="516" t="s">
        <v>124</v>
      </c>
      <c r="J16" s="516" t="s">
        <v>129</v>
      </c>
      <c r="K16" s="516" t="s">
        <v>130</v>
      </c>
      <c r="L16" s="514"/>
      <c r="M16" s="514"/>
      <c r="N16" s="515"/>
    </row>
    <row r="17" spans="1:14">
      <c r="A17" s="487"/>
      <c r="B17" s="577">
        <f>График!AI27</f>
        <v>21</v>
      </c>
      <c r="C17" s="473" t="str">
        <f>A2</f>
        <v>ул. Севастопольская, 62</v>
      </c>
      <c r="D17" s="578" t="s">
        <v>140</v>
      </c>
      <c r="E17" s="579">
        <f>График!AJ27</f>
        <v>202</v>
      </c>
      <c r="F17" s="580">
        <v>100</v>
      </c>
      <c r="G17" s="638">
        <f>E17*F17</f>
        <v>20200</v>
      </c>
      <c r="H17" s="582"/>
      <c r="I17" s="519" t="str">
        <f>C17</f>
        <v>ул. Севастопольская, 62</v>
      </c>
      <c r="J17" s="524">
        <v>1</v>
      </c>
      <c r="K17" s="521">
        <f>G17*55%</f>
        <v>11110</v>
      </c>
      <c r="L17" s="475"/>
      <c r="M17" s="475"/>
      <c r="N17" s="480"/>
    </row>
    <row r="18" spans="1:14">
      <c r="A18" s="575"/>
      <c r="B18" s="576"/>
      <c r="C18" s="578"/>
      <c r="D18" s="578"/>
      <c r="E18" s="639"/>
      <c r="F18" s="580"/>
      <c r="G18" s="638"/>
      <c r="H18" s="637"/>
      <c r="I18" s="526"/>
      <c r="J18" s="527"/>
      <c r="K18" s="521"/>
      <c r="L18" s="514"/>
      <c r="M18" s="514"/>
      <c r="N18" s="515"/>
    </row>
    <row r="19" spans="1:14">
      <c r="A19" s="510"/>
      <c r="B19" s="509"/>
      <c r="C19" s="528"/>
      <c r="D19" s="473"/>
      <c r="E19" s="529"/>
      <c r="F19" s="529"/>
      <c r="G19" s="530"/>
      <c r="H19" s="509"/>
      <c r="I19" s="509"/>
      <c r="J19" s="509"/>
      <c r="K19" s="509"/>
      <c r="L19" s="514"/>
      <c r="M19" s="514"/>
      <c r="N19" s="515"/>
    </row>
    <row r="20" spans="1:14" ht="17" customHeight="1">
      <c r="A20" s="572" t="s">
        <v>132</v>
      </c>
      <c r="B20" s="502"/>
      <c r="C20" s="502"/>
      <c r="D20" s="531">
        <f>G25+G26</f>
        <v>32897.726000000002</v>
      </c>
      <c r="E20" s="532"/>
      <c r="F20" s="505"/>
      <c r="G20" s="505"/>
      <c r="H20" s="505"/>
      <c r="I20" s="502" t="s">
        <v>109</v>
      </c>
      <c r="J20" s="505"/>
      <c r="K20" s="505"/>
      <c r="L20" s="505"/>
      <c r="M20" s="531">
        <f>N25+N26</f>
        <v>12447.75161237525</v>
      </c>
      <c r="N20" s="508"/>
    </row>
    <row r="21" spans="1:14">
      <c r="A21" s="534"/>
      <c r="B21" s="472"/>
      <c r="C21" s="475"/>
      <c r="D21" s="475"/>
      <c r="E21" s="475"/>
      <c r="F21" s="475"/>
      <c r="G21" s="475"/>
      <c r="H21" s="475"/>
      <c r="I21" s="475"/>
      <c r="J21" s="475"/>
      <c r="K21" s="535"/>
      <c r="L21" s="139"/>
      <c r="M21" s="139"/>
      <c r="N21" s="536"/>
    </row>
    <row r="22" spans="1:14">
      <c r="A22" s="534"/>
      <c r="B22" s="473"/>
      <c r="C22" s="472"/>
      <c r="D22" s="475"/>
      <c r="E22" s="475"/>
      <c r="F22" s="475"/>
      <c r="G22" s="475"/>
      <c r="H22" s="475"/>
      <c r="I22" s="475"/>
      <c r="J22" s="475"/>
      <c r="K22" s="475"/>
      <c r="L22" s="475"/>
      <c r="M22" s="475"/>
      <c r="N22" s="480"/>
    </row>
    <row r="23" spans="1:14">
      <c r="A23" s="534"/>
      <c r="B23" s="472" t="s">
        <v>133</v>
      </c>
      <c r="C23" s="475"/>
      <c r="D23" s="475"/>
      <c r="E23" s="475"/>
      <c r="F23" s="475"/>
      <c r="G23" s="475"/>
      <c r="H23" s="475"/>
      <c r="I23" s="472" t="s">
        <v>134</v>
      </c>
      <c r="J23" s="472"/>
      <c r="K23" s="475"/>
      <c r="L23" s="475"/>
      <c r="M23" s="475"/>
      <c r="N23" s="539"/>
    </row>
    <row r="24" spans="1:14" ht="36">
      <c r="A24" s="590"/>
      <c r="B24" s="576" t="s">
        <v>28</v>
      </c>
      <c r="C24" s="914" t="s">
        <v>124</v>
      </c>
      <c r="D24" s="915"/>
      <c r="E24" s="576" t="s">
        <v>135</v>
      </c>
      <c r="F24" s="576" t="s">
        <v>136</v>
      </c>
      <c r="G24" s="576" t="s">
        <v>137</v>
      </c>
      <c r="H24" s="509"/>
      <c r="I24" s="516" t="s">
        <v>28</v>
      </c>
      <c r="J24" s="516" t="s">
        <v>124</v>
      </c>
      <c r="K24" s="516" t="s">
        <v>138</v>
      </c>
      <c r="L24" s="516" t="s">
        <v>139</v>
      </c>
      <c r="M24" s="516" t="s">
        <v>135</v>
      </c>
      <c r="N24" s="541" t="s">
        <v>137</v>
      </c>
    </row>
    <row r="25" spans="1:14">
      <c r="A25" s="640"/>
      <c r="B25" s="578" t="str">
        <f>A4</f>
        <v>Свидовская София</v>
      </c>
      <c r="C25" s="916" t="str">
        <f>A2</f>
        <v>ул. Севастопольская, 62</v>
      </c>
      <c r="D25" s="917"/>
      <c r="E25" s="641">
        <v>0.05</v>
      </c>
      <c r="F25" s="499">
        <f>'Свидовская С. А.'!J8</f>
        <v>657954.52</v>
      </c>
      <c r="G25" s="642">
        <f>F25*E25</f>
        <v>32897.726000000002</v>
      </c>
      <c r="H25" s="473"/>
      <c r="I25" s="544" t="str">
        <f>B25</f>
        <v>Свидовская София</v>
      </c>
      <c r="J25" s="643" t="str">
        <f>C25</f>
        <v>ул. Севастопольская, 62</v>
      </c>
      <c r="K25" s="545">
        <f>E17</f>
        <v>202</v>
      </c>
      <c r="L25" s="644">
        <f>График!AJ29</f>
        <v>1002</v>
      </c>
      <c r="M25" s="524">
        <v>0.02</v>
      </c>
      <c r="N25" s="547">
        <f>Центрум!J8*M25*K25/L25</f>
        <v>12447.75161237525</v>
      </c>
    </row>
    <row r="26" spans="1:14">
      <c r="A26" s="590"/>
      <c r="B26" s="578"/>
      <c r="C26" s="918"/>
      <c r="D26" s="919"/>
      <c r="E26" s="641"/>
      <c r="F26" s="645"/>
      <c r="G26" s="642"/>
      <c r="H26" s="509"/>
      <c r="I26" s="544"/>
      <c r="J26" s="549"/>
      <c r="K26" s="550"/>
      <c r="L26" s="551"/>
      <c r="M26" s="524"/>
      <c r="N26" s="547"/>
    </row>
    <row r="27" spans="1:14">
      <c r="A27" s="552"/>
      <c r="B27" s="646"/>
      <c r="C27" s="646"/>
      <c r="D27" s="646"/>
      <c r="E27" s="646"/>
      <c r="F27" s="646"/>
      <c r="G27" s="646"/>
      <c r="H27" s="553"/>
      <c r="I27" s="554"/>
      <c r="J27" s="554"/>
      <c r="K27" s="554"/>
      <c r="L27" s="554"/>
      <c r="M27" s="554"/>
      <c r="N27" s="555"/>
    </row>
  </sheetData>
  <mergeCells count="18">
    <mergeCell ref="C24:D24"/>
    <mergeCell ref="C25:D25"/>
    <mergeCell ref="C26:D26"/>
    <mergeCell ref="D9:E9"/>
    <mergeCell ref="H9:I9"/>
    <mergeCell ref="J9:K9"/>
    <mergeCell ref="D10:E10"/>
    <mergeCell ref="D11:E11"/>
    <mergeCell ref="H7:I7"/>
    <mergeCell ref="J7:K7"/>
    <mergeCell ref="D8:E8"/>
    <mergeCell ref="H8:I8"/>
    <mergeCell ref="J8:K8"/>
    <mergeCell ref="A1:D1"/>
    <mergeCell ref="A2:C2"/>
    <mergeCell ref="A3:C3"/>
    <mergeCell ref="A4:C4"/>
    <mergeCell ref="D7:E7"/>
  </mergeCells>
  <pageMargins left="0.7" right="0.7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DBDBDB"/>
  </sheetPr>
  <dimension ref="A1:N28"/>
  <sheetViews>
    <sheetView zoomScale="83" workbookViewId="0">
      <selection activeCell="R19" sqref="R19"/>
    </sheetView>
  </sheetViews>
  <sheetFormatPr baseColWidth="10" defaultColWidth="11.5" defaultRowHeight="15"/>
  <cols>
    <col min="1" max="1" width="2.5" style="1" customWidth="1"/>
    <col min="2" max="2" width="11.6640625" style="1" customWidth="1"/>
    <col min="3" max="3" width="18" style="1" customWidth="1"/>
    <col min="4" max="6" width="11.5" style="1"/>
    <col min="7" max="7" width="12.6640625" style="1" customWidth="1"/>
    <col min="8" max="8" width="12.83203125" style="1" customWidth="1"/>
    <col min="9" max="10" width="17.1640625" style="1" customWidth="1"/>
    <col min="11" max="11" width="15.83203125" style="1" customWidth="1"/>
    <col min="12" max="12" width="17.1640625" style="1" customWidth="1"/>
    <col min="13" max="13" width="16.1640625" style="1" customWidth="1"/>
    <col min="14" max="14" width="19.6640625" customWidth="1"/>
  </cols>
  <sheetData>
    <row r="1" spans="1:14" ht="20" customHeight="1">
      <c r="A1" s="869" t="str">
        <f>График!B1</f>
        <v>Декабрь, 2025</v>
      </c>
      <c r="B1" s="870"/>
      <c r="C1" s="870"/>
      <c r="D1" s="871"/>
      <c r="E1" s="445"/>
      <c r="F1" s="446"/>
      <c r="G1" s="446"/>
      <c r="H1" s="446"/>
      <c r="I1" s="446"/>
      <c r="J1" s="446"/>
      <c r="K1" s="446"/>
      <c r="L1" s="446"/>
      <c r="M1" s="446"/>
      <c r="N1" s="447"/>
    </row>
    <row r="2" spans="1:14" ht="20" customHeight="1">
      <c r="A2" s="872" t="str">
        <f>График!B3</f>
        <v>ул. Севастопольская, 62</v>
      </c>
      <c r="B2" s="873"/>
      <c r="C2" s="874"/>
      <c r="D2" s="448" t="str">
        <f>График!B4</f>
        <v>GL-0004</v>
      </c>
      <c r="E2" s="449"/>
      <c r="F2" s="557"/>
      <c r="G2" s="557"/>
      <c r="H2" s="557"/>
      <c r="I2" s="557"/>
      <c r="J2" s="557"/>
      <c r="K2" s="557"/>
      <c r="L2" s="557"/>
      <c r="M2" s="557"/>
      <c r="N2" s="452"/>
    </row>
    <row r="3" spans="1:14" ht="75">
      <c r="A3" s="875" t="s">
        <v>28</v>
      </c>
      <c r="B3" s="876"/>
      <c r="C3" s="877"/>
      <c r="D3" s="560" t="s">
        <v>104</v>
      </c>
      <c r="E3" s="454" t="s">
        <v>105</v>
      </c>
      <c r="F3" s="455" t="s">
        <v>106</v>
      </c>
      <c r="G3" s="456" t="s">
        <v>107</v>
      </c>
      <c r="H3" s="457" t="s">
        <v>108</v>
      </c>
      <c r="I3" s="457" t="s">
        <v>109</v>
      </c>
      <c r="J3" s="458" t="s">
        <v>110</v>
      </c>
      <c r="K3" s="459" t="s">
        <v>87</v>
      </c>
      <c r="L3" s="460" t="s">
        <v>111</v>
      </c>
      <c r="M3" s="455" t="s">
        <v>112</v>
      </c>
      <c r="N3" s="461" t="s">
        <v>113</v>
      </c>
    </row>
    <row r="4" spans="1:14" ht="21" customHeight="1">
      <c r="A4" s="878" t="str">
        <f>График!B25</f>
        <v>Корж Анастасия</v>
      </c>
      <c r="B4" s="879"/>
      <c r="C4" s="880"/>
      <c r="D4" s="462">
        <f>36000-C8</f>
        <v>31320</v>
      </c>
      <c r="E4" s="463"/>
      <c r="F4" s="464">
        <f>H8+H9</f>
        <v>0</v>
      </c>
      <c r="G4" s="647">
        <f>D13</f>
        <v>20700</v>
      </c>
      <c r="H4" s="648">
        <f>D21</f>
        <v>23040.6185</v>
      </c>
      <c r="I4" s="648">
        <f>M21</f>
        <v>12755.864276047905</v>
      </c>
      <c r="J4" s="649">
        <f>M13</f>
        <v>11385.000000000002</v>
      </c>
      <c r="K4" s="468">
        <f>H4+J4+G4+F4+I4</f>
        <v>67881.482776047909</v>
      </c>
      <c r="L4" s="469">
        <f>C8+C9+C10+C11</f>
        <v>4880</v>
      </c>
      <c r="M4" s="464">
        <f>K4-L4-D4-E4</f>
        <v>31681.482776047909</v>
      </c>
      <c r="N4" s="470"/>
    </row>
    <row r="5" spans="1:14">
      <c r="A5" s="471"/>
      <c r="B5" s="472"/>
      <c r="C5" s="473"/>
      <c r="D5" s="473"/>
      <c r="E5" s="473"/>
      <c r="F5" s="473"/>
      <c r="G5" s="473"/>
      <c r="H5" s="473"/>
      <c r="I5" s="473"/>
      <c r="J5" s="473"/>
      <c r="K5" s="474"/>
      <c r="L5" s="473"/>
      <c r="M5" s="475"/>
      <c r="N5" s="476"/>
    </row>
    <row r="6" spans="1:14">
      <c r="A6" s="477"/>
      <c r="B6" s="472" t="s">
        <v>111</v>
      </c>
      <c r="C6" s="473"/>
      <c r="D6" s="473"/>
      <c r="E6" s="473"/>
      <c r="F6" s="473"/>
      <c r="G6" s="472" t="s">
        <v>114</v>
      </c>
      <c r="H6" s="473"/>
      <c r="I6" s="473"/>
      <c r="J6" s="473"/>
      <c r="K6" s="473"/>
      <c r="L6" s="473"/>
      <c r="M6" s="475"/>
      <c r="N6" s="480"/>
    </row>
    <row r="7" spans="1:14" ht="17" customHeight="1">
      <c r="A7" s="650"/>
      <c r="B7" s="482" t="s">
        <v>29</v>
      </c>
      <c r="C7" s="482" t="s">
        <v>115</v>
      </c>
      <c r="D7" s="881" t="s">
        <v>116</v>
      </c>
      <c r="E7" s="881"/>
      <c r="F7" s="484"/>
      <c r="G7" s="482" t="s">
        <v>29</v>
      </c>
      <c r="H7" s="881" t="s">
        <v>115</v>
      </c>
      <c r="I7" s="881"/>
      <c r="J7" s="881" t="s">
        <v>116</v>
      </c>
      <c r="K7" s="881"/>
      <c r="L7" s="484"/>
      <c r="M7" s="485"/>
      <c r="N7" s="486"/>
    </row>
    <row r="8" spans="1:14" ht="18" customHeight="1">
      <c r="A8" s="477"/>
      <c r="B8" s="488">
        <v>46022</v>
      </c>
      <c r="C8" s="489">
        <v>4680</v>
      </c>
      <c r="D8" s="882" t="s">
        <v>117</v>
      </c>
      <c r="E8" s="882"/>
      <c r="F8" s="473"/>
      <c r="G8" s="488"/>
      <c r="H8" s="883"/>
      <c r="I8" s="883"/>
      <c r="J8" s="882"/>
      <c r="K8" s="882"/>
      <c r="L8" s="473"/>
      <c r="M8" s="475"/>
      <c r="N8" s="480"/>
    </row>
    <row r="9" spans="1:14" ht="25" customHeight="1">
      <c r="A9" s="477"/>
      <c r="B9" s="488">
        <v>46031</v>
      </c>
      <c r="C9" s="489">
        <v>200</v>
      </c>
      <c r="D9" s="882" t="s">
        <v>163</v>
      </c>
      <c r="E9" s="882"/>
      <c r="F9" s="473"/>
      <c r="G9" s="488"/>
      <c r="H9" s="883"/>
      <c r="I9" s="883"/>
      <c r="J9" s="882"/>
      <c r="K9" s="882"/>
      <c r="L9" s="473"/>
      <c r="M9" s="475"/>
      <c r="N9" s="480"/>
    </row>
    <row r="10" spans="1:14" ht="29" customHeight="1">
      <c r="A10" s="492"/>
      <c r="B10" s="493"/>
      <c r="C10" s="494"/>
      <c r="D10" s="884"/>
      <c r="E10" s="884"/>
      <c r="F10" s="495"/>
      <c r="G10" s="473"/>
      <c r="H10" s="473"/>
      <c r="I10" s="473"/>
      <c r="J10" s="473"/>
      <c r="K10" s="473"/>
      <c r="L10" s="473"/>
      <c r="M10" s="475"/>
      <c r="N10" s="480"/>
    </row>
    <row r="11" spans="1:14" ht="29" customHeight="1">
      <c r="A11" s="492"/>
      <c r="B11" s="496"/>
      <c r="C11" s="497"/>
      <c r="D11" s="885"/>
      <c r="E11" s="885"/>
      <c r="F11" s="495"/>
      <c r="G11" s="473"/>
      <c r="H11" s="473"/>
      <c r="I11" s="473"/>
      <c r="J11" s="473"/>
      <c r="K11" s="473"/>
      <c r="L11" s="473"/>
      <c r="M11" s="475"/>
      <c r="N11" s="480"/>
    </row>
    <row r="12" spans="1:14">
      <c r="A12" s="477"/>
      <c r="B12" s="498"/>
      <c r="C12" s="499"/>
      <c r="D12" s="500"/>
      <c r="E12" s="500"/>
      <c r="F12" s="473"/>
      <c r="G12" s="473"/>
      <c r="H12" s="473"/>
      <c r="I12" s="473"/>
      <c r="J12" s="473"/>
      <c r="K12" s="473"/>
      <c r="L12" s="473"/>
      <c r="M12" s="475"/>
      <c r="N12" s="480"/>
    </row>
    <row r="13" spans="1:14">
      <c r="A13" s="572" t="s">
        <v>121</v>
      </c>
      <c r="B13" s="502"/>
      <c r="C13" s="502"/>
      <c r="D13" s="503">
        <f>G17+G19+G18</f>
        <v>20700</v>
      </c>
      <c r="E13" s="504"/>
      <c r="F13" s="505"/>
      <c r="G13" s="502"/>
      <c r="H13" s="502"/>
      <c r="I13" s="506" t="s">
        <v>122</v>
      </c>
      <c r="J13" s="502"/>
      <c r="K13" s="502"/>
      <c r="L13" s="502"/>
      <c r="M13" s="507">
        <f>K17+K19+K18</f>
        <v>11385.000000000002</v>
      </c>
      <c r="N13" s="508"/>
    </row>
    <row r="14" spans="1:14">
      <c r="A14" s="477"/>
      <c r="B14" s="472"/>
      <c r="C14" s="473"/>
      <c r="D14" s="509"/>
      <c r="E14" s="509"/>
      <c r="F14" s="473"/>
      <c r="G14" s="473"/>
      <c r="H14" s="473"/>
      <c r="I14" s="473"/>
      <c r="J14" s="473"/>
      <c r="K14" s="475"/>
      <c r="L14" s="475"/>
      <c r="M14" s="475"/>
      <c r="N14" s="480"/>
    </row>
    <row r="15" spans="1:14">
      <c r="A15" s="510"/>
      <c r="B15" s="511" t="s">
        <v>121</v>
      </c>
      <c r="C15" s="509"/>
      <c r="D15" s="509"/>
      <c r="E15" s="509"/>
      <c r="F15" s="509"/>
      <c r="G15" s="509"/>
      <c r="H15" s="509"/>
      <c r="I15" s="573" t="s">
        <v>110</v>
      </c>
      <c r="J15" s="574"/>
      <c r="K15" s="574"/>
      <c r="L15" s="514"/>
      <c r="M15" s="514"/>
      <c r="N15" s="515"/>
    </row>
    <row r="16" spans="1:14" ht="28" customHeight="1">
      <c r="A16" s="575"/>
      <c r="B16" s="576" t="s">
        <v>123</v>
      </c>
      <c r="C16" s="576" t="s">
        <v>124</v>
      </c>
      <c r="D16" s="576" t="s">
        <v>125</v>
      </c>
      <c r="E16" s="576" t="s">
        <v>126</v>
      </c>
      <c r="F16" s="576" t="s">
        <v>127</v>
      </c>
      <c r="G16" s="576" t="s">
        <v>128</v>
      </c>
      <c r="H16" s="509"/>
      <c r="I16" s="516" t="s">
        <v>124</v>
      </c>
      <c r="J16" s="516" t="s">
        <v>129</v>
      </c>
      <c r="K16" s="516" t="s">
        <v>130</v>
      </c>
      <c r="L16" s="514"/>
      <c r="M16" s="514"/>
      <c r="N16" s="515"/>
    </row>
    <row r="17" spans="1:14" ht="21" customHeight="1">
      <c r="A17" s="487"/>
      <c r="B17" s="577">
        <f>График!AI25</f>
        <v>21</v>
      </c>
      <c r="C17" s="473" t="str">
        <f>A2</f>
        <v>ул. Севастопольская, 62</v>
      </c>
      <c r="D17" s="578" t="s">
        <v>140</v>
      </c>
      <c r="E17" s="579">
        <f>График!AJ25</f>
        <v>207</v>
      </c>
      <c r="F17" s="580">
        <v>100</v>
      </c>
      <c r="G17" s="651">
        <f>E17*F17</f>
        <v>20700</v>
      </c>
      <c r="H17" s="582"/>
      <c r="I17" s="473" t="str">
        <f>C17</f>
        <v>ул. Севастопольская, 62</v>
      </c>
      <c r="J17" s="524">
        <v>1</v>
      </c>
      <c r="K17" s="521">
        <f>G17*55%</f>
        <v>11385.000000000002</v>
      </c>
      <c r="L17" s="475"/>
      <c r="M17" s="475"/>
      <c r="N17" s="480"/>
    </row>
    <row r="18" spans="1:14">
      <c r="A18" s="583"/>
      <c r="B18" s="584"/>
      <c r="C18" s="578"/>
      <c r="D18" s="578"/>
      <c r="E18" s="586"/>
      <c r="F18" s="580"/>
      <c r="G18" s="638"/>
      <c r="H18" s="588"/>
      <c r="I18" s="490"/>
      <c r="J18" s="527"/>
      <c r="K18" s="521"/>
      <c r="L18" s="574"/>
      <c r="M18" s="574"/>
      <c r="N18" s="589"/>
    </row>
    <row r="19" spans="1:14">
      <c r="A19" s="575"/>
      <c r="B19" s="576"/>
      <c r="C19" s="578"/>
      <c r="D19" s="578"/>
      <c r="E19" s="639"/>
      <c r="F19" s="652"/>
      <c r="G19" s="653"/>
      <c r="H19" s="637"/>
      <c r="I19" s="526"/>
      <c r="J19" s="527"/>
      <c r="K19" s="654"/>
      <c r="L19" s="514"/>
      <c r="M19" s="514"/>
      <c r="N19" s="515"/>
    </row>
    <row r="20" spans="1:14">
      <c r="A20" s="510"/>
      <c r="B20" s="509"/>
      <c r="C20" s="528"/>
      <c r="D20" s="473"/>
      <c r="E20" s="529"/>
      <c r="F20" s="529"/>
      <c r="G20" s="530"/>
      <c r="H20" s="509"/>
      <c r="I20" s="509"/>
      <c r="J20" s="509"/>
      <c r="K20" s="509"/>
      <c r="L20" s="514"/>
      <c r="M20" s="514"/>
      <c r="N20" s="515"/>
    </row>
    <row r="21" spans="1:14">
      <c r="A21" s="572" t="s">
        <v>132</v>
      </c>
      <c r="B21" s="502"/>
      <c r="C21" s="502"/>
      <c r="D21" s="531">
        <f>G26+G27+G28</f>
        <v>23040.6185</v>
      </c>
      <c r="E21" s="532"/>
      <c r="F21" s="505"/>
      <c r="G21" s="505"/>
      <c r="H21" s="505"/>
      <c r="I21" s="502" t="s">
        <v>109</v>
      </c>
      <c r="J21" s="505"/>
      <c r="K21" s="505"/>
      <c r="L21" s="505"/>
      <c r="M21" s="531">
        <f>N26+N27+N28</f>
        <v>12755.864276047905</v>
      </c>
      <c r="N21" s="508"/>
    </row>
    <row r="22" spans="1:14">
      <c r="A22" s="534"/>
      <c r="B22" s="472"/>
      <c r="C22" s="475"/>
      <c r="D22" s="475"/>
      <c r="E22" s="475"/>
      <c r="F22" s="475"/>
      <c r="G22" s="475"/>
      <c r="H22" s="475"/>
      <c r="I22" s="475"/>
      <c r="J22" s="475"/>
      <c r="K22" s="535"/>
      <c r="L22" s="139"/>
      <c r="M22" s="139"/>
      <c r="N22" s="536"/>
    </row>
    <row r="23" spans="1:14">
      <c r="A23" s="534"/>
      <c r="B23" s="473"/>
      <c r="C23" s="472"/>
      <c r="D23" s="475"/>
      <c r="E23" s="475"/>
      <c r="F23" s="475"/>
      <c r="G23" s="475"/>
      <c r="H23" s="475"/>
      <c r="I23" s="475"/>
      <c r="J23" s="475"/>
      <c r="K23" s="475"/>
      <c r="L23" s="475"/>
      <c r="M23" s="475"/>
      <c r="N23" s="480"/>
    </row>
    <row r="24" spans="1:14" ht="48">
      <c r="A24" s="599"/>
      <c r="B24" s="600" t="s">
        <v>133</v>
      </c>
      <c r="C24" s="513"/>
      <c r="D24" s="513"/>
      <c r="E24" s="513"/>
      <c r="F24" s="513"/>
      <c r="G24" s="513"/>
      <c r="H24" s="574"/>
      <c r="I24" s="600" t="s">
        <v>134</v>
      </c>
      <c r="J24" s="600"/>
      <c r="K24" s="513"/>
      <c r="L24" s="513"/>
      <c r="M24" s="513"/>
      <c r="N24" s="601"/>
    </row>
    <row r="25" spans="1:14" ht="36">
      <c r="A25" s="602"/>
      <c r="B25" s="516" t="s">
        <v>28</v>
      </c>
      <c r="C25" s="896" t="s">
        <v>124</v>
      </c>
      <c r="D25" s="897"/>
      <c r="E25" s="516" t="s">
        <v>135</v>
      </c>
      <c r="F25" s="516" t="s">
        <v>136</v>
      </c>
      <c r="G25" s="603" t="s">
        <v>137</v>
      </c>
      <c r="H25" s="509"/>
      <c r="I25" s="516" t="s">
        <v>28</v>
      </c>
      <c r="J25" s="509" t="s">
        <v>124</v>
      </c>
      <c r="K25" s="516" t="s">
        <v>138</v>
      </c>
      <c r="L25" s="509" t="s">
        <v>139</v>
      </c>
      <c r="M25" s="516" t="s">
        <v>135</v>
      </c>
      <c r="N25" s="604" t="s">
        <v>137</v>
      </c>
    </row>
    <row r="26" spans="1:14">
      <c r="A26" s="605"/>
      <c r="B26" s="519" t="str">
        <f>A4</f>
        <v>Корж Анастасия</v>
      </c>
      <c r="C26" s="898" t="str">
        <f>A2</f>
        <v>ул. Севастопольская, 62</v>
      </c>
      <c r="D26" s="899"/>
      <c r="E26" s="524">
        <v>0.05</v>
      </c>
      <c r="F26" s="606">
        <f>'Корж А. А.'!J8</f>
        <v>460812.37</v>
      </c>
      <c r="G26" s="607">
        <f>F26*E26</f>
        <v>23040.6185</v>
      </c>
      <c r="H26" s="500"/>
      <c r="I26" s="544" t="str">
        <f>B26</f>
        <v>Корж Анастасия</v>
      </c>
      <c r="J26" s="545" t="str">
        <f>C26</f>
        <v>ул. Севастопольская, 62</v>
      </c>
      <c r="K26" s="608">
        <f>E17</f>
        <v>207</v>
      </c>
      <c r="L26" s="546">
        <f>График!AJ29</f>
        <v>1002</v>
      </c>
      <c r="M26" s="609">
        <v>0.02</v>
      </c>
      <c r="N26" s="547">
        <f>Центрум!J8*M26*K26/L26</f>
        <v>12755.864276047905</v>
      </c>
    </row>
    <row r="27" spans="1:14">
      <c r="A27" s="602"/>
      <c r="B27" s="519"/>
      <c r="C27" s="920"/>
      <c r="D27" s="921"/>
      <c r="E27" s="524"/>
      <c r="F27" s="548"/>
      <c r="G27" s="610"/>
      <c r="H27" s="611"/>
      <c r="I27" s="544"/>
      <c r="J27" s="549"/>
      <c r="K27" s="550"/>
      <c r="L27" s="551"/>
      <c r="M27" s="524"/>
      <c r="N27" s="655"/>
    </row>
    <row r="28" spans="1:14">
      <c r="A28" s="656"/>
      <c r="B28" s="657"/>
      <c r="C28" s="922"/>
      <c r="D28" s="923"/>
      <c r="E28" s="615"/>
      <c r="F28" s="616"/>
      <c r="G28" s="617"/>
      <c r="H28" s="658"/>
      <c r="I28" s="659"/>
      <c r="J28" s="660"/>
      <c r="K28" s="661"/>
      <c r="L28" s="660"/>
      <c r="M28" s="662"/>
      <c r="N28" s="663"/>
    </row>
  </sheetData>
  <mergeCells count="19">
    <mergeCell ref="C25:D25"/>
    <mergeCell ref="C26:D26"/>
    <mergeCell ref="C27:D27"/>
    <mergeCell ref="C28:D28"/>
    <mergeCell ref="D9:E9"/>
    <mergeCell ref="H9:I9"/>
    <mergeCell ref="J9:K9"/>
    <mergeCell ref="D10:E10"/>
    <mergeCell ref="D11:E11"/>
    <mergeCell ref="H7:I7"/>
    <mergeCell ref="J7:K7"/>
    <mergeCell ref="D8:E8"/>
    <mergeCell ref="H8:I8"/>
    <mergeCell ref="J8:K8"/>
    <mergeCell ref="A1:D1"/>
    <mergeCell ref="A2:C2"/>
    <mergeCell ref="A3:C3"/>
    <mergeCell ref="A4:C4"/>
    <mergeCell ref="D7:E7"/>
  </mergeCells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DBDBDB"/>
  </sheetPr>
  <dimension ref="A1:N27"/>
  <sheetViews>
    <sheetView zoomScale="93" workbookViewId="0">
      <selection activeCell="P20" sqref="P20"/>
    </sheetView>
  </sheetViews>
  <sheetFormatPr baseColWidth="10" defaultColWidth="11.5" defaultRowHeight="15"/>
  <cols>
    <col min="1" max="1" width="2" style="1" customWidth="1"/>
    <col min="2" max="2" width="11" style="1" customWidth="1"/>
    <col min="3" max="3" width="16.5" style="1" customWidth="1"/>
    <col min="4" max="6" width="11.5" style="1"/>
    <col min="7" max="7" width="12.6640625" style="1" customWidth="1"/>
    <col min="8" max="8" width="13.1640625" style="1" customWidth="1"/>
    <col min="9" max="10" width="16.33203125" style="1" customWidth="1"/>
    <col min="11" max="11" width="14.5" style="1" customWidth="1"/>
    <col min="12" max="12" width="17.1640625" style="1" customWidth="1"/>
    <col min="13" max="13" width="16.33203125" style="1" customWidth="1"/>
    <col min="14" max="14" width="16.33203125" customWidth="1"/>
  </cols>
  <sheetData>
    <row r="1" spans="1:14" ht="17" customHeight="1">
      <c r="A1" s="869" t="str">
        <f>График!B1</f>
        <v>Декабрь, 2025</v>
      </c>
      <c r="B1" s="870"/>
      <c r="C1" s="870"/>
      <c r="D1" s="871"/>
      <c r="E1" s="445"/>
      <c r="F1" s="446"/>
      <c r="G1" s="446"/>
      <c r="H1" s="446"/>
      <c r="I1" s="446"/>
      <c r="J1" s="446"/>
      <c r="K1" s="446"/>
      <c r="L1" s="446"/>
      <c r="M1" s="446"/>
      <c r="N1" s="447"/>
    </row>
    <row r="2" spans="1:14" ht="19" customHeight="1">
      <c r="A2" s="872" t="str">
        <f>График!B3</f>
        <v>ул. Севастопольская, 62</v>
      </c>
      <c r="B2" s="873"/>
      <c r="C2" s="874"/>
      <c r="D2" s="448" t="str">
        <f>График!B4</f>
        <v>GL-0004</v>
      </c>
      <c r="E2" s="449"/>
      <c r="F2" s="557"/>
      <c r="G2" s="557"/>
      <c r="H2" s="557"/>
      <c r="I2" s="557"/>
      <c r="J2" s="557"/>
      <c r="K2" s="557"/>
      <c r="L2" s="557"/>
      <c r="M2" s="557"/>
      <c r="N2" s="452"/>
    </row>
    <row r="3" spans="1:14" ht="75">
      <c r="A3" s="924" t="s">
        <v>28</v>
      </c>
      <c r="B3" s="925"/>
      <c r="C3" s="926"/>
      <c r="D3" s="664" t="s">
        <v>104</v>
      </c>
      <c r="E3" s="665" t="s">
        <v>105</v>
      </c>
      <c r="F3" s="666" t="s">
        <v>106</v>
      </c>
      <c r="G3" s="456" t="s">
        <v>107</v>
      </c>
      <c r="H3" s="457" t="s">
        <v>108</v>
      </c>
      <c r="I3" s="457" t="s">
        <v>109</v>
      </c>
      <c r="J3" s="458" t="s">
        <v>110</v>
      </c>
      <c r="K3" s="667" t="s">
        <v>87</v>
      </c>
      <c r="L3" s="668" t="s">
        <v>111</v>
      </c>
      <c r="M3" s="669" t="s">
        <v>112</v>
      </c>
      <c r="N3" s="670" t="s">
        <v>113</v>
      </c>
    </row>
    <row r="4" spans="1:14" ht="18" customHeight="1">
      <c r="A4" s="927" t="str">
        <f>График!B24</f>
        <v>Рогалевич Ирина</v>
      </c>
      <c r="B4" s="928"/>
      <c r="C4" s="929"/>
      <c r="D4" s="671"/>
      <c r="E4" s="672"/>
      <c r="F4" s="673">
        <f>H8+H9</f>
        <v>9694.7468500000014</v>
      </c>
      <c r="G4" s="647">
        <f>D13</f>
        <v>31200</v>
      </c>
      <c r="H4" s="648">
        <f>D20</f>
        <v>32365.5</v>
      </c>
      <c r="I4" s="648">
        <f>M20</f>
        <v>9613.1151065868253</v>
      </c>
      <c r="J4" s="649">
        <f>M13</f>
        <v>9680</v>
      </c>
      <c r="K4" s="674">
        <f>H4+J4+G4+F4+I4</f>
        <v>92553.361956586828</v>
      </c>
      <c r="L4" s="675">
        <f>C8+C9+C10+C11</f>
        <v>200</v>
      </c>
      <c r="M4" s="673">
        <f>K4-L4-D4-E4</f>
        <v>92353.361956586828</v>
      </c>
      <c r="N4" s="676"/>
    </row>
    <row r="5" spans="1:14">
      <c r="A5" s="471"/>
      <c r="B5" s="472"/>
      <c r="C5" s="473"/>
      <c r="D5" s="473"/>
      <c r="E5" s="473"/>
      <c r="F5" s="473"/>
      <c r="G5" s="473"/>
      <c r="H5" s="473"/>
      <c r="I5" s="473"/>
      <c r="J5" s="473"/>
      <c r="K5" s="474"/>
      <c r="L5" s="473"/>
      <c r="M5" s="475"/>
      <c r="N5" s="476"/>
    </row>
    <row r="6" spans="1:14">
      <c r="A6" s="477"/>
      <c r="B6" s="478" t="s">
        <v>111</v>
      </c>
      <c r="C6" s="479"/>
      <c r="D6" s="479"/>
      <c r="E6" s="479"/>
      <c r="F6" s="473"/>
      <c r="G6" s="472" t="s">
        <v>114</v>
      </c>
      <c r="H6" s="473"/>
      <c r="I6" s="473"/>
      <c r="J6" s="473"/>
      <c r="K6" s="473"/>
      <c r="L6" s="473"/>
      <c r="M6" s="475"/>
      <c r="N6" s="480"/>
    </row>
    <row r="7" spans="1:14" ht="16" customHeight="1">
      <c r="A7" s="481"/>
      <c r="B7" s="482" t="s">
        <v>29</v>
      </c>
      <c r="C7" s="482" t="s">
        <v>115</v>
      </c>
      <c r="D7" s="881" t="s">
        <v>116</v>
      </c>
      <c r="E7" s="881"/>
      <c r="F7" s="483"/>
      <c r="G7" s="482" t="s">
        <v>29</v>
      </c>
      <c r="H7" s="881" t="s">
        <v>115</v>
      </c>
      <c r="I7" s="881"/>
      <c r="J7" s="881" t="s">
        <v>116</v>
      </c>
      <c r="K7" s="881"/>
      <c r="L7" s="484"/>
      <c r="M7" s="485"/>
      <c r="N7" s="486"/>
    </row>
    <row r="8" spans="1:14" ht="16" customHeight="1">
      <c r="A8" s="487"/>
      <c r="B8" s="488">
        <v>46031</v>
      </c>
      <c r="C8" s="489">
        <v>200</v>
      </c>
      <c r="D8" s="882" t="s">
        <v>163</v>
      </c>
      <c r="E8" s="882"/>
      <c r="F8" s="491"/>
      <c r="G8" s="488">
        <v>46022</v>
      </c>
      <c r="H8" s="883">
        <f>Центрум!D62*1%/2</f>
        <v>9694.7468500000014</v>
      </c>
      <c r="I8" s="883"/>
      <c r="J8" s="882" t="s">
        <v>118</v>
      </c>
      <c r="K8" s="882"/>
      <c r="L8" s="473"/>
      <c r="M8" s="475"/>
      <c r="N8" s="480"/>
    </row>
    <row r="9" spans="1:14" ht="23" customHeight="1">
      <c r="A9" s="477"/>
      <c r="B9" s="488"/>
      <c r="C9" s="489"/>
      <c r="D9" s="882"/>
      <c r="E9" s="882"/>
      <c r="F9" s="473"/>
      <c r="G9" s="488"/>
      <c r="H9" s="883"/>
      <c r="I9" s="883"/>
      <c r="J9" s="882"/>
      <c r="K9" s="882"/>
      <c r="L9" s="473"/>
      <c r="M9" s="475"/>
      <c r="N9" s="480"/>
    </row>
    <row r="10" spans="1:14" ht="21" customHeight="1">
      <c r="A10" s="492"/>
      <c r="B10" s="493"/>
      <c r="C10" s="494"/>
      <c r="D10" s="884"/>
      <c r="E10" s="884"/>
      <c r="F10" s="495"/>
      <c r="G10" s="473"/>
      <c r="H10" s="473"/>
      <c r="I10" s="473"/>
      <c r="J10" s="473"/>
      <c r="K10" s="473"/>
      <c r="L10" s="473"/>
      <c r="M10" s="475"/>
      <c r="N10" s="480"/>
    </row>
    <row r="11" spans="1:14" ht="16" customHeight="1">
      <c r="A11" s="492"/>
      <c r="B11" s="496"/>
      <c r="C11" s="497"/>
      <c r="D11" s="885"/>
      <c r="E11" s="885"/>
      <c r="F11" s="495"/>
      <c r="G11" s="473"/>
      <c r="H11" s="473"/>
      <c r="I11" s="473"/>
      <c r="J11" s="473"/>
      <c r="K11" s="473"/>
      <c r="L11" s="473"/>
      <c r="M11" s="475"/>
      <c r="N11" s="480"/>
    </row>
    <row r="12" spans="1:14">
      <c r="A12" s="477"/>
      <c r="B12" s="498"/>
      <c r="C12" s="499"/>
      <c r="D12" s="500"/>
      <c r="E12" s="500"/>
      <c r="F12" s="473"/>
      <c r="G12" s="473"/>
      <c r="H12" s="473"/>
      <c r="I12" s="473"/>
      <c r="J12" s="473"/>
      <c r="K12" s="473"/>
      <c r="L12" s="473"/>
      <c r="M12" s="475"/>
      <c r="N12" s="480"/>
    </row>
    <row r="13" spans="1:14">
      <c r="A13" s="572" t="s">
        <v>121</v>
      </c>
      <c r="B13" s="502"/>
      <c r="C13" s="502"/>
      <c r="D13" s="503">
        <f>G17+G18</f>
        <v>31200</v>
      </c>
      <c r="E13" s="504"/>
      <c r="F13" s="505"/>
      <c r="G13" s="502"/>
      <c r="H13" s="502"/>
      <c r="I13" s="506" t="s">
        <v>122</v>
      </c>
      <c r="J13" s="502"/>
      <c r="K13" s="502"/>
      <c r="L13" s="502"/>
      <c r="M13" s="507">
        <f>K17+K18</f>
        <v>9680</v>
      </c>
      <c r="N13" s="508"/>
    </row>
    <row r="14" spans="1:14">
      <c r="A14" s="477"/>
      <c r="B14" s="472"/>
      <c r="C14" s="473"/>
      <c r="D14" s="509"/>
      <c r="E14" s="509"/>
      <c r="F14" s="473"/>
      <c r="G14" s="473"/>
      <c r="H14" s="473"/>
      <c r="I14" s="473"/>
      <c r="J14" s="473"/>
      <c r="K14" s="475"/>
      <c r="L14" s="475"/>
      <c r="M14" s="475"/>
      <c r="N14" s="480"/>
    </row>
    <row r="15" spans="1:14">
      <c r="A15" s="510"/>
      <c r="B15" s="511" t="s">
        <v>121</v>
      </c>
      <c r="C15" s="509"/>
      <c r="D15" s="509"/>
      <c r="E15" s="509"/>
      <c r="F15" s="509"/>
      <c r="G15" s="509"/>
      <c r="H15" s="509"/>
      <c r="I15" s="512" t="s">
        <v>110</v>
      </c>
      <c r="J15" s="513"/>
      <c r="K15" s="513"/>
      <c r="L15" s="514"/>
      <c r="M15" s="514"/>
      <c r="N15" s="515"/>
    </row>
    <row r="16" spans="1:14" ht="24">
      <c r="A16" s="575"/>
      <c r="B16" s="576" t="s">
        <v>123</v>
      </c>
      <c r="C16" s="576" t="s">
        <v>124</v>
      </c>
      <c r="D16" s="576" t="s">
        <v>125</v>
      </c>
      <c r="E16" s="576" t="s">
        <v>126</v>
      </c>
      <c r="F16" s="576" t="s">
        <v>127</v>
      </c>
      <c r="G16" s="576" t="s">
        <v>128</v>
      </c>
      <c r="H16" s="637"/>
      <c r="I16" s="516" t="s">
        <v>124</v>
      </c>
      <c r="J16" s="516" t="s">
        <v>129</v>
      </c>
      <c r="K16" s="516" t="s">
        <v>130</v>
      </c>
      <c r="L16" s="514"/>
      <c r="M16" s="514"/>
      <c r="N16" s="515"/>
    </row>
    <row r="17" spans="1:14">
      <c r="A17" s="487"/>
      <c r="B17" s="577">
        <f>График!AI24</f>
        <v>16</v>
      </c>
      <c r="C17" s="473" t="str">
        <f>A2</f>
        <v>ул. Севастопольская, 62</v>
      </c>
      <c r="D17" s="578" t="s">
        <v>131</v>
      </c>
      <c r="E17" s="579">
        <f>График!AJ24</f>
        <v>156</v>
      </c>
      <c r="F17" s="580">
        <v>200</v>
      </c>
      <c r="G17" s="638">
        <f>E17*F17</f>
        <v>31200</v>
      </c>
      <c r="H17" s="582"/>
      <c r="I17" s="519" t="str">
        <f>C17</f>
        <v>ул. Севастопольская, 62</v>
      </c>
      <c r="J17" s="524">
        <v>1</v>
      </c>
      <c r="K17" s="521">
        <v>9680</v>
      </c>
      <c r="L17" s="475"/>
      <c r="M17" s="475"/>
      <c r="N17" s="480"/>
    </row>
    <row r="18" spans="1:14">
      <c r="A18" s="575"/>
      <c r="B18" s="576"/>
      <c r="C18" s="578"/>
      <c r="D18" s="578"/>
      <c r="E18" s="639"/>
      <c r="F18" s="580"/>
      <c r="G18" s="638"/>
      <c r="H18" s="637"/>
      <c r="I18" s="526"/>
      <c r="J18" s="527"/>
      <c r="K18" s="521"/>
      <c r="L18" s="514"/>
      <c r="M18" s="514"/>
      <c r="N18" s="515"/>
    </row>
    <row r="19" spans="1:14">
      <c r="A19" s="510"/>
      <c r="B19" s="509"/>
      <c r="C19" s="528"/>
      <c r="D19" s="473"/>
      <c r="E19" s="529"/>
      <c r="F19" s="529"/>
      <c r="G19" s="530"/>
      <c r="H19" s="509"/>
      <c r="I19" s="509"/>
      <c r="J19" s="509"/>
      <c r="K19" s="509"/>
      <c r="L19" s="514"/>
      <c r="M19" s="514"/>
      <c r="N19" s="515"/>
    </row>
    <row r="20" spans="1:14">
      <c r="A20" s="572" t="s">
        <v>132</v>
      </c>
      <c r="B20" s="502"/>
      <c r="C20" s="502"/>
      <c r="D20" s="531">
        <f>G25+G26</f>
        <v>32365.5</v>
      </c>
      <c r="E20" s="532"/>
      <c r="F20" s="505"/>
      <c r="G20" s="505"/>
      <c r="H20" s="505"/>
      <c r="I20" s="502" t="s">
        <v>109</v>
      </c>
      <c r="J20" s="505"/>
      <c r="K20" s="505"/>
      <c r="L20" s="505"/>
      <c r="M20" s="531">
        <f>N25+N26</f>
        <v>9613.1151065868253</v>
      </c>
      <c r="N20" s="508"/>
    </row>
    <row r="21" spans="1:14">
      <c r="A21" s="534"/>
      <c r="B21" s="472"/>
      <c r="C21" s="475"/>
      <c r="D21" s="475"/>
      <c r="E21" s="475"/>
      <c r="F21" s="475"/>
      <c r="G21" s="475"/>
      <c r="H21" s="475"/>
      <c r="I21" s="475"/>
      <c r="J21" s="475"/>
      <c r="K21" s="535"/>
      <c r="L21" s="139"/>
      <c r="M21" s="139"/>
      <c r="N21" s="536"/>
    </row>
    <row r="22" spans="1:14">
      <c r="A22" s="534"/>
      <c r="B22" s="473"/>
      <c r="C22" s="472"/>
      <c r="D22" s="475"/>
      <c r="E22" s="475"/>
      <c r="F22" s="475"/>
      <c r="G22" s="475"/>
      <c r="H22" s="475"/>
      <c r="I22" s="475"/>
      <c r="J22" s="475"/>
      <c r="K22" s="475"/>
      <c r="L22" s="475"/>
      <c r="M22" s="475"/>
      <c r="N22" s="480"/>
    </row>
    <row r="23" spans="1:14">
      <c r="A23" s="534"/>
      <c r="B23" s="472" t="s">
        <v>133</v>
      </c>
      <c r="C23" s="475"/>
      <c r="D23" s="475"/>
      <c r="E23" s="475"/>
      <c r="F23" s="475"/>
      <c r="G23" s="475"/>
      <c r="H23" s="475"/>
      <c r="I23" s="472" t="s">
        <v>134</v>
      </c>
      <c r="J23" s="472"/>
      <c r="K23" s="475"/>
      <c r="L23" s="475"/>
      <c r="M23" s="475"/>
      <c r="N23" s="539"/>
    </row>
    <row r="24" spans="1:14" ht="36">
      <c r="A24" s="590"/>
      <c r="B24" s="576" t="s">
        <v>28</v>
      </c>
      <c r="C24" s="914" t="s">
        <v>124</v>
      </c>
      <c r="D24" s="915"/>
      <c r="E24" s="576" t="s">
        <v>135</v>
      </c>
      <c r="F24" s="576" t="s">
        <v>136</v>
      </c>
      <c r="G24" s="576" t="s">
        <v>137</v>
      </c>
      <c r="H24" s="509"/>
      <c r="I24" s="516" t="s">
        <v>28</v>
      </c>
      <c r="J24" s="516" t="s">
        <v>124</v>
      </c>
      <c r="K24" s="516" t="s">
        <v>138</v>
      </c>
      <c r="L24" s="516" t="s">
        <v>139</v>
      </c>
      <c r="M24" s="516" t="s">
        <v>135</v>
      </c>
      <c r="N24" s="541" t="s">
        <v>137</v>
      </c>
    </row>
    <row r="25" spans="1:14">
      <c r="A25" s="640"/>
      <c r="B25" s="578" t="str">
        <f>A4</f>
        <v>Рогалевич Ирина</v>
      </c>
      <c r="C25" s="916" t="str">
        <f>A2</f>
        <v>ул. Севастопольская, 62</v>
      </c>
      <c r="D25" s="917"/>
      <c r="E25" s="641">
        <v>0.05</v>
      </c>
      <c r="F25" s="499">
        <f>'Доп сотрудник'!J8-5653</f>
        <v>647310</v>
      </c>
      <c r="G25" s="642">
        <f>F25*E25</f>
        <v>32365.5</v>
      </c>
      <c r="H25" s="473"/>
      <c r="I25" s="544" t="str">
        <f>B25</f>
        <v>Рогалевич Ирина</v>
      </c>
      <c r="J25" s="643" t="str">
        <f>C25</f>
        <v>ул. Севастопольская, 62</v>
      </c>
      <c r="K25" s="545">
        <f>E17</f>
        <v>156</v>
      </c>
      <c r="L25" s="644">
        <f>График!AJ29</f>
        <v>1002</v>
      </c>
      <c r="M25" s="524">
        <v>0.02</v>
      </c>
      <c r="N25" s="547">
        <f>Центрум!J8*M25*K25/L25</f>
        <v>9613.1151065868253</v>
      </c>
    </row>
    <row r="26" spans="1:14">
      <c r="A26" s="590"/>
      <c r="B26" s="578"/>
      <c r="C26" s="918"/>
      <c r="D26" s="919"/>
      <c r="E26" s="641"/>
      <c r="F26" s="645"/>
      <c r="G26" s="642"/>
      <c r="H26" s="509"/>
      <c r="I26" s="544"/>
      <c r="J26" s="549"/>
      <c r="K26" s="550"/>
      <c r="L26" s="551"/>
      <c r="M26" s="524"/>
      <c r="N26" s="547"/>
    </row>
    <row r="27" spans="1:14">
      <c r="A27" s="552"/>
      <c r="B27" s="646"/>
      <c r="C27" s="646"/>
      <c r="D27" s="646"/>
      <c r="E27" s="646"/>
      <c r="F27" s="646"/>
      <c r="G27" s="646"/>
      <c r="H27" s="553"/>
      <c r="I27" s="554"/>
      <c r="J27" s="554"/>
      <c r="K27" s="554"/>
      <c r="L27" s="554"/>
      <c r="M27" s="554"/>
      <c r="N27" s="555"/>
    </row>
  </sheetData>
  <mergeCells count="18">
    <mergeCell ref="C24:D24"/>
    <mergeCell ref="C25:D25"/>
    <mergeCell ref="C26:D26"/>
    <mergeCell ref="D9:E9"/>
    <mergeCell ref="H9:I9"/>
    <mergeCell ref="J9:K9"/>
    <mergeCell ref="D10:E10"/>
    <mergeCell ref="D11:E11"/>
    <mergeCell ref="H7:I7"/>
    <mergeCell ref="J7:K7"/>
    <mergeCell ref="D8:E8"/>
    <mergeCell ref="H8:I8"/>
    <mergeCell ref="J8:K8"/>
    <mergeCell ref="A1:D1"/>
    <mergeCell ref="A2:C2"/>
    <mergeCell ref="A3:C3"/>
    <mergeCell ref="A4:C4"/>
    <mergeCell ref="D7:E7"/>
  </mergeCells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DBDBDB"/>
  </sheetPr>
  <dimension ref="A1:AQ39"/>
  <sheetViews>
    <sheetView zoomScale="75" workbookViewId="0">
      <pane xSplit="2" topLeftCell="C1" activePane="topRight" state="frozen"/>
      <selection activeCell="AA24" sqref="AA24:AE24"/>
      <selection pane="topRight" activeCell="AE35" sqref="AE35"/>
    </sheetView>
  </sheetViews>
  <sheetFormatPr baseColWidth="10" defaultColWidth="11.5" defaultRowHeight="15"/>
  <cols>
    <col min="1" max="1" width="4.83203125" style="1" customWidth="1"/>
    <col min="2" max="2" width="24.33203125" style="1" customWidth="1"/>
    <col min="3" max="3" width="18" style="1" customWidth="1"/>
    <col min="4" max="34" width="7.33203125" style="1" customWidth="1"/>
    <col min="35" max="35" width="4.83203125" style="1" customWidth="1"/>
    <col min="36" max="36" width="11.1640625" style="1" customWidth="1"/>
    <col min="37" max="40" width="6.33203125" style="1" customWidth="1"/>
    <col min="41" max="43" width="11.5" style="1"/>
  </cols>
  <sheetData>
    <row r="1" spans="1:40">
      <c r="A1" s="677"/>
      <c r="B1" s="678" t="s">
        <v>142</v>
      </c>
      <c r="C1" s="679"/>
      <c r="D1" s="679"/>
      <c r="E1" s="679"/>
      <c r="F1" s="679"/>
      <c r="G1" s="679"/>
      <c r="H1" s="679"/>
      <c r="I1" s="679"/>
      <c r="J1" s="679"/>
      <c r="K1" s="679"/>
      <c r="L1" s="679"/>
      <c r="M1" s="679"/>
      <c r="N1" s="679"/>
      <c r="O1" s="679"/>
      <c r="P1" s="679"/>
      <c r="Q1" s="679"/>
      <c r="R1" s="679"/>
      <c r="S1" s="679"/>
      <c r="T1" s="679"/>
      <c r="U1" s="679"/>
      <c r="V1" s="679"/>
      <c r="W1" s="679"/>
      <c r="X1" s="679"/>
      <c r="Y1" s="679"/>
      <c r="Z1" s="679"/>
      <c r="AA1" s="679"/>
      <c r="AB1" s="679"/>
      <c r="AC1" s="679"/>
      <c r="AD1" s="679"/>
      <c r="AE1" s="679"/>
      <c r="AF1" s="679"/>
      <c r="AG1" s="679"/>
      <c r="AH1" s="679"/>
      <c r="AI1" s="679"/>
      <c r="AJ1" s="679"/>
      <c r="AK1" s="679"/>
      <c r="AL1" s="679"/>
      <c r="AM1" s="679"/>
      <c r="AN1" s="679"/>
    </row>
    <row r="2" spans="1:40">
      <c r="A2" s="677"/>
      <c r="B2" s="680" t="s">
        <v>143</v>
      </c>
      <c r="C2" s="681"/>
      <c r="D2" s="681"/>
      <c r="E2" s="681"/>
      <c r="F2" s="681"/>
      <c r="G2" s="681"/>
      <c r="H2" s="681"/>
      <c r="I2" s="681"/>
      <c r="J2" s="681"/>
      <c r="K2" s="681"/>
      <c r="L2" s="681"/>
      <c r="M2" s="681"/>
      <c r="N2" s="681"/>
      <c r="O2" s="681"/>
      <c r="P2" s="681"/>
      <c r="Q2" s="681"/>
      <c r="R2" s="681"/>
      <c r="S2" s="681"/>
      <c r="T2" s="681"/>
      <c r="U2" s="681"/>
      <c r="V2" s="681"/>
      <c r="W2" s="681"/>
      <c r="X2" s="681"/>
      <c r="Y2" s="681"/>
      <c r="Z2" s="681"/>
      <c r="AA2" s="681"/>
      <c r="AB2" s="681"/>
      <c r="AC2" s="681"/>
      <c r="AD2" s="681"/>
      <c r="AE2" s="681"/>
      <c r="AF2" s="681"/>
      <c r="AG2" s="681"/>
      <c r="AH2" s="681"/>
      <c r="AI2" s="681"/>
      <c r="AJ2" s="681"/>
      <c r="AK2" s="681"/>
      <c r="AL2" s="681"/>
      <c r="AM2" s="681"/>
      <c r="AN2" s="681"/>
    </row>
    <row r="3" spans="1:40">
      <c r="A3" s="677"/>
      <c r="B3" s="680" t="s">
        <v>144</v>
      </c>
      <c r="C3" s="681"/>
      <c r="D3" s="681"/>
      <c r="E3" s="681"/>
      <c r="F3" s="681"/>
      <c r="G3" s="681"/>
      <c r="H3" s="681"/>
      <c r="I3" s="681"/>
      <c r="J3" s="681"/>
      <c r="K3" s="681"/>
      <c r="L3" s="681"/>
      <c r="M3" s="681"/>
      <c r="N3" s="681"/>
      <c r="O3" s="681"/>
      <c r="P3" s="681"/>
      <c r="Q3" s="681"/>
      <c r="R3" s="681"/>
      <c r="S3" s="681"/>
      <c r="T3" s="681"/>
      <c r="U3" s="681"/>
      <c r="V3" s="681"/>
      <c r="W3" s="681"/>
      <c r="X3" s="681"/>
      <c r="Y3" s="681"/>
      <c r="Z3" s="681"/>
      <c r="AA3" s="681"/>
      <c r="AB3" s="681"/>
      <c r="AC3" s="681"/>
      <c r="AD3" s="681"/>
      <c r="AE3" s="681"/>
      <c r="AF3" s="681"/>
      <c r="AG3" s="681"/>
      <c r="AH3" s="681"/>
      <c r="AI3" s="681"/>
      <c r="AJ3" s="681"/>
      <c r="AK3" s="681"/>
      <c r="AL3" s="681"/>
      <c r="AM3" s="681"/>
      <c r="AN3" s="681"/>
    </row>
    <row r="4" spans="1:40" ht="19">
      <c r="A4" s="677"/>
      <c r="B4" s="682" t="s">
        <v>145</v>
      </c>
      <c r="C4" s="681"/>
      <c r="D4" s="681"/>
      <c r="E4" s="681"/>
      <c r="F4" s="681"/>
      <c r="G4" s="681"/>
      <c r="H4" s="681"/>
      <c r="I4" s="681"/>
      <c r="J4" s="681"/>
      <c r="K4" s="681"/>
      <c r="L4" s="681"/>
      <c r="M4" s="681"/>
      <c r="N4" s="681"/>
      <c r="O4" s="681"/>
      <c r="P4" s="681"/>
      <c r="Q4" s="681"/>
      <c r="R4" s="681"/>
      <c r="S4" s="681"/>
      <c r="T4" s="681"/>
      <c r="U4" s="681"/>
      <c r="V4" s="681"/>
      <c r="W4" s="681"/>
      <c r="X4" s="681"/>
      <c r="Y4" s="681"/>
      <c r="Z4" s="681"/>
      <c r="AA4" s="681"/>
      <c r="AB4" s="681"/>
      <c r="AC4" s="681"/>
      <c r="AD4" s="681"/>
      <c r="AE4" s="681"/>
      <c r="AF4" s="681"/>
      <c r="AG4" s="681"/>
      <c r="AH4" s="681"/>
      <c r="AI4" s="681"/>
      <c r="AJ4" s="681"/>
      <c r="AK4" s="681"/>
      <c r="AL4" s="681"/>
      <c r="AM4" s="681"/>
      <c r="AN4" s="681"/>
    </row>
    <row r="5" spans="1:40" ht="16">
      <c r="A5" s="677"/>
      <c r="B5" s="683" t="s">
        <v>146</v>
      </c>
      <c r="C5" s="681"/>
      <c r="D5" s="681"/>
      <c r="E5" s="681"/>
      <c r="F5" s="681"/>
      <c r="G5" s="681"/>
      <c r="H5" s="681"/>
      <c r="I5" s="681"/>
      <c r="J5" s="681"/>
      <c r="K5" s="681"/>
      <c r="L5" s="681"/>
      <c r="M5" s="681"/>
      <c r="N5" s="681"/>
      <c r="O5" s="681"/>
      <c r="P5" s="681"/>
      <c r="Q5" s="681"/>
      <c r="R5" s="681"/>
      <c r="S5" s="681"/>
      <c r="T5" s="681"/>
      <c r="U5" s="681"/>
      <c r="V5" s="681"/>
      <c r="W5" s="681"/>
      <c r="X5" s="681"/>
      <c r="Y5" s="681"/>
      <c r="Z5" s="681"/>
      <c r="AA5" s="681"/>
      <c r="AB5" s="681"/>
      <c r="AC5" s="681"/>
      <c r="AD5" s="681"/>
      <c r="AE5" s="681"/>
      <c r="AF5" s="681"/>
      <c r="AG5" s="681"/>
      <c r="AH5" s="681"/>
      <c r="AI5" s="681"/>
      <c r="AJ5" s="930"/>
      <c r="AK5" s="931"/>
      <c r="AL5" s="932"/>
      <c r="AM5" s="933"/>
      <c r="AN5" s="934"/>
    </row>
    <row r="6" spans="1:40" ht="16" customHeight="1">
      <c r="A6" s="677"/>
      <c r="B6" s="684" t="s">
        <v>147</v>
      </c>
      <c r="C6" s="935" t="s">
        <v>148</v>
      </c>
      <c r="D6" s="936"/>
      <c r="E6" s="936"/>
      <c r="F6" s="936"/>
      <c r="G6" s="936"/>
      <c r="H6" s="936"/>
      <c r="I6" s="936"/>
      <c r="J6" s="936"/>
      <c r="K6" s="936"/>
      <c r="L6" s="936"/>
      <c r="M6" s="936"/>
      <c r="N6" s="936"/>
      <c r="O6" s="936"/>
      <c r="P6" s="936"/>
      <c r="Q6" s="936"/>
      <c r="R6" s="936"/>
      <c r="S6" s="936"/>
      <c r="T6" s="936"/>
      <c r="U6" s="936"/>
      <c r="V6" s="936"/>
      <c r="W6" s="936"/>
      <c r="X6" s="936"/>
      <c r="Y6" s="936"/>
      <c r="Z6" s="936"/>
      <c r="AA6" s="936"/>
      <c r="AB6" s="936"/>
      <c r="AC6" s="936"/>
      <c r="AD6" s="936"/>
      <c r="AE6" s="936"/>
      <c r="AF6" s="936"/>
      <c r="AG6" s="936"/>
      <c r="AH6" s="936"/>
      <c r="AI6" s="936"/>
      <c r="AJ6" s="937"/>
      <c r="AK6" s="685">
        <v>30</v>
      </c>
      <c r="AL6" s="686"/>
      <c r="AM6" s="686"/>
      <c r="AN6" s="686"/>
    </row>
    <row r="7" spans="1:40" ht="16" customHeight="1">
      <c r="A7" s="687"/>
      <c r="B7" s="688"/>
      <c r="C7" s="935" t="s">
        <v>149</v>
      </c>
      <c r="D7" s="938"/>
      <c r="E7" s="938"/>
      <c r="F7" s="938"/>
      <c r="G7" s="938"/>
      <c r="H7" s="938"/>
      <c r="I7" s="938"/>
      <c r="J7" s="938"/>
      <c r="K7" s="938"/>
      <c r="L7" s="938"/>
      <c r="M7" s="938"/>
      <c r="N7" s="938"/>
      <c r="O7" s="938"/>
      <c r="P7" s="938"/>
      <c r="Q7" s="938"/>
      <c r="R7" s="938"/>
      <c r="S7" s="938"/>
      <c r="T7" s="938"/>
      <c r="U7" s="938"/>
      <c r="V7" s="938"/>
      <c r="W7" s="938"/>
      <c r="X7" s="938"/>
      <c r="Y7" s="938"/>
      <c r="Z7" s="938"/>
      <c r="AA7" s="938"/>
      <c r="AB7" s="938"/>
      <c r="AC7" s="938"/>
      <c r="AD7" s="938"/>
      <c r="AE7" s="938"/>
      <c r="AF7" s="938"/>
      <c r="AG7" s="938"/>
      <c r="AH7" s="938"/>
      <c r="AI7" s="936"/>
      <c r="AJ7" s="937"/>
      <c r="AK7" s="689"/>
      <c r="AL7" s="689"/>
      <c r="AM7" s="690"/>
      <c r="AN7" s="690"/>
    </row>
    <row r="8" spans="1:40" ht="29" customHeight="1">
      <c r="A8" s="691"/>
      <c r="B8" s="692"/>
      <c r="C8" s="693"/>
      <c r="D8" s="694" t="s">
        <v>55</v>
      </c>
      <c r="E8" s="694" t="s">
        <v>57</v>
      </c>
      <c r="F8" s="694" t="s">
        <v>59</v>
      </c>
      <c r="G8" s="694" t="s">
        <v>61</v>
      </c>
      <c r="H8" s="694" t="s">
        <v>63</v>
      </c>
      <c r="I8" s="694" t="s">
        <v>65</v>
      </c>
      <c r="J8" s="694" t="s">
        <v>67</v>
      </c>
      <c r="K8" s="694" t="s">
        <v>55</v>
      </c>
      <c r="L8" s="694" t="s">
        <v>57</v>
      </c>
      <c r="M8" s="694" t="s">
        <v>59</v>
      </c>
      <c r="N8" s="694" t="s">
        <v>61</v>
      </c>
      <c r="O8" s="694" t="s">
        <v>63</v>
      </c>
      <c r="P8" s="694" t="s">
        <v>65</v>
      </c>
      <c r="Q8" s="694" t="s">
        <v>67</v>
      </c>
      <c r="R8" s="695" t="s">
        <v>55</v>
      </c>
      <c r="S8" s="696" t="s">
        <v>57</v>
      </c>
      <c r="T8" s="694" t="s">
        <v>59</v>
      </c>
      <c r="U8" s="694" t="s">
        <v>61</v>
      </c>
      <c r="V8" s="694" t="s">
        <v>63</v>
      </c>
      <c r="W8" s="694" t="s">
        <v>65</v>
      </c>
      <c r="X8" s="694" t="s">
        <v>67</v>
      </c>
      <c r="Y8" s="694" t="s">
        <v>55</v>
      </c>
      <c r="Z8" s="694" t="s">
        <v>57</v>
      </c>
      <c r="AA8" s="694" t="s">
        <v>59</v>
      </c>
      <c r="AB8" s="694" t="s">
        <v>61</v>
      </c>
      <c r="AC8" s="694" t="s">
        <v>63</v>
      </c>
      <c r="AD8" s="694" t="s">
        <v>65</v>
      </c>
      <c r="AE8" s="694" t="s">
        <v>67</v>
      </c>
      <c r="AF8" s="694" t="s">
        <v>55</v>
      </c>
      <c r="AG8" s="694" t="s">
        <v>57</v>
      </c>
      <c r="AH8" s="694" t="s">
        <v>59</v>
      </c>
      <c r="AI8" s="697"/>
      <c r="AJ8" s="698" t="s">
        <v>150</v>
      </c>
      <c r="AK8" s="698" t="s">
        <v>151</v>
      </c>
      <c r="AL8" s="939" t="s">
        <v>152</v>
      </c>
      <c r="AM8" s="939" t="s">
        <v>153</v>
      </c>
      <c r="AN8" s="943" t="s">
        <v>154</v>
      </c>
    </row>
    <row r="9" spans="1:40">
      <c r="A9" s="700"/>
      <c r="B9" s="701"/>
      <c r="C9" s="702"/>
      <c r="D9" s="703"/>
      <c r="E9" s="703"/>
      <c r="F9" s="703"/>
      <c r="G9" s="703"/>
      <c r="H9" s="703"/>
      <c r="I9" s="703"/>
      <c r="J9" s="703"/>
      <c r="K9" s="703"/>
      <c r="L9" s="703"/>
      <c r="M9" s="703"/>
      <c r="N9" s="703"/>
      <c r="O9" s="703"/>
      <c r="P9" s="703"/>
      <c r="Q9" s="703"/>
      <c r="R9" s="704"/>
      <c r="S9" s="705"/>
      <c r="T9" s="703"/>
      <c r="U9" s="703"/>
      <c r="V9" s="703"/>
      <c r="W9" s="703"/>
      <c r="X9" s="703"/>
      <c r="Y9" s="703"/>
      <c r="Z9" s="703"/>
      <c r="AA9" s="703"/>
      <c r="AB9" s="703"/>
      <c r="AC9" s="703"/>
      <c r="AD9" s="703"/>
      <c r="AE9" s="703"/>
      <c r="AF9" s="703"/>
      <c r="AG9" s="703"/>
      <c r="AH9" s="703"/>
      <c r="AI9" s="706"/>
      <c r="AJ9" s="699"/>
      <c r="AK9" s="699"/>
      <c r="AL9" s="940"/>
      <c r="AM9" s="940"/>
      <c r="AN9" s="944"/>
    </row>
    <row r="10" spans="1:40" ht="23" customHeight="1">
      <c r="A10" s="707" t="s">
        <v>155</v>
      </c>
      <c r="B10" s="708" t="s">
        <v>156</v>
      </c>
      <c r="C10" s="709" t="s">
        <v>125</v>
      </c>
      <c r="D10" s="710">
        <v>1</v>
      </c>
      <c r="E10" s="710">
        <v>2</v>
      </c>
      <c r="F10" s="710">
        <v>3</v>
      </c>
      <c r="G10" s="710">
        <v>4</v>
      </c>
      <c r="H10" s="710">
        <v>5</v>
      </c>
      <c r="I10" s="710">
        <v>6</v>
      </c>
      <c r="J10" s="710">
        <v>7</v>
      </c>
      <c r="K10" s="710">
        <v>8</v>
      </c>
      <c r="L10" s="710">
        <v>9</v>
      </c>
      <c r="M10" s="710">
        <v>10</v>
      </c>
      <c r="N10" s="710">
        <v>11</v>
      </c>
      <c r="O10" s="710">
        <v>12</v>
      </c>
      <c r="P10" s="710">
        <v>13</v>
      </c>
      <c r="Q10" s="710">
        <v>14</v>
      </c>
      <c r="R10" s="711">
        <v>15</v>
      </c>
      <c r="S10" s="712">
        <v>16</v>
      </c>
      <c r="T10" s="710">
        <v>17</v>
      </c>
      <c r="U10" s="710">
        <v>18</v>
      </c>
      <c r="V10" s="710">
        <v>19</v>
      </c>
      <c r="W10" s="710">
        <v>20</v>
      </c>
      <c r="X10" s="710">
        <v>21</v>
      </c>
      <c r="Y10" s="710">
        <v>22</v>
      </c>
      <c r="Z10" s="710">
        <v>23</v>
      </c>
      <c r="AA10" s="710">
        <v>24</v>
      </c>
      <c r="AB10" s="710">
        <v>25</v>
      </c>
      <c r="AC10" s="710">
        <v>26</v>
      </c>
      <c r="AD10" s="710">
        <v>27</v>
      </c>
      <c r="AE10" s="710">
        <v>28</v>
      </c>
      <c r="AF10" s="710">
        <v>29</v>
      </c>
      <c r="AG10" s="710">
        <v>30</v>
      </c>
      <c r="AH10" s="710">
        <v>31</v>
      </c>
      <c r="AI10" s="713" t="s">
        <v>157</v>
      </c>
      <c r="AJ10" s="714"/>
      <c r="AK10" s="715"/>
      <c r="AL10" s="941"/>
      <c r="AM10" s="942"/>
      <c r="AN10" s="945"/>
    </row>
    <row r="11" spans="1:40">
      <c r="A11" s="716">
        <v>18</v>
      </c>
      <c r="B11" s="717"/>
      <c r="C11" s="717"/>
      <c r="D11" s="717"/>
      <c r="E11" s="717"/>
      <c r="F11" s="717"/>
      <c r="G11" s="717"/>
      <c r="H11" s="717"/>
      <c r="I11" s="717"/>
      <c r="J11" s="717"/>
      <c r="K11" s="717"/>
      <c r="L11" s="717"/>
      <c r="M11" s="717"/>
      <c r="N11" s="717"/>
      <c r="O11" s="717"/>
      <c r="P11" s="717"/>
      <c r="Q11" s="717"/>
      <c r="R11" s="718"/>
      <c r="S11" s="719"/>
      <c r="T11" s="717"/>
      <c r="U11" s="717"/>
      <c r="V11" s="717"/>
      <c r="W11" s="717"/>
      <c r="X11" s="717"/>
      <c r="Y11" s="717"/>
      <c r="Z11" s="720"/>
      <c r="AA11" s="720"/>
      <c r="AB11" s="720"/>
      <c r="AC11" s="720"/>
      <c r="AD11" s="720"/>
      <c r="AE11" s="720"/>
      <c r="AF11" s="717"/>
      <c r="AG11" s="717"/>
      <c r="AH11" s="721"/>
      <c r="AI11" s="722">
        <f t="shared" ref="AI11:AI28" si="0">COUNTIF(D11:AH11,"&gt;0")</f>
        <v>0</v>
      </c>
      <c r="AJ11" s="723">
        <v>0</v>
      </c>
      <c r="AK11" s="724">
        <v>0</v>
      </c>
      <c r="AL11" s="724">
        <v>0</v>
      </c>
      <c r="AM11" s="724">
        <v>0</v>
      </c>
      <c r="AN11" s="725">
        <v>0</v>
      </c>
    </row>
    <row r="12" spans="1:40">
      <c r="A12" s="726">
        <v>17</v>
      </c>
      <c r="B12" s="727"/>
      <c r="C12" s="727"/>
      <c r="D12" s="727"/>
      <c r="E12" s="727"/>
      <c r="F12" s="727"/>
      <c r="G12" s="727"/>
      <c r="H12" s="727"/>
      <c r="I12" s="727"/>
      <c r="J12" s="727"/>
      <c r="K12" s="727"/>
      <c r="L12" s="727"/>
      <c r="M12" s="727"/>
      <c r="N12" s="727"/>
      <c r="O12" s="727"/>
      <c r="P12" s="727"/>
      <c r="Q12" s="727"/>
      <c r="R12" s="728"/>
      <c r="S12" s="729"/>
      <c r="T12" s="727"/>
      <c r="U12" s="727"/>
      <c r="V12" s="727"/>
      <c r="W12" s="727"/>
      <c r="X12" s="727"/>
      <c r="Y12" s="727"/>
      <c r="Z12" s="730"/>
      <c r="AA12" s="730"/>
      <c r="AB12" s="730"/>
      <c r="AC12" s="730"/>
      <c r="AD12" s="730"/>
      <c r="AE12" s="730"/>
      <c r="AF12" s="727"/>
      <c r="AG12" s="727"/>
      <c r="AH12" s="731"/>
      <c r="AI12" s="722">
        <f t="shared" si="0"/>
        <v>0</v>
      </c>
      <c r="AJ12" s="732">
        <v>0</v>
      </c>
      <c r="AK12" s="733">
        <v>0</v>
      </c>
      <c r="AL12" s="733">
        <v>0</v>
      </c>
      <c r="AM12" s="733">
        <v>0</v>
      </c>
      <c r="AN12" s="734">
        <v>0</v>
      </c>
    </row>
    <row r="13" spans="1:40">
      <c r="A13" s="726">
        <v>16</v>
      </c>
      <c r="B13" s="727"/>
      <c r="C13" s="727"/>
      <c r="D13" s="727"/>
      <c r="E13" s="727"/>
      <c r="F13" s="727"/>
      <c r="G13" s="727"/>
      <c r="H13" s="727"/>
      <c r="I13" s="727"/>
      <c r="J13" s="727"/>
      <c r="K13" s="727"/>
      <c r="L13" s="727"/>
      <c r="M13" s="727"/>
      <c r="N13" s="727"/>
      <c r="O13" s="727"/>
      <c r="P13" s="727"/>
      <c r="Q13" s="727"/>
      <c r="R13" s="728"/>
      <c r="S13" s="729"/>
      <c r="T13" s="727"/>
      <c r="U13" s="727"/>
      <c r="V13" s="727"/>
      <c r="W13" s="727"/>
      <c r="X13" s="727"/>
      <c r="Y13" s="727"/>
      <c r="Z13" s="730"/>
      <c r="AA13" s="730"/>
      <c r="AB13" s="730"/>
      <c r="AC13" s="730"/>
      <c r="AD13" s="730"/>
      <c r="AE13" s="730"/>
      <c r="AF13" s="727"/>
      <c r="AG13" s="727"/>
      <c r="AH13" s="731"/>
      <c r="AI13" s="722">
        <f t="shared" si="0"/>
        <v>0</v>
      </c>
      <c r="AJ13" s="723">
        <v>0</v>
      </c>
      <c r="AK13" s="724">
        <v>0</v>
      </c>
      <c r="AL13" s="724">
        <v>0</v>
      </c>
      <c r="AM13" s="724">
        <v>0</v>
      </c>
      <c r="AN13" s="725">
        <v>0</v>
      </c>
    </row>
    <row r="14" spans="1:40">
      <c r="A14" s="726">
        <v>15</v>
      </c>
      <c r="B14" s="727"/>
      <c r="C14" s="727"/>
      <c r="D14" s="727"/>
      <c r="E14" s="727"/>
      <c r="F14" s="727"/>
      <c r="G14" s="727"/>
      <c r="H14" s="727"/>
      <c r="I14" s="727"/>
      <c r="J14" s="727"/>
      <c r="K14" s="727"/>
      <c r="L14" s="727"/>
      <c r="M14" s="727"/>
      <c r="N14" s="727"/>
      <c r="O14" s="727"/>
      <c r="P14" s="727"/>
      <c r="Q14" s="727"/>
      <c r="R14" s="728"/>
      <c r="S14" s="729"/>
      <c r="T14" s="727"/>
      <c r="U14" s="727"/>
      <c r="V14" s="727"/>
      <c r="W14" s="727"/>
      <c r="X14" s="727"/>
      <c r="Y14" s="727"/>
      <c r="Z14" s="727"/>
      <c r="AA14" s="727"/>
      <c r="AB14" s="727"/>
      <c r="AC14" s="727"/>
      <c r="AD14" s="727"/>
      <c r="AE14" s="727"/>
      <c r="AF14" s="727"/>
      <c r="AG14" s="727"/>
      <c r="AH14" s="731"/>
      <c r="AI14" s="722">
        <f t="shared" si="0"/>
        <v>0</v>
      </c>
      <c r="AJ14" s="732">
        <v>0</v>
      </c>
      <c r="AK14" s="733">
        <v>0</v>
      </c>
      <c r="AL14" s="733">
        <v>0</v>
      </c>
      <c r="AM14" s="733">
        <v>0</v>
      </c>
      <c r="AN14" s="734">
        <v>0</v>
      </c>
    </row>
    <row r="15" spans="1:40">
      <c r="A15" s="726">
        <v>14</v>
      </c>
      <c r="B15" s="727"/>
      <c r="C15" s="727"/>
      <c r="D15" s="727"/>
      <c r="E15" s="727"/>
      <c r="F15" s="727"/>
      <c r="G15" s="727"/>
      <c r="H15" s="727"/>
      <c r="I15" s="727"/>
      <c r="J15" s="727"/>
      <c r="K15" s="727"/>
      <c r="L15" s="727"/>
      <c r="M15" s="727"/>
      <c r="N15" s="727"/>
      <c r="O15" s="727"/>
      <c r="P15" s="727"/>
      <c r="Q15" s="727"/>
      <c r="R15" s="728"/>
      <c r="S15" s="729"/>
      <c r="T15" s="727"/>
      <c r="U15" s="727"/>
      <c r="V15" s="727"/>
      <c r="W15" s="727"/>
      <c r="X15" s="727"/>
      <c r="Y15" s="727"/>
      <c r="Z15" s="727"/>
      <c r="AA15" s="727"/>
      <c r="AB15" s="727"/>
      <c r="AC15" s="727"/>
      <c r="AD15" s="727"/>
      <c r="AE15" s="727"/>
      <c r="AF15" s="727"/>
      <c r="AG15" s="727"/>
      <c r="AH15" s="731"/>
      <c r="AI15" s="722">
        <f t="shared" si="0"/>
        <v>0</v>
      </c>
      <c r="AJ15" s="723">
        <v>0</v>
      </c>
      <c r="AK15" s="724">
        <v>0</v>
      </c>
      <c r="AL15" s="724">
        <v>0</v>
      </c>
      <c r="AM15" s="724">
        <v>0</v>
      </c>
      <c r="AN15" s="725">
        <v>0</v>
      </c>
    </row>
    <row r="16" spans="1:40">
      <c r="A16" s="726">
        <v>13</v>
      </c>
      <c r="B16" s="727"/>
      <c r="C16" s="727"/>
      <c r="D16" s="727"/>
      <c r="E16" s="727"/>
      <c r="F16" s="727"/>
      <c r="G16" s="727"/>
      <c r="H16" s="727"/>
      <c r="I16" s="727"/>
      <c r="J16" s="727"/>
      <c r="K16" s="727"/>
      <c r="L16" s="727"/>
      <c r="M16" s="727"/>
      <c r="N16" s="727"/>
      <c r="O16" s="727"/>
      <c r="P16" s="727"/>
      <c r="Q16" s="727"/>
      <c r="R16" s="728"/>
      <c r="S16" s="729"/>
      <c r="T16" s="727"/>
      <c r="U16" s="727"/>
      <c r="V16" s="727"/>
      <c r="W16" s="727"/>
      <c r="X16" s="727"/>
      <c r="Y16" s="727"/>
      <c r="Z16" s="727"/>
      <c r="AA16" s="727"/>
      <c r="AB16" s="727"/>
      <c r="AC16" s="727"/>
      <c r="AD16" s="727"/>
      <c r="AE16" s="727"/>
      <c r="AF16" s="727"/>
      <c r="AG16" s="727"/>
      <c r="AH16" s="731"/>
      <c r="AI16" s="722">
        <f t="shared" si="0"/>
        <v>0</v>
      </c>
      <c r="AJ16" s="732">
        <v>0</v>
      </c>
      <c r="AK16" s="733">
        <v>0</v>
      </c>
      <c r="AL16" s="733">
        <v>0</v>
      </c>
      <c r="AM16" s="733">
        <v>0</v>
      </c>
      <c r="AN16" s="734">
        <v>0</v>
      </c>
    </row>
    <row r="17" spans="1:40">
      <c r="A17" s="726">
        <v>12</v>
      </c>
      <c r="B17" s="727"/>
      <c r="C17" s="727"/>
      <c r="D17" s="727"/>
      <c r="E17" s="727"/>
      <c r="F17" s="727"/>
      <c r="G17" s="727"/>
      <c r="H17" s="727"/>
      <c r="I17" s="727"/>
      <c r="J17" s="727"/>
      <c r="K17" s="727"/>
      <c r="L17" s="727"/>
      <c r="M17" s="727"/>
      <c r="N17" s="727"/>
      <c r="O17" s="727"/>
      <c r="P17" s="727"/>
      <c r="Q17" s="727"/>
      <c r="R17" s="728"/>
      <c r="S17" s="729"/>
      <c r="T17" s="727"/>
      <c r="U17" s="727"/>
      <c r="V17" s="727"/>
      <c r="W17" s="727"/>
      <c r="X17" s="727"/>
      <c r="Y17" s="727"/>
      <c r="Z17" s="727"/>
      <c r="AA17" s="727"/>
      <c r="AB17" s="727"/>
      <c r="AC17" s="727"/>
      <c r="AD17" s="727"/>
      <c r="AE17" s="727"/>
      <c r="AF17" s="727"/>
      <c r="AG17" s="727"/>
      <c r="AH17" s="731"/>
      <c r="AI17" s="722">
        <f t="shared" si="0"/>
        <v>0</v>
      </c>
      <c r="AJ17" s="732">
        <v>0</v>
      </c>
      <c r="AK17" s="733">
        <v>0</v>
      </c>
      <c r="AL17" s="733">
        <v>0</v>
      </c>
      <c r="AM17" s="733">
        <v>0</v>
      </c>
      <c r="AN17" s="734">
        <v>0</v>
      </c>
    </row>
    <row r="18" spans="1:40">
      <c r="A18" s="726">
        <v>11</v>
      </c>
      <c r="B18" s="727"/>
      <c r="C18" s="727"/>
      <c r="D18" s="727"/>
      <c r="E18" s="727"/>
      <c r="F18" s="727"/>
      <c r="G18" s="727"/>
      <c r="H18" s="727"/>
      <c r="I18" s="727"/>
      <c r="J18" s="727"/>
      <c r="K18" s="727"/>
      <c r="L18" s="727"/>
      <c r="M18" s="727"/>
      <c r="N18" s="727"/>
      <c r="O18" s="727"/>
      <c r="P18" s="727"/>
      <c r="Q18" s="727"/>
      <c r="R18" s="728"/>
      <c r="S18" s="729"/>
      <c r="T18" s="727"/>
      <c r="U18" s="727"/>
      <c r="V18" s="727"/>
      <c r="W18" s="727"/>
      <c r="X18" s="727"/>
      <c r="Y18" s="727"/>
      <c r="Z18" s="727"/>
      <c r="AA18" s="727"/>
      <c r="AB18" s="727"/>
      <c r="AC18" s="727"/>
      <c r="AD18" s="727"/>
      <c r="AE18" s="727"/>
      <c r="AF18" s="727"/>
      <c r="AG18" s="727"/>
      <c r="AH18" s="731"/>
      <c r="AI18" s="722">
        <f t="shared" si="0"/>
        <v>0</v>
      </c>
      <c r="AJ18" s="732">
        <v>0</v>
      </c>
      <c r="AK18" s="733">
        <v>0</v>
      </c>
      <c r="AL18" s="733">
        <v>0</v>
      </c>
      <c r="AM18" s="733">
        <v>0</v>
      </c>
      <c r="AN18" s="734">
        <v>0</v>
      </c>
    </row>
    <row r="19" spans="1:40">
      <c r="A19" s="726">
        <v>10</v>
      </c>
      <c r="B19" s="727"/>
      <c r="C19" s="727"/>
      <c r="D19" s="727"/>
      <c r="E19" s="727"/>
      <c r="F19" s="727"/>
      <c r="G19" s="727"/>
      <c r="H19" s="727"/>
      <c r="I19" s="727"/>
      <c r="J19" s="727"/>
      <c r="K19" s="727"/>
      <c r="L19" s="727"/>
      <c r="M19" s="727"/>
      <c r="N19" s="727"/>
      <c r="O19" s="727"/>
      <c r="P19" s="727"/>
      <c r="Q19" s="727"/>
      <c r="R19" s="728"/>
      <c r="S19" s="729"/>
      <c r="T19" s="735"/>
      <c r="U19" s="735"/>
      <c r="V19" s="735"/>
      <c r="W19" s="735"/>
      <c r="X19" s="735"/>
      <c r="Y19" s="735"/>
      <c r="Z19" s="735"/>
      <c r="AA19" s="735"/>
      <c r="AB19" s="735"/>
      <c r="AC19" s="735"/>
      <c r="AD19" s="735"/>
      <c r="AE19" s="735"/>
      <c r="AF19" s="735"/>
      <c r="AG19" s="735"/>
      <c r="AH19" s="731"/>
      <c r="AI19" s="722">
        <f t="shared" si="0"/>
        <v>0</v>
      </c>
      <c r="AJ19" s="732">
        <v>0</v>
      </c>
      <c r="AK19" s="733">
        <v>0</v>
      </c>
      <c r="AL19" s="733">
        <v>0</v>
      </c>
      <c r="AM19" s="733">
        <v>0</v>
      </c>
      <c r="AN19" s="734">
        <v>0</v>
      </c>
    </row>
    <row r="20" spans="1:40">
      <c r="A20" s="726">
        <v>9</v>
      </c>
      <c r="B20" s="727"/>
      <c r="C20" s="727"/>
      <c r="D20" s="727"/>
      <c r="E20" s="727"/>
      <c r="F20" s="727"/>
      <c r="G20" s="727"/>
      <c r="H20" s="727"/>
      <c r="I20" s="727"/>
      <c r="J20" s="727"/>
      <c r="K20" s="727"/>
      <c r="L20" s="727"/>
      <c r="M20" s="727"/>
      <c r="N20" s="727"/>
      <c r="O20" s="727"/>
      <c r="P20" s="727"/>
      <c r="Q20" s="727"/>
      <c r="R20" s="728"/>
      <c r="S20" s="729"/>
      <c r="T20" s="735"/>
      <c r="U20" s="735"/>
      <c r="V20" s="735"/>
      <c r="W20" s="735"/>
      <c r="X20" s="735"/>
      <c r="Y20" s="735"/>
      <c r="Z20" s="735"/>
      <c r="AA20" s="735"/>
      <c r="AB20" s="735"/>
      <c r="AC20" s="735"/>
      <c r="AD20" s="735"/>
      <c r="AE20" s="735"/>
      <c r="AF20" s="735"/>
      <c r="AG20" s="735"/>
      <c r="AH20" s="731"/>
      <c r="AI20" s="722">
        <f t="shared" si="0"/>
        <v>0</v>
      </c>
      <c r="AJ20" s="732">
        <v>0</v>
      </c>
      <c r="AK20" s="733">
        <v>0</v>
      </c>
      <c r="AL20" s="733">
        <v>0</v>
      </c>
      <c r="AM20" s="733">
        <v>0</v>
      </c>
      <c r="AN20" s="734">
        <v>0</v>
      </c>
    </row>
    <row r="21" spans="1:40">
      <c r="A21" s="726">
        <v>8</v>
      </c>
      <c r="B21" s="727"/>
      <c r="C21" s="727"/>
      <c r="D21" s="727"/>
      <c r="E21" s="727"/>
      <c r="F21" s="727"/>
      <c r="G21" s="727"/>
      <c r="H21" s="727"/>
      <c r="I21" s="727"/>
      <c r="J21" s="727"/>
      <c r="K21" s="727"/>
      <c r="L21" s="727"/>
      <c r="M21" s="727"/>
      <c r="N21" s="727"/>
      <c r="O21" s="727"/>
      <c r="P21" s="727"/>
      <c r="Q21" s="727"/>
      <c r="R21" s="728"/>
      <c r="S21" s="729"/>
      <c r="T21" s="735"/>
      <c r="U21" s="735"/>
      <c r="V21" s="735"/>
      <c r="W21" s="735"/>
      <c r="X21" s="735"/>
      <c r="Y21" s="735"/>
      <c r="Z21" s="735"/>
      <c r="AA21" s="735"/>
      <c r="AB21" s="735"/>
      <c r="AC21" s="735"/>
      <c r="AD21" s="735"/>
      <c r="AE21" s="735"/>
      <c r="AF21" s="735"/>
      <c r="AG21" s="735"/>
      <c r="AH21" s="731"/>
      <c r="AI21" s="722">
        <f t="shared" si="0"/>
        <v>0</v>
      </c>
      <c r="AJ21" s="732">
        <v>0</v>
      </c>
      <c r="AK21" s="733">
        <v>0</v>
      </c>
      <c r="AL21" s="733">
        <v>0</v>
      </c>
      <c r="AM21" s="733">
        <v>0</v>
      </c>
      <c r="AN21" s="734">
        <v>0</v>
      </c>
    </row>
    <row r="22" spans="1:40">
      <c r="A22" s="726">
        <v>7</v>
      </c>
      <c r="B22" s="727"/>
      <c r="C22" s="727"/>
      <c r="D22" s="727"/>
      <c r="E22" s="727"/>
      <c r="F22" s="727"/>
      <c r="G22" s="727"/>
      <c r="H22" s="727"/>
      <c r="I22" s="727"/>
      <c r="J22" s="727"/>
      <c r="K22" s="727"/>
      <c r="L22" s="727"/>
      <c r="M22" s="727"/>
      <c r="N22" s="736"/>
      <c r="O22" s="727"/>
      <c r="P22" s="727"/>
      <c r="Q22" s="727"/>
      <c r="R22" s="728"/>
      <c r="S22" s="729"/>
      <c r="T22" s="735"/>
      <c r="U22" s="735"/>
      <c r="V22" s="737"/>
      <c r="W22" s="735"/>
      <c r="X22" s="735"/>
      <c r="Y22" s="735"/>
      <c r="Z22" s="735"/>
      <c r="AA22" s="735"/>
      <c r="AB22" s="735"/>
      <c r="AC22" s="735"/>
      <c r="AD22" s="735"/>
      <c r="AE22" s="735"/>
      <c r="AF22" s="735"/>
      <c r="AG22" s="735"/>
      <c r="AH22" s="731"/>
      <c r="AI22" s="722">
        <f t="shared" si="0"/>
        <v>0</v>
      </c>
      <c r="AJ22" s="732">
        <v>0</v>
      </c>
      <c r="AK22" s="733">
        <v>0</v>
      </c>
      <c r="AL22" s="733">
        <v>0</v>
      </c>
      <c r="AM22" s="733">
        <v>0</v>
      </c>
      <c r="AN22" s="734">
        <v>0</v>
      </c>
    </row>
    <row r="23" spans="1:40" ht="16">
      <c r="A23" s="726">
        <v>6</v>
      </c>
      <c r="B23" s="738"/>
      <c r="C23" s="738"/>
      <c r="D23" s="739"/>
      <c r="E23" s="740"/>
      <c r="F23" s="740"/>
      <c r="G23" s="740"/>
      <c r="H23" s="740"/>
      <c r="I23" s="740"/>
      <c r="J23" s="740"/>
      <c r="K23" s="740"/>
      <c r="L23" s="740"/>
      <c r="M23" s="739"/>
      <c r="N23" s="740"/>
      <c r="O23" s="740"/>
      <c r="P23" s="740"/>
      <c r="Q23" s="740"/>
      <c r="R23" s="740"/>
      <c r="S23" s="741"/>
      <c r="T23" s="742"/>
      <c r="U23" s="742"/>
      <c r="V23" s="742"/>
      <c r="W23" s="742"/>
      <c r="X23" s="742"/>
      <c r="Y23" s="742"/>
      <c r="Z23" s="742"/>
      <c r="AA23" s="742"/>
      <c r="AB23" s="742"/>
      <c r="AC23" s="742"/>
      <c r="AD23" s="743"/>
      <c r="AE23" s="742"/>
      <c r="AF23" s="742"/>
      <c r="AG23" s="742"/>
      <c r="AH23" s="744"/>
      <c r="AI23" s="722">
        <f t="shared" si="0"/>
        <v>0</v>
      </c>
      <c r="AJ23" s="732">
        <v>0</v>
      </c>
      <c r="AK23" s="733">
        <v>0</v>
      </c>
      <c r="AL23" s="733">
        <v>0</v>
      </c>
      <c r="AM23" s="733">
        <v>0</v>
      </c>
      <c r="AN23" s="734">
        <v>0</v>
      </c>
    </row>
    <row r="24" spans="1:40" ht="16">
      <c r="A24" s="726">
        <v>5</v>
      </c>
      <c r="B24" s="745" t="s">
        <v>158</v>
      </c>
      <c r="C24" s="738" t="s">
        <v>131</v>
      </c>
      <c r="D24" s="746">
        <v>11</v>
      </c>
      <c r="E24" s="746">
        <v>11</v>
      </c>
      <c r="F24" s="746">
        <v>9</v>
      </c>
      <c r="G24" s="746">
        <v>9</v>
      </c>
      <c r="H24" s="746">
        <v>9</v>
      </c>
      <c r="I24" s="746">
        <v>11</v>
      </c>
      <c r="J24" s="746">
        <v>11</v>
      </c>
      <c r="K24" s="747"/>
      <c r="L24" s="747"/>
      <c r="M24" s="747"/>
      <c r="N24" s="747"/>
      <c r="O24" s="747"/>
      <c r="P24" s="747"/>
      <c r="Q24" s="747"/>
      <c r="R24" s="747"/>
      <c r="S24" s="747"/>
      <c r="T24" s="748"/>
      <c r="U24" s="749"/>
      <c r="V24" s="746">
        <v>10</v>
      </c>
      <c r="W24" s="746">
        <v>11</v>
      </c>
      <c r="X24" s="746">
        <v>9</v>
      </c>
      <c r="Y24" s="746">
        <v>11</v>
      </c>
      <c r="Z24" s="748"/>
      <c r="AA24" s="750">
        <v>9</v>
      </c>
      <c r="AB24" s="746">
        <v>9</v>
      </c>
      <c r="AC24" s="750">
        <v>9</v>
      </c>
      <c r="AD24" s="750">
        <v>9</v>
      </c>
      <c r="AE24" s="746">
        <v>8</v>
      </c>
      <c r="AF24" s="748"/>
      <c r="AG24" s="748"/>
      <c r="AH24" s="751"/>
      <c r="AI24" s="752">
        <f t="shared" si="0"/>
        <v>16</v>
      </c>
      <c r="AJ24" s="732">
        <f t="shared" ref="AJ24:AJ28" si="1">SUMIF(D24:AH24,"&gt;0")</f>
        <v>156</v>
      </c>
      <c r="AK24" s="733">
        <v>0</v>
      </c>
      <c r="AL24" s="733">
        <v>0</v>
      </c>
      <c r="AM24" s="733">
        <v>0</v>
      </c>
      <c r="AN24" s="734">
        <v>0</v>
      </c>
    </row>
    <row r="25" spans="1:40" ht="16">
      <c r="A25" s="726">
        <v>4</v>
      </c>
      <c r="B25" s="753" t="s">
        <v>91</v>
      </c>
      <c r="C25" s="748" t="s">
        <v>140</v>
      </c>
      <c r="D25" s="749" t="s">
        <v>102</v>
      </c>
      <c r="E25" s="749" t="s">
        <v>102</v>
      </c>
      <c r="F25" s="750">
        <v>9</v>
      </c>
      <c r="G25" s="754">
        <v>9</v>
      </c>
      <c r="H25" s="749" t="s">
        <v>102</v>
      </c>
      <c r="I25" s="749" t="s">
        <v>102</v>
      </c>
      <c r="J25" s="750">
        <v>9</v>
      </c>
      <c r="K25" s="754">
        <v>11</v>
      </c>
      <c r="L25" s="755" t="s">
        <v>102</v>
      </c>
      <c r="M25" s="756">
        <v>11</v>
      </c>
      <c r="N25" s="750">
        <v>9</v>
      </c>
      <c r="O25" s="755" t="s">
        <v>102</v>
      </c>
      <c r="P25" s="750">
        <v>9</v>
      </c>
      <c r="Q25" s="750">
        <v>9</v>
      </c>
      <c r="R25" s="755" t="s">
        <v>102</v>
      </c>
      <c r="S25" s="754">
        <v>11</v>
      </c>
      <c r="T25" s="754">
        <v>11</v>
      </c>
      <c r="U25" s="754">
        <v>11</v>
      </c>
      <c r="V25" s="749" t="s">
        <v>102</v>
      </c>
      <c r="W25" s="749" t="s">
        <v>102</v>
      </c>
      <c r="X25" s="750">
        <v>9</v>
      </c>
      <c r="Y25" s="757" t="s">
        <v>102</v>
      </c>
      <c r="Z25" s="754">
        <v>11</v>
      </c>
      <c r="AA25" s="750">
        <v>9</v>
      </c>
      <c r="AB25" s="750">
        <v>9</v>
      </c>
      <c r="AC25" s="758">
        <v>9</v>
      </c>
      <c r="AD25" s="754">
        <v>11</v>
      </c>
      <c r="AE25" s="754">
        <v>11</v>
      </c>
      <c r="AF25" s="754">
        <v>9</v>
      </c>
      <c r="AG25" s="754">
        <v>11</v>
      </c>
      <c r="AH25" s="754">
        <v>9</v>
      </c>
      <c r="AI25" s="752">
        <f t="shared" si="0"/>
        <v>21</v>
      </c>
      <c r="AJ25" s="732">
        <f t="shared" si="1"/>
        <v>207</v>
      </c>
      <c r="AK25" s="733">
        <f t="shared" ref="AK25:AK28" si="2">COUNTIF(D25:AH25,"В")</f>
        <v>10</v>
      </c>
      <c r="AL25" s="733">
        <v>0</v>
      </c>
      <c r="AM25" s="733">
        <v>0</v>
      </c>
      <c r="AN25" s="734">
        <v>0</v>
      </c>
    </row>
    <row r="26" spans="1:40" ht="16">
      <c r="A26" s="726">
        <v>3</v>
      </c>
      <c r="B26" s="753" t="s">
        <v>92</v>
      </c>
      <c r="C26" s="748" t="s">
        <v>140</v>
      </c>
      <c r="D26" s="759">
        <v>11</v>
      </c>
      <c r="E26" s="755" t="s">
        <v>102</v>
      </c>
      <c r="F26" s="755" t="s">
        <v>102</v>
      </c>
      <c r="G26" s="750">
        <v>9</v>
      </c>
      <c r="H26" s="759">
        <v>9</v>
      </c>
      <c r="I26" s="759">
        <v>9</v>
      </c>
      <c r="J26" s="755" t="s">
        <v>102</v>
      </c>
      <c r="K26" s="755" t="s">
        <v>102</v>
      </c>
      <c r="L26" s="750">
        <v>9</v>
      </c>
      <c r="M26" s="750">
        <v>9</v>
      </c>
      <c r="N26" s="756">
        <v>11</v>
      </c>
      <c r="O26" s="754">
        <v>11</v>
      </c>
      <c r="P26" s="755" t="s">
        <v>102</v>
      </c>
      <c r="Q26" s="754">
        <v>9</v>
      </c>
      <c r="R26" s="754">
        <v>11</v>
      </c>
      <c r="S26" s="750">
        <v>9</v>
      </c>
      <c r="T26" s="750">
        <v>9</v>
      </c>
      <c r="U26" s="749" t="s">
        <v>102</v>
      </c>
      <c r="V26" s="750">
        <v>9</v>
      </c>
      <c r="W26" s="754">
        <v>9</v>
      </c>
      <c r="X26" s="749" t="s">
        <v>102</v>
      </c>
      <c r="Y26" s="756">
        <v>11</v>
      </c>
      <c r="Z26" s="750">
        <v>9</v>
      </c>
      <c r="AA26" s="754">
        <v>11</v>
      </c>
      <c r="AB26" s="749" t="s">
        <v>102</v>
      </c>
      <c r="AC26" s="760"/>
      <c r="AD26" s="754">
        <v>9</v>
      </c>
      <c r="AE26" s="761" t="s">
        <v>102</v>
      </c>
      <c r="AF26" s="754">
        <v>11</v>
      </c>
      <c r="AG26" s="754">
        <v>11</v>
      </c>
      <c r="AH26" s="754">
        <v>8</v>
      </c>
      <c r="AI26" s="752">
        <f t="shared" si="0"/>
        <v>21</v>
      </c>
      <c r="AJ26" s="732">
        <f t="shared" si="1"/>
        <v>204</v>
      </c>
      <c r="AK26" s="733">
        <f t="shared" si="2"/>
        <v>9</v>
      </c>
      <c r="AL26" s="733">
        <v>0</v>
      </c>
      <c r="AM26" s="733">
        <v>0</v>
      </c>
      <c r="AN26" s="734">
        <v>0</v>
      </c>
    </row>
    <row r="27" spans="1:40" ht="16">
      <c r="A27" s="726">
        <v>2</v>
      </c>
      <c r="B27" s="745" t="s">
        <v>90</v>
      </c>
      <c r="C27" s="738" t="s">
        <v>140</v>
      </c>
      <c r="D27" s="757" t="s">
        <v>102</v>
      </c>
      <c r="E27" s="754">
        <v>11</v>
      </c>
      <c r="F27" s="756">
        <v>9</v>
      </c>
      <c r="G27" s="749" t="s">
        <v>102</v>
      </c>
      <c r="H27" s="749" t="s">
        <v>102</v>
      </c>
      <c r="I27" s="750">
        <v>9</v>
      </c>
      <c r="J27" s="756">
        <v>9</v>
      </c>
      <c r="K27" s="754">
        <v>11</v>
      </c>
      <c r="L27" s="756">
        <v>11</v>
      </c>
      <c r="M27" s="749" t="s">
        <v>102</v>
      </c>
      <c r="N27" s="755" t="s">
        <v>102</v>
      </c>
      <c r="O27" s="750">
        <v>9</v>
      </c>
      <c r="P27" s="754">
        <v>11</v>
      </c>
      <c r="Q27" s="754">
        <v>11</v>
      </c>
      <c r="R27" s="754">
        <v>11</v>
      </c>
      <c r="S27" s="749" t="s">
        <v>102</v>
      </c>
      <c r="T27" s="749" t="s">
        <v>102</v>
      </c>
      <c r="U27" s="750">
        <v>9</v>
      </c>
      <c r="V27" s="754">
        <v>9</v>
      </c>
      <c r="W27" s="750">
        <v>9</v>
      </c>
      <c r="X27" s="754">
        <v>2</v>
      </c>
      <c r="Y27" s="750">
        <v>8</v>
      </c>
      <c r="Z27" s="749" t="s">
        <v>102</v>
      </c>
      <c r="AA27" s="749" t="s">
        <v>102</v>
      </c>
      <c r="AB27" s="754">
        <v>11</v>
      </c>
      <c r="AC27" s="754">
        <v>11</v>
      </c>
      <c r="AD27" s="749" t="s">
        <v>102</v>
      </c>
      <c r="AE27" s="754">
        <v>11</v>
      </c>
      <c r="AF27" s="754">
        <v>11</v>
      </c>
      <c r="AG27" s="754">
        <v>10</v>
      </c>
      <c r="AH27" s="754">
        <v>9</v>
      </c>
      <c r="AI27" s="752">
        <f t="shared" si="0"/>
        <v>21</v>
      </c>
      <c r="AJ27" s="732">
        <f t="shared" si="1"/>
        <v>202</v>
      </c>
      <c r="AK27" s="733">
        <f t="shared" si="2"/>
        <v>10</v>
      </c>
      <c r="AL27" s="733">
        <v>0</v>
      </c>
      <c r="AM27" s="733">
        <v>0</v>
      </c>
      <c r="AN27" s="734">
        <v>0</v>
      </c>
    </row>
    <row r="28" spans="1:40" ht="16">
      <c r="A28" s="762">
        <v>1</v>
      </c>
      <c r="B28" s="739" t="s">
        <v>89</v>
      </c>
      <c r="C28" s="763" t="s">
        <v>159</v>
      </c>
      <c r="D28" s="764" t="s">
        <v>102</v>
      </c>
      <c r="E28" s="765">
        <v>8</v>
      </c>
      <c r="F28" s="765">
        <v>9</v>
      </c>
      <c r="G28" s="765">
        <v>9</v>
      </c>
      <c r="H28" s="765">
        <v>11</v>
      </c>
      <c r="I28" s="765">
        <v>9</v>
      </c>
      <c r="J28" s="764" t="s">
        <v>102</v>
      </c>
      <c r="K28" s="764" t="s">
        <v>102</v>
      </c>
      <c r="L28" s="765">
        <v>9</v>
      </c>
      <c r="M28" s="765">
        <v>9</v>
      </c>
      <c r="N28" s="765">
        <v>9</v>
      </c>
      <c r="O28" s="765">
        <v>10</v>
      </c>
      <c r="P28" s="765">
        <v>9</v>
      </c>
      <c r="Q28" s="764" t="s">
        <v>102</v>
      </c>
      <c r="R28" s="766" t="s">
        <v>102</v>
      </c>
      <c r="S28" s="767">
        <v>9</v>
      </c>
      <c r="T28" s="765">
        <v>9</v>
      </c>
      <c r="U28" s="765">
        <v>9</v>
      </c>
      <c r="V28" s="765">
        <v>10</v>
      </c>
      <c r="W28" s="765">
        <v>10</v>
      </c>
      <c r="X28" s="765">
        <v>9</v>
      </c>
      <c r="Y28" s="764" t="s">
        <v>102</v>
      </c>
      <c r="Z28" s="765">
        <v>9</v>
      </c>
      <c r="AA28" s="765">
        <v>8</v>
      </c>
      <c r="AB28" s="765">
        <v>10</v>
      </c>
      <c r="AC28" s="765">
        <v>9</v>
      </c>
      <c r="AD28" s="765">
        <v>10</v>
      </c>
      <c r="AE28" s="765">
        <v>10</v>
      </c>
      <c r="AF28" s="765">
        <v>10</v>
      </c>
      <c r="AG28" s="765">
        <v>10</v>
      </c>
      <c r="AH28" s="768">
        <v>9</v>
      </c>
      <c r="AI28" s="769">
        <f t="shared" si="0"/>
        <v>25</v>
      </c>
      <c r="AJ28" s="770">
        <f t="shared" si="1"/>
        <v>233</v>
      </c>
      <c r="AK28" s="771">
        <f t="shared" si="2"/>
        <v>6</v>
      </c>
      <c r="AL28" s="771">
        <f>COUNTIF(E28:AI28,"о")</f>
        <v>0</v>
      </c>
      <c r="AM28" s="771">
        <f>COUNTIF(F28:AJ28,"б")</f>
        <v>0</v>
      </c>
      <c r="AN28" s="772">
        <v>0</v>
      </c>
    </row>
    <row r="29" spans="1:40">
      <c r="A29" s="773"/>
      <c r="B29" s="774" t="s">
        <v>160</v>
      </c>
      <c r="C29" s="774"/>
      <c r="D29" s="774">
        <f t="shared" ref="D29:AH29" si="3">COUNTIF(D11:D28,"&gt;0")</f>
        <v>2</v>
      </c>
      <c r="E29" s="774">
        <f t="shared" si="3"/>
        <v>3</v>
      </c>
      <c r="F29" s="774">
        <f t="shared" si="3"/>
        <v>4</v>
      </c>
      <c r="G29" s="774">
        <f t="shared" si="3"/>
        <v>4</v>
      </c>
      <c r="H29" s="774">
        <f t="shared" si="3"/>
        <v>3</v>
      </c>
      <c r="I29" s="774">
        <f t="shared" si="3"/>
        <v>4</v>
      </c>
      <c r="J29" s="774">
        <f t="shared" si="3"/>
        <v>3</v>
      </c>
      <c r="K29" s="774">
        <f t="shared" si="3"/>
        <v>2</v>
      </c>
      <c r="L29" s="774">
        <f t="shared" si="3"/>
        <v>3</v>
      </c>
      <c r="M29" s="774">
        <f t="shared" si="3"/>
        <v>3</v>
      </c>
      <c r="N29" s="774">
        <f t="shared" si="3"/>
        <v>3</v>
      </c>
      <c r="O29" s="774">
        <f t="shared" si="3"/>
        <v>3</v>
      </c>
      <c r="P29" s="774">
        <f t="shared" si="3"/>
        <v>3</v>
      </c>
      <c r="Q29" s="774">
        <f t="shared" si="3"/>
        <v>3</v>
      </c>
      <c r="R29" s="775">
        <f t="shared" si="3"/>
        <v>2</v>
      </c>
      <c r="S29" s="776">
        <f t="shared" si="3"/>
        <v>3</v>
      </c>
      <c r="T29" s="774">
        <f t="shared" si="3"/>
        <v>3</v>
      </c>
      <c r="U29" s="774">
        <f t="shared" si="3"/>
        <v>3</v>
      </c>
      <c r="V29" s="774">
        <f t="shared" si="3"/>
        <v>4</v>
      </c>
      <c r="W29" s="774">
        <f t="shared" si="3"/>
        <v>4</v>
      </c>
      <c r="X29" s="774">
        <f t="shared" si="3"/>
        <v>4</v>
      </c>
      <c r="Y29" s="774">
        <f t="shared" si="3"/>
        <v>3</v>
      </c>
      <c r="Z29" s="774">
        <f t="shared" si="3"/>
        <v>3</v>
      </c>
      <c r="AA29" s="774">
        <f t="shared" si="3"/>
        <v>4</v>
      </c>
      <c r="AB29" s="774">
        <f t="shared" si="3"/>
        <v>4</v>
      </c>
      <c r="AC29" s="774">
        <f t="shared" si="3"/>
        <v>4</v>
      </c>
      <c r="AD29" s="774">
        <f t="shared" si="3"/>
        <v>4</v>
      </c>
      <c r="AE29" s="774">
        <f t="shared" si="3"/>
        <v>4</v>
      </c>
      <c r="AF29" s="774">
        <f t="shared" si="3"/>
        <v>4</v>
      </c>
      <c r="AG29" s="774">
        <f t="shared" si="3"/>
        <v>4</v>
      </c>
      <c r="AH29" s="774">
        <f t="shared" si="3"/>
        <v>4</v>
      </c>
      <c r="AI29" s="777">
        <f t="shared" ref="AI29:AN29" si="4">SUM(AI11:AI28)</f>
        <v>104</v>
      </c>
      <c r="AJ29" s="778">
        <f t="shared" si="4"/>
        <v>1002</v>
      </c>
      <c r="AK29" s="777">
        <f t="shared" si="4"/>
        <v>35</v>
      </c>
      <c r="AL29" s="777">
        <f t="shared" si="4"/>
        <v>0</v>
      </c>
      <c r="AM29" s="777">
        <f t="shared" si="4"/>
        <v>0</v>
      </c>
      <c r="AN29" s="779">
        <f t="shared" si="4"/>
        <v>0</v>
      </c>
    </row>
    <row r="31" spans="1:40">
      <c r="P31" s="1" t="s">
        <v>161</v>
      </c>
    </row>
    <row r="39" spans="9:9">
      <c r="I39" s="1" t="s">
        <v>162</v>
      </c>
    </row>
  </sheetData>
  <mergeCells count="7">
    <mergeCell ref="AJ5:AK5"/>
    <mergeCell ref="AL5:AN5"/>
    <mergeCell ref="C6:AJ6"/>
    <mergeCell ref="C7:AJ7"/>
    <mergeCell ref="AL8:AL10"/>
    <mergeCell ref="AM8:AM10"/>
    <mergeCell ref="AN8:AN10"/>
  </mergeCells>
  <pageMargins left="0.7" right="0.7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16</vt:i4>
      </vt:variant>
    </vt:vector>
  </HeadingPairs>
  <TitlesOfParts>
    <vt:vector size="16" baseType="lpstr">
      <vt:lpstr>Центрум</vt:lpstr>
      <vt:lpstr>Конкурс</vt:lpstr>
      <vt:lpstr>Сводная</vt:lpstr>
      <vt:lpstr>Справочник магазинов</vt:lpstr>
      <vt:lpstr>План на день</vt:lpstr>
      <vt:lpstr>Козлова В. Э.</vt:lpstr>
      <vt:lpstr>Корж А. А.</vt:lpstr>
      <vt:lpstr>Свидовская С. А.</vt:lpstr>
      <vt:lpstr>Стекольщикова А. А.</vt:lpstr>
      <vt:lpstr>Доп сотрудник</vt:lpstr>
      <vt:lpstr>Вед-ть УМ</vt:lpstr>
      <vt:lpstr>Вед-ть Козлова</vt:lpstr>
      <vt:lpstr>Вед-ть Свидовская</vt:lpstr>
      <vt:lpstr>Вед-ть Корж</vt:lpstr>
      <vt:lpstr>Вед-ть Доп сотрудник</vt:lpstr>
      <vt:lpstr>График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lenadacenko@icloud.com</cp:lastModifiedBy>
  <cp:revision>953</cp:revision>
  <dcterms:created xsi:type="dcterms:W3CDTF">2022-04-02T12:09:31Z</dcterms:created>
  <dcterms:modified xsi:type="dcterms:W3CDTF">2026-01-10T14:25:49Z</dcterms:modified>
  <dc:language>en-US</dc:language>
</cp:coreProperties>
</file>