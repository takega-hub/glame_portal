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 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s:workbook xmlns:s="http://schemas.openxmlformats.org/spreadsheetml/2006/main" xmlns:r="http://schemas.openxmlformats.org/officeDocument/2006/relationships" xmlns:unk1="http://schemas.microsoft.com/office/spreadsheetml/2010/11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unk3="http://schemas.microsoft.com/office/spreadsheetml/2018/calcfeatures" mc:Ignorable="unk1 xr xr6 xr10 xr2">
  <s:fileVersion appName="xl" lastEdited="7" lowestEdited="7" rupBuild="10503"/>
  <s:workbookPr/>
  <s:bookViews>
    <s:workbookView xr2:uid="{00000000-000D-0000-FFFF-FFFF00000000}" xWindow="0" yWindow="580" windowWidth="25600" windowHeight="16060" activeTab="7"/>
  </s:bookViews>
  <s:sheets>
    <s:sheet name="Центрум" sheetId="1" state="visible" r:id="rId1"/>
    <s:sheet name="Справочник магазинов" sheetId="4" state="hidden" r:id="rId2"/>
    <s:sheet name="Сводная" sheetId="3" state="visible" r:id="rId3"/>
    <s:sheet name="План на день" sheetId="5" state="visible" r:id="rId4"/>
    <s:sheet name="Рогалевич" sheetId="9" state="visible" r:id="rId5"/>
    <s:sheet name="Маркова" sheetId="19" state="visible" r:id="rId6"/>
    <s:sheet name="Бешлиева" sheetId="20" state="visible" r:id="rId7"/>
    <s:sheet name="Вед-ть Рогалевич" sheetId="14" state="visible" r:id="rId8"/>
    <s:sheet name="Вед-ть Маркова" sheetId="12" state="visible" r:id="rId9"/>
    <s:sheet name="Вед-ть Бешлиева" sheetId="13" state="visible" r:id="rId10"/>
    <s:sheet name="График" sheetId="16" state="visible" r:id="rId11"/>
  </s:sheets>
  <s:externalReferences>
    <s:externalReference r:id="rId12"/>
  </s:externalReferences>
  <s:definedNames>
    <s:definedName name="маг">NA()</s:definedName>
  </s:definedNames>
  <s:calcPr calcId="191029"/>
  <s:extLst>
    <s:ext uri="{B58B0392-4F1F-4190-BB64-5DF3571DCE5F}">
      <unk3:calcFeatures>
        <unk3:feature name="microsoft.com:RD"/>
        <unk3:feature name="microsoft.com:Single"/>
        <unk3:feature name="microsoft.com:FV"/>
        <unk3:feature name="microsoft.com:CNMTM"/>
        <unk3:feature name="microsoft.com:LET_WF"/>
        <unk3:feature name="microsoft.com:LAMBDA_WF"/>
        <unk3:feature name="microsoft.com:ARRAYTEXT_WF"/>
      </unk3:calcFeatures>
    </s:ext>
  </s:extLst>
</s:workbook>
</file>

<file path=xl/sharedStrings.xml><?xml version="1.0" encoding="utf-8"?>
<s:sst xmlns:s="http://schemas.openxmlformats.org/spreadsheetml/2006/main" count="594" uniqueCount="146">
  <s:si>
    <s:t>Осталось до выполнения плана!!!</s:t>
  </s:si>
  <s:si>
    <s:t>ТРК Центрум</s:t>
  </s:si>
  <s:si>
    <s:t>Целевые показатели</s:t>
  </s:si>
  <s:si>
    <s:t>Показатель</s:t>
  </s:si>
  <s:si>
    <s:t>План</s:t>
  </s:si>
  <s:si>
    <s:t>Факт</s:t>
  </s:si>
  <s:si>
    <s:t>% выполнения</s:t>
  </s:si>
  <s:si>
    <s:t>Прогноз выполнения</s:t>
  </s:si>
  <s:si>
    <s:t>% выполнения по прогнозу</s:t>
  </s:si>
  <s:si>
    <s:t>Отклонение</s:t>
  </s:si>
  <s:si>
    <s:t>Факт аналогичного месяца прошлого года</s:t>
  </s:si>
  <s:si>
    <s:t>Отклонение LFL</s:t>
  </s:si>
  <s:si>
    <s:t>Выручка</s:t>
  </s:si>
  <s:si>
    <s:t>Кол-во изделий</s:t>
  </s:si>
  <s:si>
    <s:t>Средний чек</s:t>
  </s:si>
  <s:si>
    <s:t>Средняя стоимость изделия</s:t>
  </s:si>
  <s:si>
    <s:t>Длина чека</s:t>
  </s:si>
  <s:si>
    <s:t>Кол-во чеков</s:t>
  </s:si>
  <s:si>
    <s:t>Кол-во смен</s:t>
  </s:si>
  <s:si>
    <s:t>Средние продажи в смену</s:t>
  </s:si>
  <s:si>
    <s:t>Отставание/Перевыполнение</s:t>
  </s:si>
  <s:si>
    <s:t>Подарочные сертификаты</s:t>
  </s:si>
  <s:si>
    <s:t>Трафик</s:t>
  </s:si>
  <s:si>
    <s:t>Конверсия</s:t>
  </s:si>
  <s:si>
    <s:t>Факт продаж за месяц</s:t>
  </s:si>
  <s:si>
    <s:t>Раcпределение плана по дням</s:t>
  </s:si>
  <s:si>
    <s:t>Сотрудник</s:t>
  </s:si>
  <s:si>
    <s:t>Дата</s:t>
  </s:si>
  <s:si>
    <s:t>День недели</s:t>
  </s:si>
  <s:si>
    <s:t>Выручка (руб)</s:t>
  </s:si>
  <s:si>
    <s:t>Кол-во единиц (шт.)</s:t>
  </s:si>
  <s:si>
    <s:t>Средняя стоимость изделия (руб.)</s:t>
  </s:si>
  <s:si>
    <s:t>Количество чеков  (шт.)</s:t>
  </s:si>
  <s:si>
    <s:t>Средняя сумма чека (руб.)</s:t>
  </s:si>
  <s:si>
    <s:t>Длина чека (шт.)</s:t>
  </s:si>
  <s:si>
    <s:t>UNOde50</s:t>
  </s:si>
  <s:si>
    <s:t>IS</s:t>
  </s:si>
  <s:si>
    <s:t>Agafi</s:t>
  </s:si>
  <s:si>
    <s:t>Kalliope</s:t>
  </s:si>
  <s:si>
    <s:t>Raganella</s:t>
  </s:si>
  <s:si>
    <s:t>CC/MP</s:t>
  </s:si>
  <s:si>
    <s:t>Eva Rites</s:t>
  </s:si>
  <s:si>
    <s:t>Antura</s:t>
  </s:si>
  <s:si>
    <s:t>SALE</s:t>
  </s:si>
  <s:si>
    <s:t>Конверсия (%)</s:t>
  </s:si>
  <s:si>
    <s:t>% выполнения дневного плана</s:t>
  </s:si>
  <s:si>
    <s:t>выручка, план</s:t>
  </s:si>
  <s:si>
    <s:t>кол-во ед, план</s:t>
  </s:si>
  <s:si>
    <s:t>Кол-во чеков, план</s:t>
  </s:si>
  <s:si>
    <s:t>выручка, скорректир.план</s:t>
  </s:si>
  <s:si>
    <s:t>кол-во ед, скорр. план</s:t>
  </s:si>
  <s:si>
    <s:t>кол-во чеков, скорр. план</s:t>
  </s:si>
  <s:si>
    <s:t>Коэфф. Дня Недели</s:t>
  </s:si>
  <s:si>
    <s:t>Специфика месяца</s:t>
  </s:si>
  <s:si>
    <s:t>вс</s:t>
  </s:si>
  <s:si>
    <s:t>пн</s:t>
  </s:si>
  <s:si>
    <s:t>вт</s:t>
  </s:si>
  <s:si>
    <s:t>ср</s:t>
  </s:si>
  <s:si>
    <s:t>чт</s:t>
  </s:si>
  <s:si>
    <s:t>пт</s:t>
  </s:si>
  <s:si>
    <s:t>сб</s:t>
  </s:si>
  <s:si>
    <s:t>итого</s:t>
  </s:si>
  <s:si>
    <s:t>Итого:</s:t>
  </s:si>
  <s:si>
    <s:t xml:space="preserve">Факт </s:t>
  </s:si>
  <s:si>
    <s:t>Прогноз</s:t>
  </s:si>
  <s:si>
    <s:t>Кол-во смен план/отработано</s:t>
  </s:si>
  <s:si>
    <s:t>МЕГА Белая Дача</s:t>
  </s:si>
  <s:si>
    <s:t>Гагаринский</s:t>
  </s:si>
  <s:si>
    <s:t>Марфино</s:t>
  </s:si>
  <s:si>
    <s:t>(отчетная дата)</s:t>
  </s:si>
  <s:si>
    <s:t>Конверсия план/факт</s:t>
  </s:si>
  <s:si>
    <s:t>в</s:t>
  </s:si>
  <s:si>
    <s:t>Выплачено на карту</s:t>
  </s:si>
  <s:si>
    <s:t>Выплачено наличными по платежной ведомости</s:t>
  </s:si>
  <s:si>
    <s:t>Дополнительные начисления, доплаты</s:t>
  </s:si>
  <s:si>
    <s:t>Оклад</s:t>
  </s:si>
  <s:si>
    <s:t>Бонусная часть от общих продаж</s:t>
  </s:si>
  <s:si>
    <s:t>Вычеты</s:t>
  </s:si>
  <s:si>
    <s:t>Итого к выдаче с учетом авансов и вычетов</s:t>
  </s:si>
  <s:si>
    <s:t>Подпись</s:t>
  </s:si>
  <s:si>
    <s:t>Доп начисления</s:t>
  </s:si>
  <s:si>
    <s:t>Сумма</s:t>
  </s:si>
  <s:si>
    <s:t>Описание</s:t>
  </s:si>
  <s:si>
    <s:t>НДФЛ</s:t>
  </s:si>
  <s:si>
    <s:t>Оклад:</s:t>
  </s:si>
  <s:si>
    <s:t>Дней</s:t>
  </s:si>
  <s:si>
    <s:t>Магазин</s:t>
  </s:si>
  <s:si>
    <s:t>Должность</s:t>
  </s:si>
  <s:si>
    <s:t>Зачислено часов</s:t>
  </s:si>
  <s:si>
    <s:t>Ставка за час, руб</s:t>
  </s:si>
  <s:si>
    <s:t>Начислено за день, руб</s:t>
  </s:si>
  <s:si>
    <s:t>КВП</s:t>
  </s:si>
  <s:si>
    <s:t>Бонус от личных продаж по категории товара</s:t>
  </s:si>
  <s:si>
    <s:t>Бонус от общих продаж</s:t>
  </s:si>
  <s:si>
    <s:t>Процент от продажи</s:t>
  </s:si>
  <s:si>
    <s:t>Продано на сумму, руб</s:t>
  </s:si>
  <s:si>
    <s:t>Начисленный бонус от продаж, руб</s:t>
  </s:si>
  <s:si>
    <s:t>Кол-во отработанных личных часов</s:t>
  </s:si>
  <s:si>
    <s:t>Кол-во отработанных общих часов</s:t>
  </s:si>
  <s:si>
    <s:t>Административный %</s:t>
  </s:si>
  <s:si>
    <s:t>% наличного оборота &lt; 60%</s:t>
  </s:si>
  <s:si>
    <s:t>УМ</s:t>
  </s:si>
  <s:si>
    <s:t>г. Симферополь</s:t>
  </s:si>
  <s:si>
    <s:t>ул. Севастопольская, 62</s:t>
  </s:si>
  <s:si>
    <s:t>GL-0004</s:t>
  </s:si>
  <s:si>
    <s:t>10.00-21.00</s:t>
  </s:si>
  <s:si>
    <s:t>ФОТ</s:t>
  </s:si>
  <s:si>
    <s:t>Кол-во дней в месяц</s:t>
  </s:si>
  <s:si>
    <s:t>Премия Директора, грн.</s:t>
  </s:si>
  <s:si>
    <s:t>Часы</s:t>
  </s:si>
  <s:si>
    <s:t>Выходные</s:t>
  </s:si>
  <s:si>
    <s:t>Отпуск</s:t>
  </s:si>
  <s:si>
    <s:t>Больничный (официальный)</s:t>
  </s:si>
  <s:si>
    <s:t>Дни стажировки</s:t>
  </s:si>
  <s:si>
    <s:t>№</s:t>
  </s:si>
  <s:si>
    <s:t>ФИО</s:t>
  </s:si>
  <s:si>
    <s:t>Дни</s:t>
  </s:si>
  <s:si>
    <s:t>Итого магазин</s:t>
  </s:si>
  <s:si>
    <s:t xml:space="preserve">    </s:t>
  </s:si>
  <s:si>
    <s:t>.</s:t>
  </s:si>
  <s:si>
    <s:t xml:space="preserve"> </s:t>
  </s:si>
  <s:si>
    <s:t>(01.03.2026-31.03.2026)</s:t>
  </s:si>
  <s:si>
    <s:t>Выручка на  вошедшего</s:t>
  </s:si>
  <s:si>
    <s:t>Категория A</s:t>
  </s:si>
  <s:si>
    <s:t>Категория N (SALE, IS)</s:t>
  </s:si>
  <s:si>
    <s:t>Категория товара</s:t>
  </s:si>
  <s:si>
    <s:t>Вычет согласно инвентаризационной ведомости</s:t>
  </s:si>
  <s:si>
    <s:t>Рогалевич Ирина</s:t>
  </s:si>
  <s:si>
    <s:t>Маркова Диана</s:t>
  </s:si>
  <s:si>
    <s:t xml:space="preserve">                   ЕЖЕДНЕВНЫЙ ОТЧЕТ О ПРОДАЖАХ</s:t>
  </s:si>
  <s:si>
    <s:t>ЕЖЕДНЕВНЫЙ ОТЧЕТ О ПРОДАЖАХ</s:t>
  </s:si>
  <s:si>
    <s:t>Маркова</s:t>
  </s:si>
  <s:si>
    <s:t>Бешлиева Аджере</s:t>
  </s:si>
  <s:si>
    <s:t>Бешлиева</s:t>
  </s:si>
  <s:si>
    <s:t>АМ</s:t>
  </s:si>
  <s:si>
    <s:t>Доп. KPI</s:t>
  </s:si>
  <s:si>
    <s:t>Административный % (смены)</s:t>
  </s:si>
  <s:si>
    <s:t>Смены</s:t>
  </s:si>
  <s:si>
    <s:t>Маркова,Рогалевич</s:t>
  </s:si>
  <s:si>
    <s:t>Бешлиева,Рогалевич</s:t>
  </s:si>
  <s:si>
    <s:t>Апрель, 2026</s:t>
  </s:si>
  <s:si>
    <s:t>Компенсация отпуска при увольнении</s:t>
  </s:si>
  <s:si>
    <s:t>Вычет за униформу, стажировку (33 часа)</s:t>
  </s:si>
  <s:si>
    <s:t>у</s:t>
  </s:si>
  <s:si>
    <s:t>Рогалевич</s:t>
  </s:si>
  <s:si>
    <s:t>% наличного оборота &gt; 60%</s:t>
  </s:si>
</s:sst>
</file>

<file path=xl/styles.xml><?xml version="1.0" encoding="utf-8"?>
<s:styleSheet xmlns:mc="http://schemas.openxmlformats.org/markup-compatibility/2006" xmlns:s="http://schemas.openxmlformats.org/spreadsheetml/2006/main" xmlns:vyd="http://volga.yandex.com/schemas/document/model" xmlns:unk1="http://schemas.microsoft.com/office/spreadsheetml/2010/11/main" xmlns:x16r2="http://schemas.microsoft.com/office/spreadsheetml/2015/02/main" xmlns:x14ac="http://schemas.microsoft.com/office/spreadsheetml/2009/9/ac" xmlns:x14="http://schemas.microsoft.com/office/spreadsheetml/2009/9/main" xmlns:xr="http://schemas.microsoft.com/office/spreadsheetml/2014/revision" mc:Ignorable="x14ac x16r2 xr">
  <s:numFmts count="8">
    <s:numFmt numFmtId="5" formatCode="#,##0\ &quot;₽&quot;;\-#,##0\ &quot;₽&quot;"/>
    <s:numFmt numFmtId="164" formatCode="_-* #,##0.00_р_._-;\-* #,##0.00_р_._-;_-* \-??_р_._-;_-@_-"/>
    <s:numFmt numFmtId="165" formatCode="dddd&quot;, &quot;mmmm\ dd&quot;, &quot;yyyy"/>
    <s:numFmt numFmtId="166" formatCode="0.0%"/>
    <s:numFmt numFmtId="167" formatCode="#,##0\ &quot;₽&quot;"/>
    <s:numFmt numFmtId="168" formatCode="#,##0.00\ _₽"/>
    <s:numFmt numFmtId="169" formatCode="0.0"/>
    <s:numFmt numFmtId="170" formatCode="mmmm\ yyyy;@"/>
  </s:numFmts>
  <s:fonts count="52">
    <s:font>
      <s:name val="Calibri"/>
      <s:color indexed="63"/>
      <s:sz val="11"/>
    </s:font>
    <s:font>
      <s:name val="Arial"/>
      <s:family val="2"/>
      <s:sz val="8"/>
    </s:font>
    <s:font>
      <s:name val="Clinica Pro Regular"/>
      <s:color indexed="63"/>
      <s:sz val="10"/>
    </s:font>
    <s:font>
      <s:name val="Clinica Pro Regular"/>
      <s:color indexed="63"/>
      <s:sz val="11"/>
    </s:font>
    <s:font>
      <s:name val="Times New Roman"/>
      <s:family val="1"/>
      <s:color indexed="63"/>
      <s:sz val="11"/>
    </s:font>
    <s:font>
      <s:name val="Clinica Pro Regular"/>
      <s:b val="1"/>
      <s:color rgb="FFCC66FF"/>
      <s:sz val="8"/>
    </s:font>
    <s:font>
      <s:name val="Clinica Pro Regular"/>
      <s:color rgb="FFCC66FF"/>
      <s:sz val="11"/>
    </s:font>
    <s:font>
      <s:name val="Clinica Pro Regular"/>
      <s:sz val="8"/>
    </s:font>
    <s:font>
      <s:name val="Clinica Pro Regular"/>
      <s:color rgb="FFCC66FF"/>
      <s:sz val="28"/>
    </s:font>
    <s:font>
      <s:name val="Clinica Pro Regular"/>
      <s:color rgb="FFCC66FF"/>
      <s:sz val="8"/>
    </s:font>
    <s:font>
      <s:name val="Clinica Pro Regular"/>
      <s:b val="1"/>
      <s:color rgb="FFCC66FF"/>
      <s:sz val="11"/>
    </s:font>
    <s:font>
      <s:name val="Clinica Pro Regular"/>
      <s:b val="1"/>
      <s:color rgb="FFCC66FF"/>
      <s:sz val="12"/>
    </s:font>
    <s:font>
      <s:name val="Clinica Pro Regular"/>
      <s:b val="1"/>
      <s:sz val="8"/>
    </s:font>
    <s:font>
      <s:name val="Clinica Pro Regular"/>
      <s:color rgb="FFFFC000"/>
      <s:sz val="11"/>
    </s:font>
    <s:font>
      <s:name val="Clinica Pro Regular"/>
      <s:b val="1"/>
      <s:sz val="12"/>
    </s:font>
    <s:font>
      <s:name val="Clinica Pro Regular"/>
      <s:b val="1"/>
      <s:color indexed="17"/>
      <s:sz val="8"/>
    </s:font>
    <s:font>
      <s:name val="Clinica Pro Regular"/>
      <s:b val="1"/>
      <s:sz val="9"/>
    </s:font>
    <s:font>
      <s:name val="Clinica Pro Regular"/>
      <s:b val="1"/>
      <s:sz val="10"/>
    </s:font>
    <s:font>
      <s:name val="Clinica Pro Regular"/>
      <s:b val="1"/>
      <s:color theme="1"/>
      <s:sz val="9"/>
    </s:font>
    <s:font>
      <s:name val="Clinica Pro Regular"/>
      <s:sz val="9"/>
    </s:font>
    <s:font>
      <s:name val="Clinica Pro Regular"/>
      <s:b val="1"/>
      <s:color theme="1"/>
      <s:sz val="8"/>
    </s:font>
    <s:font>
      <s:name val="Clinica Pro Regular"/>
      <s:b val="1"/>
      <s:color indexed="17"/>
      <s:sz val="9"/>
    </s:font>
    <s:font>
      <s:name val="Clinica Pro Regular"/>
      <s:b val="1"/>
      <s:color indexed="63"/>
      <s:sz val="10"/>
    </s:font>
    <s:font>
      <s:name val="Clinica Pro Regular"/>
      <s:b val="1"/>
      <s:color rgb="FF3B3838"/>
      <s:sz val="8"/>
    </s:font>
    <s:font>
      <s:name val="Clinica Pro Regular"/>
      <s:b val="1"/>
      <s:color rgb="FF1F4E79"/>
      <s:sz val="8"/>
    </s:font>
    <s:font>
      <s:name val="Clinica Pro Regular"/>
      <s:color theme="1"/>
      <s:sz val="10"/>
    </s:font>
    <s:font>
      <s:name val="Clinica Pro Regular"/>
      <s:color theme="1"/>
      <s:sz val="8"/>
    </s:font>
    <s:font>
      <s:name val="Clinica Pro Regular"/>
      <s:color theme="1"/>
      <s:sz val="11"/>
    </s:font>
    <s:font>
      <s:name val="Times New Roman"/>
      <s:family val="1"/>
      <s:color theme="1"/>
      <s:sz val="11"/>
    </s:font>
    <s:font>
      <s:name val="Clinica Pro Regular"/>
      <s:color indexed="63"/>
      <s:sz val="8"/>
    </s:font>
    <s:font>
      <s:name val="Clinica Pro Regular"/>
      <s:color theme="1"/>
      <s:sz val="9"/>
    </s:font>
    <s:font>
      <s:name val="Clinica Pro Regular"/>
      <s:color indexed="63"/>
      <s:sz val="9"/>
    </s:font>
    <s:font>
      <s:name val="Clinica Pro Regular"/>
      <s:sz val="10"/>
    </s:font>
    <s:font>
      <s:name val="Clinica Pro Regular"/>
      <s:color rgb="FF413003"/>
      <s:sz val="8"/>
    </s:font>
    <s:font>
      <s:name val="Clinica Pro Regular"/>
      <s:b val="1"/>
      <s:color rgb="FF413003"/>
      <s:sz val="8"/>
    </s:font>
    <s:font>
      <s:name val="Arial"/>
      <s:family val="2"/>
      <s:b val="1"/>
      <s:color indexed="56"/>
      <s:sz val="11"/>
    </s:font>
    <s:font>
      <s:name val="Clinica Pro Regular"/>
      <s:b val="1"/>
      <s:color indexed="56"/>
      <s:sz val="11"/>
    </s:font>
    <s:font>
      <s:name val="Clinica Pro Regular"/>
      <s:b val="1"/>
      <s:color indexed="56"/>
      <s:sz val="14"/>
    </s:font>
    <s:font>
      <s:name val="Clinica Pro Regular"/>
      <s:b val="1"/>
      <s:color indexed="18"/>
      <s:sz val="12"/>
    </s:font>
    <s:font>
      <s:name val="Clinica Pro Regular"/>
      <s:color indexed="56"/>
      <s:sz val="10"/>
    </s:font>
    <s:font>
      <s:name val="Clinica Pro Regular"/>
      <s:b val="1"/>
      <s:color indexed="16"/>
      <s:sz val="10"/>
    </s:font>
    <s:font>
      <s:name val="Clinica Pro Regular"/>
      <s:sz val="11"/>
    </s:font>
    <s:font>
      <s:name val="Clinica Pro Regular"/>
      <s:sz val="12"/>
    </s:font>
    <s:font>
      <s:name val="Calibri"/>
      <s:family val="2"/>
      <s:color indexed="63"/>
      <s:sz val="11"/>
    </s:font>
    <s:font>
      <s:name val="Clinica Pro Regular"/>
      <s:charset val="204"/>
      <s:b val="1"/>
      <s:sz val="8"/>
    </s:font>
    <s:font>
      <s:name val="Clinica Pro Regular"/>
      <s:charset val="204"/>
      <s:b val="1"/>
      <s:color rgb="FF413003"/>
      <s:sz val="8"/>
    </s:font>
    <s:font>
      <s:name val="Clinica Pro Regular"/>
      <s:charset val="204"/>
      <s:sz val="8"/>
    </s:font>
    <s:font>
      <s:name val="Calibri"/>
      <s:family val="2"/>
      <s:sz val="8"/>
    </s:font>
    <s:font>
      <s:name val="Clinica Pro Regular"/>
      <s:charset val="204"/>
      <s:b val="1"/>
      <s:color rgb="FF000000"/>
      <s:sz val="8"/>
    </s:font>
    <s:font>
      <s:name val="Clinica Pro Regular"/>
      <s:charset val="204"/>
      <s:b val="1"/>
      <s:color rgb="FF3B3838"/>
      <s:sz val="8"/>
    </s:font>
    <s:font>
      <s:name val="Clinica Pro Regular"/>
      <s:charset val="204"/>
      <s:color rgb="FFFF0000"/>
      <s:sz val="8"/>
    </s:font>
    <s:font>
      <s:name val="Clinica Pro Regular"/>
      <s:charset val="204"/>
      <s:b val="1"/>
      <s:color theme="1"/>
      <s:sz val="8"/>
    </s:font>
  </s:fonts>
  <s:fills count="36">
    <s:fill>
      <s:patternFill patternType="none"/>
    </s:fill>
    <s:fill>
      <s:patternFill patternType="gray125"/>
    </s:fill>
    <s:fill>
      <s:patternFill patternType="solid">
        <s:fgColor rgb="FF66FFFF"/>
        <s:bgColor rgb="FF4ACCD3"/>
      </s:patternFill>
    </s:fill>
    <s:fill>
      <s:patternFill patternType="solid">
        <s:fgColor rgb="FFCCFF00"/>
        <s:bgColor indexed="5"/>
      </s:patternFill>
    </s:fill>
    <s:fill>
      <s:patternFill patternType="solid">
        <s:fgColor indexed="65"/>
        <s:bgColor indexed="26"/>
      </s:patternFill>
    </s:fill>
    <s:fill>
      <s:patternFill patternType="solid">
        <s:fgColor indexed="5"/>
        <s:bgColor indexed="26"/>
      </s:patternFill>
    </s:fill>
    <s:fill>
      <s:patternFill patternType="solid">
        <s:fgColor rgb="FF00CCCC"/>
        <s:bgColor rgb="FF4ACCD3"/>
      </s:patternFill>
    </s:fill>
    <s:fill>
      <s:patternFill patternType="solid">
        <s:fgColor rgb="FFD0CECE"/>
        <s:bgColor rgb="FFD0CECE"/>
      </s:patternFill>
    </s:fill>
    <s:fill>
      <s:patternFill patternType="solid">
        <s:fgColor rgb="FFD0CECE"/>
        <s:bgColor rgb="FF5B9BD5"/>
      </s:patternFill>
    </s:fill>
    <s:fill>
      <s:patternFill patternType="solid">
        <s:fgColor theme="2"/>
        <s:bgColor theme="2"/>
      </s:patternFill>
    </s:fill>
    <s:fill>
      <s:patternFill patternType="solid">
        <s:fgColor theme="0"/>
        <s:bgColor theme="0"/>
      </s:patternFill>
    </s:fill>
    <s:fill>
      <s:patternFill patternType="solid">
        <s:fgColor theme="2"/>
        <s:bgColor rgb="FF4ACCD3"/>
      </s:patternFill>
    </s:fill>
    <s:fill>
      <s:patternFill patternType="solid">
        <s:fgColor rgb="FFCCFF00"/>
        <s:bgColor rgb="FFCCFF00"/>
      </s:patternFill>
    </s:fill>
    <s:fill>
      <s:patternFill patternType="solid">
        <s:fgColor theme="2" tint="-0.1"/>
        <s:bgColor rgb="FF5B9BD5"/>
      </s:patternFill>
    </s:fill>
    <s:fill>
      <s:patternFill patternType="solid">
        <s:fgColor theme="0"/>
        <s:bgColor theme="2"/>
      </s:patternFill>
    </s:fill>
    <s:fill>
      <s:patternFill patternType="solid">
        <s:fgColor theme="9" tint="0.8"/>
        <s:bgColor theme="9" tint="0.8"/>
      </s:patternFill>
    </s:fill>
    <s:fill>
      <s:patternFill patternType="solid">
        <s:fgColor indexed="65"/>
      </s:patternFill>
    </s:fill>
    <s:fill>
      <s:patternFill patternType="solid">
        <s:fgColor rgb="FFE7E6E6"/>
        <s:bgColor rgb="FFE7E6E6"/>
      </s:patternFill>
    </s:fill>
    <s:fill>
      <s:patternFill patternType="solid">
        <s:fgColor rgb="FFF4ECC5"/>
        <s:bgColor rgb="FFF4ECC5"/>
      </s:patternFill>
    </s:fill>
    <s:fill>
      <s:patternFill patternType="solid">
        <s:fgColor rgb="FFFBF9EC"/>
        <s:bgColor rgb="FFFBF9EC"/>
      </s:patternFill>
    </s:fill>
    <s:fill>
      <s:patternFill patternType="solid">
        <s:fgColor theme="8" tint="0.6"/>
        <s:bgColor rgb="FF3B3838"/>
      </s:patternFill>
    </s:fill>
    <s:fill>
      <s:patternFill patternType="solid">
        <s:fgColor rgb="FF92D050"/>
        <s:bgColor rgb="FFED7D31"/>
      </s:patternFill>
    </s:fill>
    <s:fill>
      <s:patternFill patternType="solid">
        <s:fgColor theme="8" tint="0.6"/>
        <s:bgColor rgb="FFED7D31"/>
      </s:patternFill>
    </s:fill>
    <s:fill>
      <s:patternFill patternType="solid">
        <s:fgColor rgb="FFFFC000"/>
        <s:bgColor indexed="5"/>
      </s:patternFill>
    </s:fill>
    <s:fill>
      <s:patternFill patternType="solid">
        <s:fgColor theme="8" tint="0.4"/>
        <s:bgColor rgb="FFED7D31"/>
      </s:patternFill>
    </s:fill>
    <s:fill>
      <s:patternFill patternType="solid">
        <s:fgColor theme="8" tint="0.8"/>
        <s:bgColor rgb="FF3B3838"/>
      </s:patternFill>
    </s:fill>
    <s:fill>
      <s:patternFill patternType="solid">
        <s:fgColor theme="9" tint="0.8"/>
        <s:bgColor indexed="7"/>
      </s:patternFill>
    </s:fill>
    <s:fill>
      <s:patternFill patternType="solid">
        <s:fgColor theme="8" tint="0.6"/>
        <s:bgColor indexed="43"/>
      </s:patternFill>
    </s:fill>
    <s:fill>
      <s:patternFill patternType="solid">
        <s:fgColor rgb="FFFFFFFF"/>
        <s:bgColor rgb="FFFFFFFF"/>
      </s:patternFill>
    </s:fill>
    <s:fill>
      <s:patternFill patternType="solid">
        <s:fgColor theme="5" tint="0.8"/>
        <s:bgColor indexed="64"/>
      </s:patternFill>
    </s:fill>
    <s:fill>
      <s:patternFill patternType="solid">
        <s:fgColor theme="4" tint="0.8"/>
        <s:bgColor indexed="64"/>
      </s:patternFill>
    </s:fill>
    <s:fill>
      <s:patternFill patternType="solid">
        <s:fgColor theme="2"/>
        <s:bgColor rgb="FFFFFFFF"/>
      </s:patternFill>
    </s:fill>
    <s:fill>
      <s:patternFill patternType="solid">
        <s:fgColor theme="2"/>
        <s:bgColor indexed="64"/>
      </s:patternFill>
    </s:fill>
    <s:fill>
      <s:patternFill patternType="solid">
        <s:fgColor rgb="FFDAE3F3"/>
        <s:bgColor rgb="FFDAE3F3"/>
      </s:patternFill>
    </s:fill>
    <s:fill>
      <s:patternFill patternType="solid">
        <s:fgColor theme="8" tint="0.8"/>
        <s:bgColor rgb="FF4ACCD3"/>
      </s:patternFill>
    </s:fill>
    <s:fill>
      <s:patternFill patternType="solid">
        <s:fgColor rgb="FFDEEBF7"/>
        <s:bgColor rgb="FFDEEBF7"/>
      </s:patternFill>
    </s:fill>
  </s:fills>
  <s:borders count="180">
    <s:border>
      <s:left/>
      <s:right/>
      <s:top/>
      <s:bottom/>
      <s:diagonal/>
    </s:border>
    <s:border>
      <s:left style="medium">
        <s:color auto="1"/>
      </s:left>
      <s:right/>
      <s:top style="medium">
        <s:color auto="1"/>
      </s:top>
      <s:bottom/>
      <s:diagonal/>
    </s:border>
    <s:border>
      <s:left/>
      <s:right style="hair">
        <s:color auto="1"/>
      </s:right>
      <s:top style="hair">
        <s:color auto="1"/>
      </s:top>
      <s:bottom style="hair">
        <s:color auto="1"/>
      </s:bottom>
      <s:diagonal/>
    </s:border>
    <s:border>
      <s:left style="medium">
        <s:color auto="1"/>
      </s:left>
      <s:right/>
      <s:top/>
      <s:bottom style="medium">
        <s:color auto="1"/>
      </s:bottom>
      <s:diagonal/>
    </s:border>
    <s:border>
      <s:left/>
      <s:right/>
      <s:top/>
      <s:bottom style="medium">
        <s:color auto="1"/>
      </s:bottom>
      <s:diagonal/>
    </s:border>
    <s:border>
      <s:left/>
      <s:right style="medium">
        <s:color auto="1"/>
      </s:right>
      <s:top/>
      <s:bottom style="medium">
        <s:color auto="1"/>
      </s:bottom>
      <s:diagonal/>
    </s:border>
    <s:border>
      <s:left/>
      <s:right/>
      <s:top style="medium">
        <s:color auto="1"/>
      </s:top>
      <s:bottom style="medium">
        <s:color auto="1"/>
      </s:bottom>
      <s:diagonal/>
    </s:border>
    <s:border>
      <s:left style="medium">
        <s:color auto="1"/>
      </s:left>
      <s:right style="medium">
        <s:color auto="1"/>
      </s:right>
      <s:top style="medium">
        <s:color auto="1"/>
      </s:top>
      <s:bottom style="medium">
        <s:color auto="1"/>
      </s:bottom>
      <s:diagonal/>
    </s:border>
    <s:border>
      <s:left/>
      <s:right style="thin">
        <s:color auto="1"/>
      </s:right>
      <s:top style="medium">
        <s:color auto="1"/>
      </s:top>
      <s:bottom style="medium">
        <s:color auto="1"/>
      </s:bottom>
      <s:diagonal/>
    </s:border>
    <s:border>
      <s:left style="thin">
        <s:color auto="1"/>
      </s:left>
      <s:right style="thin">
        <s:color auto="1"/>
      </s:right>
      <s:top style="medium">
        <s:color auto="1"/>
      </s:top>
      <s:bottom style="medium">
        <s:color auto="1"/>
      </s:bottom>
      <s:diagonal/>
    </s:border>
    <s:border>
      <s:left style="thin">
        <s:color auto="1"/>
      </s:left>
      <s:right/>
      <s:top style="medium">
        <s:color auto="1"/>
      </s:top>
      <s:bottom style="medium">
        <s:color auto="1"/>
      </s:bottom>
      <s:diagonal/>
    </s:border>
    <s:border>
      <s:left style="thin">
        <s:color auto="1"/>
      </s:left>
      <s:right style="thin">
        <s:color auto="1"/>
      </s:right>
      <s:top/>
      <s:bottom style="thin">
        <s:color auto="1"/>
      </s:bottom>
      <s:diagonal/>
    </s:border>
    <s:border>
      <s:left style="thin">
        <s:color auto="1"/>
      </s:left>
      <s:right/>
      <s:top/>
      <s:bottom style="thin">
        <s:color auto="1"/>
      </s:bottom>
      <s:diagonal/>
    </s:border>
    <s:border>
      <s:left style="medium">
        <s:color auto="1"/>
      </s:left>
      <s:right style="medium">
        <s:color auto="1"/>
      </s:right>
      <s:top/>
      <s:bottom style="thin">
        <s:color auto="1"/>
      </s:bottom>
      <s:diagonal/>
    </s:border>
    <s:border>
      <s:left/>
      <s:right style="thin">
        <s:color auto="1"/>
      </s:right>
      <s:top/>
      <s:bottom style="thin">
        <s:color auto="1"/>
      </s:bottom>
      <s:diagonal/>
    </s:border>
    <s:border>
      <s:left style="thin">
        <s:color auto="1"/>
      </s:left>
      <s:right style="medium">
        <s:color auto="1"/>
      </s:right>
      <s:top/>
      <s:bottom style="thin">
        <s:color auto="1"/>
      </s:bottom>
      <s:diagonal/>
    </s:border>
    <s:border>
      <s:left style="medium">
        <s:color auto="1"/>
      </s:left>
      <s:right style="medium">
        <s:color auto="1"/>
      </s:right>
      <s:top style="thin">
        <s:color auto="1"/>
      </s:top>
      <s:bottom style="thin">
        <s:color auto="1"/>
      </s:bottom>
      <s:diagonal/>
    </s:border>
    <s:border>
      <s:left/>
      <s:right style="thin">
        <s:color auto="1"/>
      </s:right>
      <s:top style="thin">
        <s:color auto="1"/>
      </s:top>
      <s:bottom style="thin">
        <s:color auto="1"/>
      </s:bottom>
      <s:diagonal/>
    </s:border>
    <s:border>
      <s:left style="thin">
        <s:color auto="1"/>
      </s:left>
      <s:right style="thin">
        <s:color auto="1"/>
      </s:right>
      <s:top style="thin">
        <s:color auto="1"/>
      </s:top>
      <s:bottom style="thin">
        <s:color auto="1"/>
      </s:bottom>
      <s:diagonal/>
    </s:border>
    <s:border>
      <s:left style="thin">
        <s:color auto="1"/>
      </s:left>
      <s:right/>
      <s:top style="thin">
        <s:color auto="1"/>
      </s:top>
      <s:bottom style="thin">
        <s:color auto="1"/>
      </s:bottom>
      <s:diagonal/>
    </s:border>
    <s:border>
      <s:left style="thin">
        <s:color auto="1"/>
      </s:left>
      <s:right style="medium">
        <s:color auto="1"/>
      </s:right>
      <s:top style="thin">
        <s:color auto="1"/>
      </s:top>
      <s:bottom style="thin">
        <s:color auto="1"/>
      </s:bottom>
      <s:diagonal/>
    </s:border>
    <s:border>
      <s:left style="thin">
        <s:color auto="1"/>
      </s:left>
      <s:right style="thin">
        <s:color auto="1"/>
      </s:right>
      <s:top style="thin">
        <s:color auto="1"/>
      </s:top>
      <s:bottom/>
      <s:diagonal/>
    </s:border>
    <s:border>
      <s:left/>
      <s:right style="thin">
        <s:color auto="1"/>
      </s:right>
      <s:top style="thin">
        <s:color auto="1"/>
      </s:top>
      <s:bottom/>
      <s:diagonal/>
    </s:border>
    <s:border>
      <s:left style="thin">
        <s:color auto="1"/>
      </s:left>
      <s:right/>
      <s:top style="thin">
        <s:color auto="1"/>
      </s:top>
      <s:bottom/>
      <s:diagonal/>
    </s:border>
    <s:border>
      <s:left style="medium">
        <s:color auto="1"/>
      </s:left>
      <s:right style="medium">
        <s:color auto="1"/>
      </s:right>
      <s:top style="thin">
        <s:color auto="1"/>
      </s:top>
      <s:bottom/>
      <s:diagonal/>
    </s:border>
    <s:border>
      <s:left style="medium">
        <s:color auto="1"/>
      </s:left>
      <s:right style="medium">
        <s:color auto="1"/>
      </s:right>
      <s:top style="thin">
        <s:color auto="1"/>
      </s:top>
      <s:bottom style="medium">
        <s:color auto="1"/>
      </s:bottom>
      <s:diagonal/>
    </s:border>
    <s:border>
      <s:left/>
      <s:right style="thin">
        <s:color auto="1"/>
      </s:right>
      <s:top style="thin">
        <s:color auto="1"/>
      </s:top>
      <s:bottom style="medium">
        <s:color auto="1"/>
      </s:bottom>
      <s:diagonal/>
    </s:border>
    <s:border>
      <s:left style="thin">
        <s:color auto="1"/>
      </s:left>
      <s:right/>
      <s:top style="thin">
        <s:color auto="1"/>
      </s:top>
      <s:bottom style="medium">
        <s:color auto="1"/>
      </s:bottom>
      <s:diagonal/>
    </s:border>
    <s:border>
      <s:left style="thin">
        <s:color auto="1"/>
      </s:left>
      <s:right style="medium">
        <s:color auto="1"/>
      </s:right>
      <s:top style="thin">
        <s:color auto="1"/>
      </s:top>
      <s:bottom style="medium">
        <s:color auto="1"/>
      </s:bottom>
      <s:diagonal/>
    </s:border>
    <s:border>
      <s:left/>
      <s:right/>
      <s:top style="thin">
        <s:color auto="1"/>
      </s:top>
      <s:bottom style="thin">
        <s:color auto="1"/>
      </s:bottom>
      <s:diagonal/>
    </s:border>
    <s:border>
      <s:left style="thin">
        <s:color theme="1"/>
      </s:left>
      <s:right style="thin">
        <s:color theme="1"/>
      </s:right>
      <s:top style="thin">
        <s:color theme="1"/>
      </s:top>
      <s:bottom/>
      <s:diagonal/>
    </s:border>
    <s:border>
      <s:left style="thin">
        <s:color theme="1"/>
      </s:left>
      <s:right style="thin">
        <s:color theme="1"/>
      </s:right>
      <s:top style="thin">
        <s:color theme="1"/>
      </s:top>
      <s:bottom style="thin">
        <s:color theme="1"/>
      </s:bottom>
      <s:diagonal/>
    </s:border>
    <s:border>
      <s:left style="medium">
        <s:color auto="1"/>
      </s:left>
      <s:right style="thin">
        <s:color auto="1"/>
      </s:right>
      <s:top/>
      <s:bottom style="thin">
        <s:color auto="1"/>
      </s:bottom>
      <s:diagonal/>
    </s:border>
    <s:border>
      <s:left style="medium">
        <s:color auto="1"/>
      </s:left>
      <s:right style="medium">
        <s:color auto="1"/>
      </s:right>
      <s:top/>
      <s:bottom style="medium">
        <s:color auto="1"/>
      </s:bottom>
      <s:diagonal/>
    </s:border>
    <s:border>
      <s:left style="thin">
        <s:color auto="1"/>
      </s:left>
      <s:right style="thin">
        <s:color auto="1"/>
      </s:right>
      <s:top/>
      <s:bottom/>
      <s:diagonal/>
    </s:border>
    <s:border>
      <s:left style="thin">
        <s:color auto="1"/>
      </s:left>
      <s:right/>
      <s:top/>
      <s:bottom style="medium">
        <s:color auto="1"/>
      </s:bottom>
      <s:diagonal/>
    </s:border>
    <s:border>
      <s:left/>
      <s:right style="thin">
        <s:color auto="1"/>
      </s:right>
      <s:top/>
      <s:bottom/>
      <s:diagonal/>
    </s:border>
    <s:border>
      <s:left style="medium">
        <s:color auto="1"/>
      </s:left>
      <s:right style="thin">
        <s:color auto="1"/>
      </s:right>
      <s:top style="medium">
        <s:color auto="1"/>
      </s:top>
      <s:bottom style="thin">
        <s:color auto="1"/>
      </s:bottom>
      <s:diagonal/>
    </s:border>
    <s:border>
      <s:left style="medium">
        <s:color auto="1"/>
      </s:left>
      <s:right style="thin">
        <s:color auto="1"/>
      </s:right>
      <s:top style="thin">
        <s:color auto="1"/>
      </s:top>
      <s:bottom/>
      <s:diagonal/>
    </s:border>
    <s:border>
      <s:left/>
      <s:right/>
      <s:top style="thin">
        <s:color auto="1"/>
      </s:top>
      <s:bottom/>
      <s:diagonal/>
    </s:border>
    <s:border>
      <s:left style="medium">
        <s:color auto="1"/>
      </s:left>
      <s:right style="thin">
        <s:color auto="1"/>
      </s:right>
      <s:top/>
      <s:bottom style="medium">
        <s:color auto="1"/>
      </s:bottom>
      <s:diagonal/>
    </s:border>
    <s:border>
      <s:left style="thin">
        <s:color auto="1"/>
      </s:left>
      <s:right style="thin">
        <s:color auto="1"/>
      </s:right>
      <s:top/>
      <s:bottom style="medium">
        <s:color auto="1"/>
      </s:bottom>
      <s:diagonal/>
    </s:border>
    <s:border>
      <s:left/>
      <s:right/>
      <s:top/>
      <s:bottom style="thin">
        <s:color auto="1"/>
      </s:bottom>
      <s:diagonal/>
    </s:border>
    <s:border>
      <s:left style="hair">
        <s:color auto="1"/>
      </s:left>
      <s:right style="hair">
        <s:color auto="1"/>
      </s:right>
      <s:top style="hair">
        <s:color auto="1"/>
      </s:top>
      <s:bottom style="hair">
        <s:color auto="1"/>
      </s:bottom>
      <s:diagonal/>
    </s:border>
    <s:border>
      <s:left/>
      <s:right style="thin">
        <s:color theme="1"/>
      </s:right>
      <s:top style="thin">
        <s:color theme="1"/>
      </s:top>
      <s:bottom style="thin">
        <s:color theme="1"/>
      </s:bottom>
      <s:diagonal/>
    </s:border>
    <s:border>
      <s:left style="thin">
        <s:color auto="1"/>
      </s:left>
      <s:right style="thin">
        <s:color theme="1"/>
      </s:right>
      <s:top style="thin">
        <s:color auto="1"/>
      </s:top>
      <s:bottom style="thin">
        <s:color auto="1"/>
      </s:bottom>
      <s:diagonal/>
    </s:border>
    <s:border>
      <s:left style="thin">
        <s:color theme="1"/>
      </s:left>
      <s:right style="thin">
        <s:color theme="1"/>
      </s:right>
      <s:top/>
      <s:bottom style="thin">
        <s:color theme="1"/>
      </s:bottom>
      <s:diagonal/>
    </s:border>
    <s:border>
      <s:left style="thin">
        <s:color theme="1"/>
      </s:left>
      <s:right/>
      <s:top style="thin">
        <s:color theme="1"/>
      </s:top>
      <s:bottom style="thin">
        <s:color theme="1"/>
      </s:bottom>
      <s:diagonal/>
    </s:border>
    <s:border>
      <s:left style="thin">
        <s:color theme="1"/>
      </s:left>
      <s:right style="thin">
        <s:color theme="1"/>
      </s:right>
      <s:top/>
      <s:bottom/>
      <s:diagonal/>
    </s:border>
    <s:border>
      <s:left/>
      <s:right style="medium">
        <s:color auto="1"/>
      </s:right>
      <s:top/>
      <s:bottom style="thin">
        <s:color auto="1"/>
      </s:bottom>
      <s:diagonal/>
    </s:border>
    <s:border>
      <s:left/>
      <s:right style="medium">
        <s:color auto="1"/>
      </s:right>
      <s:top style="thin">
        <s:color auto="1"/>
      </s:top>
      <s:bottom style="thin">
        <s:color auto="1"/>
      </s:bottom>
      <s:diagonal/>
    </s:border>
    <s:border>
      <s:left/>
      <s:right style="medium">
        <s:color auto="1"/>
      </s:right>
      <s:top/>
      <s:bottom/>
      <s:diagonal/>
    </s:border>
    <s:border>
      <s:left style="thin">
        <s:color rgb="FFCCC085"/>
      </s:left>
      <s:right style="medium">
        <s:color auto="1"/>
      </s:right>
      <s:top/>
      <s:bottom style="thin">
        <s:color auto="1"/>
      </s:bottom>
      <s:diagonal/>
    </s:border>
    <s:border>
      <s:left style="medium">
        <s:color auto="1"/>
      </s:left>
      <s:right style="thin">
        <s:color rgb="FFCCC085"/>
      </s:right>
      <s:top/>
      <s:bottom style="thin">
        <s:color auto="1"/>
      </s:bottom>
      <s:diagonal/>
    </s:border>
    <s:border>
      <s:left/>
      <s:right/>
      <s:top/>
      <s:bottom style="thin">
        <s:color rgb="FFB3AC86"/>
      </s:bottom>
      <s:diagonal/>
    </s:border>
    <s:border>
      <s:left style="medium">
        <s:color auto="1"/>
      </s:left>
      <s:right/>
      <s:top style="thin">
        <s:color auto="1"/>
      </s:top>
      <s:bottom/>
      <s:diagonal/>
    </s:border>
    <s:border>
      <s:left style="medium">
        <s:color indexed="16"/>
      </s:left>
      <s:right/>
      <s:top/>
      <s:bottom/>
      <s:diagonal/>
    </s:border>
    <s:border>
      <s:left style="medium">
        <s:color auto="1"/>
      </s:left>
      <s:right style="medium">
        <s:color auto="1"/>
      </s:right>
      <s:top style="medium">
        <s:color auto="1"/>
      </s:top>
      <s:bottom style="thin">
        <s:color indexed="16"/>
      </s:bottom>
      <s:diagonal/>
    </s:border>
    <s:border>
      <s:left/>
      <s:right/>
      <s:top style="medium">
        <s:color indexed="16"/>
      </s:top>
      <s:bottom/>
      <s:diagonal/>
    </s:border>
    <s:border>
      <s:left style="medium">
        <s:color auto="1"/>
      </s:left>
      <s:right style="medium">
        <s:color auto="1"/>
      </s:right>
      <s:top style="thin">
        <s:color indexed="16"/>
      </s:top>
      <s:bottom style="thin">
        <s:color indexed="16"/>
      </s:bottom>
      <s:diagonal/>
    </s:border>
    <s:border>
      <s:left style="medium">
        <s:color auto="1"/>
      </s:left>
      <s:right style="medium">
        <s:color auto="1"/>
      </s:right>
      <s:top style="thin">
        <s:color indexed="16"/>
      </s:top>
      <s:bottom style="medium">
        <s:color auto="1"/>
      </s:bottom>
      <s:diagonal/>
    </s:border>
    <s:border>
      <s:left style="medium">
        <s:color indexed="16"/>
      </s:left>
      <s:right/>
      <s:top style="medium">
        <s:color indexed="16"/>
      </s:top>
      <s:bottom style="medium">
        <s:color indexed="16"/>
      </s:bottom>
      <s:diagonal/>
    </s:border>
    <s:border>
      <s:left/>
      <s:right style="medium">
        <s:color indexed="16"/>
      </s:right>
      <s:top style="medium">
        <s:color indexed="16"/>
      </s:top>
      <s:bottom style="medium">
        <s:color indexed="16"/>
      </s:bottom>
      <s:diagonal/>
    </s:border>
    <s:border>
      <s:left/>
      <s:right/>
      <s:top style="medium">
        <s:color indexed="16"/>
      </s:top>
      <s:bottom style="medium">
        <s:color indexed="16"/>
      </s:bottom>
      <s:diagonal/>
    </s:border>
    <s:border>
      <s:left style="medium">
        <s:color indexed="16"/>
      </s:left>
      <s:right style="medium">
        <s:color indexed="16"/>
      </s:right>
      <s:top/>
      <s:bottom style="medium">
        <s:color indexed="16"/>
      </s:bottom>
      <s:diagonal/>
    </s:border>
    <s:border>
      <s:left style="medium">
        <s:color indexed="16"/>
      </s:left>
      <s:right style="medium">
        <s:color indexed="16"/>
      </s:right>
      <s:top style="medium">
        <s:color indexed="16"/>
      </s:top>
      <s:bottom/>
      <s:diagonal/>
    </s:border>
    <s:border>
      <s:left style="medium">
        <s:color indexed="16"/>
      </s:left>
      <s:right/>
      <s:top/>
      <s:bottom style="medium">
        <s:color indexed="16"/>
      </s:bottom>
      <s:diagonal/>
    </s:border>
    <s:border>
      <s:left style="medium">
        <s:color indexed="16"/>
      </s:left>
      <s:right style="medium">
        <s:color indexed="16"/>
      </s:right>
      <s:top style="medium">
        <s:color indexed="16"/>
      </s:top>
      <s:bottom style="medium">
        <s:color indexed="16"/>
      </s:bottom>
      <s:diagonal/>
    </s:border>
    <s:border>
      <s:left style="medium">
        <s:color indexed="16"/>
      </s:left>
      <s:right style="thin">
        <s:color indexed="16"/>
      </s:right>
      <s:top style="medium">
        <s:color auto="1"/>
      </s:top>
      <s:bottom style="medium">
        <s:color auto="1"/>
      </s:bottom>
      <s:diagonal/>
    </s:border>
    <s:border>
      <s:left style="thin">
        <s:color indexed="16"/>
      </s:left>
      <s:right style="thin">
        <s:color indexed="16"/>
      </s:right>
      <s:top style="medium">
        <s:color auto="1"/>
      </s:top>
      <s:bottom style="medium">
        <s:color auto="1"/>
      </s:bottom>
      <s:diagonal/>
    </s:border>
    <s:border>
      <s:left style="thin">
        <s:color indexed="16"/>
      </s:left>
      <s:right style="thin">
        <s:color auto="1"/>
      </s:right>
      <s:top style="medium">
        <s:color auto="1"/>
      </s:top>
      <s:bottom style="medium">
        <s:color auto="1"/>
      </s:bottom>
      <s:diagonal/>
    </s:border>
    <s:border>
      <s:left/>
      <s:right style="thin">
        <s:color indexed="16"/>
      </s:right>
      <s:top style="medium">
        <s:color auto="1"/>
      </s:top>
      <s:bottom style="medium">
        <s:color auto="1"/>
      </s:bottom>
      <s:diagonal/>
    </s:border>
    <s:border>
      <s:left style="thin">
        <s:color indexed="16"/>
      </s:left>
      <s:right style="thin">
        <s:color indexed="16"/>
      </s:right>
      <s:top style="medium">
        <s:color indexed="16"/>
      </s:top>
      <s:bottom style="medium">
        <s:color indexed="16"/>
      </s:bottom>
      <s:diagonal/>
    </s:border>
    <s:border>
      <s:left style="thin">
        <s:color indexed="16"/>
      </s:left>
      <s:right style="thin">
        <s:color indexed="16"/>
      </s:right>
      <s:top style="medium">
        <s:color indexed="16"/>
      </s:top>
      <s:bottom/>
      <s:diagonal/>
    </s:border>
    <s:border>
      <s:left style="medium">
        <s:color indexed="16"/>
      </s:left>
      <s:right style="thin">
        <s:color indexed="16"/>
      </s:right>
      <s:top/>
      <s:bottom/>
      <s:diagonal/>
    </s:border>
    <s:border>
      <s:left style="thin">
        <s:color indexed="16"/>
      </s:left>
      <s:right style="thin">
        <s:color indexed="16"/>
      </s:right>
      <s:top/>
      <s:bottom/>
      <s:diagonal/>
    </s:border>
    <s:border>
      <s:left style="thin">
        <s:color indexed="16"/>
      </s:left>
      <s:right style="thin">
        <s:color auto="1"/>
      </s:right>
      <s:top style="medium">
        <s:color auto="1"/>
      </s:top>
      <s:bottom/>
      <s:diagonal/>
    </s:border>
    <s:border>
      <s:left/>
      <s:right style="thin">
        <s:color indexed="16"/>
      </s:right>
      <s:top/>
      <s:bottom/>
      <s:diagonal/>
    </s:border>
    <s:border>
      <s:left style="medium">
        <s:color auto="1"/>
      </s:left>
      <s:right style="medium">
        <s:color indexed="16"/>
      </s:right>
      <s:top style="medium">
        <s:color auto="1"/>
      </s:top>
      <s:bottom style="medium">
        <s:color auto="1"/>
      </s:bottom>
      <s:diagonal/>
    </s:border>
    <s:border>
      <s:left style="medium">
        <s:color indexed="16"/>
      </s:left>
      <s:right style="medium">
        <s:color indexed="16"/>
      </s:right>
      <s:top style="medium">
        <s:color auto="1"/>
      </s:top>
      <s:bottom style="medium">
        <s:color auto="1"/>
      </s:bottom>
      <s:diagonal/>
    </s:border>
    <s:border>
      <s:left style="thin">
        <s:color indexed="16"/>
      </s:left>
      <s:right style="medium">
        <s:color auto="1"/>
      </s:right>
      <s:top style="medium">
        <s:color auto="1"/>
      </s:top>
      <s:bottom style="medium">
        <s:color auto="1"/>
      </s:bottom>
      <s:diagonal/>
    </s:border>
    <s:border>
      <s:left/>
      <s:right style="thin">
        <s:color indexed="16"/>
      </s:right>
      <s:top/>
      <s:bottom style="medium">
        <s:color indexed="16"/>
      </s:bottom>
      <s:diagonal/>
    </s:border>
    <s:border>
      <s:left style="thin">
        <s:color indexed="16"/>
      </s:left>
      <s:right style="thin">
        <s:color indexed="16"/>
      </s:right>
      <s:top/>
      <s:bottom style="medium">
        <s:color indexed="16"/>
      </s:bottom>
      <s:diagonal/>
    </s:border>
    <s:border>
      <s:left style="thin">
        <s:color indexed="16"/>
      </s:left>
      <s:right style="thin">
        <s:color indexed="16"/>
      </s:right>
      <s:top/>
      <s:bottom style="thin">
        <s:color indexed="16"/>
      </s:bottom>
      <s:diagonal/>
    </s:border>
    <s:border>
      <s:left style="thin">
        <s:color indexed="16"/>
      </s:left>
      <s:right style="thin">
        <s:color auto="1"/>
      </s:right>
      <s:top/>
      <s:bottom style="thin">
        <s:color indexed="16"/>
      </s:bottom>
      <s:diagonal/>
    </s:border>
    <s:border>
      <s:left/>
      <s:right style="thin">
        <s:color indexed="16"/>
      </s:right>
      <s:top/>
      <s:bottom style="thin">
        <s:color indexed="16"/>
      </s:bottom>
      <s:diagonal/>
    </s:border>
    <s:border>
      <s:left style="thin">
        <s:color indexed="16"/>
      </s:left>
      <s:right/>
      <s:top/>
      <s:bottom style="thin">
        <s:color indexed="16"/>
      </s:bottom>
      <s:diagonal/>
    </s:border>
    <s:border>
      <s:left/>
      <s:right style="thin">
        <s:color indexed="16"/>
      </s:right>
      <s:top style="thin">
        <s:color indexed="16"/>
      </s:top>
      <s:bottom style="thin">
        <s:color indexed="16"/>
      </s:bottom>
      <s:diagonal/>
    </s:border>
    <s:border>
      <s:left style="thin">
        <s:color indexed="16"/>
      </s:left>
      <s:right style="thin">
        <s:color indexed="16"/>
      </s:right>
      <s:top style="thin">
        <s:color indexed="16"/>
      </s:top>
      <s:bottom style="thin">
        <s:color indexed="16"/>
      </s:bottom>
      <s:diagonal/>
    </s:border>
    <s:border>
      <s:left style="thin">
        <s:color indexed="16"/>
      </s:left>
      <s:right style="thin">
        <s:color auto="1"/>
      </s:right>
      <s:top style="thin">
        <s:color indexed="16"/>
      </s:top>
      <s:bottom style="thin">
        <s:color indexed="16"/>
      </s:bottom>
      <s:diagonal/>
    </s:border>
    <s:border>
      <s:left style="thin">
        <s:color indexed="16"/>
      </s:left>
      <s:right/>
      <s:top style="thin">
        <s:color indexed="16"/>
      </s:top>
      <s:bottom style="thin">
        <s:color indexed="16"/>
      </s:bottom>
      <s:diagonal/>
    </s:border>
    <s:border>
      <s:left style="thin">
        <s:color indexed="16"/>
      </s:left>
      <s:right style="thin">
        <s:color indexed="16"/>
      </s:right>
      <s:top style="thin">
        <s:color indexed="16"/>
      </s:top>
      <s:bottom/>
      <s:diagonal/>
    </s:border>
    <s:border>
      <s:left style="medium">
        <s:color auto="1"/>
      </s:left>
      <s:right style="thin">
        <s:color indexed="16"/>
      </s:right>
      <s:top style="thin">
        <s:color indexed="16"/>
      </s:top>
      <s:bottom/>
      <s:diagonal/>
    </s:border>
    <s:border>
      <s:left style="thin">
        <s:color indexed="16"/>
      </s:left>
      <s:right style="thin">
        <s:color auto="1"/>
      </s:right>
      <s:top style="thin">
        <s:color indexed="16"/>
      </s:top>
      <s:bottom/>
      <s:diagonal/>
    </s:border>
    <s:border>
      <s:left/>
      <s:right style="thin">
        <s:color indexed="16"/>
      </s:right>
      <s:top style="thin">
        <s:color indexed="16"/>
      </s:top>
      <s:bottom/>
      <s:diagonal/>
    </s:border>
    <s:border>
      <s:left style="medium">
        <s:color auto="1"/>
      </s:left>
      <s:right style="thin">
        <s:color indexed="16"/>
      </s:right>
      <s:top style="medium">
        <s:color auto="1"/>
      </s:top>
      <s:bottom style="medium">
        <s:color auto="1"/>
      </s:bottom>
      <s:diagonal/>
    </s:border>
    <s:border>
      <s:left style="thin">
        <s:color indexed="64"/>
      </s:left>
      <s:right style="thin">
        <s:color indexed="64"/>
      </s:right>
      <s:top style="thin">
        <s:color indexed="64"/>
      </s:top>
      <s:bottom style="thin">
        <s:color indexed="64"/>
      </s:bottom>
      <s:diagonal/>
    </s:border>
    <s:border>
      <s:left style="medium">
        <s:color indexed="64"/>
      </s:left>
      <s:right/>
      <s:top style="medium">
        <s:color indexed="64"/>
      </s:top>
      <s:bottom style="thin">
        <s:color auto="1"/>
      </s:bottom>
      <s:diagonal/>
    </s:border>
    <s:border>
      <s:left/>
      <s:right/>
      <s:top style="medium">
        <s:color indexed="64"/>
      </s:top>
      <s:bottom style="thin">
        <s:color auto="1"/>
      </s:bottom>
      <s:diagonal/>
    </s:border>
    <s:border>
      <s:left/>
      <s:right style="thin">
        <s:color auto="1"/>
      </s:right>
      <s:top style="medium">
        <s:color indexed="64"/>
      </s:top>
      <s:bottom style="thin">
        <s:color auto="1"/>
      </s:bottom>
      <s:diagonal/>
    </s:border>
    <s:border>
      <s:left style="thin">
        <s:color auto="1"/>
      </s:left>
      <s:right/>
      <s:top style="medium">
        <s:color indexed="64"/>
      </s:top>
      <s:bottom/>
      <s:diagonal/>
    </s:border>
    <s:border>
      <s:left/>
      <s:right/>
      <s:top style="medium">
        <s:color indexed="64"/>
      </s:top>
      <s:bottom/>
      <s:diagonal/>
    </s:border>
    <s:border>
      <s:left/>
      <s:right style="medium">
        <s:color indexed="64"/>
      </s:right>
      <s:top style="medium">
        <s:color indexed="64"/>
      </s:top>
      <s:bottom/>
      <s:diagonal/>
    </s:border>
    <s:border>
      <s:left style="medium">
        <s:color indexed="64"/>
      </s:left>
      <s:right style="thin">
        <s:color auto="1"/>
      </s:right>
      <s:top style="thin">
        <s:color auto="1"/>
      </s:top>
      <s:bottom style="thin">
        <s:color auto="1"/>
      </s:bottom>
      <s:diagonal/>
    </s:border>
    <s:border>
      <s:left style="medium">
        <s:color auto="1"/>
      </s:left>
      <s:right style="medium">
        <s:color auto="1"/>
      </s:right>
      <s:top style="medium">
        <s:color auto="1"/>
      </s:top>
      <s:bottom style="thin">
        <s:color auto="1"/>
      </s:bottom>
      <s:diagonal/>
    </s:border>
    <s:border>
      <s:left style="medium">
        <s:color auto="1"/>
      </s:left>
      <s:right style="thin">
        <s:color auto="1"/>
      </s:right>
      <s:top style="medium">
        <s:color auto="1"/>
      </s:top>
      <s:bottom style="thin">
        <s:color auto="1"/>
      </s:bottom>
      <s:diagonal/>
    </s:border>
    <s:border>
      <s:left style="thin">
        <s:color auto="1"/>
      </s:left>
      <s:right style="thin">
        <s:color auto="1"/>
      </s:right>
      <s:top style="medium">
        <s:color auto="1"/>
      </s:top>
      <s:bottom style="thin">
        <s:color auto="1"/>
      </s:bottom>
      <s:diagonal/>
    </s:border>
    <s:border>
      <s:left style="medium">
        <s:color indexed="64"/>
      </s:left>
      <s:right/>
      <s:top/>
      <s:bottom/>
      <s:diagonal/>
    </s:border>
    <s:border>
      <s:left style="medium">
        <s:color auto="1"/>
      </s:left>
      <s:right style="thin">
        <s:color rgb="FFCCC085"/>
      </s:right>
      <s:top style="thin">
        <s:color auto="1"/>
      </s:top>
      <s:bottom style="thin">
        <s:color indexed="64"/>
      </s:bottom>
      <s:diagonal/>
    </s:border>
    <s:border>
      <s:left style="thin">
        <s:color rgb="FFCCC085"/>
      </s:left>
      <s:right style="medium">
        <s:color auto="1"/>
      </s:right>
      <s:top style="thin">
        <s:color auto="1"/>
      </s:top>
      <s:bottom style="thin">
        <s:color indexed="64"/>
      </s:bottom>
      <s:diagonal/>
    </s:border>
    <s:border>
      <s:left style="thin">
        <s:color theme="1"/>
      </s:left>
      <s:right style="thin">
        <s:color theme="1"/>
      </s:right>
      <s:top style="thin">
        <s:color auto="1"/>
      </s:top>
      <s:bottom style="thin">
        <s:color indexed="64"/>
      </s:bottom>
      <s:diagonal/>
    </s:border>
    <s:border>
      <s:left style="medium">
        <s:color indexed="64"/>
      </s:left>
      <s:right/>
      <s:top style="medium">
        <s:color indexed="64"/>
      </s:top>
      <s:bottom style="medium">
        <s:color indexed="64"/>
      </s:bottom>
      <s:diagonal/>
    </s:border>
    <s:border>
      <s:left/>
      <s:right/>
      <s:top style="medium">
        <s:color indexed="64"/>
      </s:top>
      <s:bottom style="medium">
        <s:color indexed="64"/>
      </s:bottom>
      <s:diagonal/>
    </s:border>
    <s:border>
      <s:left/>
      <s:right style="medium">
        <s:color indexed="64"/>
      </s:right>
      <s:top style="medium">
        <s:color indexed="64"/>
      </s:top>
      <s:bottom style="medium">
        <s:color indexed="64"/>
      </s:bottom>
      <s:diagonal/>
    </s:border>
    <s:border>
      <s:left/>
      <s:right style="medium">
        <s:color auto="1"/>
      </s:right>
      <s:top style="medium">
        <s:color auto="1"/>
      </s:top>
      <s:bottom style="thin">
        <s:color auto="1"/>
      </s:bottom>
      <s:diagonal/>
    </s:border>
    <s:border>
      <s:left style="medium">
        <s:color auto="1"/>
      </s:left>
      <s:right/>
      <s:top style="thin">
        <s:color auto="1"/>
      </s:top>
      <s:bottom style="thin">
        <s:color auto="1"/>
      </s:bottom>
      <s:diagonal/>
    </s:border>
    <s:border>
      <s:left style="medium">
        <s:color auto="1"/>
      </s:left>
      <s:right/>
      <s:top style="thin">
        <s:color auto="1"/>
      </s:top>
      <s:bottom style="medium">
        <s:color auto="1"/>
      </s:bottom>
      <s:diagonal/>
    </s:border>
    <s:border>
      <s:left/>
      <s:right/>
      <s:top style="thin">
        <s:color auto="1"/>
      </s:top>
      <s:bottom style="medium">
        <s:color auto="1"/>
      </s:bottom>
      <s:diagonal/>
    </s:border>
    <s:border>
      <s:left/>
      <s:right style="medium">
        <s:color auto="1"/>
      </s:right>
      <s:top style="thin">
        <s:color auto="1"/>
      </s:top>
      <s:bottom style="medium">
        <s:color auto="1"/>
      </s:bottom>
      <s:diagonal/>
    </s:border>
    <s:border>
      <s:left style="thin">
        <s:color theme="1"/>
      </s:left>
      <s:right style="medium">
        <s:color indexed="64"/>
      </s:right>
      <s:top style="thin">
        <s:color theme="1"/>
      </s:top>
      <s:bottom style="thin">
        <s:color theme="1"/>
      </s:bottom>
      <s:diagonal/>
    </s:border>
    <s:border>
      <s:left style="thin">
        <s:color auto="1"/>
      </s:left>
      <s:right style="medium">
        <s:color indexed="64"/>
      </s:right>
      <s:top style="thin">
        <s:color auto="1"/>
      </s:top>
      <s:bottom/>
      <s:diagonal/>
    </s:border>
    <s:border>
      <s:left style="medium">
        <s:color indexed="64"/>
      </s:left>
      <s:right style="thin">
        <s:color auto="1"/>
      </s:right>
      <s:top style="thin">
        <s:color auto="1"/>
      </s:top>
      <s:bottom style="medium">
        <s:color indexed="64"/>
      </s:bottom>
      <s:diagonal/>
    </s:border>
    <s:border>
      <s:left style="thin">
        <s:color auto="1"/>
      </s:left>
      <s:right style="thin">
        <s:color auto="1"/>
      </s:right>
      <s:top style="thin">
        <s:color auto="1"/>
      </s:top>
      <s:bottom style="medium">
        <s:color indexed="64"/>
      </s:bottom>
      <s:diagonal/>
    </s:border>
    <s:border>
      <s:left style="thin">
        <s:color auto="1"/>
      </s:left>
      <s:right style="medium">
        <s:color indexed="64"/>
      </s:right>
      <s:top style="thin">
        <s:color auto="1"/>
      </s:top>
      <s:bottom style="medium">
        <s:color indexed="64"/>
      </s:bottom>
      <s:diagonal/>
    </s:border>
    <s:border>
      <s:left/>
      <s:right style="medium">
        <s:color auto="1"/>
      </s:right>
      <s:top/>
      <s:bottom style="thin">
        <s:color indexed="64"/>
      </s:bottom>
      <s:diagonal/>
    </s:border>
    <s:border>
      <s:left style="thin">
        <s:color auto="1"/>
      </s:left>
      <s:right/>
      <s:top/>
      <s:bottom style="thin">
        <s:color auto="1"/>
      </s:bottom>
      <s:diagonal/>
    </s:border>
    <s:border>
      <s:left style="thin">
        <s:color auto="1"/>
      </s:left>
      <s:right style="thin">
        <s:color auto="1"/>
      </s:right>
      <s:top/>
      <s:bottom style="thin">
        <s:color auto="1"/>
      </s:bottom>
      <s:diagonal/>
    </s:border>
    <s:border>
      <s:left style="medium">
        <s:color indexed="64"/>
      </s:left>
      <s:right style="thin">
        <s:color auto="1"/>
      </s:right>
      <s:top style="medium">
        <s:color indexed="64"/>
      </s:top>
      <s:bottom style="thin">
        <s:color auto="1"/>
      </s:bottom>
      <s:diagonal/>
    </s:border>
    <s:border>
      <s:left style="thin">
        <s:color auto="1"/>
      </s:left>
      <s:right style="thin">
        <s:color auto="1"/>
      </s:right>
      <s:top style="medium">
        <s:color indexed="64"/>
      </s:top>
      <s:bottom style="thin">
        <s:color auto="1"/>
      </s:bottom>
      <s:diagonal/>
    </s:border>
    <s:border>
      <s:left style="thin">
        <s:color auto="1"/>
      </s:left>
      <s:right style="medium">
        <s:color indexed="64"/>
      </s:right>
      <s:top style="medium">
        <s:color indexed="64"/>
      </s:top>
      <s:bottom style="thin">
        <s:color auto="1"/>
      </s:bottom>
      <s:diagonal/>
    </s:border>
    <s:border>
      <s:left style="medium">
        <s:color indexed="64"/>
      </s:left>
      <s:right style="thin">
        <s:color auto="1"/>
      </s:right>
      <s:top/>
      <s:bottom style="thin">
        <s:color auto="1"/>
      </s:bottom>
      <s:diagonal/>
    </s:border>
    <s:border>
      <s:left style="medium">
        <s:color indexed="64"/>
      </s:left>
      <s:right style="thin">
        <s:color auto="1"/>
      </s:right>
      <s:top/>
      <s:bottom/>
      <s:diagonal/>
    </s:border>
    <s:border>
      <s:left style="medium">
        <s:color indexed="64"/>
      </s:left>
      <s:right style="thin">
        <s:color theme="1"/>
      </s:right>
      <s:top style="thin">
        <s:color theme="1"/>
      </s:top>
      <s:bottom style="thin">
        <s:color theme="1"/>
      </s:bottom>
      <s:diagonal/>
    </s:border>
    <s:border>
      <s:left style="thin">
        <s:color auto="1"/>
      </s:left>
      <s:right style="medium">
        <s:color indexed="64"/>
      </s:right>
      <s:top/>
      <s:bottom style="thin">
        <s:color auto="1"/>
      </s:bottom>
      <s:diagonal/>
    </s:border>
    <s:border>
      <s:left style="medium">
        <s:color indexed="64"/>
      </s:left>
      <s:right style="thin">
        <s:color auto="1"/>
      </s:right>
      <s:top style="medium">
        <s:color indexed="64"/>
      </s:top>
      <s:bottom style="medium">
        <s:color indexed="64"/>
      </s:bottom>
      <s:diagonal/>
    </s:border>
    <s:border>
      <s:left style="thin">
        <s:color auto="1"/>
      </s:left>
      <s:right style="thin">
        <s:color auto="1"/>
      </s:right>
      <s:top style="medium">
        <s:color indexed="64"/>
      </s:top>
      <s:bottom style="medium">
        <s:color indexed="64"/>
      </s:bottom>
      <s:diagonal/>
    </s:border>
    <s:border>
      <s:left style="thin">
        <s:color auto="1"/>
      </s:left>
      <s:right style="medium">
        <s:color indexed="64"/>
      </s:right>
      <s:top style="medium">
        <s:color indexed="64"/>
      </s:top>
      <s:bottom style="medium">
        <s:color indexed="64"/>
      </s:bottom>
      <s:diagonal/>
    </s:border>
    <s:border>
      <s:left style="medium">
        <s:color indexed="64"/>
      </s:left>
      <s:right style="medium">
        <s:color indexed="64"/>
      </s:right>
      <s:top style="medium">
        <s:color indexed="64"/>
      </s:top>
      <s:bottom style="thin">
        <s:color auto="1"/>
      </s:bottom>
      <s:diagonal/>
    </s:border>
    <s:border>
      <s:left style="medium">
        <s:color indexed="64"/>
      </s:left>
      <s:right style="medium">
        <s:color indexed="64"/>
      </s:right>
      <s:top style="thin">
        <s:color auto="1"/>
      </s:top>
      <s:bottom style="thin">
        <s:color auto="1"/>
      </s:bottom>
      <s:diagonal/>
    </s:border>
    <s:border>
      <s:left style="medium">
        <s:color indexed="64"/>
      </s:left>
      <s:right style="medium">
        <s:color indexed="64"/>
      </s:right>
      <s:top style="thin">
        <s:color auto="1"/>
      </s:top>
      <s:bottom style="medium">
        <s:color indexed="64"/>
      </s:bottom>
      <s:diagonal/>
    </s:border>
    <s:border>
      <s:left style="medium">
        <s:color indexed="64"/>
      </s:left>
      <s:right/>
      <s:top style="medium">
        <s:color indexed="64"/>
      </s:top>
      <s:bottom style="medium">
        <s:color indexed="64"/>
      </s:bottom>
      <s:diagonal/>
    </s:border>
    <s:border>
      <s:left/>
      <s:right/>
      <s:top style="medium">
        <s:color indexed="64"/>
      </s:top>
      <s:bottom style="medium">
        <s:color indexed="64"/>
      </s:bottom>
      <s:diagonal/>
    </s:border>
    <s:border>
      <s:left/>
      <s:right style="medium">
        <s:color indexed="64"/>
      </s:right>
      <s:top style="medium">
        <s:color indexed="64"/>
      </s:top>
      <s:bottom style="medium">
        <s:color indexed="64"/>
      </s:bottom>
      <s:diagonal/>
    </s:border>
    <s:border>
      <s:left style="medium">
        <s:color auto="1"/>
      </s:left>
      <s:right/>
      <s:top style="medium">
        <s:color auto="1"/>
      </s:top>
      <s:bottom style="thin">
        <s:color auto="1"/>
      </s:bottom>
      <s:diagonal/>
    </s:border>
    <s:border>
      <s:left style="thin">
        <s:color auto="1"/>
      </s:left>
      <s:right/>
      <s:top style="medium">
        <s:color indexed="64"/>
      </s:top>
      <s:bottom style="medium">
        <s:color indexed="64"/>
      </s:bottom>
      <s:diagonal/>
    </s:border>
    <s:border>
      <s:left style="thin">
        <s:color theme="1"/>
      </s:left>
      <s:right style="thin">
        <s:color theme="1"/>
      </s:right>
      <s:top/>
      <s:bottom style="thin">
        <s:color auto="1"/>
      </s:bottom>
      <s:diagonal/>
    </s:border>
    <s:border>
      <s:left/>
      <s:right style="hair">
        <s:color auto="1"/>
      </s:right>
      <s:top style="medium">
        <s:color indexed="64"/>
      </s:top>
      <s:bottom style="medium">
        <s:color indexed="64"/>
      </s:bottom>
      <s:diagonal/>
    </s:border>
    <s:border>
      <s:left style="hair">
        <s:color auto="1"/>
      </s:left>
      <s:right style="medium">
        <s:color indexed="64"/>
      </s:right>
      <s:top style="medium">
        <s:color indexed="64"/>
      </s:top>
      <s:bottom style="medium">
        <s:color indexed="64"/>
      </s:bottom>
      <s:diagonal/>
    </s:border>
    <s:border>
      <s:left/>
      <s:right/>
      <s:top/>
      <s:bottom style="medium">
        <s:color indexed="64"/>
      </s:bottom>
      <s:diagonal/>
    </s:border>
    <s:border>
      <s:left style="medium">
        <s:color indexed="64"/>
      </s:left>
      <s:right style="thin">
        <s:color theme="1"/>
      </s:right>
      <s:top style="thin">
        <s:color auto="1"/>
      </s:top>
      <s:bottom style="thin">
        <s:color auto="1"/>
      </s:bottom>
      <s:diagonal/>
    </s:border>
    <s:border>
      <s:left style="medium">
        <s:color indexed="64"/>
      </s:left>
      <s:right style="medium">
        <s:color indexed="64"/>
      </s:right>
      <s:top style="medium">
        <s:color indexed="64"/>
      </s:top>
      <s:bottom style="medium">
        <s:color indexed="64"/>
      </s:bottom>
      <s:diagonal/>
    </s:border>
    <s:border>
      <s:left/>
      <s:right style="thin">
        <s:color auto="1"/>
      </s:right>
      <s:top style="medium">
        <s:color indexed="64"/>
      </s:top>
      <s:bottom style="medium">
        <s:color indexed="64"/>
      </s:bottom>
      <s:diagonal/>
    </s:border>
    <s:border>
      <s:left style="medium">
        <s:color indexed="64"/>
      </s:left>
      <s:right style="medium">
        <s:color indexed="64"/>
      </s:right>
      <s:top style="medium">
        <s:color indexed="64"/>
      </s:top>
      <s:bottom/>
      <s:diagonal/>
    </s:border>
    <s:border>
      <s:left style="medium">
        <s:color indexed="64"/>
      </s:left>
      <s:right style="medium">
        <s:color indexed="64"/>
      </s:right>
      <s:top/>
      <s:bottom style="thin">
        <s:color auto="1"/>
      </s:bottom>
      <s:diagonal/>
    </s:border>
    <s:border>
      <s:left style="medium">
        <s:color indexed="64"/>
      </s:left>
      <s:right style="medium">
        <s:color indexed="64"/>
      </s:right>
      <s:top/>
      <s:bottom/>
      <s:diagonal/>
    </s:border>
    <s:border>
      <s:left style="medium">
        <s:color indexed="64"/>
      </s:left>
      <s:right style="thin">
        <s:color auto="1"/>
      </s:right>
      <s:top style="medium">
        <s:color indexed="64"/>
      </s:top>
      <s:bottom style="thin">
        <s:color auto="1"/>
      </s:bottom>
      <s:diagonal/>
    </s:border>
    <s:border>
      <s:left style="thin">
        <s:color auto="1"/>
      </s:left>
      <s:right style="medium">
        <s:color indexed="64"/>
      </s:right>
      <s:top style="medium">
        <s:color indexed="64"/>
      </s:top>
      <s:bottom style="thin">
        <s:color auto="1"/>
      </s:bottom>
      <s:diagonal/>
    </s:border>
    <s:border>
      <s:left style="thin">
        <s:color auto="1"/>
      </s:left>
      <s:right style="medium">
        <s:color indexed="64"/>
      </s:right>
      <s:top style="thin">
        <s:color auto="1"/>
      </s:top>
      <s:bottom style="thin">
        <s:color auto="1"/>
      </s:bottom>
      <s:diagonal/>
    </s:border>
    <s:border>
      <s:left style="medium">
        <s:color indexed="64"/>
      </s:left>
      <s:right style="thin">
        <s:color auto="1"/>
      </s:right>
      <s:top style="medium">
        <s:color indexed="64"/>
      </s:top>
      <s:bottom style="medium">
        <s:color indexed="64"/>
      </s:bottom>
      <s:diagonal/>
    </s:border>
    <s:border>
      <s:left style="thin">
        <s:color auto="1"/>
      </s:left>
      <s:right style="medium">
        <s:color indexed="64"/>
      </s:right>
      <s:top style="medium">
        <s:color indexed="64"/>
      </s:top>
      <s:bottom style="medium">
        <s:color indexed="64"/>
      </s:bottom>
      <s:diagonal/>
    </s:border>
    <s:border>
      <s:left style="medium">
        <s:color indexed="64"/>
      </s:left>
      <s:right/>
      <s:top style="medium">
        <s:color indexed="64"/>
      </s:top>
      <s:bottom style="medium">
        <s:color indexed="64"/>
      </s:bottom>
      <s:diagonal/>
    </s:border>
    <s:border>
      <s:left/>
      <s:right/>
      <s:top style="medium">
        <s:color indexed="64"/>
      </s:top>
      <s:bottom style="medium">
        <s:color indexed="64"/>
      </s:bottom>
      <s:diagonal/>
    </s:border>
    <s:border>
      <s:left/>
      <s:right style="medium">
        <s:color indexed="64"/>
      </s:right>
      <s:top style="medium">
        <s:color indexed="64"/>
      </s:top>
      <s:bottom/>
      <s:diagonal/>
    </s:border>
    <s:border>
      <s:left style="medium">
        <s:color indexed="64"/>
      </s:left>
      <s:right/>
      <s:top style="medium">
        <s:color indexed="64"/>
      </s:top>
      <s:bottom style="thin">
        <s:color auto="1"/>
      </s:bottom>
      <s:diagonal/>
    </s:border>
    <s:border>
      <s:left/>
      <s:right style="medium">
        <s:color indexed="64"/>
      </s:right>
      <s:top style="medium">
        <s:color indexed="64"/>
      </s:top>
      <s:bottom style="medium">
        <s:color indexed="64"/>
      </s:bottom>
      <s:diagonal/>
    </s:border>
    <s:border>
      <s:left style="thin">
        <s:color auto="1"/>
      </s:left>
      <s:right style="thin">
        <s:color auto="1"/>
      </s:right>
      <s:top style="medium">
        <s:color indexed="64"/>
      </s:top>
      <s:bottom style="thin">
        <s:color auto="1"/>
      </s:bottom>
      <s:diagonal/>
    </s:border>
    <s:border>
      <s:left style="thin">
        <s:color auto="1"/>
      </s:left>
      <s:right style="thin">
        <s:color auto="1"/>
      </s:right>
      <s:top style="medium">
        <s:color indexed="64"/>
      </s:top>
      <s:bottom style="medium">
        <s:color indexed="64"/>
      </s:bottom>
      <s:diagonal/>
    </s:border>
    <s:border>
      <s:left/>
      <s:right style="thin">
        <s:color auto="1"/>
      </s:right>
      <s:top style="thin">
        <s:color auto="1"/>
      </s:top>
      <s:bottom style="medium">
        <s:color auto="1"/>
      </s:bottom>
      <s:diagonal/>
    </s:border>
    <s:border>
      <s:left style="medium">
        <s:color auto="1"/>
      </s:left>
      <s:right/>
      <s:top style="medium">
        <s:color auto="1"/>
      </s:top>
      <s:bottom/>
      <s:diagonal/>
    </s:border>
    <s:border>
      <s:left/>
      <s:right/>
      <s:top style="medium">
        <s:color auto="1"/>
      </s:top>
      <s:bottom style="thin">
        <s:color auto="1"/>
      </s:bottom>
      <s:diagonal/>
    </s:border>
    <s:border>
      <s:left style="medium">
        <s:color auto="1"/>
      </s:left>
      <s:right/>
      <s:top/>
      <s:bottom style="thin">
        <s:color auto="1"/>
      </s:bottom>
      <s:diagonal/>
    </s:border>
    <s:border>
      <s:left style="thin">
        <s:color auto="1"/>
      </s:left>
      <s:right/>
      <s:top style="thin">
        <s:color auto="1"/>
      </s:top>
      <s:bottom style="medium">
        <s:color auto="1"/>
      </s:bottom>
      <s:diagonal/>
    </s:border>
    <s:border>
      <s:left style="thin">
        <s:color auto="1"/>
      </s:left>
      <s:right/>
      <s:top style="medium">
        <s:color auto="1"/>
      </s:top>
      <s:bottom style="thin">
        <s:color auto="1"/>
      </s:bottom>
      <s:diagonal/>
    </s:border>
    <s:border>
      <s:left/>
      <s:right style="thin">
        <s:color auto="1"/>
      </s:right>
      <s:top style="medium">
        <s:color auto="1"/>
      </s:top>
      <s:bottom style="thin">
        <s:color auto="1"/>
      </s:bottom>
      <s:diagonal/>
    </s:border>
    <s:border>
      <s:left/>
      <s:right style="thin">
        <s:color auto="1"/>
      </s:right>
      <s:top/>
      <s:bottom style="medium">
        <s:color auto="1"/>
      </s:bottom>
      <s:diagonal/>
    </s:border>
    <s:border>
      <s:left/>
      <s:right style="medium">
        <s:color indexed="64"/>
      </s:right>
      <s:top style="medium">
        <s:color indexed="64"/>
      </s:top>
      <s:bottom style="thin">
        <s:color auto="1"/>
      </s:bottom>
      <s:diagonal/>
    </s:border>
    <s:border>
      <s:left style="thin">
        <s:color auto="1"/>
      </s:left>
      <s:right/>
      <s:top style="medium">
        <s:color indexed="64"/>
      </s:top>
      <s:bottom style="medium">
        <s:color indexed="64"/>
      </s:bottom>
      <s:diagonal/>
    </s:border>
    <s:border>
      <s:left style="medium">
        <s:color indexed="64"/>
      </s:left>
      <s:right/>
      <s:top/>
      <s:bottom style="medium">
        <s:color indexed="64"/>
      </s:bottom>
      <s:diagonal/>
    </s:border>
    <s:border>
      <s:left/>
      <s:right style="medium">
        <s:color indexed="64"/>
      </s:right>
      <s:top/>
      <s:bottom style="medium">
        <s:color indexed="64"/>
      </s:bottom>
      <s:diagonal/>
    </s:border>
    <s:border>
      <s:left style="hair">
        <s:color auto="1"/>
      </s:left>
      <s:right/>
      <s:top style="hair">
        <s:color auto="1"/>
      </s:top>
      <s:bottom style="hair">
        <s:color auto="1"/>
      </s:bottom>
      <s:diagonal/>
    </s:border>
  </s:borders>
  <s:cellStyleXfs count="4">
    <s:xf numFmtId="0" fontId="0" fillId="0" borderId="0"/>
    <s:xf numFmtId="9" fontId="43" fillId="0" borderId="0" applyBorder="0" applyProtection="0"/>
    <s:xf numFmtId="164" fontId="43" fillId="0" borderId="0" applyBorder="0" applyProtection="0"/>
    <s:xf numFmtId="0" fontId="1" fillId="0" borderId="0"/>
  </s:cellStyleXfs>
  <s:cellXfs count="907">
    <s:xf numFmtId="0" fontId="0" fillId="0" borderId="0" xfId="0"/>
    <s:xf numFmtId="0" fontId="3" fillId="0" borderId="0" xfId="0" applyFont="1"/>
    <s:xf numFmtId="0" fontId="4" fillId="0" borderId="0" xfId="0" applyFont="1"/>
    <s:xf numFmtId="165" fontId="5" fillId="2" borderId="0" xfId="0" applyNumberFormat="1" applyFont="1" applyFill="1" applyAlignment="1">
      <s:alignment horizontal="center" vertical="center" mc:Ignorable="vyd"/>
    </s:xf>
    <s:xf numFmtId="0" fontId="6" fillId="2" borderId="0" xfId="0" applyFont="1" applyFill="1"/>
    <s:xf numFmtId="0" fontId="3" fillId="2" borderId="0" xfId="0" applyFont="1" applyFill="1"/>
    <s:xf numFmtId="0" fontId="7" fillId="2" borderId="0" xfId="0" applyFont="1" applyFill="1"/>
    <s:xf numFmtId="0" fontId="8" fillId="2" borderId="0" xfId="0" applyFont="1" applyFill="1" applyAlignment="1">
      <s:alignment horizontal="center" mc:Ignorable="vyd"/>
    </s:xf>
    <s:xf numFmtId="0" fontId="9" fillId="2" borderId="0" xfId="0" applyFont="1" applyFill="1" applyAlignment="1">
      <s:alignment horizontal="center" vertical="top" mc:Ignorable="vyd"/>
    </s:xf>
    <s:xf numFmtId="0" fontId="10" fillId="2" borderId="0" xfId="0" applyFont="1" applyFill="1" applyAlignment="1">
      <s:alignment vertical="top" mc:Ignorable="vyd"/>
    </s:xf>
    <s:xf numFmtId="0" fontId="10" fillId="2" borderId="0" xfId="0" applyFont="1" applyFill="1"/>
    <s:xf numFmtId="165" fontId="12" fillId="2" borderId="0" xfId="0" applyNumberFormat="1" applyFont="1" applyFill="1" applyAlignment="1">
      <s:alignment horizontal="center" vertical="center" mc:Ignorable="vyd"/>
    </s:xf>
    <s:xf numFmtId="9" fontId="6" fillId="2" borderId="2" xfId="1" applyFont="1" applyFill="1" applyBorder="1" applyProtection="1"/>
    <s:xf numFmtId="0" fontId="7" fillId="2" borderId="0" xfId="0" applyFont="1" applyFill="1" applyAlignment="1">
      <s:alignment horizontal="center" vertical="top" mc:Ignorable="vyd"/>
    </s:xf>
    <s:xf numFmtId="0" fontId="7" fillId="2" borderId="0" xfId="0" applyFont="1" applyFill="1" applyAlignment="1">
      <s:alignment vertical="top" mc:Ignorable="vyd"/>
    </s:xf>
    <s:xf numFmtId="0" fontId="13" fillId="2" borderId="0" xfId="0" applyFont="1" applyFill="1"/>
    <s:xf numFmtId="0" fontId="3" fillId="2" borderId="0" xfId="0" applyFont="1" applyFill="1" applyAlignment="1">
      <s:alignment horizontal="center" mc:Ignorable="vyd"/>
    </s:xf>
    <s:xf numFmtId="166" fontId="7" fillId="2" borderId="0" xfId="1" applyNumberFormat="1" applyFont="1" applyFill="1" applyAlignment="1" applyProtection="1">
      <s:alignment vertical="center" mc:Ignorable="vyd"/>
    </s:xf>
    <s:xf numFmtId="166" fontId="3" fillId="2" borderId="0" xfId="0" applyNumberFormat="1" applyFont="1" applyFill="1"/>
    <s:xf numFmtId="0" fontId="15" fillId="2" borderId="9" xfId="0" applyFont="1" applyFill="1" applyBorder="1" applyAlignment="1">
      <s:alignment horizontal="center" vertical="center" wrapText="1" mc:Ignorable="vyd"/>
    </s:xf>
    <s:xf numFmtId="0" fontId="12" fillId="2" borderId="10" xfId="0" applyFont="1" applyFill="1" applyBorder="1" applyAlignment="1">
      <s:alignment horizontal="center" vertical="center" wrapText="1" mc:Ignorable="vyd"/>
    </s:xf>
    <s:xf numFmtId="0" fontId="12" fillId="2" borderId="7" xfId="0" applyFont="1" applyFill="1" applyBorder="1" applyAlignment="1">
      <s:alignment horizontal="center" vertical="center" wrapText="1" mc:Ignorable="vyd"/>
    </s:xf>
    <s:xf numFmtId="10" fontId="15" fillId="0" borderId="12" xfId="1" applyNumberFormat="1" applyFont="1" applyBorder="1" applyAlignment="1" applyProtection="1">
      <s:alignment horizontal="center" vertical="center" mc:Ignorable="vyd"/>
    </s:xf>
    <s:xf numFmtId="3" fontId="7" fillId="0" borderId="12" xfId="0" applyNumberFormat="1" applyFont="1" applyBorder="1" applyAlignment="1">
      <s:alignment horizontal="center" vertical="center" mc:Ignorable="vyd"/>
    </s:xf>
    <s:xf numFmtId="3" fontId="7" fillId="3" borderId="13" xfId="0" applyNumberFormat="1" applyFont="1" applyFill="1" applyBorder="1" applyAlignment="1" applyProtection="1">
      <s:alignment horizontal="center" vertical="center" mc:Ignorable="vyd"/>
      <s:protection locked="0"/>
    </s:xf>
    <s:xf numFmtId="3" fontId="7" fillId="0" borderId="14" xfId="0" applyNumberFormat="1" applyFont="1" applyBorder="1" applyAlignment="1">
      <s:alignment horizontal="center" vertical="center" mc:Ignorable="vyd"/>
    </s:xf>
    <s:xf numFmtId="166" fontId="7" fillId="0" borderId="15" xfId="1" applyNumberFormat="1" applyFont="1" applyBorder="1" applyAlignment="1" applyProtection="1">
      <s:alignment horizontal="center" vertical="center" mc:Ignorable="vyd"/>
    </s:xf>
    <s:xf numFmtId="0" fontId="7" fillId="0" borderId="16" xfId="0" applyFont="1" applyBorder="1" applyAlignment="1">
      <s:alignment horizontal="left" vertical="center" mc:Ignorable="vyd"/>
    </s:xf>
    <s:xf numFmtId="3" fontId="19" fillId="4" borderId="17" xfId="0" applyNumberFormat="1" applyFont="1" applyFill="1" applyBorder="1" applyAlignment="1">
      <s:alignment horizontal="center" vertical="center" mc:Ignorable="vyd"/>
    </s:xf>
    <s:xf numFmtId="10" fontId="7" fillId="4" borderId="18" xfId="1" applyNumberFormat="1" applyFont="1" applyFill="1" applyBorder="1" applyAlignment="1" applyProtection="1">
      <s:alignment horizontal="center" vertical="center" mc:Ignorable="vyd"/>
    </s:xf>
    <s:xf numFmtId="10" fontId="20" fillId="0" borderId="19" xfId="1" applyNumberFormat="1" applyFont="1" applyBorder="1" applyAlignment="1" applyProtection="1">
      <s:alignment horizontal="center" vertical="center" mc:Ignorable="vyd"/>
    </s:xf>
    <s:xf numFmtId="3" fontId="7" fillId="0" borderId="19" xfId="0" applyNumberFormat="1" applyFont="1" applyBorder="1" applyAlignment="1">
      <s:alignment horizontal="center" vertical="center" mc:Ignorable="vyd"/>
    </s:xf>
    <s:xf numFmtId="3" fontId="7" fillId="4" borderId="16" xfId="0" applyNumberFormat="1" applyFont="1" applyFill="1" applyBorder="1" applyAlignment="1" applyProtection="1">
      <s:alignment horizontal="center" vertical="center" mc:Ignorable="vyd"/>
      <s:protection locked="0"/>
    </s:xf>
    <s:xf numFmtId="3" fontId="7" fillId="0" borderId="17" xfId="0" applyNumberFormat="1" applyFont="1" applyBorder="1" applyAlignment="1">
      <s:alignment horizontal="center" vertical="center" mc:Ignorable="vyd"/>
    </s:xf>
    <s:xf numFmtId="166" fontId="7" fillId="0" borderId="20" xfId="1" applyNumberFormat="1" applyFont="1" applyBorder="1" applyAlignment="1" applyProtection="1">
      <s:alignment horizontal="center" vertical="center" mc:Ignorable="vyd"/>
    </s:xf>
    <s:xf numFmtId="0" fontId="16" fillId="0" borderId="16" xfId="0" applyFont="1" applyBorder="1" applyAlignment="1">
      <s:alignment horizontal="left" vertical="center" mc:Ignorable="vyd"/>
    </s:xf>
    <s:xf numFmtId="3" fontId="16" fillId="4" borderId="17" xfId="0" applyNumberFormat="1" applyFont="1" applyFill="1" applyBorder="1" applyAlignment="1">
      <s:alignment horizontal="center" vertical="center" mc:Ignorable="vyd"/>
    </s:xf>
    <s:xf numFmtId="10" fontId="18" fillId="0" borderId="19" xfId="1" applyNumberFormat="1" applyFont="1" applyBorder="1" applyAlignment="1" applyProtection="1">
      <s:alignment horizontal="center" vertical="center" mc:Ignorable="vyd"/>
    </s:xf>
    <s:xf numFmtId="3" fontId="16" fillId="0" borderId="19" xfId="0" applyNumberFormat="1" applyFont="1" applyBorder="1" applyAlignment="1">
      <s:alignment horizontal="center" vertical="center" mc:Ignorable="vyd"/>
    </s:xf>
    <s:xf numFmtId="3" fontId="16" fillId="4" borderId="16" xfId="0" applyNumberFormat="1" applyFont="1" applyFill="1" applyBorder="1" applyAlignment="1">
      <s:alignment horizontal="center" vertical="center" mc:Ignorable="vyd"/>
    </s:xf>
    <s:xf numFmtId="3" fontId="16" fillId="0" borderId="17" xfId="0" applyNumberFormat="1" applyFont="1" applyBorder="1" applyAlignment="1">
      <s:alignment horizontal="center" vertical="center" mc:Ignorable="vyd"/>
    </s:xf>
    <s:xf numFmtId="166" fontId="16" fillId="0" borderId="20" xfId="1" applyNumberFormat="1" applyFont="1" applyBorder="1" applyAlignment="1" applyProtection="1">
      <s:alignment horizontal="center" vertical="center" mc:Ignorable="vyd"/>
    </s:xf>
    <s:xf numFmtId="3" fontId="19" fillId="3" borderId="17" xfId="0" applyNumberFormat="1" applyFont="1" applyFill="1" applyBorder="1" applyAlignment="1">
      <s:alignment horizontal="center" vertical="center" mc:Ignorable="vyd"/>
    </s:xf>
    <s:xf numFmtId="3" fontId="7" fillId="3" borderId="16" xfId="0" applyNumberFormat="1" applyFont="1" applyFill="1" applyBorder="1" applyAlignment="1">
      <s:alignment horizontal="center" vertical="center" mc:Ignorable="vyd"/>
    </s:xf>
    <s:xf numFmtId="4" fontId="19" fillId="3" borderId="17" xfId="0" applyNumberFormat="1" applyFont="1" applyFill="1" applyBorder="1" applyAlignment="1">
      <s:alignment horizontal="center" vertical="center" mc:Ignorable="vyd"/>
    </s:xf>
    <s:xf numFmtId="4" fontId="7" fillId="0" borderId="19" xfId="0" applyNumberFormat="1" applyFont="1" applyBorder="1" applyAlignment="1">
      <s:alignment horizontal="center" vertical="center" mc:Ignorable="vyd"/>
    </s:xf>
    <s:xf numFmtId="4" fontId="7" fillId="3" borderId="16" xfId="0" applyNumberFormat="1" applyFont="1" applyFill="1" applyBorder="1" applyAlignment="1" applyProtection="1">
      <s:alignment horizontal="center" vertical="center" mc:Ignorable="vyd"/>
      <s:protection locked="0"/>
    </s:xf>
    <s:xf numFmtId="3" fontId="7" fillId="3" borderId="16" xfId="0" applyNumberFormat="1" applyFont="1" applyFill="1" applyBorder="1" applyAlignment="1" applyProtection="1">
      <s:alignment horizontal="center" vertical="center" mc:Ignorable="vyd"/>
      <s:protection locked="0"/>
    </s:xf>
    <s:xf numFmtId="10" fontId="7" fillId="2" borderId="0" xfId="1" applyNumberFormat="1" applyFont="1" applyFill="1" applyAlignment="1" applyProtection="1">
      <s:alignment horizontal="center" vertical="center" mc:Ignorable="vyd"/>
    </s:xf>
    <s:xf numFmtId="10" fontId="20" fillId="0" borderId="18" xfId="1" applyNumberFormat="1" applyFont="1" applyBorder="1" applyAlignment="1" applyProtection="1">
      <s:alignment horizontal="center" vertical="center" mc:Ignorable="vyd"/>
    </s:xf>
    <s:xf numFmtId="10" fontId="15" fillId="0" borderId="18" xfId="1" applyNumberFormat="1" applyFont="1" applyBorder="1" applyAlignment="1" applyProtection="1">
      <s:alignment horizontal="center" vertical="center" mc:Ignorable="vyd"/>
    </s:xf>
    <s:xf numFmtId="3" fontId="7" fillId="6" borderId="18" xfId="1" applyNumberFormat="1" applyFont="1" applyFill="1" applyBorder="1" applyAlignment="1" applyProtection="1">
      <s:alignment horizontal="center" vertical="center" mc:Ignorable="vyd"/>
    </s:xf>
    <s:xf numFmtId="3" fontId="7" fillId="4" borderId="21" xfId="0" applyNumberFormat="1" applyFont="1" applyFill="1" applyBorder="1" applyAlignment="1">
      <s:alignment horizontal="center" vertical="center" mc:Ignorable="vyd"/>
    </s:xf>
    <s:xf numFmtId="10" fontId="15" fillId="0" borderId="23" xfId="1" applyNumberFormat="1" applyFont="1" applyBorder="1" applyAlignment="1" applyProtection="1">
      <s:alignment horizontal="center" vertical="center" mc:Ignorable="vyd"/>
    </s:xf>
    <s:xf numFmtId="3" fontId="7" fillId="3" borderId="24" xfId="0" applyNumberFormat="1" applyFont="1" applyFill="1" applyBorder="1" applyAlignment="1" applyProtection="1">
      <s:alignment horizontal="center" vertical="center" mc:Ignorable="vyd"/>
      <s:protection locked="0"/>
    </s:xf>
    <s:xf numFmtId="10" fontId="21" fillId="0" borderId="27" xfId="1" applyNumberFormat="1" applyFont="1" applyBorder="1" applyAlignment="1" applyProtection="1">
      <s:alignment horizontal="center" vertical="center" mc:Ignorable="vyd"/>
    </s:xf>
    <s:xf numFmtId="166" fontId="19" fillId="0" borderId="27" xfId="1" applyNumberFormat="1" applyFont="1" applyBorder="1" applyAlignment="1" applyProtection="1">
      <s:alignment horizontal="center" vertical="center" mc:Ignorable="vyd"/>
    </s:xf>
    <s:xf numFmtId="166" fontId="19" fillId="3" borderId="25" xfId="1" applyNumberFormat="1" applyFont="1" applyFill="1" applyBorder="1" applyAlignment="1" applyProtection="1">
      <s:alignment horizontal="center" vertical="center" mc:Ignorable="vyd"/>
      <s:protection locked="0"/>
    </s:xf>
    <s:xf numFmtId="3" fontId="19" fillId="0" borderId="26" xfId="0" applyNumberFormat="1" applyFont="1" applyBorder="1" applyAlignment="1">
      <s:alignment horizontal="center" vertical="center" mc:Ignorable="vyd"/>
    </s:xf>
    <s:xf numFmtId="166" fontId="19" fillId="0" borderId="28" xfId="1" applyNumberFormat="1" applyFont="1" applyBorder="1" applyAlignment="1" applyProtection="1">
      <s:alignment horizontal="center" vertical="center" mc:Ignorable="vyd"/>
    </s:xf>
    <s:xf numFmtId="3" fontId="4" fillId="0" borderId="0" xfId="0" applyNumberFormat="1" applyFont="1"/>
    <s:xf numFmtId="0" fontId="7" fillId="7" borderId="18" xfId="0" applyFont="1" applyFill="1" applyBorder="1" applyAlignment="1">
      <s:alignment horizontal="center" vertical="top" wrapText="1" mc:Ignorable="vyd"/>
    </s:xf>
    <s:xf numFmtId="0" fontId="7" fillId="7" borderId="19" xfId="0" applyFont="1" applyFill="1" applyBorder="1" applyAlignment="1">
      <s:alignment horizontal="center" vertical="top" wrapText="1" mc:Ignorable="vyd"/>
    </s:xf>
    <s:xf numFmtId="0" fontId="7" fillId="7" borderId="31" xfId="0" applyFont="1" applyFill="1" applyBorder="1" applyAlignment="1">
      <s:alignment horizontal="center" vertical="top" wrapText="1" mc:Ignorable="vyd"/>
    </s:xf>
    <s:xf numFmtId="16" fontId="7" fillId="0" borderId="18" xfId="0" applyNumberFormat="1" applyFont="1" applyBorder="1" applyAlignment="1">
      <s:alignment horizontal="center" vertical="top" mc:Ignorable="vyd"/>
    </s:xf>
    <s:xf numFmtId="0" fontId="7" fillId="0" borderId="18" xfId="0" applyFont="1" applyBorder="1" applyAlignment="1">
      <s:alignment horizontal="center" vertical="top" mc:Ignorable="vyd"/>
    </s:xf>
    <s:xf numFmtId="3" fontId="7" fillId="0" borderId="14" xfId="0" applyNumberFormat="1" applyFont="1" applyBorder="1" applyAlignment="1">
      <s:alignment horizontal="center" vertical="top" mc:Ignorable="vyd"/>
    </s:xf>
    <s:xf numFmtId="3" fontId="7" fillId="0" borderId="18" xfId="0" applyNumberFormat="1" applyFont="1" applyBorder="1" applyAlignment="1">
      <s:alignment horizontal="center" vertical="top" mc:Ignorable="vyd"/>
    </s:xf>
    <s:xf numFmtId="4" fontId="7" fillId="0" borderId="18" xfId="0" applyNumberFormat="1" applyFont="1" applyBorder="1" applyAlignment="1">
      <s:alignment horizontal="center" vertical="top" mc:Ignorable="vyd"/>
    </s:xf>
    <s:xf numFmtId="3" fontId="7" fillId="0" borderId="17" xfId="0" applyNumberFormat="1" applyFont="1" applyBorder="1" applyAlignment="1">
      <s:alignment horizontal="center" vertical="top" mc:Ignorable="vyd"/>
    </s:xf>
    <s:xf numFmtId="3" fontId="24" fillId="0" borderId="18" xfId="0" applyNumberFormat="1" applyFont="1" applyBorder="1" applyAlignment="1">
      <s:alignment horizontal="center" mc:Ignorable="vyd"/>
    </s:xf>
    <s:xf numFmtId="3" fontId="7" fillId="0" borderId="18" xfId="0" applyNumberFormat="1" applyFont="1" applyBorder="1" applyAlignment="1">
      <s:alignment horizontal="center" mc:Ignorable="vyd"/>
    </s:xf>
    <s:xf numFmtId="166" fontId="4" fillId="0" borderId="0" xfId="0" applyNumberFormat="1" applyFont="1"/>
    <s:xf numFmtId="4" fontId="7" fillId="0" borderId="14" xfId="0" applyNumberFormat="1" applyFont="1" applyBorder="1" applyAlignment="1">
      <s:alignment horizontal="center" vertical="top" mc:Ignorable="vyd"/>
    </s:xf>
    <s:xf numFmtId="3" fontId="7" fillId="0" borderId="11" xfId="0" applyNumberFormat="1" applyFont="1" applyBorder="1" applyAlignment="1">
      <s:alignment horizontal="center" vertical="top" mc:Ignorable="vyd"/>
    </s:xf>
    <s:xf numFmtId="166" fontId="4" fillId="0" borderId="0" xfId="0" applyNumberFormat="1" applyFont="1" applyAlignment="1">
      <s:alignment vertical="center" mc:Ignorable="vyd"/>
    </s:xf>
    <s:xf numFmtId="2" fontId="7" fillId="0" borderId="18" xfId="0" applyNumberFormat="1" applyFont="1" applyBorder="1" applyAlignment="1">
      <s:alignment horizontal="right" mc:Ignorable="vyd"/>
    </s:xf>
    <s:xf numFmtId="164" fontId="4" fillId="0" borderId="0" xfId="0" applyNumberFormat="1" applyFont="1"/>
    <s:xf numFmtId="3" fontId="7" fillId="0" borderId="0" xfId="0" applyNumberFormat="1" applyFont="1" applyAlignment="1">
      <s:alignment horizontal="center" vertical="top" mc:Ignorable="vyd"/>
    </s:xf>
    <s:xf numFmtId="0" fontId="7" fillId="0" borderId="19" xfId="0" applyFont="1" applyBorder="1" applyAlignment="1">
      <s:alignment horizontal="center" vertical="top" mc:Ignorable="vyd"/>
    </s:xf>
    <s:xf numFmtId="0" fontId="7" fillId="0" borderId="0" xfId="0" applyFont="1" applyAlignment="1">
      <s:alignment horizontal="center" vertical="top" mc:Ignorable="vyd"/>
    </s:xf>
    <s:xf numFmtId="0" fontId="7" fillId="0" borderId="0" xfId="0" applyFont="1"/>
    <s:xf numFmtId="3" fontId="29" fillId="0" borderId="0" xfId="0" applyNumberFormat="1" applyFont="1"/>
    <s:xf numFmtId="166" fontId="7" fillId="0" borderId="0" xfId="1" applyNumberFormat="1" applyFont="1" applyProtection="1"/>
    <s:xf numFmtId="0" fontId="7" fillId="0" borderId="0" xfId="0" applyFont="1" applyAlignment="1">
      <s:alignment vertical="top" mc:Ignorable="vyd"/>
    </s:xf>
    <s:xf numFmtId="166" fontId="7" fillId="0" borderId="0" xfId="0" applyNumberFormat="1" applyFont="1" applyAlignment="1">
      <s:alignment vertical="top" mc:Ignorable="vyd"/>
    </s:xf>
    <s:xf numFmtId="3" fontId="7" fillId="0" borderId="0" xfId="0" applyNumberFormat="1" applyFont="1"/>
    <s:xf numFmtId="9" fontId="29" fillId="0" borderId="0" xfId="1" applyFont="1" applyProtection="1"/>
    <s:xf numFmtId="4" fontId="3" fillId="0" borderId="0" xfId="0" applyNumberFormat="1" applyFont="1"/>
    <s:xf numFmtId="3" fontId="3" fillId="0" borderId="0" xfId="0" applyNumberFormat="1" applyFont="1"/>
    <s:xf numFmtId="10" fontId="43" fillId="0" borderId="0" xfId="1" applyNumberFormat="1"/>
    <s:xf numFmtId="1" fontId="3" fillId="0" borderId="0" xfId="0" applyNumberFormat="1" applyFont="1"/>
    <s:xf numFmtId="0" fontId="3" fillId="0" borderId="0" xfId="0" applyFont="1" applyAlignment="1">
      <s:alignment wrapText="1" mc:Ignorable="vyd"/>
    </s:xf>
    <s:xf numFmtId="1" fontId="30" fillId="0" borderId="29" xfId="0" applyNumberFormat="1" applyFont="1" applyBorder="1" applyAlignment="1">
      <s:alignment horizontal="center" vertical="center" mc:Ignorable="vyd"/>
    </s:xf>
    <s:xf numFmtId="10" fontId="30" fillId="0" borderId="19" xfId="0" applyNumberFormat="1" applyFont="1" applyBorder="1" applyAlignment="1">
      <s:alignment horizontal="center" vertical="center" mc:Ignorable="vyd"/>
    </s:xf>
    <s:xf numFmtId="2" fontId="30" fillId="0" borderId="29" xfId="0" applyNumberFormat="1" applyFont="1" applyBorder="1" applyAlignment="1">
      <s:alignment horizontal="center" vertical="center" mc:Ignorable="vyd"/>
    </s:xf>
    <s:xf numFmtId="3" fontId="16" fillId="3" borderId="37" xfId="0" applyNumberFormat="1" applyFont="1" applyFill="1" applyBorder="1" applyAlignment="1">
      <s:alignment horizontal="center" vertical="center" mc:Ignorable="vyd"/>
    </s:xf>
    <s:xf numFmtId="10" fontId="19" fillId="4" borderId="17" xfId="0" applyNumberFormat="1" applyFont="1" applyFill="1" applyBorder="1" applyAlignment="1">
      <s:alignment horizontal="center" vertical="center" mc:Ignorable="vyd"/>
    </s:xf>
    <s:xf numFmtId="9" fontId="6" fillId="2" borderId="43" xfId="1" applyFont="1" applyFill="1" applyBorder="1" applyProtection="1"/>
    <s:xf numFmtId="166" fontId="15" fillId="0" borderId="12" xfId="1" applyNumberFormat="1" applyFont="1" applyBorder="1" applyAlignment="1" applyProtection="1">
      <s:alignment horizontal="center" vertical="center" mc:Ignorable="vyd"/>
    </s:xf>
    <s:xf numFmtId="166" fontId="20" fillId="0" borderId="19" xfId="1" applyNumberFormat="1" applyFont="1" applyBorder="1" applyAlignment="1" applyProtection="1">
      <s:alignment horizontal="center" vertical="center" mc:Ignorable="vyd"/>
    </s:xf>
    <s:xf numFmtId="166" fontId="18" fillId="0" borderId="19" xfId="1" applyNumberFormat="1" applyFont="1" applyBorder="1" applyAlignment="1" applyProtection="1">
      <s:alignment horizontal="center" vertical="center" mc:Ignorable="vyd"/>
    </s:xf>
    <s:xf numFmtId="166" fontId="15" fillId="0" borderId="23" xfId="1" applyNumberFormat="1" applyFont="1" applyBorder="1" applyAlignment="1" applyProtection="1">
      <s:alignment horizontal="center" vertical="center" mc:Ignorable="vyd"/>
    </s:xf>
    <s:xf numFmtId="3" fontId="7" fillId="4" borderId="24" xfId="0" applyNumberFormat="1" applyFont="1" applyFill="1" applyBorder="1" applyAlignment="1" applyProtection="1">
      <s:alignment horizontal="center" vertical="center" mc:Ignorable="vyd"/>
      <s:protection locked="0"/>
    </s:xf>
    <s:xf numFmtId="166" fontId="21" fillId="0" borderId="27" xfId="1" applyNumberFormat="1" applyFont="1" applyBorder="1" applyAlignment="1" applyProtection="1">
      <s:alignment horizontal="center" vertical="center" mc:Ignorable="vyd"/>
    </s:xf>
    <s:xf numFmtId="0" fontId="12" fillId="8" borderId="0" xfId="0" applyFont="1" applyFill="1" applyAlignment="1">
      <s:alignment horizontal="center" vertical="center" wrapText="1" mc:Ignorable="vyd"/>
    </s:xf>
    <s:xf numFmtId="0" fontId="3" fillId="0" borderId="36" xfId="0" applyFont="1" applyBorder="1"/>
    <s:xf numFmtId="0" fontId="7" fillId="13" borderId="17" xfId="0" applyFont="1" applyFill="1" applyBorder="1" applyAlignment="1">
      <s:alignment horizontal="center" vertical="top" wrapText="1" mc:Ignorable="vyd"/>
    </s:xf>
    <s:xf numFmtId="0" fontId="7" fillId="13" borderId="21" xfId="0" applyFont="1" applyFill="1" applyBorder="1" applyAlignment="1">
      <s:alignment horizontal="center" vertical="top" wrapText="1" mc:Ignorable="vyd"/>
    </s:xf>
    <s:xf numFmtId="0" fontId="7" fillId="13" borderId="18" xfId="0" applyFont="1" applyFill="1" applyBorder="1" applyAlignment="1">
      <s:alignment horizontal="center" vertical="top" wrapText="1" mc:Ignorable="vyd"/>
    </s:xf>
    <s:xf numFmtId="0" fontId="12" fillId="13" borderId="18" xfId="0" applyFont="1" applyFill="1" applyBorder="1" applyAlignment="1">
      <s:alignment horizontal="center" vertical="top" wrapText="1" mc:Ignorable="vyd"/>
    </s:xf>
    <s:xf numFmtId="0" fontId="31" fillId="0" borderId="11" xfId="0" applyFont="1" applyBorder="1" applyAlignment="1">
      <s:alignment horizontal="center" vertical="center" mc:Ignorable="vyd"/>
    </s:xf>
    <s:xf numFmtId="0" fontId="31" fillId="0" borderId="18" xfId="0" applyFont="1" applyBorder="1" applyAlignment="1">
      <s:alignment horizontal="center" vertical="center" mc:Ignorable="vyd"/>
    </s:xf>
    <s:xf numFmtId="16" fontId="7" fillId="0" borderId="17" xfId="0" applyNumberFormat="1" applyFont="1" applyBorder="1" applyAlignment="1">
      <s:alignment horizontal="center" vertical="top" mc:Ignorable="vyd"/>
    </s:xf>
    <s:xf numFmtId="4" fontId="7" fillId="0" borderId="11" xfId="0" applyNumberFormat="1" applyFont="1" applyBorder="1" applyAlignment="1">
      <s:alignment horizontal="center" vertical="top" mc:Ignorable="vyd"/>
    </s:xf>
    <s:xf numFmtId="0" fontId="7" fillId="0" borderId="11" xfId="0" applyFont="1" applyBorder="1" applyAlignment="1">
      <s:alignment horizontal="center" vertical="top" mc:Ignorable="vyd"/>
    </s:xf>
    <s:xf numFmtId="3" fontId="7" fillId="0" borderId="34" xfId="0" applyNumberFormat="1" applyFont="1" applyBorder="1" applyAlignment="1">
      <s:alignment horizontal="center" vertical="top" mc:Ignorable="vyd"/>
    </s:xf>
    <s:xf numFmtId="4" fontId="7" fillId="0" borderId="21" xfId="0" applyNumberFormat="1" applyFont="1" applyBorder="1" applyAlignment="1">
      <s:alignment horizontal="center" vertical="top" mc:Ignorable="vyd"/>
    </s:xf>
    <s:xf numFmtId="3" fontId="7" fillId="0" borderId="21" xfId="0" applyNumberFormat="1" applyFont="1" applyBorder="1" applyAlignment="1">
      <s:alignment horizontal="center" vertical="top" mc:Ignorable="vyd"/>
    </s:xf>
    <s:xf numFmtId="4" fontId="7" fillId="0" borderId="0" xfId="0" applyNumberFormat="1" applyFont="1" applyAlignment="1">
      <s:alignment horizontal="center" vertical="top" mc:Ignorable="vyd"/>
    </s:xf>
    <s:xf numFmtId="3" fontId="7" fillId="0" borderId="0" xfId="0" applyNumberFormat="1" applyFont="1" applyAlignment="1">
      <s:alignment horizontal="center" mc:Ignorable="vyd"/>
    </s:xf>
    <s:xf numFmtId="3" fontId="24" fillId="0" borderId="0" xfId="0" applyNumberFormat="1" applyFont="1" applyAlignment="1">
      <s:alignment horizontal="center" mc:Ignorable="vyd"/>
    </s:xf>
    <s:xf numFmtId="166" fontId="3" fillId="0" borderId="0" xfId="1" applyNumberFormat="1" applyFont="1" applyProtection="1"/>
    <s:xf numFmtId="3" fontId="7" fillId="0" borderId="12" xfId="0" applyNumberFormat="1" applyFont="1" applyBorder="1" applyAlignment="1">
      <s:alignment horizontal="center" vertical="top" mc:Ignorable="vyd"/>
    </s:xf>
    <s:xf numFmtId="3" fontId="7" fillId="0" borderId="31" xfId="0" applyNumberFormat="1" applyFont="1" applyBorder="1" applyAlignment="1">
      <s:alignment horizontal="center" vertical="top" mc:Ignorable="vyd"/>
    </s:xf>
    <s:xf numFmtId="164" fontId="3" fillId="0" borderId="0" xfId="0" applyNumberFormat="1" applyFont="1"/>
    <s:xf numFmtId="4" fontId="7" fillId="0" borderId="18" xfId="0" applyNumberFormat="1" applyFont="1" applyBorder="1" applyAlignment="1" applyProtection="1">
      <s:alignment horizontal="center" vertical="top" mc:Ignorable="vyd"/>
      <s:protection locked="0"/>
    </s:xf>
    <s:xf numFmtId="3" fontId="7" fillId="0" borderId="18" xfId="0" applyNumberFormat="1" applyFont="1" applyBorder="1" applyAlignment="1" applyProtection="1">
      <s:alignment horizontal="center" vertical="top" mc:Ignorable="vyd"/>
      <s:protection locked="0"/>
    </s:xf>
    <s:xf numFmtId="166" fontId="3" fillId="0" borderId="0" xfId="1" applyNumberFormat="1" applyFont="1" applyAlignment="1" applyProtection="1">
      <s:alignment vertical="center" mc:Ignorable="vyd"/>
    </s:xf>
    <s:xf numFmtId="3" fontId="7" fillId="11" borderId="18" xfId="0" applyNumberFormat="1" applyFont="1" applyFill="1" applyBorder="1" applyAlignment="1">
      <s:alignment horizontal="center" vertical="top" mc:Ignorable="vyd"/>
    </s:xf>
    <s:xf numFmtId="0" fontId="15" fillId="2" borderId="41" xfId="0" applyFont="1" applyFill="1" applyBorder="1" applyAlignment="1">
      <s:alignment horizontal="center" vertical="center" wrapText="1" mc:Ignorable="vyd"/>
    </s:xf>
    <s:xf numFmtId="0" fontId="12" fillId="2" borderId="35" xfId="0" applyFont="1" applyFill="1" applyBorder="1" applyAlignment="1">
      <s:alignment horizontal="center" vertical="center" wrapText="1" mc:Ignorable="vyd"/>
    </s:xf>
    <s:xf numFmtId="164" fontId="7" fillId="0" borderId="18" xfId="0" applyNumberFormat="1" applyFont="1" applyBorder="1" applyAlignment="1">
      <s:alignment horizontal="right" mc:Ignorable="vyd"/>
    </s:xf>
    <s:xf numFmtId="164" fontId="7" fillId="0" borderId="18" xfId="2" applyFont="1" applyBorder="1" applyAlignment="1" applyProtection="1">
      <s:alignment horizontal="right" mc:Ignorable="vyd"/>
    </s:xf>
    <s:xf numFmtId="0" fontId="12" fillId="11" borderId="18" xfId="0" applyFont="1" applyFill="1" applyBorder="1" applyAlignment="1">
      <s:alignment horizontal="center" vertical="top" mc:Ignorable="vyd"/>
    </s:xf>
    <s:xf numFmtId="3" fontId="7" fillId="0" borderId="36" xfId="0" applyNumberFormat="1" applyFont="1" applyBorder="1" applyAlignment="1">
      <s:alignment horizontal="center" vertical="top" mc:Ignorable="vyd"/>
    </s:xf>
    <s:xf numFmtId="4" fontId="7" fillId="0" borderId="19" xfId="0" applyNumberFormat="1" applyFont="1" applyBorder="1" applyAlignment="1">
      <s:alignment horizontal="center" vertical="top" mc:Ignorable="vyd"/>
    </s:xf>
    <s:xf numFmtId="0" fontId="7" fillId="0" borderId="21" xfId="0" applyFont="1" applyBorder="1" applyAlignment="1">
      <s:alignment horizontal="center" vertical="top" mc:Ignorable="vyd"/>
    </s:xf>
    <s:xf numFmtId="16" fontId="7" fillId="0" borderId="19" xfId="0" applyNumberFormat="1" applyFont="1" applyBorder="1" applyAlignment="1">
      <s:alignment horizontal="center" vertical="top" mc:Ignorable="vyd"/>
    </s:xf>
    <s:xf numFmtId="0" fontId="7" fillId="0" borderId="31" xfId="0" applyFont="1" applyBorder="1" applyAlignment="1">
      <s:alignment horizontal="center" vertical="top" mc:Ignorable="vyd"/>
    </s:xf>
    <s:xf numFmtId="4" fontId="7" fillId="0" borderId="17" xfId="0" applyNumberFormat="1" applyFont="1" applyBorder="1" applyAlignment="1">
      <s:alignment horizontal="center" vertical="top" mc:Ignorable="vyd"/>
    </s:xf>
    <s:xf numFmtId="0" fontId="7" fillId="0" borderId="30" xfId="0" applyFont="1" applyBorder="1" applyAlignment="1">
      <s:alignment horizontal="center" vertical="top" mc:Ignorable="vyd"/>
    </s:xf>
    <s:xf numFmtId="4" fontId="7" fillId="0" borderId="22" xfId="0" applyNumberFormat="1" applyFont="1" applyBorder="1" applyAlignment="1">
      <s:alignment horizontal="center" vertical="top" mc:Ignorable="vyd"/>
    </s:xf>
    <s:xf numFmtId="4" fontId="7" fillId="0" borderId="44" xfId="0" applyNumberFormat="1" applyFont="1" applyBorder="1" applyAlignment="1">
      <s:alignment horizontal="center" vertical="top" mc:Ignorable="vyd"/>
    </s:xf>
    <s:xf numFmtId="4" fontId="7" fillId="0" borderId="29" xfId="0" applyNumberFormat="1" applyFont="1" applyBorder="1" applyAlignment="1">
      <s:alignment horizontal="center" vertical="top" mc:Ignorable="vyd"/>
    </s:xf>
    <s:xf numFmtId="16" fontId="7" fillId="0" borderId="45" xfId="0" applyNumberFormat="1" applyFont="1" applyBorder="1" applyAlignment="1">
      <s:alignment horizontal="center" vertical="top" mc:Ignorable="vyd"/>
    </s:xf>
    <s:xf numFmtId="0" fontId="7" fillId="0" borderId="46" xfId="0" applyFont="1" applyBorder="1" applyAlignment="1">
      <s:alignment horizontal="center" vertical="top" mc:Ignorable="vyd"/>
    </s:xf>
    <s:xf numFmtId="4" fontId="7" fillId="0" borderId="31" xfId="0" applyNumberFormat="1" applyFont="1" applyBorder="1" applyAlignment="1">
      <s:alignment horizontal="center" vertical="top" mc:Ignorable="vyd"/>
    </s:xf>
    <s:xf numFmtId="0" fontId="7" fillId="0" borderId="47" xfId="0" applyFont="1" applyBorder="1" applyAlignment="1">
      <s:alignment horizontal="center" vertical="top" mc:Ignorable="vyd"/>
    </s:xf>
    <s:xf numFmtId="4" fontId="7" fillId="0" borderId="30" xfId="0" applyNumberFormat="1" applyFont="1" applyBorder="1" applyAlignment="1">
      <s:alignment horizontal="center" vertical="top" mc:Ignorable="vyd"/>
    </s:xf>
    <s:xf numFmtId="0" fontId="0" fillId="0" borderId="39" xfId="0" applyBorder="1"/>
    <s:xf numFmtId="3" fontId="7" fillId="0" borderId="11" xfId="0" applyNumberFormat="1" applyFont="1" applyBorder="1" applyAlignment="1" applyProtection="1">
      <s:alignment horizontal="center" vertical="top" mc:Ignorable="vyd"/>
      <s:protection locked="0"/>
    </s:xf>
    <s:xf numFmtId="0" fontId="0" fillId="10" borderId="39" xfId="0" applyFill="1" applyBorder="1"/>
    <s:xf numFmtId="0" fontId="7" fillId="10" borderId="19" xfId="0" applyFont="1" applyFill="1" applyBorder="1" applyAlignment="1">
      <s:alignment horizontal="center" vertical="top" mc:Ignorable="vyd"/>
    </s:xf>
    <s:xf numFmtId="4" fontId="7" fillId="10" borderId="11" xfId="0" applyNumberFormat="1" applyFont="1" applyFill="1" applyBorder="1" applyAlignment="1">
      <s:alignment horizontal="center" vertical="top" mc:Ignorable="vyd"/>
    </s:xf>
    <s:xf numFmtId="3" fontId="7" fillId="10" borderId="11" xfId="0" applyNumberFormat="1" applyFont="1" applyFill="1" applyBorder="1" applyAlignment="1">
      <s:alignment horizontal="center" vertical="top" mc:Ignorable="vyd"/>
    </s:xf>
    <s:xf numFmtId="3" fontId="7" fillId="10" borderId="18" xfId="0" applyNumberFormat="1" applyFont="1" applyFill="1" applyBorder="1" applyAlignment="1">
      <s:alignment horizontal="center" vertical="top" mc:Ignorable="vyd"/>
    </s:xf>
    <s:xf numFmtId="3" fontId="12" fillId="10" borderId="11" xfId="0" applyNumberFormat="1" applyFont="1" applyFill="1" applyBorder="1" applyAlignment="1">
      <s:alignment horizontal="center" vertical="top" mc:Ignorable="vyd"/>
    </s:xf>
    <s:xf numFmtId="3" fontId="24" fillId="14" borderId="18" xfId="0" applyNumberFormat="1" applyFont="1" applyFill="1" applyBorder="1" applyAlignment="1">
      <s:alignment horizontal="center" mc:Ignorable="vyd"/>
    </s:xf>
    <s:xf numFmtId="3" fontId="7" fillId="14" borderId="18" xfId="0" applyNumberFormat="1" applyFont="1" applyFill="1" applyBorder="1" applyAlignment="1">
      <s:alignment horizontal="center" mc:Ignorable="vyd"/>
    </s:xf>
    <s:xf numFmtId="164" fontId="7" fillId="10" borderId="18" xfId="0" applyNumberFormat="1" applyFont="1" applyFill="1" applyBorder="1" applyAlignment="1">
      <s:alignment horizontal="right" mc:Ignorable="vyd"/>
    </s:xf>
    <s:xf numFmtId="166" fontId="3" fillId="14" borderId="0" xfId="1" applyNumberFormat="1" applyFont="1" applyFill="1" applyProtection="1"/>
    <s:xf numFmtId="166" fontId="3" fillId="14" borderId="0" xfId="1" applyNumberFormat="1" applyFont="1" applyFill="1" applyAlignment="1" applyProtection="1">
      <s:alignment vertical="center" mc:Ignorable="vyd"/>
    </s:xf>
    <s:xf numFmtId="16" fontId="7" fillId="10" borderId="18" xfId="0" applyNumberFormat="1" applyFont="1" applyFill="1" applyBorder="1" applyAlignment="1">
      <s:alignment horizontal="center" vertical="top" mc:Ignorable="vyd"/>
    </s:xf>
    <s:xf numFmtId="3" fontId="12" fillId="0" borderId="11" xfId="0" applyNumberFormat="1" applyFont="1" applyBorder="1" applyAlignment="1">
      <s:alignment horizontal="center" vertical="top" mc:Ignorable="vyd"/>
    </s:xf>
    <s:xf numFmtId="166" fontId="20" fillId="0" borderId="23" xfId="1" applyNumberFormat="1" applyFont="1" applyBorder="1" applyAlignment="1" applyProtection="1">
      <s:alignment horizontal="center" vertical="center" mc:Ignorable="vyd"/>
    </s:xf>
    <s:xf numFmtId="0" fontId="7" fillId="7" borderId="17" xfId="0" applyFont="1" applyFill="1" applyBorder="1" applyAlignment="1">
      <s:alignment horizontal="center" vertical="top" wrapText="1" mc:Ignorable="vyd"/>
    </s:xf>
    <s:xf numFmtId="3" fontId="7" fillId="0" borderId="42" xfId="0" applyNumberFormat="1" applyFont="1" applyBorder="1" applyAlignment="1">
      <s:alignment horizontal="center" vertical="top" mc:Ignorable="vyd"/>
    </s:xf>
    <s:xf numFmtId="3" fontId="7" fillId="0" borderId="19" xfId="0" applyNumberFormat="1" applyFont="1" applyBorder="1" applyAlignment="1">
      <s:alignment horizontal="center" vertical="top" mc:Ignorable="vyd"/>
    </s:xf>
    <s:xf numFmtId="3" fontId="7" fillId="0" borderId="48" xfId="0" applyNumberFormat="1" applyFont="1" applyBorder="1" applyAlignment="1">
      <s:alignment horizontal="center" vertical="top" mc:Ignorable="vyd"/>
    </s:xf>
    <s:xf numFmtId="16" fontId="7" fillId="0" borderId="21" xfId="0" applyNumberFormat="1" applyFont="1" applyBorder="1" applyAlignment="1">
      <s:alignment horizontal="center" vertical="top" mc:Ignorable="vyd"/>
    </s:xf>
    <s:xf numFmtId="3" fontId="7" fillId="0" borderId="30" xfId="0" applyNumberFormat="1" applyFont="1" applyBorder="1" applyAlignment="1">
      <s:alignment horizontal="center" vertical="top" mc:Ignorable="vyd"/>
    </s:xf>
    <s:xf numFmtId="3" fontId="24" fillId="0" borderId="21" xfId="0" applyNumberFormat="1" applyFont="1" applyBorder="1" applyAlignment="1">
      <s:alignment horizontal="center" mc:Ignorable="vyd"/>
    </s:xf>
    <s:xf numFmtId="3" fontId="7" fillId="0" borderId="21" xfId="0" applyNumberFormat="1" applyFont="1" applyBorder="1" applyAlignment="1">
      <s:alignment horizontal="center" mc:Ignorable="vyd"/>
    </s:xf>
    <s:xf numFmtId="16" fontId="7" fillId="0" borderId="11" xfId="0" applyNumberFormat="1" applyFont="1" applyBorder="1" applyAlignment="1">
      <s:alignment horizontal="center" vertical="top" mc:Ignorable="vyd"/>
    </s:xf>
    <s:xf numFmtId="0" fontId="7" fillId="0" borderId="12" xfId="0" applyFont="1" applyBorder="1" applyAlignment="1">
      <s:alignment horizontal="center" vertical="top" mc:Ignorable="vyd"/>
    </s:xf>
    <s:xf numFmtId="3" fontId="7" fillId="0" borderId="46" xfId="0" applyNumberFormat="1" applyFont="1" applyBorder="1" applyAlignment="1">
      <s:alignment horizontal="center" vertical="top" mc:Ignorable="vyd"/>
    </s:xf>
    <s:xf numFmtId="16" fontId="7" fillId="0" borderId="18" xfId="0" applyNumberFormat="1" applyFont="1" applyBorder="1" applyAlignment="1" applyProtection="1">
      <s:alignment horizontal="center" vertical="top" mc:Ignorable="vyd"/>
      <s:protection locked="0"/>
    </s:xf>
    <s:xf numFmtId="3" fontId="7" fillId="11" borderId="11" xfId="0" applyNumberFormat="1" applyFont="1" applyFill="1" applyBorder="1" applyAlignment="1">
      <s:alignment horizontal="center" vertical="top" mc:Ignorable="vyd"/>
    </s:xf>
    <s:xf numFmtId="0" fontId="7" fillId="0" borderId="42" xfId="0" applyFont="1" applyBorder="1" applyAlignment="1">
      <s:alignment horizontal="center" vertical="center" mc:Ignorable="vyd"/>
    </s:xf>
    <s:xf numFmtId="0" fontId="34" fillId="16" borderId="0" xfId="0" applyFont="1" applyFill="1" applyAlignment="1">
      <s:alignment horizontal="left" vertical="top" mc:Ignorable="vyd"/>
    </s:xf>
    <s:xf numFmtId="0" fontId="33" fillId="16" borderId="0" xfId="0" applyFont="1" applyFill="1" applyAlignment="1">
      <s:alignment horizontal="left" vertical="top" mc:Ignorable="vyd"/>
    </s:xf>
    <s:xf numFmtId="2" fontId="33" fillId="16" borderId="0" xfId="0" applyNumberFormat="1" applyFont="1" applyFill="1" applyAlignment="1">
      <s:alignment horizontal="right" vertical="top" mc:Ignorable="vyd"/>
    </s:xf>
    <s:xf numFmtId="0" fontId="7" fillId="16" borderId="0" xfId="0" applyFont="1" applyFill="1" applyAlignment="1">
      <s:alignment horizontal="left" mc:Ignorable="vyd"/>
    </s:xf>
    <s:xf numFmtId="14" fontId="33" fillId="16" borderId="0" xfId="0" applyNumberFormat="1" applyFont="1" applyFill="1" applyAlignment="1">
      <s:alignment horizontal="center" vertical="top" mc:Ignorable="vyd"/>
    </s:xf>
    <s:xf numFmtId="0" fontId="33" fillId="16" borderId="0" xfId="0" applyFont="1" applyFill="1" applyAlignment="1">
      <s:alignment horizontal="center" vertical="center" wrapText="1" mc:Ignorable="vyd"/>
    </s:xf>
    <s:xf numFmtId="0" fontId="34" fillId="16" borderId="0" xfId="0" applyFont="1" applyFill="1" applyAlignment="1">
      <s:alignment horizontal="left" vertical="top" wrapText="1" mc:Ignorable="vyd"/>
    </s:xf>
    <s:xf numFmtId="0" fontId="12" fillId="16" borderId="0" xfId="0" applyFont="1" applyFill="1" applyAlignment="1">
      <s:alignment horizontal="left" mc:Ignorable="vyd"/>
    </s:xf>
    <s:xf numFmtId="0" fontId="7" fillId="16" borderId="0" xfId="0" applyFont="1" applyFill="1" applyAlignment="1">
      <s:alignment horizontal="left" wrapText="1" mc:Ignorable="vyd"/>
    </s:xf>
    <s:xf numFmtId="4" fontId="33" fillId="16" borderId="36" xfId="0" applyNumberFormat="1" applyFont="1" applyFill="1" applyBorder="1" applyAlignment="1">
      <s:alignment horizontal="left" vertical="top" mc:Ignorable="vyd"/>
    </s:xf>
    <s:xf numFmtId="0" fontId="33" fillId="16" borderId="0" xfId="0" applyFont="1" applyFill="1" applyAlignment="1">
      <s:alignment horizontal="left" vertical="center" mc:Ignorable="vyd"/>
    </s:xf>
    <s:xf numFmtId="169" fontId="33" fillId="16" borderId="0" xfId="0" applyNumberFormat="1" applyFont="1" applyFill="1" applyAlignment="1">
      <s:alignment horizontal="center" vertical="center" wrapText="1" mc:Ignorable="vyd"/>
    </s:xf>
    <s:xf numFmtId="2" fontId="34" fillId="16" borderId="0" xfId="0" applyNumberFormat="1" applyFont="1" applyFill="1" applyAlignment="1">
      <s:alignment horizontal="right" vertical="center" wrapText="1" mc:Ignorable="vyd"/>
    </s:xf>
    <s:xf numFmtId="0" fontId="7" fillId="0" borderId="0" xfId="0" applyFont="1" applyAlignment="1">
      <s:alignment horizontal="left" mc:Ignorable="vyd"/>
    </s:xf>
    <s:xf numFmtId="0" fontId="33" fillId="16" borderId="19" xfId="0" applyFont="1" applyFill="1" applyBorder="1" applyAlignment="1">
      <s:alignment horizontal="center" vertical="center" wrapText="1" mc:Ignorable="vyd"/>
    </s:xf>
    <s:xf numFmtId="0" fontId="33" fillId="16" borderId="17" xfId="0" applyFont="1" applyFill="1" applyBorder="1" applyAlignment="1">
      <s:alignment horizontal="center" vertical="center" wrapText="1" mc:Ignorable="vyd"/>
    </s:xf>
    <s:xf numFmtId="0" fontId="33" fillId="16" borderId="19" xfId="0" applyFont="1" applyFill="1" applyBorder="1" applyAlignment="1">
      <s:alignment horizontal="left" vertical="top" mc:Ignorable="vyd"/>
    </s:xf>
    <s:xf numFmtId="0" fontId="33" fillId="16" borderId="17" xfId="0" applyFont="1" applyFill="1" applyBorder="1" applyAlignment="1">
      <s:alignment horizontal="left" vertical="top" mc:Ignorable="vyd"/>
    </s:xf>
    <s:xf numFmtId="10" fontId="33" fillId="16" borderId="0" xfId="0" applyNumberFormat="1" applyFont="1" applyFill="1" applyAlignment="1">
      <s:alignment horizontal="center" vertical="top" mc:Ignorable="vyd"/>
    </s:xf>
    <s:xf numFmtId="9" fontId="12" fillId="0" borderId="0" xfId="0" applyNumberFormat="1" applyFont="1" applyAlignment="1">
      <s:alignment horizontal="center" vertical="center" mc:Ignorable="vyd"/>
    </s:xf>
    <s:xf numFmtId="0" fontId="32" fillId="18" borderId="52" xfId="0" applyFont="1" applyFill="1" applyBorder="1" applyAlignment="1">
      <s:alignment horizontal="center" vertical="center" wrapText="1" mc:Ignorable="vyd"/>
    </s:xf>
    <s:xf numFmtId="0" fontId="34" fillId="16" borderId="54" xfId="0" applyFont="1" applyFill="1" applyBorder="1" applyAlignment="1">
      <s:alignment horizontal="left" vertical="top" mc:Ignorable="vyd"/>
    </s:xf>
    <s:xf numFmtId="0" fontId="33" fillId="16" borderId="54" xfId="0" applyFont="1" applyFill="1" applyBorder="1" applyAlignment="1">
      <s:alignment horizontal="left" vertical="top" mc:Ignorable="vyd"/>
    </s:xf>
    <s:xf numFmtId="169" fontId="33" fillId="16" borderId="0" xfId="0" applyNumberFormat="1" applyFont="1" applyFill="1" applyAlignment="1">
      <s:alignment vertical="top" mc:Ignorable="vyd"/>
    </s:xf>
    <s:xf numFmtId="4" fontId="7" fillId="16" borderId="0" xfId="0" applyNumberFormat="1" applyFont="1" applyFill="1" applyAlignment="1">
      <s:alignment vertical="top" mc:Ignorable="vyd"/>
    </s:xf>
    <s:xf numFmtId="0" fontId="3" fillId="0" borderId="3" xfId="0" applyFont="1" applyBorder="1"/>
    <s:xf numFmtId="0" fontId="3" fillId="0" borderId="4" xfId="0" applyFont="1" applyBorder="1"/>
    <s:xf numFmtId="168" fontId="17" fillId="19" borderId="33" xfId="0" applyNumberFormat="1" applyFont="1" applyFill="1" applyBorder="1" applyAlignment="1">
      <s:alignment horizontal="right" vertical="top" wrapText="1" indent="1" mc:Ignorable="vyd"/>
    </s:xf>
    <s:xf numFmtId="0" fontId="17" fillId="17" borderId="21" xfId="0" applyFont="1" applyFill="1" applyBorder="1" applyAlignment="1">
      <s:alignment horizontal="center" vertical="center" mc:Ignorable="vyd"/>
    </s:xf>
    <s:xf numFmtId="0" fontId="7" fillId="0" borderId="4" xfId="0" applyFont="1" applyBorder="1" applyAlignment="1">
      <s:alignment horizontal="center" vertical="center" mc:Ignorable="vyd"/>
    </s:xf>
    <s:xf numFmtId="0" fontId="32" fillId="18" borderId="19" xfId="0" applyFont="1" applyFill="1" applyBorder="1" applyAlignment="1">
      <s:alignment horizontal="center" vertical="center" wrapText="1" mc:Ignorable="vyd"/>
    </s:xf>
    <s:xf numFmtId="168" fontId="17" fillId="19" borderId="19" xfId="0" applyNumberFormat="1" applyFont="1" applyFill="1" applyBorder="1" applyAlignment="1">
      <s:alignment horizontal="right" vertical="top" wrapText="1" mc:Ignorable="vyd"/>
    </s:xf>
    <s:xf numFmtId="168" fontId="17" fillId="19" borderId="40" xfId="0" applyNumberFormat="1" applyFont="1" applyFill="1" applyBorder="1" applyAlignment="1">
      <s:alignment horizontal="right" vertical="top" wrapText="1" indent="1" mc:Ignorable="vyd"/>
    </s:xf>
    <s:xf numFmtId="168" fontId="17" fillId="19" borderId="41" xfId="0" applyNumberFormat="1" applyFont="1" applyFill="1" applyBorder="1" applyAlignment="1">
      <s:alignment horizontal="right" vertical="top" wrapText="1" indent="1" mc:Ignorable="vyd"/>
    </s:xf>
    <s:xf numFmtId="0" fontId="17" fillId="20" borderId="56" xfId="0" applyFont="1" applyFill="1" applyBorder="1" applyProtection="1">
      <s:protection locked="0"/>
    </s:xf>
    <s:xf numFmtId="170" fontId="35" fillId="21" borderId="57" xfId="0" applyNumberFormat="1" applyFont="1" applyFill="1" applyBorder="1" applyAlignment="1" applyProtection="1">
      <s:alignment horizontal="left" mc:Ignorable="vyd"/>
      <s:protection locked="0"/>
    </s:xf>
    <s:xf numFmtId="0" fontId="32" fillId="20" borderId="58" xfId="0" applyFont="1" applyFill="1" applyBorder="1" applyProtection="1">
      <s:protection locked="0"/>
    </s:xf>
    <s:xf numFmtId="0" fontId="36" fillId="21" borderId="59" xfId="0" applyFont="1" applyFill="1" applyBorder="1" applyProtection="1">
      <s:protection locked="0"/>
    </s:xf>
    <s:xf numFmtId="0" fontId="32" fillId="20" borderId="0" xfId="0" applyFont="1" applyFill="1" applyProtection="1">
      <s:protection locked="0"/>
    </s:xf>
    <s:xf numFmtId="0" fontId="37" fillId="21" borderId="59" xfId="0" applyFont="1" applyFill="1" applyBorder="1" applyProtection="1">
      <s:protection locked="0"/>
    </s:xf>
    <s:xf numFmtId="0" fontId="36" fillId="21" borderId="60" xfId="0" applyFont="1" applyFill="1" applyBorder="1" applyProtection="1">
      <s:protection locked="0"/>
    </s:xf>
    <s:xf numFmtId="0" fontId="17" fillId="20" borderId="64" xfId="0" applyFont="1" applyFill="1" applyBorder="1" applyAlignment="1" applyProtection="1">
      <s:alignment horizontal="center" wrapText="1" mc:Ignorable="vyd"/>
      <s:protection locked="0"/>
    </s:xf>
    <s:xf numFmtId="0" fontId="17" fillId="22" borderId="65" xfId="0" applyFont="1" applyFill="1" applyBorder="1" applyAlignment="1" applyProtection="1">
      <s:alignment horizontal="center" mc:Ignorable="vyd"/>
      <s:protection locked="0"/>
    </s:xf>
    <s:xf numFmtId="0" fontId="32" fillId="23" borderId="0" xfId="0" applyFont="1" applyFill="1" applyProtection="1">
      <s:protection locked="0"/>
    </s:xf>
    <s:xf numFmtId="0" fontId="17" fillId="20" borderId="66" xfId="0" applyFont="1" applyFill="1" applyBorder="1" applyProtection="1">
      <s:protection locked="0"/>
    </s:xf>
    <s:xf numFmtId="2" fontId="17" fillId="20" borderId="64" xfId="1" applyNumberFormat="1" applyFont="1" applyFill="1" applyBorder="1" applyAlignment="1" applyProtection="1">
      <s:alignment horizontal="center" mc:Ignorable="vyd"/>
      <s:protection locked="0"/>
    </s:xf>
    <s:xf numFmtId="3" fontId="40" fillId="22" borderId="67" xfId="0" applyNumberFormat="1" applyFont="1" applyFill="1" applyBorder="1" applyAlignment="1" applyProtection="1">
      <s:alignment horizontal="center" mc:Ignorable="vyd"/>
      <s:protection hidden="1"/>
    </s:xf>
    <s:xf numFmtId="10" fontId="32" fillId="23" borderId="0" xfId="0" applyNumberFormat="1" applyFont="1" applyFill="1" applyProtection="1">
      <s:protection locked="0"/>
    </s:xf>
    <s:xf numFmtId="0" fontId="17" fillId="20" borderId="61" xfId="0" applyFont="1" applyFill="1" applyBorder="1"/>
    <s:xf numFmtId="0" fontId="32" fillId="20" borderId="63" xfId="0" applyFont="1" applyFill="1" applyBorder="1"/>
    <s:xf numFmtId="0" fontId="14" fillId="20" borderId="68" xfId="0" applyFont="1" applyFill="1" applyBorder="1"/>
    <s:xf numFmtId="0" fontId="14" fillId="24" borderId="69" xfId="0" applyFont="1" applyFill="1" applyBorder="1" applyProtection="1">
      <s:protection locked="0"/>
    </s:xf>
    <s:xf numFmtId="0" fontId="14" fillId="24" borderId="70" xfId="0" applyFont="1" applyFill="1" applyBorder="1" applyProtection="1">
      <s:protection locked="0"/>
    </s:xf>
    <s:xf numFmtId="0" fontId="14" fillId="24" borderId="8" xfId="0" applyFont="1" applyFill="1" applyBorder="1" applyProtection="1">
      <s:protection locked="0"/>
    </s:xf>
    <s:xf numFmtId="0" fontId="14" fillId="24" borderId="71" xfId="0" applyFont="1" applyFill="1" applyBorder="1" applyProtection="1">
      <s:protection locked="0"/>
    </s:xf>
    <s:xf numFmtId="0" fontId="14" fillId="24" borderId="9" xfId="0" applyFont="1" applyFill="1" applyBorder="1" applyProtection="1">
      <s:protection locked="0"/>
    </s:xf>
    <s:xf numFmtId="0" fontId="32" fillId="25" borderId="72" xfId="0" applyFont="1" applyFill="1" applyBorder="1"/>
    <s:xf numFmtId="0" fontId="17" fillId="26" borderId="72" xfId="0" applyFont="1" applyFill="1" applyBorder="1" applyAlignment="1" applyProtection="1">
      <s:alignment horizontal="center" vertical="center" wrapText="1" mc:Ignorable="vyd"/>
      <s:protection hidden="1"/>
    </s:xf>
    <s:xf numFmtId="0" fontId="17" fillId="26" borderId="73" xfId="0" applyFont="1" applyFill="1" applyBorder="1" applyAlignment="1" applyProtection="1">
      <s:alignment horizontal="center" vertical="center" wrapText="1" mc:Ignorable="vyd"/>
      <s:protection hidden="1"/>
    </s:xf>
    <s:xf numFmtId="0" fontId="17" fillId="20" borderId="56" xfId="0" applyFont="1" applyFill="1" applyBorder="1"/>
    <s:xf numFmtId="0" fontId="32" fillId="20" borderId="0" xfId="0" applyFont="1" applyFill="1"/>
    <s:xf numFmtId="0" fontId="32" fillId="20" borderId="74" xfId="0" applyFont="1" applyFill="1" applyBorder="1"/>
    <s:xf numFmtId="0" fontId="32" fillId="20" borderId="75" xfId="0" applyFont="1" applyFill="1" applyBorder="1" applyProtection="1">
      <s:protection locked="0"/>
    </s:xf>
    <s:xf numFmtId="0" fontId="32" fillId="20" borderId="76" xfId="0" applyFont="1" applyFill="1" applyBorder="1" applyProtection="1">
      <s:protection locked="0"/>
    </s:xf>
    <s:xf numFmtId="0" fontId="32" fillId="20" borderId="77" xfId="0" applyFont="1" applyFill="1" applyBorder="1" applyProtection="1">
      <s:protection locked="0"/>
    </s:xf>
    <s:xf numFmtId="0" fontId="32" fillId="25" borderId="75" xfId="0" applyFont="1" applyFill="1" applyBorder="1"/>
    <s:xf numFmtId="0" fontId="17" fillId="20" borderId="78" xfId="0" applyFont="1" applyFill="1" applyBorder="1" applyAlignment="1">
      <s:alignment vertical="center" wrapText="1" mc:Ignorable="vyd"/>
    </s:xf>
    <s:xf numFmtId="0" fontId="17" fillId="20" borderId="79" xfId="0" applyFont="1" applyFill="1" applyBorder="1" applyAlignment="1">
      <s:alignment horizontal="center" vertical="center" mc:Ignorable="vyd"/>
    </s:xf>
    <s:xf numFmtId="0" fontId="40" fillId="20" borderId="68" xfId="0" applyFont="1" applyFill="1" applyBorder="1" applyAlignment="1">
      <s:alignment horizontal="center" vertical="center" mc:Ignorable="vyd"/>
    </s:xf>
    <s:xf numFmtId="0" fontId="40" fillId="20" borderId="69" xfId="0" applyFont="1" applyFill="1" applyBorder="1" applyAlignment="1" applyProtection="1">
      <s:alignment horizontal="center" vertical="center" mc:Ignorable="vyd"/>
      <s:protection locked="0"/>
    </s:xf>
    <s:xf numFmtId="0" fontId="40" fillId="20" borderId="70" xfId="0" applyFont="1" applyFill="1" applyBorder="1" applyAlignment="1" applyProtection="1">
      <s:alignment horizontal="center" vertical="center" mc:Ignorable="vyd"/>
      <s:protection locked="0"/>
    </s:xf>
    <s:xf numFmtId="0" fontId="40" fillId="20" borderId="71" xfId="0" applyFont="1" applyFill="1" applyBorder="1" applyAlignment="1" applyProtection="1">
      <s:alignment horizontal="center" vertical="center" mc:Ignorable="vyd"/>
      <s:protection locked="0"/>
    </s:xf>
    <s:xf numFmtId="0" fontId="40" fillId="25" borderId="69" xfId="0" applyFont="1" applyFill="1" applyBorder="1" applyAlignment="1">
      <s:alignment horizontal="center" vertical="center" mc:Ignorable="vyd"/>
    </s:xf>
    <s:xf numFmtId="0" fontId="17" fillId="26" borderId="69" xfId="0" applyFont="1" applyFill="1" applyBorder="1" applyAlignment="1" applyProtection="1">
      <s:alignment horizontal="center" vertical="center" wrapText="1" mc:Ignorable="vyd"/>
      <s:protection hidden="1"/>
    </s:xf>
    <s:xf numFmtId="0" fontId="17" fillId="26" borderId="80" xfId="0" applyFont="1" applyFill="1" applyBorder="1" applyAlignment="1" applyProtection="1">
      <s:alignment horizontal="center" vertical="center" wrapText="1" mc:Ignorable="vyd"/>
      <s:protection hidden="1"/>
    </s:xf>
    <s:xf numFmtId="0" fontId="17" fillId="20" borderId="83" xfId="0" applyFont="1" applyFill="1" applyBorder="1" applyProtection="1">
      <s:protection locked="0"/>
    </s:xf>
    <s:xf numFmtId="0" fontId="32" fillId="0" borderId="83" xfId="0" applyFont="1" applyBorder="1" applyProtection="1">
      <s:protection locked="0"/>
    </s:xf>
    <s:xf numFmtId="0" fontId="32" fillId="0" borderId="84" xfId="0" applyFont="1" applyBorder="1" applyProtection="1">
      <s:protection locked="0"/>
    </s:xf>
    <s:xf numFmtId="0" fontId="32" fillId="0" borderId="85" xfId="0" applyFont="1" applyBorder="1" applyProtection="1">
      <s:protection locked="0"/>
    </s:xf>
    <s:xf numFmtId="0" fontId="3" fillId="0" borderId="83" xfId="0" applyFont="1" applyBorder="1" applyProtection="1">
      <s:protection locked="0"/>
    </s:xf>
    <s:xf numFmtId="0" fontId="32" fillId="0" borderId="86" xfId="0" applyFont="1" applyBorder="1" applyProtection="1">
      <s:protection locked="0"/>
    </s:xf>
    <s:xf numFmtId="3" fontId="32" fillId="25" borderId="18" xfId="0" applyNumberFormat="1" applyFont="1" applyFill="1" applyBorder="1" applyAlignment="1" applyProtection="1">
      <s:alignment horizontal="center" mc:Ignorable="vyd"/>
      <s:protection hidden="1"/>
    </s:xf>
    <s:xf numFmtId="4" fontId="32" fillId="26" borderId="87" xfId="0" applyNumberFormat="1" applyFont="1" applyFill="1" applyBorder="1" applyAlignment="1" applyProtection="1">
      <s:alignment horizontal="center" mc:Ignorable="vyd"/>
      <s:protection hidden="1"/>
    </s:xf>
    <s:xf numFmtId="3" fontId="32" fillId="26" borderId="83" xfId="0" applyNumberFormat="1" applyFont="1" applyFill="1" applyBorder="1" applyAlignment="1" applyProtection="1">
      <s:alignment horizontal="center" mc:Ignorable="vyd"/>
      <s:protection hidden="1"/>
    </s:xf>
    <s:xf numFmtId="3" fontId="32" fillId="0" borderId="83" xfId="0" applyNumberFormat="1" applyFont="1" applyBorder="1" applyAlignment="1" applyProtection="1">
      <s:alignment horizontal="center" mc:Ignorable="vyd"/>
      <s:protection hidden="1"/>
    </s:xf>
    <s:xf numFmtId="0" fontId="17" fillId="20" borderId="88" xfId="0" applyFont="1" applyFill="1" applyBorder="1" applyProtection="1">
      <s:protection locked="0"/>
    </s:xf>
    <s:xf numFmtId="0" fontId="32" fillId="0" borderId="88" xfId="0" applyFont="1" applyBorder="1" applyProtection="1">
      <s:protection locked="0"/>
    </s:xf>
    <s:xf numFmtId="0" fontId="32" fillId="0" borderId="89" xfId="0" applyFont="1" applyBorder="1" applyProtection="1">
      <s:protection locked="0"/>
    </s:xf>
    <s:xf numFmtId="0" fontId="32" fillId="0" borderId="87" xfId="0" applyFont="1" applyBorder="1" applyProtection="1">
      <s:protection locked="0"/>
    </s:xf>
    <s:xf numFmtId="0" fontId="3" fillId="0" borderId="88" xfId="0" applyFont="1" applyBorder="1" applyProtection="1">
      <s:protection locked="0"/>
    </s:xf>
    <s:xf numFmtId="0" fontId="32" fillId="0" borderId="90" xfId="0" applyFont="1" applyBorder="1" applyProtection="1">
      <s:protection locked="0"/>
    </s:xf>
    <s:xf numFmtId="3" fontId="32" fillId="26" borderId="88" xfId="0" applyNumberFormat="1" applyFont="1" applyFill="1" applyBorder="1" applyAlignment="1" applyProtection="1">
      <s:alignment horizontal="center" mc:Ignorable="vyd"/>
      <s:protection hidden="1"/>
    </s:xf>
    <s:xf numFmtId="3" fontId="32" fillId="0" borderId="88" xfId="0" applyNumberFormat="1" applyFont="1" applyBorder="1" applyAlignment="1" applyProtection="1">
      <s:alignment horizontal="center" mc:Ignorable="vyd"/>
      <s:protection hidden="1"/>
    </s:xf>
    <s:xf numFmtId="0" fontId="32" fillId="10" borderId="88" xfId="0" applyFont="1" applyFill="1" applyBorder="1" applyProtection="1">
      <s:protection locked="0"/>
    </s:xf>
    <s:xf numFmtId="0" fontId="41" fillId="0" borderId="88" xfId="0" applyFont="1" applyBorder="1" applyProtection="1">
      <s:protection locked="0"/>
    </s:xf>
    <s:xf numFmtId="0" fontId="41" fillId="10" borderId="88" xfId="0" applyFont="1" applyFill="1" applyBorder="1" applyProtection="1">
      <s:protection locked="0"/>
    </s:xf>
    <s:xf numFmtId="0" fontId="42" fillId="0" borderId="18" xfId="0" applyFont="1" applyBorder="1"/>
    <s:xf numFmtId="0" fontId="42" fillId="0" borderId="91" xfId="0" applyFont="1" applyBorder="1" applyProtection="1">
      <s:protection locked="0"/>
    </s:xf>
    <s:xf numFmtId="0" fontId="42" fillId="0" borderId="21" xfId="0" applyFont="1" applyBorder="1"/>
    <s:xf numFmtId="0" fontId="42" fillId="10" borderId="18" xfId="0" applyFont="1" applyFill="1" applyBorder="1"/>
    <s:xf numFmtId="0" fontId="42" fillId="10" borderId="21" xfId="0" applyFont="1" applyFill="1" applyBorder="1"/>
    <s:xf numFmtId="0" fontId="42" fillId="0" borderId="88" xfId="0" applyFont="1" applyBorder="1" applyProtection="1">
      <s:protection locked="0"/>
    </s:xf>
    <s:xf numFmtId="0" fontId="42" fillId="0" borderId="21" xfId="0" applyFont="1" applyBorder="1" applyProtection="1">
      <s:protection locked="0"/>
    </s:xf>
    <s:xf numFmtId="0" fontId="42" fillId="10" borderId="0" xfId="0" applyFont="1" applyFill="1" applyProtection="1">
      <s:protection locked="0"/>
    </s:xf>
    <s:xf numFmtId="0" fontId="42" fillId="10" borderId="21" xfId="0" applyFont="1" applyFill="1" applyBorder="1" applyProtection="1">
      <s:protection locked="0"/>
    </s:xf>
    <s:xf numFmtId="3" fontId="32" fillId="25" borderId="17" xfId="0" applyNumberFormat="1" applyFont="1" applyFill="1" applyBorder="1" applyAlignment="1" applyProtection="1">
      <s:alignment horizontal="center" mc:Ignorable="vyd"/>
      <s:protection hidden="1"/>
    </s:xf>
    <s:xf numFmtId="0" fontId="41" fillId="20" borderId="92" xfId="0" applyFont="1" applyFill="1" applyBorder="1" applyProtection="1">
      <s:protection locked="0"/>
    </s:xf>
    <s:xf numFmtId="0" fontId="42" fillId="0" borderId="93" xfId="0" applyFont="1" applyBorder="1" applyProtection="1">
      <s:protection locked="0"/>
    </s:xf>
    <s:xf numFmtId="3" fontId="32" fillId="25" borderId="22" xfId="0" applyNumberFormat="1" applyFont="1" applyFill="1" applyBorder="1" applyAlignment="1" applyProtection="1">
      <s:alignment horizontal="center" mc:Ignorable="vyd"/>
      <s:protection hidden="1"/>
    </s:xf>
    <s:xf numFmtId="4" fontId="32" fillId="26" borderId="94" xfId="0" applyNumberFormat="1" applyFont="1" applyFill="1" applyBorder="1" applyAlignment="1" applyProtection="1">
      <s:alignment horizontal="center" mc:Ignorable="vyd"/>
      <s:protection hidden="1"/>
    </s:xf>
    <s:xf numFmtId="3" fontId="32" fillId="26" borderId="91" xfId="0" applyNumberFormat="1" applyFont="1" applyFill="1" applyBorder="1" applyAlignment="1" applyProtection="1">
      <s:alignment horizontal="center" mc:Ignorable="vyd"/>
      <s:protection hidden="1"/>
    </s:xf>
    <s:xf numFmtId="3" fontId="32" fillId="0" borderId="91" xfId="0" applyNumberFormat="1" applyFont="1" applyBorder="1" applyAlignment="1" applyProtection="1">
      <s:alignment horizontal="center" mc:Ignorable="vyd"/>
      <s:protection hidden="1"/>
    </s:xf>
    <s:xf numFmtId="3" fontId="17" fillId="27" borderId="95" xfId="0" applyNumberFormat="1" applyFont="1" applyFill="1" applyBorder="1" applyAlignment="1" applyProtection="1">
      <s:alignment horizontal="center" mc:Ignorable="vyd"/>
      <s:protection locked="0" hidden="1"/>
    </s:xf>
    <s:xf numFmtId="3" fontId="17" fillId="25" borderId="69" xfId="0" applyNumberFormat="1" applyFont="1" applyFill="1" applyBorder="1" applyAlignment="1" applyProtection="1">
      <s:alignment horizontal="center" mc:Ignorable="vyd"/>
      <s:protection locked="0" hidden="1"/>
    </s:xf>
    <s:xf numFmtId="3" fontId="17" fillId="25" borderId="70" xfId="0" applyNumberFormat="1" applyFont="1" applyFill="1" applyBorder="1" applyAlignment="1" applyProtection="1">
      <s:alignment horizontal="center" mc:Ignorable="vyd"/>
      <s:protection locked="0" hidden="1"/>
    </s:xf>
    <s:xf numFmtId="3" fontId="17" fillId="25" borderId="71" xfId="0" applyNumberFormat="1" applyFont="1" applyFill="1" applyBorder="1" applyAlignment="1" applyProtection="1">
      <s:alignment horizontal="center" mc:Ignorable="vyd"/>
      <s:protection locked="0" hidden="1"/>
    </s:xf>
    <s:xf numFmtId="3" fontId="17" fillId="25" borderId="69" xfId="0" applyNumberFormat="1" applyFont="1" applyFill="1" applyBorder="1" applyAlignment="1" applyProtection="1">
      <s:alignment horizontal="center" mc:Ignorable="vyd"/>
      <s:protection hidden="1"/>
    </s:xf>
    <s:xf numFmtId="4" fontId="17" fillId="25" borderId="69" xfId="0" applyNumberFormat="1" applyFont="1" applyFill="1" applyBorder="1" applyAlignment="1" applyProtection="1">
      <s:alignment horizontal="center" mc:Ignorable="vyd"/>
      <s:protection hidden="1"/>
    </s:xf>
    <s:xf numFmtId="3" fontId="17" fillId="25" borderId="80" xfId="0" applyNumberFormat="1" applyFont="1" applyFill="1" applyBorder="1" applyAlignment="1" applyProtection="1">
      <s:alignment horizontal="center" mc:Ignorable="vyd"/>
      <s:protection hidden="1"/>
    </s:xf>
    <s:xf numFmtId="0" fontId="42" fillId="28" borderId="18" xfId="0" applyFont="1" applyFill="1" applyBorder="1"/>
    <s:xf numFmtId="0" fontId="42" fillId="28" borderId="18" xfId="0" applyFont="1" applyFill="1" applyBorder="1" applyProtection="1">
      <s:protection locked="0"/>
    </s:xf>
    <s:xf numFmtId="0" fontId="3" fillId="28" borderId="18" xfId="0" applyFont="1" applyFill="1" applyBorder="1"/>
    <s:xf numFmtId="0" fontId="41" fillId="28" borderId="18" xfId="0" applyFont="1" applyFill="1" applyBorder="1"/>
    <s:xf numFmtId="0" fontId="42" fillId="28" borderId="11" xfId="0" applyFont="1" applyFill="1" applyBorder="1"/>
    <s:xf numFmtId="0" fontId="42" fillId="28" borderId="11" xfId="0" applyFont="1" applyFill="1" applyBorder="1" applyProtection="1">
      <s:protection locked="0"/>
    </s:xf>
    <s:xf numFmtId="0" fontId="42" fillId="28" borderId="48" xfId="0" applyFont="1" applyFill="1" applyBorder="1" applyProtection="1">
      <s:protection locked="0"/>
    </s:xf>
    <s:xf numFmtId="0" fontId="42" fillId="28" borderId="21" xfId="0" applyFont="1" applyFill="1" applyBorder="1"/>
    <s:xf numFmtId="3" fontId="7" fillId="28" borderId="17" xfId="0" applyNumberFormat="1" applyFont="1" applyFill="1" applyBorder="1" applyAlignment="1">
      <s:alignment horizontal="center" vertical="top" mc:Ignorable="vyd"/>
    </s:xf>
    <s:xf numFmtId="3" fontId="7" fillId="28" borderId="18" xfId="0" applyNumberFormat="1" applyFont="1" applyFill="1" applyBorder="1" applyAlignment="1">
      <s:alignment horizontal="center" vertical="top" mc:Ignorable="vyd"/>
    </s:xf>
    <s:xf numFmtId="3" fontId="7" fillId="28" borderId="14" xfId="0" applyNumberFormat="1" applyFont="1" applyFill="1" applyBorder="1" applyAlignment="1">
      <s:alignment horizontal="center" vertical="top" mc:Ignorable="vyd"/>
    </s:xf>
    <s:xf numFmtId="0" fontId="4" fillId="28" borderId="0" xfId="0" applyFont="1" applyFill="1"/>
    <s:xf numFmtId="166" fontId="4" fillId="28" borderId="0" xfId="0" applyNumberFormat="1" applyFont="1" applyFill="1"/>
    <s:xf numFmtId="3" fontId="7" fillId="28" borderId="21" xfId="0" applyNumberFormat="1" applyFont="1" applyFill="1" applyBorder="1" applyAlignment="1">
      <s:alignment horizontal="center" vertical="top" mc:Ignorable="vyd"/>
    </s:xf>
    <s:xf numFmtId="3" fontId="12" fillId="28" borderId="18" xfId="0" applyNumberFormat="1" applyFont="1" applyFill="1" applyBorder="1" applyAlignment="1">
      <s:alignment horizontal="center" vertical="top" mc:Ignorable="vyd"/>
    </s:xf>
    <s:xf numFmtId="164" fontId="4" fillId="28" borderId="0" xfId="0" applyNumberFormat="1" applyFont="1" applyFill="1"/>
    <s:xf numFmtId="2" fontId="7" fillId="0" borderId="11" xfId="0" applyNumberFormat="1" applyFont="1" applyBorder="1" applyAlignment="1">
      <s:alignment horizontal="center" vertical="top" mc:Ignorable="vyd"/>
    </s:xf>
    <s:xf numFmtId="14" fontId="33" fillId="16" borderId="96" xfId="0" applyNumberFormat="1" applyFont="1" applyFill="1" applyBorder="1" applyAlignment="1">
      <s:alignment horizontal="center" vertical="top" mc:Ignorable="vyd"/>
    </s:xf>
    <s:xf numFmtId="0" fontId="12" fillId="0" borderId="100" xfId="0" applyFont="1" applyBorder="1" applyAlignment="1">
      <s:alignment horizontal="center" vertical="center" mc:Ignorable="vyd"/>
    </s:xf>
    <s:xf numFmtId="0" fontId="7" fillId="0" borderId="101" xfId="0" applyFont="1" applyBorder="1" applyAlignment="1">
      <s:alignment horizontal="center" vertical="center" mc:Ignorable="vyd"/>
    </s:xf>
    <s:xf numFmtId="0" fontId="32" fillId="18" borderId="96" xfId="0" applyFont="1" applyFill="1" applyBorder="1" applyAlignment="1">
      <s:alignment horizontal="center" vertical="center" wrapText="1" mc:Ignorable="vyd"/>
    </s:xf>
    <s:xf numFmtId="0" fontId="32" fillId="18" borderId="104" xfId="0" applyFont="1" applyFill="1" applyBorder="1" applyAlignment="1">
      <s:alignment horizontal="center" vertical="center" wrapText="1" mc:Ignorable="vyd"/>
    </s:xf>
    <s:xf numFmtId="0" fontId="32" fillId="18" borderId="105" xfId="0" applyFont="1" applyFill="1" applyBorder="1" applyAlignment="1">
      <s:alignment horizontal="center" vertical="center" wrapText="1" mc:Ignorable="vyd"/>
    </s:xf>
    <s:xf numFmtId="0" fontId="32" fillId="18" borderId="106" xfId="0" applyFont="1" applyFill="1" applyBorder="1" applyAlignment="1">
      <s:alignment horizontal="center" vertical="center" wrapText="1" mc:Ignorable="vyd"/>
    </s:xf>
    <s:xf numFmtId="168" fontId="17" fillId="19" borderId="96" xfId="0" applyNumberFormat="1" applyFont="1" applyFill="1" applyBorder="1" applyAlignment="1">
      <s:alignment horizontal="right" vertical="top" wrapText="1" indent="1" mc:Ignorable="vyd"/>
    </s:xf>
    <s:xf numFmtId="0" fontId="33" fillId="16" borderId="107" xfId="0" applyFont="1" applyFill="1" applyBorder="1" applyAlignment="1">
      <s:alignment horizontal="left" vertical="top" mc:Ignorable="vyd"/>
    </s:xf>
    <s:xf numFmtId="0" fontId="33" fillId="16" borderId="96" xfId="0" applyFont="1" applyFill="1" applyBorder="1" applyAlignment="1">
      <s:alignment horizontal="center" vertical="center" wrapText="1" mc:Ignorable="vyd"/>
    </s:xf>
    <s:xf numFmtId="0" fontId="33" fillId="16" borderId="96" xfId="0" applyFont="1" applyFill="1" applyBorder="1" applyAlignment="1">
      <s:alignment horizontal="center" vertical="center" mc:Ignorable="vyd"/>
    </s:xf>
    <s:xf numFmtId="0" fontId="33" fillId="16" borderId="96" xfId="0" applyFont="1" applyFill="1" applyBorder="1" applyAlignment="1">
      <s:alignment horizontal="left" vertical="top" mc:Ignorable="vyd"/>
    </s:xf>
    <s:xf numFmtId="10" fontId="33" fillId="16" borderId="96" xfId="0" applyNumberFormat="1" applyFont="1" applyFill="1" applyBorder="1" applyAlignment="1">
      <s:alignment horizontal="center" vertical="top" mc:Ignorable="vyd"/>
    </s:xf>
    <s:xf numFmtId="4" fontId="33" fillId="16" borderId="96" xfId="0" applyNumberFormat="1" applyFont="1" applyFill="1" applyBorder="1" applyAlignment="1">
      <s:alignment horizontal="center" vertical="top" mc:Ignorable="vyd"/>
    </s:xf>
    <s:xf numFmtId="0" fontId="33" fillId="16" borderId="96" xfId="0" applyFont="1" applyFill="1" applyBorder="1" applyAlignment="1">
      <s:alignment horizontal="left" vertical="top" wrapText="1" mc:Ignorable="vyd"/>
    </s:xf>
    <s:xf numFmtId="0" fontId="33" fillId="16" borderId="96" xfId="0" applyFont="1" applyFill="1" applyBorder="1" applyAlignment="1">
      <s:alignment horizontal="left" vertical="center" wrapText="1" mc:Ignorable="vyd"/>
    </s:xf>
    <s:xf numFmtId="0" fontId="0" fillId="0" borderId="51" xfId="0" applyBorder="1"/>
    <s:xf numFmtId="0" fontId="33" fillId="16" borderId="107" xfId="0" applyFont="1" applyFill="1" applyBorder="1" applyAlignment="1">
      <s:alignment horizontal="center" vertical="center" wrapText="1" mc:Ignorable="vyd"/>
    </s:xf>
    <s:xf numFmtId="4" fontId="33" fillId="16" borderId="96" xfId="0" applyNumberFormat="1" applyFont="1" applyFill="1" applyBorder="1" applyAlignment="1">
      <s:alignment horizontal="right" vertical="top" mc:Ignorable="vyd"/>
    </s:xf>
    <s:xf numFmtId="1" fontId="33" fillId="16" borderId="96" xfId="0" applyNumberFormat="1" applyFont="1" applyFill="1" applyBorder="1" applyAlignment="1">
      <s:alignment horizontal="center" vertical="top" mc:Ignorable="vyd"/>
    </s:xf>
    <s:xf numFmtId="169" fontId="33" fillId="16" borderId="96" xfId="0" applyNumberFormat="1" applyFont="1" applyFill="1" applyBorder="1" applyAlignment="1">
      <s:alignment horizontal="center" vertical="top" mc:Ignorable="vyd"/>
    </s:xf>
    <s:xf numFmtId="2" fontId="33" fillId="16" borderId="96" xfId="0" applyNumberFormat="1" applyFont="1" applyFill="1" applyBorder="1" applyAlignment="1">
      <s:alignment horizontal="center" vertical="top" mc:Ignorable="vyd"/>
    </s:xf>
    <s:xf numFmtId="4" fontId="34" fillId="16" borderId="96" xfId="0" applyNumberFormat="1" applyFont="1" applyFill="1" applyBorder="1" applyAlignment="1">
      <s:alignment horizontal="right" vertical="top" indent="1" mc:Ignorable="vyd"/>
    </s:xf>
    <s:xf numFmtId="169" fontId="33" fillId="16" borderId="96" xfId="0" applyNumberFormat="1" applyFont="1" applyFill="1" applyBorder="1" applyAlignment="1">
      <s:alignment horizontal="center" vertical="center" wrapText="1" mc:Ignorable="vyd"/>
    </s:xf>
    <s:xf numFmtId="0" fontId="7" fillId="16" borderId="107" xfId="0" applyFont="1" applyFill="1" applyBorder="1" applyAlignment="1">
      <s:alignment horizontal="left" mc:Ignorable="vyd"/>
    </s:xf>
    <s:xf numFmtId="0" fontId="7" fillId="16" borderId="107" xfId="0" applyFont="1" applyFill="1" applyBorder="1" applyAlignment="1">
      <s:alignment horizontal="center" vertical="center" wrapText="1" mc:Ignorable="vyd"/>
    </s:xf>
    <s:xf numFmtId="2" fontId="34" fillId="16" borderId="96" xfId="0" applyNumberFormat="1" applyFont="1" applyFill="1" applyBorder="1" applyAlignment="1">
      <s:alignment horizontal="right" vertical="top" indent="1" mc:Ignorable="vyd"/>
    </s:xf>
    <s:xf numFmtId="3" fontId="33" fillId="16" borderId="96" xfId="0" applyNumberFormat="1" applyFont="1" applyFill="1" applyBorder="1" applyAlignment="1">
      <s:alignment horizontal="left" vertical="top" mc:Ignorable="vyd"/>
    </s:xf>
    <s:xf numFmtId="169" fontId="33" fillId="16" borderId="96" xfId="0" applyNumberFormat="1" applyFont="1" applyFill="1" applyBorder="1" applyAlignment="1">
      <s:alignment vertical="top" mc:Ignorable="vyd"/>
    </s:xf>
    <s:xf numFmtId="4" fontId="7" fillId="16" borderId="96" xfId="0" applyNumberFormat="1" applyFont="1" applyFill="1" applyBorder="1" applyAlignment="1">
      <s:alignment vertical="top" mc:Ignorable="vyd"/>
    </s:xf>
    <s:xf numFmtId="4" fontId="33" fillId="16" borderId="96" xfId="0" applyNumberFormat="1" applyFont="1" applyFill="1" applyBorder="1" applyAlignment="1">
      <s:alignment horizontal="right" vertical="center" wrapText="1" mc:Ignorable="vyd"/>
    </s:xf>
    <s:xf numFmtId="0" fontId="32" fillId="18" borderId="53" xfId="0" applyFont="1" applyFill="1" applyBorder="1" applyAlignment="1">
      <s:alignment horizontal="center" vertical="center" wrapText="1" mc:Ignorable="vyd"/>
    </s:xf>
    <s:xf numFmtId="168" fontId="17" fillId="0" borderId="108" xfId="0" applyNumberFormat="1" applyFont="1" applyBorder="1" applyAlignment="1">
      <s:alignment horizontal="right" vertical="top" wrapText="1" indent="1" mc:Ignorable="vyd"/>
    </s:xf>
    <s:xf numFmtId="168" fontId="17" fillId="19" borderId="109" xfId="0" applyNumberFormat="1" applyFont="1" applyFill="1" applyBorder="1" applyAlignment="1">
      <s:alignment horizontal="right" vertical="top" wrapText="1" indent="1" mc:Ignorable="vyd"/>
    </s:xf>
    <s:xf numFmtId="4" fontId="44" fillId="0" borderId="18" xfId="0" applyNumberFormat="1" applyFont="1" applyBorder="1" applyAlignment="1">
      <s:alignment horizontal="center" vertical="top" mc:Ignorable="vyd"/>
    </s:xf>
    <s:xf numFmtId="4" fontId="44" fillId="0" borderId="11" xfId="0" applyNumberFormat="1" applyFont="1" applyBorder="1" applyAlignment="1">
      <s:alignment horizontal="center" vertical="top" mc:Ignorable="vyd"/>
    </s:xf>
    <s:xf numFmtId="3" fontId="44" fillId="28" borderId="14" xfId="0" applyNumberFormat="1" applyFont="1" applyFill="1" applyBorder="1" applyAlignment="1">
      <s:alignment horizontal="center" vertical="top" mc:Ignorable="vyd"/>
    </s:xf>
    <s:xf numFmtId="3" fontId="44" fillId="28" borderId="17" xfId="0" applyNumberFormat="1" applyFont="1" applyFill="1" applyBorder="1" applyAlignment="1">
      <s:alignment horizontal="center" vertical="top" mc:Ignorable="vyd"/>
    </s:xf>
    <s:xf numFmtId="2" fontId="20" fillId="16" borderId="96" xfId="0" applyNumberFormat="1" applyFont="1" applyFill="1" applyBorder="1" applyAlignment="1">
      <s:alignment horizontal="right" vertical="top" indent="1" mc:Ignorable="vyd"/>
    </s:xf>
    <s:xf numFmtId="3" fontId="33" fillId="16" borderId="0" xfId="0" applyNumberFormat="1" applyFont="1" applyFill="1" applyAlignment="1">
      <s:alignment horizontal="left" vertical="top" mc:Ignorable="vyd"/>
    </s:xf>
    <s:xf numFmtId="2" fontId="20" fillId="16" borderId="0" xfId="0" applyNumberFormat="1" applyFont="1" applyFill="1" applyAlignment="1">
      <s:alignment horizontal="right" vertical="top" indent="1" mc:Ignorable="vyd"/>
    </s:xf>
    <s:xf numFmtId="0" fontId="33" fillId="16" borderId="0" xfId="0" applyFont="1" applyFill="1" applyAlignment="1">
      <s:alignment vertical="center" mc:Ignorable="vyd"/>
    </s:xf>
    <s:xf numFmtId="169" fontId="33" fillId="16" borderId="0" xfId="0" applyNumberFormat="1" applyFont="1" applyFill="1" applyAlignment="1">
      <s:alignment vertical="center" wrapText="1" mc:Ignorable="vyd"/>
    </s:xf>
    <s:xf numFmtId="0" fontId="7" fillId="16" borderId="0" xfId="0" applyFont="1" applyFill="1" applyAlignment="1">
      <s:alignment vertical="top" mc:Ignorable="vyd"/>
    </s:xf>
    <s:xf numFmtId="0" fontId="2" fillId="0" borderId="0" xfId="0" applyFont="1"/>
    <s:xf numFmtId="4" fontId="33" fillId="16" borderId="0" xfId="0" applyNumberFormat="1" applyFont="1" applyFill="1" applyAlignment="1">
      <s:alignment horizontal="center" vertical="top" mc:Ignorable="vyd"/>
    </s:xf>
    <s:xf numFmtId="0" fontId="33" fillId="16" borderId="0" xfId="0" applyFont="1" applyFill="1" applyAlignment="1">
      <s:alignment horizontal="center" vertical="top" wrapText="1" mc:Ignorable="vyd"/>
    </s:xf>
    <s:xf numFmtId="10" fontId="33" fillId="29" borderId="96" xfId="0" applyNumberFormat="1" applyFont="1" applyFill="1" applyBorder="1" applyAlignment="1">
      <s:alignment horizontal="center" vertical="top" mc:Ignorable="vyd"/>
    </s:xf>
    <s:xf numFmtId="10" fontId="33" fillId="29" borderId="96" xfId="0" applyNumberFormat="1" applyFont="1" applyFill="1" applyBorder="1" applyAlignment="1">
      <s:alignment horizontal="center" vertical="top" wrapText="1" mc:Ignorable="vyd"/>
    </s:xf>
    <s:xf numFmtId="4" fontId="45" fillId="30" borderId="0" xfId="0" applyNumberFormat="1" applyFont="1" applyFill="1" applyAlignment="1">
      <s:alignment horizontal="left" vertical="center" wrapText="1" mc:Ignorable="vyd"/>
    </s:xf>
    <s:xf numFmtId="2" fontId="44" fillId="30" borderId="0" xfId="0" applyNumberFormat="1" applyFont="1" applyFill="1" applyAlignment="1">
      <s:alignment horizontal="left" mc:Ignorable="vyd"/>
    </s:xf>
    <s:xf numFmtId="0" fontId="34" fillId="16" borderId="0" xfId="0" applyFont="1" applyFill="1" applyAlignment="1">
      <s:alignment horizontal="left" mc:Ignorable="vyd"/>
    </s:xf>
    <s:xf numFmtId="0" fontId="33" fillId="16" borderId="0" xfId="0" applyFont="1" applyFill="1" applyAlignment="1">
      <s:alignment horizontal="center" wrapText="1" mc:Ignorable="vyd"/>
    </s:xf>
    <s:xf numFmtId="0" fontId="33" fillId="16" borderId="0" xfId="0" applyFont="1" applyFill="1" applyAlignment="1">
      <s:alignment horizontal="left" mc:Ignorable="vyd"/>
    </s:xf>
    <s:xf numFmtId="4" fontId="45" fillId="30" borderId="0" xfId="0" applyNumberFormat="1" applyFont="1" applyFill="1" applyAlignment="1">
      <s:alignment horizontal="left" mc:Ignorable="vyd"/>
    </s:xf>
    <s:xf numFmtId="0" fontId="0" fillId="0" borderId="102" xfId="0" applyBorder="1"/>
    <s:xf numFmtId="0" fontId="3" fillId="0" borderId="107" xfId="0" applyFont="1" applyBorder="1"/>
    <s:xf numFmtId="0" fontId="33" fillId="16" borderId="4" xfId="0" applyFont="1" applyFill="1" applyBorder="1" applyAlignment="1">
      <s:alignment horizontal="center" vertical="center" wrapText="1" mc:Ignorable="vyd"/>
    </s:xf>
    <s:xf numFmtId="0" fontId="0" fillId="0" borderId="5" xfId="0" applyBorder="1"/>
    <s:xf numFmtId="4" fontId="7" fillId="28" borderId="19" xfId="0" applyNumberFormat="1" applyFont="1" applyFill="1" applyBorder="1" applyAlignment="1">
      <s:alignment horizontal="center" vertical="top" mc:Ignorable="vyd"/>
    </s:xf>
    <s:xf numFmtId="0" fontId="7" fillId="7" borderId="103" xfId="0" applyFont="1" applyFill="1" applyBorder="1" applyAlignment="1">
      <s:alignment horizontal="center" vertical="top" wrapText="1" mc:Ignorable="vyd"/>
    </s:xf>
    <s:xf numFmtId="0" fontId="7" fillId="7" borderId="119" xfId="0" applyFont="1" applyFill="1" applyBorder="1" applyAlignment="1">
      <s:alignment horizontal="center" vertical="top" wrapText="1" mc:Ignorable="vyd"/>
    </s:xf>
    <s:xf numFmtId="3" fontId="7" fillId="28" borderId="103" xfId="0" applyNumberFormat="1" applyFont="1" applyFill="1" applyBorder="1" applyAlignment="1">
      <s:alignment horizontal="center" vertical="top" mc:Ignorable="vyd"/>
    </s:xf>
    <s:xf numFmtId="3" fontId="7" fillId="28" borderId="49" xfId="0" applyNumberFormat="1" applyFont="1" applyFill="1" applyBorder="1" applyAlignment="1">
      <s:alignment horizontal="center" vertical="top" mc:Ignorable="vyd"/>
    </s:xf>
    <s:xf numFmtId="3" fontId="7" fillId="28" borderId="32" xfId="0" applyNumberFormat="1" applyFont="1" applyFill="1" applyBorder="1" applyAlignment="1">
      <s:alignment horizontal="center" vertical="top" mc:Ignorable="vyd"/>
    </s:xf>
    <s:xf numFmtId="3" fontId="44" fillId="28" borderId="49" xfId="0" applyNumberFormat="1" applyFont="1" applyFill="1" applyBorder="1" applyAlignment="1">
      <s:alignment horizontal="center" vertical="top" mc:Ignorable="vyd"/>
    </s:xf>
    <s:xf numFmtId="3" fontId="44" fillId="28" borderId="120" xfId="0" applyNumberFormat="1" applyFont="1" applyFill="1" applyBorder="1" applyAlignment="1">
      <s:alignment horizontal="center" vertical="top" mc:Ignorable="vyd"/>
    </s:xf>
    <s:xf numFmtId="3" fontId="7" fillId="28" borderId="20" xfId="0" applyNumberFormat="1" applyFont="1" applyFill="1" applyBorder="1" applyAlignment="1">
      <s:alignment horizontal="center" vertical="top" mc:Ignorable="vyd"/>
    </s:xf>
    <s:xf numFmtId="3" fontId="12" fillId="28" borderId="20" xfId="0" applyNumberFormat="1" applyFont="1" applyFill="1" applyBorder="1" applyAlignment="1">
      <s:alignment horizontal="center" vertical="top" mc:Ignorable="vyd"/>
    </s:xf>
    <s:xf numFmtId="4" fontId="2" fillId="0" borderId="96" xfId="0" applyNumberFormat="1" applyFont="1" applyBorder="1"/>
    <s:xf numFmtId="4" fontId="33" fillId="16" borderId="96" xfId="0" applyNumberFormat="1" applyFont="1" applyFill="1" applyBorder="1" applyAlignment="1">
      <s:alignment horizontal="right" vertical="top" wrapText="1" mc:Ignorable="vyd"/>
    </s:xf>
    <s:xf numFmtId="4" fontId="45" fillId="30" borderId="54" xfId="0" applyNumberFormat="1" applyFont="1" applyFill="1" applyBorder="1" applyAlignment="1">
      <s:alignment horizontal="left" mc:Ignorable="vyd"/>
    </s:xf>
    <s:xf numFmtId="10" fontId="33" fillId="16" borderId="96" xfId="0" applyNumberFormat="1" applyFont="1" applyFill="1" applyBorder="1" applyAlignment="1">
      <s:alignment horizontal="right" vertical="top" mc:Ignorable="vyd"/>
    </s:xf>
    <s:xf numFmtId="0" fontId="0" fillId="0" borderId="124" xfId="0" applyBorder="1"/>
    <s:xf numFmtId="4" fontId="31" fillId="0" borderId="96" xfId="0" applyNumberFormat="1" applyFont="1" applyBorder="1"/>
    <s:xf numFmtId="0" fontId="7" fillId="16" borderId="107" xfId="0" applyFont="1" applyFill="1" applyBorder="1" applyAlignment="1">
      <s:alignment horizontal="left" vertical="top" mc:Ignorable="vyd"/>
    </s:xf>
    <s:xf numFmtId="2" fontId="34" fillId="16" borderId="96" xfId="0" applyNumberFormat="1" applyFont="1" applyFill="1" applyBorder="1" applyAlignment="1">
      <s:alignment horizontal="right" vertical="top" mc:Ignorable="vyd"/>
    </s:xf>
    <s:xf numFmtId="0" fontId="0" fillId="0" borderId="51" xfId="0" applyBorder="1" applyAlignment="1">
      <s:alignment vertical="top" mc:Ignorable="vyd"/>
    </s:xf>
    <s:xf numFmtId="0" fontId="0" fillId="0" borderId="0" xfId="0" applyAlignment="1">
      <s:alignment vertical="top" mc:Ignorable="vyd"/>
    </s:xf>
    <s:xf numFmtId="0" fontId="7" fillId="16" borderId="107" xfId="0" applyFont="1" applyFill="1" applyBorder="1" applyAlignment="1">
      <s:alignment horizontal="center" vertical="top" wrapText="1" mc:Ignorable="vyd"/>
    </s:xf>
    <s:xf numFmtId="0" fontId="3" fillId="0" borderId="0" xfId="0" applyFont="1" applyAlignment="1">
      <s:alignment vertical="top" mc:Ignorable="vyd"/>
    </s:xf>
    <s:xf numFmtId="0" fontId="33" fillId="16" borderId="107" xfId="0" applyFont="1" applyFill="1" applyBorder="1" applyAlignment="1">
      <s:alignment horizontal="center" vertical="top" wrapText="1" mc:Ignorable="vyd"/>
    </s:xf>
    <s:xf numFmtId="4" fontId="34" fillId="16" borderId="96" xfId="0" applyNumberFormat="1" applyFont="1" applyFill="1" applyBorder="1" applyAlignment="1">
      <s:alignment horizontal="right" vertical="top" mc:Ignorable="vyd"/>
    </s:xf>
    <s:xf numFmtId="0" fontId="33" fillId="16" borderId="96" xfId="0" applyFont="1" applyFill="1" applyBorder="1" applyAlignment="1">
      <s:alignment horizontal="center" vertical="top" wrapText="1" mc:Ignorable="vyd"/>
    </s:xf>
    <s:xf numFmtId="169" fontId="33" fillId="16" borderId="96" xfId="0" applyNumberFormat="1" applyFont="1" applyFill="1" applyBorder="1" applyAlignment="1">
      <s:alignment horizontal="center" vertical="top" wrapText="1" mc:Ignorable="vyd"/>
    </s:xf>
    <s:xf numFmtId="0" fontId="34" fillId="16" borderId="54" xfId="0" applyFont="1" applyFill="1" applyBorder="1" applyAlignment="1">
      <s:alignment horizontal="left" mc:Ignorable="vyd"/>
    </s:xf>
    <s:xf numFmtId="0" fontId="33" fillId="16" borderId="54" xfId="0" applyFont="1" applyFill="1" applyBorder="1" applyAlignment="1">
      <s:alignment horizontal="left" mc:Ignorable="vyd"/>
    </s:xf>
    <s:xf numFmtId="4" fontId="45" fillId="30" borderId="0" xfId="0" applyNumberFormat="1" applyFont="1" applyFill="1" applyAlignment="1">
      <s:alignment horizontal="left" wrapText="1" mc:Ignorable="vyd"/>
    </s:xf>
    <s:xf numFmtId="0" fontId="12" fillId="13" borderId="126" xfId="0" applyFont="1" applyFill="1" applyBorder="1" applyAlignment="1">
      <s:alignment horizontal="center" vertical="center" wrapText="1" mc:Ignorable="vyd"/>
    </s:xf>
    <s:xf numFmtId="0" fontId="12" fillId="8" borderId="126" xfId="0" applyFont="1" applyFill="1" applyBorder="1" applyAlignment="1">
      <s:alignment horizontal="center" vertical="center" wrapText="1" mc:Ignorable="vyd"/>
    </s:xf>
    <s:xf numFmtId="0" fontId="7" fillId="13" borderId="19" xfId="0" applyFont="1" applyFill="1" applyBorder="1" applyAlignment="1">
      <s:alignment horizontal="center" vertical="top" wrapText="1" mc:Ignorable="vyd"/>
    </s:xf>
    <s:xf numFmtId="4" fontId="7" fillId="14" borderId="19" xfId="0" applyNumberFormat="1" applyFont="1" applyFill="1" applyBorder="1" applyAlignment="1">
      <s:alignment horizontal="center" vertical="top" mc:Ignorable="vyd"/>
    </s:xf>
    <s:xf numFmtId="4" fontId="7" fillId="11" borderId="19" xfId="0" applyNumberFormat="1" applyFont="1" applyFill="1" applyBorder="1" applyAlignment="1">
      <s:alignment horizontal="center" vertical="top" mc:Ignorable="vyd"/>
    </s:xf>
    <s:xf numFmtId="0" fontId="12" fillId="8" borderId="128" xfId="0" applyFont="1" applyFill="1" applyBorder="1" applyAlignment="1">
      <s:alignment horizontal="center" vertical="center" wrapText="1" mc:Ignorable="vyd"/>
    </s:xf>
    <s:xf numFmtId="0" fontId="7" fillId="13" borderId="103" xfId="0" applyFont="1" applyFill="1" applyBorder="1" applyAlignment="1">
      <s:alignment horizontal="center" vertical="top" wrapText="1" mc:Ignorable="vyd"/>
    </s:xf>
    <s:xf numFmtId="0" fontId="7" fillId="13" borderId="126" xfId="0" applyFont="1" applyFill="1" applyBorder="1" applyAlignment="1">
      <s:alignment horizontal="center" vertical="top" wrapText="1" mc:Ignorable="vyd"/>
    </s:xf>
    <s:xf numFmtId="0" fontId="7" fillId="7" borderId="20" xfId="0" applyFont="1" applyFill="1" applyBorder="1" applyAlignment="1">
      <s:alignment horizontal="center" vertical="top" wrapText="1" mc:Ignorable="vyd"/>
    </s:xf>
    <s:xf numFmtId="3" fontId="7" fillId="0" borderId="130" xfId="0" applyNumberFormat="1" applyFont="1" applyBorder="1" applyAlignment="1">
      <s:alignment horizontal="center" vertical="top" mc:Ignorable="vyd"/>
    </s:xf>
    <s:xf numFmtId="3" fontId="7" fillId="0" borderId="49" xfId="0" applyNumberFormat="1" applyFont="1" applyBorder="1" applyAlignment="1">
      <s:alignment horizontal="center" vertical="top" mc:Ignorable="vyd"/>
    </s:xf>
    <s:xf numFmtId="3" fontId="44" fillId="0" borderId="49" xfId="0" applyNumberFormat="1" applyFont="1" applyBorder="1" applyAlignment="1">
      <s:alignment horizontal="center" vertical="top" mc:Ignorable="vyd"/>
    </s:xf>
    <s:xf numFmtId="3" fontId="7" fillId="0" borderId="131" xfId="0" applyNumberFormat="1" applyFont="1" applyBorder="1" applyAlignment="1">
      <s:alignment horizontal="center" vertical="top" mc:Ignorable="vyd"/>
    </s:xf>
    <s:xf numFmtId="3" fontId="7" fillId="0" borderId="132" xfId="0" applyNumberFormat="1" applyFont="1" applyBorder="1" applyAlignment="1">
      <s:alignment horizontal="center" vertical="top" mc:Ignorable="vyd"/>
    </s:xf>
    <s:xf numFmtId="3" fontId="7" fillId="0" borderId="120" xfId="0" applyNumberFormat="1" applyFont="1" applyBorder="1" applyAlignment="1">
      <s:alignment horizontal="center" vertical="top" mc:Ignorable="vyd"/>
    </s:xf>
    <s:xf numFmtId="3" fontId="44" fillId="0" borderId="20" xfId="0" applyNumberFormat="1" applyFont="1" applyBorder="1" applyAlignment="1">
      <s:alignment horizontal="center" vertical="top" mc:Ignorable="vyd"/>
    </s:xf>
    <s:xf numFmtId="3" fontId="7" fillId="0" borderId="20" xfId="0" applyNumberFormat="1" applyFont="1" applyBorder="1" applyAlignment="1">
      <s:alignment horizontal="center" vertical="top" mc:Ignorable="vyd"/>
    </s:xf>
    <s:xf numFmtId="3" fontId="7" fillId="0" borderId="126" xfId="0" applyNumberFormat="1" applyFont="1" applyBorder="1" applyAlignment="1">
      <s:alignment horizontal="center" vertical="top" mc:Ignorable="vyd"/>
    </s:xf>
    <s:xf numFmtId="3" fontId="7" fillId="0" borderId="103" xfId="0" applyNumberFormat="1" applyFont="1" applyBorder="1" applyAlignment="1">
      <s:alignment horizontal="center" vertical="top" mc:Ignorable="vyd"/>
    </s:xf>
    <s:xf numFmtId="3" fontId="7" fillId="10" borderId="103" xfId="0" applyNumberFormat="1" applyFont="1" applyFill="1" applyBorder="1" applyAlignment="1">
      <s:alignment horizontal="center" vertical="top" mc:Ignorable="vyd"/>
    </s:xf>
    <s:xf numFmtId="3" fontId="7" fillId="11" borderId="121" xfId="0" applyNumberFormat="1" applyFont="1" applyFill="1" applyBorder="1" applyAlignment="1">
      <s:alignment horizontal="center" vertical="top" mc:Ignorable="vyd"/>
    </s:xf>
    <s:xf numFmtId="3" fontId="7" fillId="11" borderId="122" xfId="0" applyNumberFormat="1" applyFont="1" applyFill="1" applyBorder="1" applyAlignment="1">
      <s:alignment horizontal="center" vertical="top" mc:Ignorable="vyd"/>
    </s:xf>
    <s:xf numFmtId="3" fontId="7" fillId="11" borderId="123" xfId="0" applyNumberFormat="1" applyFont="1" applyFill="1" applyBorder="1" applyAlignment="1">
      <s:alignment horizontal="center" vertical="top" mc:Ignorable="vyd"/>
    </s:xf>
    <s:xf numFmtId="0" fontId="12" fillId="13" borderId="12" xfId="0" applyFont="1" applyFill="1" applyBorder="1" applyAlignment="1">
      <s:alignment horizontal="center" vertical="center" wrapText="1" mc:Ignorable="vyd"/>
    </s:xf>
    <s:xf numFmtId="0" fontId="12" fillId="8" borderId="130" xfId="0" applyFont="1" applyFill="1" applyBorder="1" applyAlignment="1">
      <s:alignment horizontal="center" vertical="center" wrapText="1" mc:Ignorable="vyd"/>
    </s:xf>
    <s:xf numFmtId="0" fontId="12" fillId="8" borderId="133" xfId="0" applyFont="1" applyFill="1" applyBorder="1" applyAlignment="1">
      <s:alignment horizontal="center" vertical="center" wrapText="1" mc:Ignorable="vyd"/>
    </s:xf>
    <s:xf numFmtId="0" fontId="12" fillId="13" borderId="137" xfId="0" applyFont="1" applyFill="1" applyBorder="1" applyAlignment="1">
      <s:alignment horizontal="center" vertical="center" wrapText="1" mc:Ignorable="vyd"/>
    </s:xf>
    <s:xf numFmtId="0" fontId="7" fillId="13" borderId="138" xfId="0" applyFont="1" applyFill="1" applyBorder="1" applyAlignment="1">
      <s:alignment horizontal="center" vertical="top" wrapText="1" mc:Ignorable="vyd"/>
    </s:xf>
    <s:xf numFmtId="10" fontId="7" fillId="0" borderId="138" xfId="0" applyNumberFormat="1" applyFont="1" applyBorder="1" applyAlignment="1">
      <s:alignment horizontal="center" vertical="top" mc:Ignorable="vyd"/>
    </s:xf>
    <s:xf numFmtId="166" fontId="7" fillId="11" borderId="139" xfId="0" applyNumberFormat="1" applyFont="1" applyFill="1" applyBorder="1" applyAlignment="1">
      <s:alignment horizontal="center" vertical="top" mc:Ignorable="vyd"/>
    </s:xf>
    <s:xf numFmtId="0" fontId="23" fillId="13" borderId="126" xfId="0" applyFont="1" applyFill="1" applyBorder="1" applyAlignment="1">
      <s:alignment horizontal="center" vertical="center" wrapText="1" mc:Ignorable="vyd"/>
    </s:xf>
    <s:xf numFmtId="0" fontId="12" fillId="13" borderId="138" xfId="0" applyFont="1" applyFill="1" applyBorder="1" applyAlignment="1">
      <s:alignment horizontal="center" vertical="center" wrapText="1" mc:Ignorable="vyd"/>
    </s:xf>
    <s:xf numFmtId="9" fontId="3" fillId="0" borderId="138" xfId="0" applyNumberFormat="1" applyFont="1" applyBorder="1" applyAlignment="1">
      <s:alignment horizontal="center" vertical="center" mc:Ignorable="vyd"/>
    </s:xf>
    <s:xf numFmtId="9" fontId="3" fillId="11" borderId="139" xfId="1" applyFont="1" applyFill="1" applyBorder="1" applyAlignment="1" applyProtection="1">
      <s:alignment horizontal="center" vertical="center" mc:Ignorable="vyd"/>
    </s:xf>
    <s:xf numFmtId="0" fontId="12" fillId="13" borderId="127" xfId="0" applyFont="1" applyFill="1" applyBorder="1" applyAlignment="1">
      <s:alignment horizontal="center" vertical="center" wrapText="1" mc:Ignorable="vyd"/>
    </s:xf>
    <s:xf numFmtId="0" fontId="12" fillId="13" borderId="128" xfId="0" applyFont="1" applyFill="1" applyBorder="1" applyAlignment="1">
      <s:alignment horizontal="center" vertical="center" wrapText="1" mc:Ignorable="vyd"/>
    </s:xf>
    <s:xf numFmtId="0" fontId="23" fillId="13" borderId="128" xfId="0" applyFont="1" applyFill="1" applyBorder="1" applyAlignment="1">
      <s:alignment horizontal="center" vertical="center" wrapText="1" mc:Ignorable="vyd"/>
    </s:xf>
    <s:xf numFmtId="0" fontId="23" fillId="13" borderId="129" xfId="0" applyFont="1" applyFill="1" applyBorder="1" applyAlignment="1">
      <s:alignment horizontal="center" vertical="center" wrapText="1" mc:Ignorable="vyd"/>
    </s:xf>
    <s:xf numFmtId="0" fontId="12" fillId="13" borderId="103" xfId="0" applyFont="1" applyFill="1" applyBorder="1" applyAlignment="1">
      <s:alignment horizontal="center" vertical="top" wrapText="1" mc:Ignorable="vyd"/>
    </s:xf>
    <s:xf numFmtId="0" fontId="12" fillId="13" borderId="20" xfId="0" applyFont="1" applyFill="1" applyBorder="1" applyAlignment="1">
      <s:alignment horizontal="center" vertical="top" wrapText="1" mc:Ignorable="vyd"/>
    </s:xf>
    <s:xf numFmtId="3" fontId="24" fillId="0" borderId="103" xfId="0" applyNumberFormat="1" applyFont="1" applyBorder="1" applyAlignment="1">
      <s:alignment horizontal="center" mc:Ignorable="vyd"/>
    </s:xf>
    <s:xf numFmtId="164" fontId="7" fillId="0" borderId="20" xfId="0" applyNumberFormat="1" applyFont="1" applyBorder="1" applyAlignment="1">
      <s:alignment horizontal="right" mc:Ignorable="vyd"/>
    </s:xf>
    <s:xf numFmtId="3" fontId="24" fillId="0" borderId="107" xfId="0" applyNumberFormat="1" applyFont="1" applyBorder="1" applyAlignment="1">
      <s:alignment horizontal="center" mc:Ignorable="vyd"/>
    </s:xf>
    <s:xf numFmtId="3" fontId="24" fillId="14" borderId="103" xfId="0" applyNumberFormat="1" applyFont="1" applyFill="1" applyBorder="1" applyAlignment="1">
      <s:alignment horizontal="center" mc:Ignorable="vyd"/>
    </s:xf>
    <s:xf numFmtId="164" fontId="7" fillId="10" borderId="20" xfId="0" applyNumberFormat="1" applyFont="1" applyFill="1" applyBorder="1" applyAlignment="1">
      <s:alignment horizontal="right" mc:Ignorable="vyd"/>
    </s:xf>
    <s:xf numFmtId="3" fontId="7" fillId="11" borderId="121" xfId="0" applyNumberFormat="1" applyFont="1" applyFill="1" applyBorder="1" applyAlignment="1">
      <s:alignment horizontal="center" mc:Ignorable="vyd"/>
    </s:xf>
    <s:xf numFmtId="3" fontId="7" fillId="11" borderId="122" xfId="0" applyNumberFormat="1" applyFont="1" applyFill="1" applyBorder="1" applyAlignment="1">
      <s:alignment horizontal="center" mc:Ignorable="vyd"/>
    </s:xf>
    <s:xf numFmtId="3" fontId="7" fillId="11" borderId="122" xfId="0" applyNumberFormat="1" applyFont="1" applyFill="1" applyBorder="1" applyAlignment="1">
      <s:alignment horizontal="right" mc:Ignorable="vyd"/>
    </s:xf>
    <s:xf numFmtId="3" fontId="7" fillId="11" borderId="123" xfId="0" applyNumberFormat="1" applyFont="1" applyFill="1" applyBorder="1" applyAlignment="1">
      <s:alignment horizontal="right" mc:Ignorable="vyd"/>
    </s:xf>
    <s:xf numFmtId="2" fontId="7" fillId="0" borderId="18" xfId="0" applyNumberFormat="1" applyFont="1" applyBorder="1" applyAlignment="1">
      <s:alignment horizontal="center" vertical="top" mc:Ignorable="vyd"/>
    </s:xf>
    <s:xf numFmtId="3" fontId="7" fillId="28" borderId="36" xfId="0" applyNumberFormat="1" applyFont="1" applyFill="1" applyBorder="1" applyAlignment="1">
      <s:alignment horizontal="center" vertical="top" mc:Ignorable="vyd"/>
    </s:xf>
    <s:xf numFmtId="4" fontId="7" fillId="28" borderId="23" xfId="0" applyNumberFormat="1" applyFont="1" applyFill="1" applyBorder="1" applyAlignment="1">
      <s:alignment horizontal="center" vertical="top" mc:Ignorable="vyd"/>
    </s:xf>
    <s:xf numFmtId="3" fontId="7" fillId="28" borderId="131" xfId="0" applyNumberFormat="1" applyFont="1" applyFill="1" applyBorder="1" applyAlignment="1">
      <s:alignment horizontal="center" vertical="top" mc:Ignorable="vyd"/>
    </s:xf>
    <s:xf numFmtId="3" fontId="7" fillId="28" borderId="22" xfId="0" applyNumberFormat="1" applyFont="1" applyFill="1" applyBorder="1" applyAlignment="1">
      <s:alignment horizontal="center" vertical="top" mc:Ignorable="vyd"/>
    </s:xf>
    <s:xf numFmtId="3" fontId="7" fillId="28" borderId="120" xfId="0" applyNumberFormat="1" applyFont="1" applyFill="1" applyBorder="1" applyAlignment="1">
      <s:alignment horizontal="center" vertical="top" mc:Ignorable="vyd"/>
    </s:xf>
    <s:xf numFmtId="3" fontId="7" fillId="9" borderId="135" xfId="0" applyNumberFormat="1" applyFont="1" applyFill="1" applyBorder="1" applyAlignment="1">
      <s:alignment horizontal="center" vertical="top" mc:Ignorable="vyd"/>
    </s:xf>
    <s:xf numFmtId="4" fontId="7" fillId="9" borderId="144" xfId="0" applyNumberFormat="1" applyFont="1" applyFill="1" applyBorder="1" applyAlignment="1">
      <s:alignment horizontal="center" vertical="top" mc:Ignorable="vyd"/>
    </s:xf>
    <s:xf numFmtId="3" fontId="7" fillId="9" borderId="134" xfId="0" applyNumberFormat="1" applyFont="1" applyFill="1" applyBorder="1" applyAlignment="1">
      <s:alignment horizontal="center" vertical="top" mc:Ignorable="vyd"/>
    </s:xf>
    <s:xf numFmtId="3" fontId="7" fillId="9" borderId="136" xfId="0" applyNumberFormat="1" applyFont="1" applyFill="1" applyBorder="1" applyAlignment="1">
      <s:alignment horizontal="center" vertical="top" mc:Ignorable="vyd"/>
    </s:xf>
    <s:xf numFmtId="3" fontId="46" fillId="9" borderId="135" xfId="0" applyNumberFormat="1" applyFont="1" applyFill="1" applyBorder="1" applyAlignment="1">
      <s:alignment horizontal="center" vertical="top" mc:Ignorable="vyd"/>
    </s:xf>
    <s:xf numFmtId="3" fontId="7" fillId="28" borderId="21" xfId="0" applyNumberFormat="1" applyFont="1" applyFill="1" applyBorder="1" applyAlignment="1">
      <s:alignment horizontal="center" mc:Ignorable="vyd"/>
    </s:xf>
    <s:xf numFmtId="0" fontId="12" fillId="8" borderId="14" xfId="0" applyFont="1" applyFill="1" applyBorder="1" applyAlignment="1">
      <s:alignment horizontal="center" vertical="center" wrapText="1" mc:Ignorable="vyd"/>
    </s:xf>
    <s:xf numFmtId="4" fontId="7" fillId="0" borderId="23" xfId="0" applyNumberFormat="1" applyFont="1" applyBorder="1" applyAlignment="1">
      <s:alignment horizontal="center" vertical="top" mc:Ignorable="vyd"/>
    </s:xf>
    <s:xf numFmtId="4" fontId="7" fillId="0" borderId="12" xfId="0" applyNumberFormat="1" applyFont="1" applyBorder="1" applyAlignment="1">
      <s:alignment horizontal="center" vertical="top" mc:Ignorable="vyd"/>
    </s:xf>
    <s:xf numFmtId="0" fontId="7" fillId="7" borderId="110" xfId="0" applyFont="1" applyFill="1" applyBorder="1" applyAlignment="1">
      <s:alignment horizontal="center" vertical="top" wrapText="1" mc:Ignorable="vyd"/>
    </s:xf>
    <s:xf numFmtId="3" fontId="7" fillId="0" borderId="145" xfId="0" applyNumberFormat="1" applyFont="1" applyBorder="1" applyAlignment="1">
      <s:alignment horizontal="center" vertical="top" mc:Ignorable="vyd"/>
    </s:xf>
    <s:xf numFmtId="3" fontId="7" fillId="0" borderId="110" xfId="0" applyNumberFormat="1" applyFont="1" applyBorder="1" applyAlignment="1">
      <s:alignment horizontal="center" vertical="top" mc:Ignorable="vyd"/>
    </s:xf>
    <s:xf numFmtId="3" fontId="7" fillId="0" borderId="107" xfId="0" applyNumberFormat="1" applyFont="1" applyBorder="1" applyAlignment="1">
      <s:alignment horizontal="center" vertical="top" mc:Ignorable="vyd"/>
    </s:xf>
    <s:xf numFmtId="3" fontId="7" fillId="0" borderId="115" xfId="0" applyNumberFormat="1" applyFont="1" applyBorder="1" applyAlignment="1">
      <s:alignment horizontal="center" vertical="top" mc:Ignorable="vyd"/>
    </s:xf>
    <s:xf numFmtId="0" fontId="12" fillId="8" borderId="107" xfId="0" applyFont="1" applyFill="1" applyBorder="1" applyAlignment="1">
      <s:alignment horizontal="center" vertical="center" wrapText="1" mc:Ignorable="vyd"/>
    </s:xf>
    <s:xf numFmtId="3" fontId="24" fillId="0" borderId="38" xfId="0" applyNumberFormat="1" applyFont="1" applyBorder="1" applyAlignment="1">
      <s:alignment horizontal="center" mc:Ignorable="vyd"/>
    </s:xf>
    <s:xf numFmtId="3" fontId="24" fillId="0" borderId="130" xfId="0" applyNumberFormat="1" applyFont="1" applyBorder="1" applyAlignment="1">
      <s:alignment horizontal="center" mc:Ignorable="vyd"/>
    </s:xf>
    <s:xf numFmtId="3" fontId="7" fillId="0" borderId="126" xfId="0" applyNumberFormat="1" applyFont="1" applyBorder="1" applyAlignment="1">
      <s:alignment horizontal="center" mc:Ignorable="vyd"/>
    </s:xf>
    <s:xf numFmtId="2" fontId="7" fillId="0" borderId="20" xfId="0" applyNumberFormat="1" applyFont="1" applyBorder="1" applyAlignment="1">
      <s:alignment horizontal="right" mc:Ignorable="vyd"/>
    </s:xf>
    <s:xf numFmtId="164" fontId="7" fillId="0" borderId="20" xfId="2" applyFont="1" applyBorder="1" applyAlignment="1" applyProtection="1">
      <s:alignment horizontal="right" mc:Ignorable="vyd"/>
    </s:xf>
    <s:xf numFmtId="0" fontId="12" fillId="13" borderId="130" xfId="0" applyFont="1" applyFill="1" applyBorder="1" applyAlignment="1">
      <s:alignment horizontal="center" vertical="center" wrapText="1" mc:Ignorable="vyd"/>
    </s:xf>
    <s:xf numFmtId="0" fontId="23" fillId="13" borderId="133" xfId="0" applyFont="1" applyFill="1" applyBorder="1" applyAlignment="1">
      <s:alignment horizontal="center" vertical="center" wrapText="1" mc:Ignorable="vyd"/>
    </s:xf>
    <s:xf numFmtId="9" fontId="6" fillId="2" borderId="147" xfId="1" applyFont="1" applyFill="1" applyBorder="1" applyAlignment="1" applyProtection="1">
      <s:alignment vertical="center" mc:Ignorable="vyd"/>
    </s:xf>
    <s:xf numFmtId="0" fontId="12" fillId="7" borderId="126" xfId="0" applyFont="1" applyFill="1" applyBorder="1" applyAlignment="1">
      <s:alignment horizontal="center" vertical="center" wrapText="1" mc:Ignorable="vyd"/>
    </s:xf>
    <s:xf numFmtId="0" fontId="12" fillId="7" borderId="12" xfId="0" applyFont="1" applyFill="1" applyBorder="1" applyAlignment="1">
      <s:alignment horizontal="center" vertical="center" wrapText="1" mc:Ignorable="vyd"/>
    </s:xf>
    <s:xf numFmtId="0" fontId="12" fillId="8" borderId="12" xfId="0" applyFont="1" applyFill="1" applyBorder="1" applyAlignment="1">
      <s:alignment horizontal="center" vertical="center" wrapText="1" mc:Ignorable="vyd"/>
    </s:xf>
    <s:xf numFmtId="0" fontId="12" fillId="8" borderId="48" xfId="0" applyFont="1" applyFill="1" applyBorder="1" applyAlignment="1">
      <s:alignment horizontal="center" vertical="center" wrapText="1" mc:Ignorable="vyd"/>
    </s:xf>
    <s:xf numFmtId="0" fontId="12" fillId="8" borderId="51" xfId="0" applyFont="1" applyFill="1" applyBorder="1" applyAlignment="1">
      <s:alignment horizontal="center" vertical="center" wrapText="1" mc:Ignorable="vyd"/>
    </s:xf>
    <s:xf numFmtId="0" fontId="7" fillId="7" borderId="107" xfId="0" applyFont="1" applyFill="1" applyBorder="1" applyAlignment="1">
      <s:alignment horizontal="center" vertical="top" wrapText="1" mc:Ignorable="vyd"/>
    </s:xf>
    <s:xf numFmtId="0" fontId="12" fillId="7" borderId="103" xfId="0" applyFont="1" applyFill="1" applyBorder="1" applyAlignment="1">
      <s:alignment horizontal="center" vertical="top" wrapText="1" mc:Ignorable="vyd"/>
    </s:xf>
    <s:xf numFmtId="3" fontId="24" fillId="28" borderId="103" xfId="0" applyNumberFormat="1" applyFont="1" applyFill="1" applyBorder="1" applyAlignment="1">
      <s:alignment horizontal="center" mc:Ignorable="vyd"/>
    </s:xf>
    <s:xf numFmtId="0" fontId="12" fillId="13" borderId="129" xfId="0" applyFont="1" applyFill="1" applyBorder="1" applyAlignment="1">
      <s:alignment horizontal="center" vertical="center" wrapText="1" mc:Ignorable="vyd"/>
    </s:xf>
    <s:xf numFmtId="0" fontId="7" fillId="7" borderId="149" xfId="0" applyFont="1" applyFill="1" applyBorder="1" applyAlignment="1">
      <s:alignment horizontal="center" vertical="top" wrapText="1" mc:Ignorable="vyd"/>
    </s:xf>
    <s:xf numFmtId="0" fontId="12" fillId="13" borderId="20" xfId="0" applyFont="1" applyFill="1" applyBorder="1" applyAlignment="1">
      <s:alignment horizontal="center" vertical="center" wrapText="1" mc:Ignorable="vyd"/>
    </s:xf>
    <s:xf numFmtId="10" fontId="7" fillId="0" borderId="103" xfId="0" applyNumberFormat="1" applyFont="1" applyBorder="1" applyAlignment="1">
      <s:alignment horizontal="center" vertical="top" mc:Ignorable="vyd"/>
    </s:xf>
    <s:xf numFmtId="9" fontId="3" fillId="0" borderId="20" xfId="0" applyNumberFormat="1" applyFont="1" applyBorder="1" applyAlignment="1">
      <s:alignment horizontal="center" vertical="center" mc:Ignorable="vyd"/>
    </s:xf>
    <s:xf numFmtId="10" fontId="7" fillId="0" borderId="38" xfId="0" applyNumberFormat="1" applyFont="1" applyBorder="1" applyAlignment="1">
      <s:alignment horizontal="center" vertical="top" mc:Ignorable="vyd"/>
    </s:xf>
    <s:xf numFmtId="9" fontId="3" fillId="0" borderId="120" xfId="0" applyNumberFormat="1" applyFont="1" applyBorder="1" applyAlignment="1">
      <s:alignment horizontal="center" vertical="center" mc:Ignorable="vyd"/>
    </s:xf>
    <s:xf numFmtId="10" fontId="7" fillId="0" borderId="131" xfId="0" applyNumberFormat="1" applyFont="1" applyBorder="1" applyAlignment="1">
      <s:alignment horizontal="center" vertical="top" mc:Ignorable="vyd"/>
    </s:xf>
    <s:xf numFmtId="9" fontId="3" fillId="0" borderId="51" xfId="0" applyNumberFormat="1" applyFont="1" applyBorder="1" applyAlignment="1">
      <s:alignment horizontal="center" vertical="center" mc:Ignorable="vyd"/>
    </s:xf>
    <s:xf numFmtId="9" fontId="3" fillId="0" borderId="20" xfId="1" applyFont="1" applyBorder="1" applyAlignment="1" applyProtection="1">
      <s:alignment horizontal="center" vertical="center" mc:Ignorable="vyd"/>
    </s:xf>
    <s:xf numFmtId="166" fontId="7" fillId="11" borderId="121" xfId="0" applyNumberFormat="1" applyFont="1" applyFill="1" applyBorder="1" applyAlignment="1">
      <s:alignment horizontal="center" vertical="top" mc:Ignorable="vyd"/>
    </s:xf>
    <s:xf numFmtId="9" fontId="3" fillId="11" borderId="123" xfId="1" applyFont="1" applyFill="1" applyBorder="1" applyAlignment="1" applyProtection="1">
      <s:alignment horizontal="center" vertical="center" mc:Ignorable="vyd"/>
    </s:xf>
    <s:xf numFmtId="0" fontId="7" fillId="0" borderId="115" xfId="0" applyFont="1" applyBorder="1" applyAlignment="1">
      <s:alignment horizontal="left" vertical="center" mc:Ignorable="vyd"/>
    </s:xf>
    <s:xf numFmtId="0" fontId="7" fillId="0" borderId="29" xfId="0" applyFont="1" applyBorder="1" applyAlignment="1">
      <s:alignment horizontal="left" vertical="center" mc:Ignorable="vyd"/>
    </s:xf>
    <s:xf numFmtId="0" fontId="7" fillId="0" borderId="50" xfId="0" applyFont="1" applyBorder="1" applyAlignment="1">
      <s:alignment horizontal="left" vertical="center" mc:Ignorable="vyd"/>
    </s:xf>
    <s:xf numFmtId="0" fontId="16" fillId="0" borderId="115" xfId="0" applyFont="1" applyBorder="1" applyAlignment="1">
      <s:alignment horizontal="left" vertical="center" mc:Ignorable="vyd"/>
    </s:xf>
    <s:xf numFmtId="0" fontId="16" fillId="0" borderId="29" xfId="0" applyFont="1" applyBorder="1" applyAlignment="1">
      <s:alignment horizontal="left" vertical="center" mc:Ignorable="vyd"/>
    </s:xf>
    <s:xf numFmtId="0" fontId="16" fillId="0" borderId="50" xfId="0" applyFont="1" applyBorder="1" applyAlignment="1">
      <s:alignment horizontal="left" vertical="center" mc:Ignorable="vyd"/>
    </s:xf>
    <s:xf numFmtId="0" fontId="16" fillId="0" borderId="116" xfId="0" applyFont="1" applyBorder="1" applyAlignment="1">
      <s:alignment horizontal="left" vertical="center" mc:Ignorable="vyd"/>
    </s:xf>
    <s:xf numFmtId="0" fontId="16" fillId="0" borderId="117" xfId="0" applyFont="1" applyBorder="1" applyAlignment="1">
      <s:alignment horizontal="left" vertical="center" mc:Ignorable="vyd"/>
    </s:xf>
    <s:xf numFmtId="0" fontId="16" fillId="0" borderId="118" xfId="0" applyFont="1" applyBorder="1" applyAlignment="1">
      <s:alignment horizontal="left" vertical="center" mc:Ignorable="vyd"/>
    </s:xf>
    <s:xf numFmtId="0" fontId="12" fillId="2" borderId="143" xfId="0" applyFont="1" applyFill="1" applyBorder="1" applyAlignment="1">
      <s:alignment horizontal="center" vertical="center" wrapText="1" mc:Ignorable="vyd"/>
    </s:xf>
    <s:xf numFmtId="0" fontId="12" fillId="2" borderId="98" xfId="0" applyFont="1" applyFill="1" applyBorder="1" applyAlignment="1">
      <s:alignment horizontal="center" vertical="center" wrapText="1" mc:Ignorable="vyd"/>
    </s:xf>
    <s:xf numFmtId="0" fontId="12" fillId="2" borderId="114" xfId="0" applyFont="1" applyFill="1" applyBorder="1" applyAlignment="1">
      <s:alignment horizontal="center" vertical="center" wrapText="1" mc:Ignorable="vyd"/>
    </s:xf>
    <s:xf numFmtId="0" fontId="42" fillId="28" borderId="34" xfId="0" applyFont="1" applyFill="1" applyBorder="1"/>
    <s:xf numFmtId="0" fontId="42" fillId="28" borderId="22" xfId="0" applyFont="1" applyFill="1" applyBorder="1"/>
    <s:xf numFmtId="0" fontId="42" fillId="28" borderId="96" xfId="0" applyFont="1" applyFill="1" applyBorder="1" applyProtection="1">
      <s:protection locked="0"/>
    </s:xf>
    <s:xf numFmtId="0" fontId="32" fillId="28" borderId="88" xfId="0" applyFont="1" applyFill="1" applyBorder="1" applyProtection="1">
      <s:protection locked="0"/>
    </s:xf>
    <s:xf numFmtId="0" fontId="32" fillId="28" borderId="90" xfId="0" applyFont="1" applyFill="1" applyBorder="1" applyProtection="1">
      <s:protection locked="0"/>
    </s:xf>
    <s:xf numFmtId="0" fontId="42" fillId="28" borderId="91" xfId="0" applyFont="1" applyFill="1" applyBorder="1" applyProtection="1">
      <s:protection locked="0"/>
    </s:xf>
    <s:xf numFmtId="0" fontId="42" fillId="28" borderId="23" xfId="0" applyFont="1" applyFill="1" applyBorder="1"/>
    <s:xf numFmtId="0" fontId="42" fillId="28" borderId="21" xfId="0" applyFont="1" applyFill="1" applyBorder="1" applyProtection="1">
      <s:protection locked="0"/>
    </s:xf>
    <s:xf numFmtId="0" fontId="32" fillId="28" borderId="18" xfId="0" applyFont="1" applyFill="1" applyBorder="1" applyProtection="1">
      <s:protection locked="0"/>
    </s:xf>
    <s:xf numFmtId="0" fontId="42" fillId="33" borderId="18" xfId="0" applyFont="1" applyFill="1" applyBorder="1"/>
    <s:xf numFmtId="0" fontId="41" fillId="33" borderId="11" xfId="0" applyFont="1" applyFill="1" applyBorder="1" applyProtection="1">
      <s:protection locked="0"/>
    </s:xf>
    <s:xf numFmtId="0" fontId="42" fillId="33" borderId="11" xfId="0" applyFont="1" applyFill="1" applyBorder="1"/>
    <s:xf numFmtId="0" fontId="42" fillId="33" borderId="34" xfId="0" applyFont="1" applyFill="1" applyBorder="1"/>
    <s:xf numFmtId="0" fontId="42" fillId="33" borderId="48" xfId="0" applyFont="1" applyFill="1" applyBorder="1" applyProtection="1">
      <s:protection locked="0"/>
    </s:xf>
    <s:xf numFmtId="0" fontId="41" fillId="33" borderId="18" xfId="0" applyFont="1" applyFill="1" applyBorder="1"/>
    <s:xf numFmtId="0" fontId="42" fillId="33" borderId="18" xfId="0" applyFont="1" applyFill="1" applyBorder="1" applyProtection="1">
      <s:protection locked="0"/>
    </s:xf>
    <s:xf numFmtId="0" fontId="12" fillId="7" borderId="14" xfId="0" applyFont="1" applyFill="1" applyBorder="1" applyAlignment="1">
      <s:alignment horizontal="center" vertical="center" wrapText="1" mc:Ignorable="vyd"/>
    </s:xf>
    <s:xf numFmtId="0" fontId="22" fillId="7" borderId="152" xfId="0" applyFont="1" applyFill="1" applyBorder="1" applyAlignment="1">
      <s:alignment horizontal="center" vertical="center" mc:Ignorable="vyd"/>
    </s:xf>
    <s:xf numFmtId="0" fontId="22" fillId="7" borderId="153" xfId="0" applyFont="1" applyFill="1" applyBorder="1" applyAlignment="1">
      <s:alignment horizontal="center" vertical="center" mc:Ignorable="vyd"/>
    </s:xf>
    <s:xf numFmtId="0" fontId="2" fillId="31" borderId="24" xfId="0" applyFont="1" applyFill="1" applyBorder="1" applyAlignment="1">
      <s:alignment horizontal="center" vertical="center" mc:Ignorable="vyd"/>
    </s:xf>
    <s:xf numFmtId="0" fontId="2" fillId="31" borderId="138" xfId="0" applyFont="1" applyFill="1" applyBorder="1" applyAlignment="1">
      <s:alignment horizontal="center" vertical="center" mc:Ignorable="vyd"/>
    </s:xf>
    <s:xf numFmtId="0" fontId="2" fillId="31" borderId="154" xfId="0" applyFont="1" applyFill="1" applyBorder="1" applyAlignment="1">
      <s:alignment horizontal="center" vertical="center" mc:Ignorable="vyd"/>
    </s:xf>
    <s:xf numFmtId="0" fontId="2" fillId="31" borderId="153" xfId="0" applyFont="1" applyFill="1" applyBorder="1" applyAlignment="1">
      <s:alignment horizontal="center" vertical="center" mc:Ignorable="vyd"/>
    </s:xf>
    <s:xf numFmtId="0" fontId="25" fillId="31" borderId="153" xfId="0" applyFont="1" applyFill="1" applyBorder="1" applyAlignment="1">
      <s:alignment horizontal="center" vertical="center" mc:Ignorable="vyd"/>
    </s:xf>
    <s:xf numFmtId="0" fontId="2" fillId="32" borderId="150" xfId="0" applyFont="1" applyFill="1" applyBorder="1" applyAlignment="1">
      <s:alignment horizontal="center" vertical="center" mc:Ignorable="vyd"/>
    </s:xf>
    <s:xf numFmtId="4" fontId="7" fillId="9" borderId="151" xfId="0" applyNumberFormat="1" applyFont="1" applyFill="1" applyBorder="1" applyAlignment="1">
      <s:alignment horizontal="center" vertical="top" mc:Ignorable="vyd"/>
    </s:xf>
    <s:xf numFmtId="0" fontId="12" fillId="7" borderId="155" xfId="0" applyFont="1" applyFill="1" applyBorder="1" applyAlignment="1">
      <s:alignment horizontal="center" vertical="center" wrapText="1" mc:Ignorable="vyd"/>
    </s:xf>
    <s:xf numFmtId="0" fontId="12" fillId="7" borderId="156" xfId="0" applyFont="1" applyFill="1" applyBorder="1" applyAlignment="1">
      <s:alignment horizontal="center" vertical="center" wrapText="1" mc:Ignorable="vyd"/>
    </s:xf>
    <s:xf numFmtId="0" fontId="7" fillId="7" borderId="157" xfId="0" applyFont="1" applyFill="1" applyBorder="1" applyAlignment="1">
      <s:alignment horizontal="center" vertical="top" wrapText="1" mc:Ignorable="vyd"/>
    </s:xf>
    <s:xf numFmtId="16" fontId="7" fillId="28" borderId="103" xfId="0" applyNumberFormat="1" applyFont="1" applyFill="1" applyBorder="1" applyAlignment="1">
      <s:alignment horizontal="center" vertical="top" mc:Ignorable="vyd"/>
    </s:xf>
    <s:xf numFmtId="0" fontId="7" fillId="28" borderId="157" xfId="0" applyFont="1" applyFill="1" applyBorder="1" applyAlignment="1">
      <s:alignment horizontal="center" vertical="top" mc:Ignorable="vyd"/>
    </s:xf>
    <s:xf numFmtId="16" fontId="7" fillId="28" borderId="38" xfId="0" applyNumberFormat="1" applyFont="1" applyFill="1" applyBorder="1" applyAlignment="1">
      <s:alignment horizontal="center" vertical="top" mc:Ignorable="vyd"/>
    </s:xf>
    <s:xf numFmtId="0" fontId="7" fillId="28" borderId="120" xfId="0" applyFont="1" applyFill="1" applyBorder="1" applyAlignment="1">
      <s:alignment horizontal="center" vertical="top" mc:Ignorable="vyd"/>
    </s:xf>
    <s:xf numFmtId="0" fontId="12" fillId="9" borderId="158" xfId="0" applyFont="1" applyFill="1" applyBorder="1" applyAlignment="1">
      <s:alignment horizontal="center" vertical="top" mc:Ignorable="vyd"/>
    </s:xf>
    <s:xf numFmtId="0" fontId="12" fillId="9" borderId="159" xfId="0" applyFont="1" applyFill="1" applyBorder="1" applyAlignment="1">
      <s:alignment horizontal="center" vertical="top" mc:Ignorable="vyd"/>
    </s:xf>
    <s:xf numFmtId="0" fontId="12" fillId="7" borderId="163" xfId="0" applyFont="1" applyFill="1" applyBorder="1" applyAlignment="1">
      <s:alignment horizontal="center" vertical="center" wrapText="1" mc:Ignorable="vyd"/>
    </s:xf>
    <s:xf numFmtId="10" fontId="7" fillId="28" borderId="115" xfId="0" applyNumberFormat="1" applyFont="1" applyFill="1" applyBorder="1" applyAlignment="1">
      <s:alignment horizontal="center" vertical="top" mc:Ignorable="vyd"/>
    </s:xf>
    <s:xf numFmtId="10" fontId="7" fillId="28" borderId="55" xfId="0" applyNumberFormat="1" applyFont="1" applyFill="1" applyBorder="1" applyAlignment="1">
      <s:alignment horizontal="center" vertical="top" mc:Ignorable="vyd"/>
    </s:xf>
    <s:xf numFmtId="166" fontId="7" fillId="11" borderId="160" xfId="0" applyNumberFormat="1" applyFont="1" applyFill="1" applyBorder="1" applyAlignment="1">
      <s:alignment horizontal="center" vertical="top" mc:Ignorable="vyd"/>
    </s:xf>
    <s:xf numFmtId="0" fontId="12" fillId="7" borderId="138" xfId="0" applyFont="1" applyFill="1" applyBorder="1" applyAlignment="1">
      <s:alignment horizontal="center" vertical="center" wrapText="1" mc:Ignorable="vyd"/>
    </s:xf>
    <s:xf numFmtId="9" fontId="3" fillId="28" borderId="138" xfId="0" applyNumberFormat="1" applyFont="1" applyFill="1" applyBorder="1" applyAlignment="1">
      <s:alignment horizontal="center" vertical="center" mc:Ignorable="vyd"/>
    </s:xf>
    <s:xf numFmtId="9" fontId="3" fillId="28" borderId="24" xfId="0" applyNumberFormat="1" applyFont="1" applyFill="1" applyBorder="1" applyAlignment="1">
      <s:alignment horizontal="center" vertical="center" mc:Ignorable="vyd"/>
    </s:xf>
    <s:xf numFmtId="166" fontId="3" fillId="9" borderId="150" xfId="0" applyNumberFormat="1" applyFont="1" applyFill="1" applyBorder="1" applyAlignment="1">
      <s:alignment horizontal="center" vertical="center" mc:Ignorable="vyd"/>
    </s:xf>
    <s:xf numFmtId="0" fontId="12" fillId="13" borderId="155" xfId="0" applyFont="1" applyFill="1" applyBorder="1" applyAlignment="1">
      <s:alignment horizontal="center" vertical="center" wrapText="1" mc:Ignorable="vyd"/>
    </s:xf>
    <s:xf numFmtId="0" fontId="12" fillId="13" borderId="165" xfId="0" applyFont="1" applyFill="1" applyBorder="1" applyAlignment="1">
      <s:alignment horizontal="center" vertical="center" wrapText="1" mc:Ignorable="vyd"/>
    </s:xf>
    <s:xf numFmtId="0" fontId="23" fillId="13" borderId="165" xfId="0" applyFont="1" applyFill="1" applyBorder="1" applyAlignment="1">
      <s:alignment horizontal="center" vertical="center" wrapText="1" mc:Ignorable="vyd"/>
    </s:xf>
    <s:xf numFmtId="0" fontId="23" fillId="13" borderId="156" xfId="0" applyFont="1" applyFill="1" applyBorder="1" applyAlignment="1">
      <s:alignment horizontal="center" vertical="center" wrapText="1" mc:Ignorable="vyd"/>
    </s:xf>
    <s:xf numFmtId="0" fontId="12" fillId="7" borderId="96" xfId="0" applyFont="1" applyFill="1" applyBorder="1" applyAlignment="1">
      <s:alignment horizontal="center" vertical="top" wrapText="1" mc:Ignorable="vyd"/>
    </s:xf>
    <s:xf numFmtId="0" fontId="12" fillId="7" borderId="157" xfId="0" applyFont="1" applyFill="1" applyBorder="1" applyAlignment="1">
      <s:alignment horizontal="center" vertical="top" wrapText="1" mc:Ignorable="vyd"/>
    </s:xf>
    <s:xf numFmtId="3" fontId="7" fillId="28" borderId="96" xfId="0" applyNumberFormat="1" applyFont="1" applyFill="1" applyBorder="1" applyAlignment="1">
      <s:alignment horizontal="center" mc:Ignorable="vyd"/>
    </s:xf>
    <s:xf numFmtId="3" fontId="24" fillId="28" borderId="96" xfId="0" applyNumberFormat="1" applyFont="1" applyFill="1" applyBorder="1" applyAlignment="1">
      <s:alignment horizontal="center" mc:Ignorable="vyd"/>
    </s:xf>
    <s:xf numFmtId="2" fontId="7" fillId="28" borderId="96" xfId="0" applyNumberFormat="1" applyFont="1" applyFill="1" applyBorder="1" applyAlignment="1">
      <s:alignment horizontal="right" mc:Ignorable="vyd"/>
    </s:xf>
    <s:xf numFmtId="2" fontId="7" fillId="28" borderId="157" xfId="0" applyNumberFormat="1" applyFont="1" applyFill="1" applyBorder="1" applyAlignment="1">
      <s:alignment horizontal="right" mc:Ignorable="vyd"/>
    </s:xf>
    <s:xf numFmtId="3" fontId="7" fillId="9" borderId="158" xfId="0" applyNumberFormat="1" applyFont="1" applyFill="1" applyBorder="1" applyAlignment="1">
      <s:alignment horizontal="center" mc:Ignorable="vyd"/>
    </s:xf>
    <s:xf numFmtId="3" fontId="7" fillId="9" borderId="166" xfId="0" applyNumberFormat="1" applyFont="1" applyFill="1" applyBorder="1" applyAlignment="1">
      <s:alignment horizontal="center" mc:Ignorable="vyd"/>
    </s:xf>
    <s:xf numFmtId="3" fontId="7" fillId="9" borderId="166" xfId="0" applyNumberFormat="1" applyFont="1" applyFill="1" applyBorder="1" applyAlignment="1">
      <s:alignment horizontal="right" mc:Ignorable="vyd"/>
    </s:xf>
    <s:xf numFmtId="3" fontId="7" fillId="9" borderId="159" xfId="0" applyNumberFormat="1" applyFont="1" applyFill="1" applyBorder="1" applyAlignment="1">
      <s:alignment horizontal="right" mc:Ignorable="vyd"/>
    </s:xf>
    <s:xf numFmtId="1" fontId="7" fillId="0" borderId="11" xfId="0" applyNumberFormat="1" applyFont="1" applyBorder="1" applyAlignment="1">
      <s:alignment horizontal="center" vertical="top" mc:Ignorable="vyd"/>
    </s:xf>
    <s:xf numFmtId="1" fontId="7" fillId="0" borderId="18" xfId="0" applyNumberFormat="1" applyFont="1" applyBorder="1" applyAlignment="1">
      <s:alignment horizontal="center" vertical="top" mc:Ignorable="vyd"/>
    </s:xf>
    <s:xf numFmtId="3" fontId="19" fillId="0" borderId="167" xfId="0" applyNumberFormat="1" applyFont="1" applyBorder="1" applyAlignment="1">
      <s:alignment horizontal="center" vertical="center" mc:Ignorable="vyd"/>
    </s:xf>
    <s:xf numFmtId="0" fontId="12" fillId="2" borderId="158" xfId="0" applyFont="1" applyFill="1" applyBorder="1" applyAlignment="1">
      <s:alignment horizontal="center" vertical="center" wrapText="1" mc:Ignorable="vyd"/>
    </s:xf>
    <s:xf numFmtId="3" fontId="7" fillId="3" borderId="130" xfId="0" applyNumberFormat="1" applyFont="1" applyFill="1" applyBorder="1" applyAlignment="1" applyProtection="1">
      <s:alignment horizontal="center" vertical="center" mc:Ignorable="vyd"/>
      <s:protection locked="0"/>
    </s:xf>
    <s:xf numFmtId="3" fontId="7" fillId="4" borderId="103" xfId="0" applyNumberFormat="1" applyFont="1" applyFill="1" applyBorder="1" applyAlignment="1" applyProtection="1">
      <s:alignment horizontal="center" vertical="center" mc:Ignorable="vyd"/>
      <s:protection locked="0"/>
    </s:xf>
    <s:xf numFmtId="3" fontId="16" fillId="4" borderId="103" xfId="0" applyNumberFormat="1" applyFont="1" applyFill="1" applyBorder="1" applyAlignment="1">
      <s:alignment horizontal="center" vertical="center" mc:Ignorable="vyd"/>
    </s:xf>
    <s:xf numFmtId="3" fontId="7" fillId="3" borderId="103" xfId="0" applyNumberFormat="1" applyFont="1" applyFill="1" applyBorder="1" applyAlignment="1">
      <s:alignment horizontal="center" vertical="center" mc:Ignorable="vyd"/>
    </s:xf>
    <s:xf numFmtId="4" fontId="7" fillId="3" borderId="103" xfId="0" applyNumberFormat="1" applyFont="1" applyFill="1" applyBorder="1" applyAlignment="1" applyProtection="1">
      <s:alignment horizontal="center" vertical="center" mc:Ignorable="vyd"/>
      <s:protection locked="0"/>
    </s:xf>
    <s:xf numFmtId="3" fontId="7" fillId="3" borderId="103" xfId="0" applyNumberFormat="1" applyFont="1" applyFill="1" applyBorder="1" applyAlignment="1" applyProtection="1">
      <s:alignment horizontal="center" vertical="center" mc:Ignorable="vyd"/>
      <s:protection locked="0"/>
    </s:xf>
    <s:xf numFmtId="3" fontId="7" fillId="3" borderId="38" xfId="0" applyNumberFormat="1" applyFont="1" applyFill="1" applyBorder="1" applyAlignment="1" applyProtection="1">
      <s:alignment horizontal="center" vertical="center" mc:Ignorable="vyd"/>
      <s:protection locked="0"/>
    </s:xf>
    <s:xf numFmtId="3" fontId="7" fillId="4" borderId="38" xfId="0" applyNumberFormat="1" applyFont="1" applyFill="1" applyBorder="1" applyAlignment="1" applyProtection="1">
      <s:alignment horizontal="center" vertical="center" mc:Ignorable="vyd"/>
      <s:protection locked="0"/>
    </s:xf>
    <s:xf numFmtId="166" fontId="19" fillId="3" borderId="121" xfId="1" applyNumberFormat="1" applyFont="1" applyFill="1" applyBorder="1" applyAlignment="1" applyProtection="1">
      <s:alignment horizontal="center" vertical="center" mc:Ignorable="vyd"/>
      <s:protection locked="0"/>
    </s:xf>
    <s:xf numFmtId="16" fontId="7" fillId="31" borderId="103" xfId="0" applyNumberFormat="1" applyFont="1" applyFill="1" applyBorder="1" applyAlignment="1">
      <s:alignment horizontal="center" vertical="top" mc:Ignorable="vyd"/>
    </s:xf>
    <s:xf numFmtId="0" fontId="7" fillId="31" borderId="157" xfId="0" applyFont="1" applyFill="1" applyBorder="1" applyAlignment="1">
      <s:alignment horizontal="center" vertical="top" mc:Ignorable="vyd"/>
    </s:xf>
    <s:xf numFmtId="3" fontId="7" fillId="31" borderId="14" xfId="0" applyNumberFormat="1" applyFont="1" applyFill="1" applyBorder="1" applyAlignment="1">
      <s:alignment horizontal="center" vertical="top" mc:Ignorable="vyd"/>
    </s:xf>
    <s:xf numFmtId="3" fontId="7" fillId="31" borderId="18" xfId="0" applyNumberFormat="1" applyFont="1" applyFill="1" applyBorder="1" applyAlignment="1">
      <s:alignment horizontal="center" vertical="top" mc:Ignorable="vyd"/>
    </s:xf>
    <s:xf numFmtId="4" fontId="7" fillId="31" borderId="19" xfId="0" applyNumberFormat="1" applyFont="1" applyFill="1" applyBorder="1" applyAlignment="1">
      <s:alignment horizontal="center" vertical="top" mc:Ignorable="vyd"/>
    </s:xf>
    <s:xf numFmtId="3" fontId="7" fillId="31" borderId="32" xfId="0" applyNumberFormat="1" applyFont="1" applyFill="1" applyBorder="1" applyAlignment="1">
      <s:alignment horizontal="center" vertical="top" mc:Ignorable="vyd"/>
    </s:xf>
    <s:xf numFmtId="3" fontId="7" fillId="31" borderId="11" xfId="0" applyNumberFormat="1" applyFont="1" applyFill="1" applyBorder="1" applyAlignment="1">
      <s:alignment horizontal="center" vertical="top" mc:Ignorable="vyd"/>
    </s:xf>
    <s:xf numFmtId="3" fontId="7" fillId="31" borderId="17" xfId="0" applyNumberFormat="1" applyFont="1" applyFill="1" applyBorder="1" applyAlignment="1">
      <s:alignment horizontal="center" vertical="top" mc:Ignorable="vyd"/>
    </s:xf>
    <s:xf numFmtId="3" fontId="44" fillId="31" borderId="49" xfId="0" applyNumberFormat="1" applyFont="1" applyFill="1" applyBorder="1" applyAlignment="1">
      <s:alignment horizontal="center" vertical="top" mc:Ignorable="vyd"/>
    </s:xf>
    <s:xf numFmtId="10" fontId="7" fillId="31" borderId="115" xfId="0" applyNumberFormat="1" applyFont="1" applyFill="1" applyBorder="1" applyAlignment="1">
      <s:alignment horizontal="center" vertical="top" mc:Ignorable="vyd"/>
    </s:xf>
    <s:xf numFmtId="9" fontId="3" fillId="31" borderId="138" xfId="0" applyNumberFormat="1" applyFont="1" applyFill="1" applyBorder="1" applyAlignment="1">
      <s:alignment horizontal="center" vertical="center" mc:Ignorable="vyd"/>
    </s:xf>
    <s:xf numFmtId="3" fontId="24" fillId="31" borderId="103" xfId="0" applyNumberFormat="1" applyFont="1" applyFill="1" applyBorder="1" applyAlignment="1">
      <s:alignment horizontal="center" mc:Ignorable="vyd"/>
    </s:xf>
    <s:xf numFmtId="3" fontId="7" fillId="31" borderId="96" xfId="0" applyNumberFormat="1" applyFont="1" applyFill="1" applyBorder="1" applyAlignment="1">
      <s:alignment horizontal="center" mc:Ignorable="vyd"/>
    </s:xf>
    <s:xf numFmtId="3" fontId="24" fillId="31" borderId="96" xfId="0" applyNumberFormat="1" applyFont="1" applyFill="1" applyBorder="1" applyAlignment="1">
      <s:alignment horizontal="center" mc:Ignorable="vyd"/>
    </s:xf>
    <s:xf numFmtId="2" fontId="7" fillId="31" borderId="96" xfId="0" applyNumberFormat="1" applyFont="1" applyFill="1" applyBorder="1" applyAlignment="1">
      <s:alignment horizontal="right" mc:Ignorable="vyd"/>
    </s:xf>
    <s:xf numFmtId="2" fontId="7" fillId="31" borderId="157" xfId="0" applyNumberFormat="1" applyFont="1" applyFill="1" applyBorder="1" applyAlignment="1">
      <s:alignment horizontal="right" mc:Ignorable="vyd"/>
    </s:xf>
    <s:xf numFmtId="166" fontId="4" fillId="31" borderId="0" xfId="0" applyNumberFormat="1" applyFont="1" applyFill="1"/>
    <s:xf numFmtId="0" fontId="4" fillId="31" borderId="0" xfId="0" applyFont="1" applyFill="1"/>
    <s:xf numFmtId="0" fontId="0" fillId="32" borderId="0" xfId="0" applyFill="1"/>
    <s:xf numFmtId="166" fontId="4" fillId="31" borderId="0" xfId="0" applyNumberFormat="1" applyFont="1" applyFill="1" applyAlignment="1">
      <s:alignment vertical="center" mc:Ignorable="vyd"/>
    </s:xf>
    <s:xf numFmtId="4" fontId="46" fillId="31" borderId="14" xfId="0" applyNumberFormat="1" applyFont="1" applyFill="1" applyBorder="1" applyAlignment="1">
      <s:alignment horizontal="center" vertical="top" mc:Ignorable="vyd"/>
    </s:xf>
    <s:xf numFmtId="4" fontId="46" fillId="28" borderId="14" xfId="0" applyNumberFormat="1" applyFont="1" applyFill="1" applyBorder="1" applyAlignment="1">
      <s:alignment horizontal="center" vertical="top" mc:Ignorable="vyd"/>
    </s:xf>
    <s:xf numFmtId="4" fontId="46" fillId="28" borderId="22" xfId="0" applyNumberFormat="1" applyFont="1" applyFill="1" applyBorder="1" applyAlignment="1">
      <s:alignment horizontal="center" vertical="top" mc:Ignorable="vyd"/>
    </s:xf>
    <s:xf numFmtId="3" fontId="44" fillId="31" borderId="20" xfId="0" applyNumberFormat="1" applyFont="1" applyFill="1" applyBorder="1" applyAlignment="1">
      <s:alignment horizontal="center" vertical="top" mc:Ignorable="vyd"/>
    </s:xf>
    <s:xf numFmtId="3" fontId="44" fillId="31" borderId="14" xfId="0" applyNumberFormat="1" applyFont="1" applyFill="1" applyBorder="1" applyAlignment="1">
      <s:alignment horizontal="center" vertical="top" mc:Ignorable="vyd"/>
    </s:xf>
    <s:xf numFmtId="0" fontId="7" fillId="31" borderId="14" xfId="0" applyFont="1" applyFill="1" applyBorder="1" applyAlignment="1">
      <s:alignment horizontal="center" vertical="top" mc:Ignorable="vyd"/>
    </s:xf>
    <s:xf numFmtId="3" fontId="7" fillId="31" borderId="103" xfId="0" applyNumberFormat="1" applyFont="1" applyFill="1" applyBorder="1" applyAlignment="1">
      <s:alignment horizontal="center" vertical="top" mc:Ignorable="vyd"/>
    </s:xf>
    <s:xf numFmtId="3" fontId="7" fillId="31" borderId="20" xfId="0" applyNumberFormat="1" applyFont="1" applyFill="1" applyBorder="1" applyAlignment="1">
      <s:alignment horizontal="center" vertical="top" mc:Ignorable="vyd"/>
    </s:xf>
    <s:xf numFmtId="3" fontId="12" fillId="31" borderId="18" xfId="0" applyNumberFormat="1" applyFont="1" applyFill="1" applyBorder="1" applyAlignment="1">
      <s:alignment horizontal="center" vertical="top" mc:Ignorable="vyd"/>
    </s:xf>
    <s:xf numFmtId="3" fontId="12" fillId="31" borderId="20" xfId="0" applyNumberFormat="1" applyFont="1" applyFill="1" applyBorder="1" applyAlignment="1">
      <s:alignment horizontal="center" vertical="top" mc:Ignorable="vyd"/>
    </s:xf>
    <s:xf numFmtId="164" fontId="4" fillId="31" borderId="0" xfId="0" applyNumberFormat="1" applyFont="1" applyFill="1"/>
    <s:xf numFmtId="3" fontId="26" fillId="31" borderId="14" xfId="0" applyNumberFormat="1" applyFont="1" applyFill="1" applyBorder="1" applyAlignment="1">
      <s:alignment horizontal="center" vertical="top" mc:Ignorable="vyd"/>
    </s:xf>
    <s:xf numFmtId="3" fontId="26" fillId="31" borderId="18" xfId="0" applyNumberFormat="1" applyFont="1" applyFill="1" applyBorder="1" applyAlignment="1">
      <s:alignment horizontal="center" vertical="top" mc:Ignorable="vyd"/>
    </s:xf>
    <s:xf numFmtId="4" fontId="26" fillId="31" borderId="19" xfId="0" applyNumberFormat="1" applyFont="1" applyFill="1" applyBorder="1" applyAlignment="1">
      <s:alignment horizontal="center" vertical="top" mc:Ignorable="vyd"/>
    </s:xf>
    <s:xf numFmtId="3" fontId="26" fillId="31" borderId="32" xfId="0" applyNumberFormat="1" applyFont="1" applyFill="1" applyBorder="1" applyAlignment="1">
      <s:alignment horizontal="center" vertical="top" mc:Ignorable="vyd"/>
    </s:xf>
    <s:xf numFmtId="3" fontId="26" fillId="31" borderId="17" xfId="0" applyNumberFormat="1" applyFont="1" applyFill="1" applyBorder="1" applyAlignment="1">
      <s:alignment horizontal="center" vertical="top" mc:Ignorable="vyd"/>
    </s:xf>
    <s:xf numFmtId="3" fontId="26" fillId="31" borderId="20" xfId="0" applyNumberFormat="1" applyFont="1" applyFill="1" applyBorder="1" applyAlignment="1">
      <s:alignment horizontal="center" vertical="top" mc:Ignorable="vyd"/>
    </s:xf>
    <s:xf numFmtId="10" fontId="26" fillId="31" borderId="115" xfId="0" applyNumberFormat="1" applyFont="1" applyFill="1" applyBorder="1" applyAlignment="1">
      <s:alignment horizontal="center" vertical="top" mc:Ignorable="vyd"/>
    </s:xf>
    <s:xf numFmtId="9" fontId="27" fillId="31" borderId="138" xfId="0" applyNumberFormat="1" applyFont="1" applyFill="1" applyBorder="1" applyAlignment="1">
      <s:alignment horizontal="center" vertical="center" mc:Ignorable="vyd"/>
    </s:xf>
    <s:xf numFmtId="3" fontId="26" fillId="31" borderId="96" xfId="0" applyNumberFormat="1" applyFont="1" applyFill="1" applyBorder="1" applyAlignment="1">
      <s:alignment horizontal="center" mc:Ignorable="vyd"/>
    </s:xf>
    <s:xf numFmtId="166" fontId="28" fillId="31" borderId="0" xfId="0" applyNumberFormat="1" applyFont="1" applyFill="1"/>
    <s:xf numFmtId="164" fontId="28" fillId="31" borderId="0" xfId="0" applyNumberFormat="1" applyFont="1" applyFill="1"/>
    <s:xf numFmtId="0" fontId="28" fillId="31" borderId="0" xfId="0" applyFont="1" applyFill="1"/>
    <s:xf numFmtId="3" fontId="7" fillId="31" borderId="0" xfId="0" applyNumberFormat="1" applyFont="1" applyFill="1" applyAlignment="1">
      <s:alignment horizontal="center" vertical="top" mc:Ignorable="vyd"/>
    </s:xf>
    <s:xf numFmtId="3" fontId="12" fillId="34" borderId="171" xfId="0" applyNumberFormat="1" applyFont="1" applyFill="1" applyBorder="1" applyAlignment="1">
      <s:alignment horizontal="center" vertical="center" mc:Ignorable="vyd"/>
    </s:xf>
    <s:xf numFmtId="3" fontId="12" fillId="34" borderId="120" xfId="0" applyNumberFormat="1" applyFont="1" applyFill="1" applyBorder="1" applyAlignment="1">
      <s:alignment horizontal="center" vertical="center" mc:Ignorable="vyd"/>
    </s:xf>
    <s:xf numFmtId="0" fontId="12" fillId="34" borderId="120" xfId="0" applyFont="1" applyFill="1" applyBorder="1" applyAlignment="1">
      <s:alignment horizontal="center" vertical="center" wrapText="1" mc:Ignorable="vyd"/>
    </s:xf>
    <s:xf numFmtId="0" fontId="12" fillId="34" borderId="123" xfId="0" applyFont="1" applyFill="1" applyBorder="1" applyAlignment="1">
      <s:alignment horizontal="center" vertical="center" wrapText="1" mc:Ignorable="vyd"/>
    </s:xf>
    <s:xf numFmtId="10" fontId="30" fillId="0" borderId="155" xfId="0" applyNumberFormat="1" applyFont="1" applyBorder="1" applyAlignment="1">
      <s:alignment horizontal="center" vertical="center" mc:Ignorable="vyd"/>
    </s:xf>
    <s:xf numFmtId="167" fontId="30" fillId="0" borderId="169" xfId="0" applyNumberFormat="1" applyFont="1" applyBorder="1" applyAlignment="1">
      <s:alignment horizontal="center" vertical="center" mc:Ignorable="vyd"/>
    </s:xf>
    <s:xf numFmtId="10" fontId="30" fillId="0" borderId="172" xfId="0" applyNumberFormat="1" applyFont="1" applyBorder="1" applyAlignment="1">
      <s:alignment horizontal="center" vertical="center" mc:Ignorable="vyd"/>
    </s:xf>
    <s:xf numFmtId="10" fontId="30" fillId="0" borderId="155" xfId="1" applyNumberFormat="1" applyFont="1" applyBorder="1" applyAlignment="1" applyProtection="1">
      <s:alignment horizontal="center" vertical="center" mc:Ignorable="vyd"/>
    </s:xf>
    <s:xf numFmtId="167" fontId="30" fillId="0" borderId="165" xfId="1" applyNumberFormat="1" applyFont="1" applyBorder="1" applyAlignment="1" applyProtection="1">
      <s:alignment horizontal="center" vertical="center" mc:Ignorable="vyd"/>
    </s:xf>
    <s:xf numFmtId="10" fontId="30" fillId="0" borderId="156" xfId="0" applyNumberFormat="1" applyFont="1" applyBorder="1" applyAlignment="1">
      <s:alignment horizontal="center" vertical="center" mc:Ignorable="vyd"/>
    </s:xf>
    <s:xf numFmtId="10" fontId="30" fillId="0" borderId="173" xfId="1" applyNumberFormat="1" applyFont="1" applyBorder="1" applyAlignment="1" applyProtection="1">
      <s:alignment horizontal="center" vertical="center" mc:Ignorable="vyd"/>
    </s:xf>
    <s:xf numFmtId="10" fontId="19" fillId="0" borderId="172" xfId="0" applyNumberFormat="1" applyFont="1" applyBorder="1" applyAlignment="1">
      <s:alignment horizontal="center" vertical="center" mc:Ignorable="vyd"/>
    </s:xf>
    <s:xf numFmtId="10" fontId="19" fillId="0" borderId="156" xfId="0" applyNumberFormat="1" applyFont="1" applyBorder="1" applyAlignment="1">
      <s:alignment horizontal="center" vertical="center" mc:Ignorable="vyd"/>
    </s:xf>
    <s:xf numFmtId="10" fontId="30" fillId="0" borderId="103" xfId="0" applyNumberFormat="1" applyFont="1" applyBorder="1" applyAlignment="1">
      <s:alignment horizontal="center" vertical="center" mc:Ignorable="vyd"/>
    </s:xf>
    <s:xf numFmtId="10" fontId="30" fillId="0" borderId="103" xfId="1" applyNumberFormat="1" applyFont="1" applyBorder="1" applyAlignment="1" applyProtection="1">
      <s:alignment horizontal="center" vertical="center" mc:Ignorable="vyd"/>
    </s:xf>
    <s:xf numFmtId="3" fontId="30" fillId="0" borderId="96" xfId="1" applyNumberFormat="1" applyFont="1" applyBorder="1" applyAlignment="1" applyProtection="1">
      <s:alignment horizontal="center" vertical="center" mc:Ignorable="vyd"/>
    </s:xf>
    <s:xf numFmtId="10" fontId="30" fillId="0" borderId="157" xfId="0" applyNumberFormat="1" applyFont="1" applyBorder="1" applyAlignment="1">
      <s:alignment horizontal="center" vertical="center" mc:Ignorable="vyd"/>
    </s:xf>
    <s:xf numFmtId="10" fontId="30" fillId="0" borderId="17" xfId="1" applyNumberFormat="1" applyFont="1" applyBorder="1" applyAlignment="1" applyProtection="1">
      <s:alignment horizontal="center" vertical="center" mc:Ignorable="vyd"/>
    </s:xf>
    <s:xf numFmtId="10" fontId="19" fillId="0" borderId="19" xfId="0" applyNumberFormat="1" applyFont="1" applyBorder="1" applyAlignment="1">
      <s:alignment horizontal="center" vertical="center" mc:Ignorable="vyd"/>
    </s:xf>
    <s:xf numFmtId="10" fontId="19" fillId="0" borderId="157" xfId="0" applyNumberFormat="1" applyFont="1" applyBorder="1" applyAlignment="1">
      <s:alignment horizontal="center" vertical="center" mc:Ignorable="vyd"/>
    </s:xf>
    <s:xf numFmtId="167" fontId="30" fillId="0" borderId="29" xfId="0" applyNumberFormat="1" applyFont="1" applyBorder="1" applyAlignment="1">
      <s:alignment horizontal="center" vertical="center" mc:Ignorable="vyd"/>
    </s:xf>
    <s:xf numFmtId="167" fontId="30" fillId="0" borderId="96" xfId="1" applyNumberFormat="1" applyFont="1" applyBorder="1" applyAlignment="1" applyProtection="1">
      <s:alignment horizontal="center" vertical="center" mc:Ignorable="vyd"/>
    </s:xf>
    <s:xf numFmtId="4" fontId="30" fillId="0" borderId="96" xfId="1" applyNumberFormat="1" applyFont="1" applyBorder="1" applyAlignment="1" applyProtection="1">
      <s:alignment horizontal="center" vertical="center" mc:Ignorable="vyd"/>
    </s:xf>
    <s:xf numFmtId="1" fontId="30" fillId="0" borderId="96" xfId="0" applyNumberFormat="1" applyFont="1" applyBorder="1" applyAlignment="1">
      <s:alignment horizontal="center" vertical="center" mc:Ignorable="vyd"/>
    </s:xf>
    <s:xf numFmtId="1" fontId="30" fillId="0" borderId="96" xfId="1" applyNumberFormat="1" applyFont="1" applyBorder="1" applyAlignment="1" applyProtection="1">
      <s:alignment horizontal="center" vertical="center" mc:Ignorable="vyd"/>
    </s:xf>
    <s:xf numFmtId="167" fontId="30" fillId="0" borderId="96" xfId="0" applyNumberFormat="1" applyFont="1" applyBorder="1" applyAlignment="1">
      <s:alignment horizontal="center" vertical="center" mc:Ignorable="vyd"/>
    </s:xf>
    <s:xf numFmtId="10" fontId="30" fillId="0" borderId="116" xfId="0" applyNumberFormat="1" applyFont="1" applyBorder="1" applyAlignment="1">
      <s:alignment horizontal="center" vertical="center" mc:Ignorable="vyd"/>
    </s:xf>
    <s:xf numFmtId="10" fontId="30" fillId="0" borderId="122" xfId="0" applyNumberFormat="1" applyFont="1" applyBorder="1" applyAlignment="1">
      <s:alignment horizontal="center" vertical="center" mc:Ignorable="vyd"/>
    </s:xf>
    <s:xf numFmtId="10" fontId="30" fillId="0" borderId="117" xfId="0" applyNumberFormat="1" applyFont="1" applyBorder="1" applyAlignment="1">
      <s:alignment horizontal="center" vertical="center" mc:Ignorable="vyd"/>
    </s:xf>
    <s:xf numFmtId="10" fontId="30" fillId="0" borderId="121" xfId="1" applyNumberFormat="1" applyFont="1" applyBorder="1" applyAlignment="1" applyProtection="1">
      <s:alignment horizontal="center" vertical="center" mc:Ignorable="vyd"/>
    </s:xf>
    <s:xf numFmtId="10" fontId="30" fillId="0" borderId="122" xfId="1" applyNumberFormat="1" applyFont="1" applyBorder="1" applyAlignment="1" applyProtection="1">
      <s:alignment horizontal="center" vertical="center" mc:Ignorable="vyd"/>
    </s:xf>
    <s:xf numFmtId="10" fontId="30" fillId="0" borderId="123" xfId="0" applyNumberFormat="1" applyFont="1" applyBorder="1" applyAlignment="1">
      <s:alignment horizontal="center" vertical="center" mc:Ignorable="vyd"/>
    </s:xf>
    <s:xf numFmtId="10" fontId="30" fillId="0" borderId="21" xfId="1" applyNumberFormat="1" applyFont="1" applyBorder="1" applyAlignment="1" applyProtection="1">
      <s:alignment horizontal="center" vertical="center" mc:Ignorable="vyd"/>
    </s:xf>
    <s:xf numFmtId="10" fontId="19" fillId="0" borderId="23" xfId="0" applyNumberFormat="1" applyFont="1" applyBorder="1" applyAlignment="1">
      <s:alignment horizontal="center" vertical="center" mc:Ignorable="vyd"/>
    </s:xf>
    <s:xf numFmtId="10" fontId="19" fillId="0" borderId="123" xfId="0" applyNumberFormat="1" applyFont="1" applyBorder="1" applyAlignment="1">
      <s:alignment horizontal="center" vertical="center" mc:Ignorable="vyd"/>
    </s:xf>
    <s:xf numFmtId="0" fontId="15" fillId="2" borderId="151" xfId="0" applyFont="1" applyFill="1" applyBorder="1" applyAlignment="1">
      <s:alignment horizontal="center" vertical="center" wrapText="1" mc:Ignorable="vyd"/>
    </s:xf>
    <s:xf numFmtId="3" fontId="18" fillId="0" borderId="14" xfId="0" applyNumberFormat="1" applyFont="1" applyBorder="1" applyAlignment="1">
      <s:alignment horizontal="center" vertical="center" mc:Ignorable="vyd"/>
    </s:xf>
    <s:xf numFmtId="3" fontId="18" fillId="0" borderId="17" xfId="0" applyNumberFormat="1" applyFont="1" applyBorder="1" applyAlignment="1">
      <s:alignment horizontal="center" vertical="center" mc:Ignorable="vyd"/>
    </s:xf>
    <s:xf numFmtId="4" fontId="18" fillId="0" borderId="17" xfId="0" applyNumberFormat="1" applyFont="1" applyBorder="1" applyAlignment="1">
      <s:alignment horizontal="center" vertical="center" mc:Ignorable="vyd"/>
    </s:xf>
    <s:xf numFmtId="3" fontId="21" fillId="0" borderId="17" xfId="0" applyNumberFormat="1" applyFont="1" applyBorder="1" applyAlignment="1">
      <s:alignment horizontal="center" vertical="center" mc:Ignorable="vyd"/>
    </s:xf>
    <s:xf numFmtId="3" fontId="21" fillId="0" borderId="22" xfId="0" applyNumberFormat="1" applyFont="1" applyBorder="1" applyAlignment="1">
      <s:alignment horizontal="center" vertical="center" mc:Ignorable="vyd"/>
    </s:xf>
    <s:xf numFmtId="166" fontId="21" fillId="0" borderId="167" xfId="1" applyNumberFormat="1" applyFont="1" applyBorder="1" applyAlignment="1" applyProtection="1">
      <s:alignment horizontal="center" vertical="center" mc:Ignorable="vyd"/>
    </s:xf>
    <s:xf numFmtId="3" fontId="12" fillId="2" borderId="158" xfId="0" applyNumberFormat="1" applyFont="1" applyFill="1" applyBorder="1" applyAlignment="1">
      <s:alignment horizontal="center" vertical="center" mc:Ignorable="vyd"/>
    </s:xf>
    <s:xf numFmtId="3" fontId="12" fillId="2" borderId="166" xfId="0" applyNumberFormat="1" applyFont="1" applyFill="1" applyBorder="1" applyAlignment="1">
      <s:alignment horizontal="center" vertical="center" mc:Ignorable="vyd"/>
    </s:xf>
    <s:xf numFmtId="3" fontId="12" fillId="2" borderId="159" xfId="0" applyNumberFormat="1" applyFont="1" applyFill="1" applyBorder="1" applyAlignment="1">
      <s:alignment horizontal="center" vertical="center" wrapText="1" mc:Ignorable="vyd"/>
    </s:xf>
    <s:xf numFmtId="3" fontId="16" fillId="0" borderId="155" xfId="0" applyNumberFormat="1" applyFont="1" applyBorder="1" applyAlignment="1">
      <s:alignment horizontal="center" vertical="center" mc:Ignorable="vyd"/>
    </s:xf>
    <s:xf numFmtId="3" fontId="16" fillId="4" borderId="126" xfId="0" applyNumberFormat="1" applyFont="1" applyFill="1" applyBorder="1" applyAlignment="1">
      <s:alignment horizontal="center" vertical="center" mc:Ignorable="vyd"/>
    </s:xf>
    <s:xf numFmtId="10" fontId="17" fillId="4" borderId="133" xfId="1" applyNumberFormat="1" applyFont="1" applyFill="1" applyBorder="1" applyAlignment="1" applyProtection="1">
      <s:alignment horizontal="center" vertical="center" mc:Ignorable="vyd"/>
    </s:xf>
    <s:xf numFmtId="3" fontId="19" fillId="4" borderId="103" xfId="0" applyNumberFormat="1" applyFont="1" applyFill="1" applyBorder="1" applyAlignment="1">
      <s:alignment horizontal="center" vertical="center" mc:Ignorable="vyd"/>
    </s:xf>
    <s:xf numFmtId="3" fontId="7" fillId="4" borderId="96" xfId="0" applyNumberFormat="1" applyFont="1" applyFill="1" applyBorder="1" applyAlignment="1">
      <s:alignment horizontal="center" vertical="center" mc:Ignorable="vyd"/>
    </s:xf>
    <s:xf numFmtId="10" fontId="7" fillId="4" borderId="157" xfId="1" applyNumberFormat="1" applyFont="1" applyFill="1" applyBorder="1" applyAlignment="1" applyProtection="1">
      <s:alignment horizontal="center" vertical="center" mc:Ignorable="vyd"/>
    </s:xf>
    <s:xf numFmtId="3" fontId="16" fillId="4" borderId="96" xfId="0" applyNumberFormat="1" applyFont="1" applyFill="1" applyBorder="1" applyAlignment="1">
      <s:alignment horizontal="center" vertical="center" mc:Ignorable="vyd"/>
    </s:xf>
    <s:xf numFmtId="10" fontId="16" fillId="4" borderId="157" xfId="1" applyNumberFormat="1" applyFont="1" applyFill="1" applyBorder="1" applyAlignment="1" applyProtection="1">
      <s:alignment horizontal="center" vertical="center" mc:Ignorable="vyd"/>
    </s:xf>
    <s:xf numFmtId="3" fontId="19" fillId="3" borderId="103" xfId="0" applyNumberFormat="1" applyFont="1" applyFill="1" applyBorder="1" applyAlignment="1">
      <s:alignment horizontal="center" vertical="center" mc:Ignorable="vyd"/>
    </s:xf>
    <s:xf numFmtId="4" fontId="19" fillId="3" borderId="103" xfId="0" applyNumberFormat="1" applyFont="1" applyFill="1" applyBorder="1" applyAlignment="1">
      <s:alignment horizontal="center" vertical="center" mc:Ignorable="vyd"/>
    </s:xf>
    <s:xf numFmtId="4" fontId="7" fillId="4" borderId="96" xfId="0" applyNumberFormat="1" applyFont="1" applyFill="1" applyBorder="1" applyAlignment="1">
      <s:alignment horizontal="center" vertical="center" mc:Ignorable="vyd"/>
    </s:xf>
    <s:xf numFmtId="3" fontId="7" fillId="5" borderId="96" xfId="0" applyNumberFormat="1" applyFont="1" applyFill="1" applyBorder="1" applyAlignment="1">
      <s:alignment horizontal="center" vertical="center" mc:Ignorable="vyd"/>
    </s:xf>
    <s:xf numFmtId="3" fontId="19" fillId="4" borderId="38" xfId="0" applyNumberFormat="1" applyFont="1" applyFill="1" applyBorder="1" applyAlignment="1">
      <s:alignment horizontal="center" vertical="center" mc:Ignorable="vyd"/>
    </s:xf>
    <s:xf numFmtId="10" fontId="16" fillId="3" borderId="121" xfId="1" applyNumberFormat="1" applyFont="1" applyFill="1" applyBorder="1" applyAlignment="1" applyProtection="1">
      <s:alignment horizontal="center" vertical="center" mc:Ignorable="vyd"/>
    </s:xf>
    <s:xf numFmtId="10" fontId="16" fillId="4" borderId="122" xfId="1" applyNumberFormat="1" applyFont="1" applyFill="1" applyBorder="1" applyAlignment="1" applyProtection="1">
      <s:alignment horizontal="center" vertical="center" mc:Ignorable="vyd"/>
    </s:xf>
    <s:xf numFmtId="10" fontId="16" fillId="4" borderId="123" xfId="1" applyNumberFormat="1" applyFont="1" applyFill="1" applyBorder="1" applyAlignment="1" applyProtection="1">
      <s:alignment horizontal="center" vertical="center" mc:Ignorable="vyd"/>
    </s:xf>
    <s:xf numFmtId="3" fontId="12" fillId="2" borderId="159" xfId="0" applyNumberFormat="1" applyFont="1" applyFill="1" applyBorder="1" applyAlignment="1">
      <s:alignment vertical="center" wrapText="1" mc:Ignorable="vyd"/>
    </s:xf>
    <s:xf numFmtId="0" fontId="12" fillId="2" borderId="163" xfId="0" applyFont="1" applyFill="1" applyBorder="1" applyAlignment="1">
      <s:alignment horizontal="center" vertical="center" wrapText="1" mc:Ignorable="vyd"/>
    </s:xf>
    <s:xf numFmtId="0" fontId="12" fillId="2" borderId="169" xfId="0" applyFont="1" applyFill="1" applyBorder="1" applyAlignment="1">
      <s:alignment horizontal="center" vertical="center" wrapText="1" mc:Ignorable="vyd"/>
    </s:xf>
    <s:xf numFmtId="0" fontId="12" fillId="2" borderId="175" xfId="0" applyFont="1" applyFill="1" applyBorder="1" applyAlignment="1">
      <s:alignment horizontal="center" vertical="center" wrapText="1" mc:Ignorable="vyd"/>
    </s:xf>
    <s:xf numFmtId="166" fontId="17" fillId="4" borderId="133" xfId="1" applyNumberFormat="1" applyFont="1" applyFill="1" applyBorder="1" applyAlignment="1" applyProtection="1">
      <s:alignment horizontal="center" vertical="center" mc:Ignorable="vyd"/>
    </s:xf>
    <s:xf numFmtId="166" fontId="7" fillId="4" borderId="157" xfId="1" applyNumberFormat="1" applyFont="1" applyFill="1" applyBorder="1" applyAlignment="1" applyProtection="1">
      <s:alignment horizontal="center" vertical="center" mc:Ignorable="vyd"/>
    </s:xf>
    <s:xf numFmtId="166" fontId="16" fillId="4" borderId="157" xfId="1" applyNumberFormat="1" applyFont="1" applyFill="1" applyBorder="1" applyAlignment="1" applyProtection="1">
      <s:alignment horizontal="center" vertical="center" mc:Ignorable="vyd"/>
    </s:xf>
    <s:xf numFmtId="3" fontId="19" fillId="3" borderId="38" xfId="0" applyNumberFormat="1" applyFont="1" applyFill="1" applyBorder="1" applyAlignment="1">
      <s:alignment horizontal="center" vertical="center" mc:Ignorable="vyd"/>
    </s:xf>
    <s:xf numFmtId="166" fontId="7" fillId="4" borderId="120" xfId="1" applyNumberFormat="1" applyFont="1" applyFill="1" applyBorder="1" applyAlignment="1" applyProtection="1">
      <s:alignment horizontal="center" vertical="center" mc:Ignorable="vyd"/>
    </s:xf>
    <s:xf numFmtId="166" fontId="16" fillId="12" borderId="121" xfId="0" applyNumberFormat="1" applyFont="1" applyFill="1" applyBorder="1" applyAlignment="1">
      <s:alignment horizontal="center" vertical="center" mc:Ignorable="vyd"/>
    </s:xf>
    <s:xf numFmtId="166" fontId="16" fillId="4" borderId="122" xfId="1" applyNumberFormat="1" applyFont="1" applyFill="1" applyBorder="1" applyAlignment="1" applyProtection="1">
      <s:alignment horizontal="center" vertical="center" mc:Ignorable="vyd"/>
    </s:xf>
    <s:xf numFmtId="168" fontId="17" fillId="19" borderId="19" xfId="0" applyNumberFormat="1" applyFont="1" applyFill="1" applyBorder="1" applyAlignment="1">
      <s:alignment horizontal="right" vertical="center" wrapText="1" mc:Ignorable="vyd"/>
    </s:xf>
    <s:xf numFmtId="168" fontId="17" fillId="19" borderId="40" xfId="0" applyNumberFormat="1" applyFont="1" applyFill="1" applyBorder="1" applyAlignment="1">
      <s:alignment horizontal="right" vertical="center" wrapText="1" mc:Ignorable="vyd"/>
    </s:xf>
    <s:xf numFmtId="168" fontId="17" fillId="19" borderId="41" xfId="0" applyNumberFormat="1" applyFont="1" applyFill="1" applyBorder="1" applyAlignment="1">
      <s:alignment horizontal="right" vertical="center" wrapText="1" mc:Ignorable="vyd"/>
    </s:xf>
    <s:xf numFmtId="168" fontId="17" fillId="19" borderId="109" xfId="0" applyNumberFormat="1" applyFont="1" applyFill="1" applyBorder="1" applyAlignment="1">
      <s:alignment horizontal="right" vertical="center" wrapText="1" mc:Ignorable="vyd"/>
    </s:xf>
    <s:xf numFmtId="0" fontId="0" fillId="0" borderId="0" xfId="0" applyAlignment="1">
      <s:alignment vertical="center" mc:Ignorable="vyd"/>
    </s:xf>
    <s:xf numFmtId="16" fontId="7" fillId="10" borderId="21" xfId="0" applyNumberFormat="1" applyFont="1" applyFill="1" applyBorder="1" applyAlignment="1">
      <s:alignment horizontal="center" vertical="top" mc:Ignorable="vyd"/>
    </s:xf>
    <s:xf numFmtId="4" fontId="7" fillId="0" borderId="34" xfId="0" applyNumberFormat="1" applyFont="1" applyBorder="1" applyAlignment="1">
      <s:alignment horizontal="center" vertical="top" mc:Ignorable="vyd"/>
    </s:xf>
    <s:xf numFmtId="3" fontId="12" fillId="0" borderId="34" xfId="0" applyNumberFormat="1" applyFont="1" applyBorder="1" applyAlignment="1">
      <s:alignment horizontal="center" vertical="top" mc:Ignorable="vyd"/>
    </s:xf>
    <s:xf numFmtId="3" fontId="7" fillId="0" borderId="38" xfId="0" applyNumberFormat="1" applyFont="1" applyBorder="1" applyAlignment="1">
      <s:alignment horizontal="center" vertical="top" mc:Ignorable="vyd"/>
    </s:xf>
    <s:xf numFmtId="10" fontId="7" fillId="0" borderId="24" xfId="0" applyNumberFormat="1" applyFont="1" applyBorder="1" applyAlignment="1">
      <s:alignment horizontal="center" vertical="top" mc:Ignorable="vyd"/>
    </s:xf>
    <s:xf numFmtId="9" fontId="3" fillId="0" borderId="24" xfId="0" applyNumberFormat="1" applyFont="1" applyBorder="1" applyAlignment="1">
      <s:alignment horizontal="center" vertical="center" mc:Ignorable="vyd"/>
    </s:xf>
    <s:xf numFmtId="164" fontId="7" fillId="0" borderId="21" xfId="0" applyNumberFormat="1" applyFont="1" applyBorder="1" applyAlignment="1">
      <s:alignment horizontal="right" mc:Ignorable="vyd"/>
    </s:xf>
    <s:xf numFmtId="164" fontId="7" fillId="0" borderId="120" xfId="0" applyNumberFormat="1" applyFont="1" applyBorder="1" applyAlignment="1">
      <s:alignment horizontal="right" mc:Ignorable="vyd"/>
    </s:xf>
    <s:xf numFmtId="0" fontId="12" fillId="11" borderId="158" xfId="0" applyFont="1" applyFill="1" applyBorder="1" applyAlignment="1">
      <s:alignment horizontal="center" vertical="top" mc:Ignorable="vyd"/>
    </s:xf>
    <s:xf numFmtId="0" fontId="12" fillId="11" borderId="166" xfId="0" applyFont="1" applyFill="1" applyBorder="1" applyAlignment="1">
      <s:alignment horizontal="center" vertical="top" mc:Ignorable="vyd"/>
    </s:xf>
    <s:xf numFmtId="3" fontId="7" fillId="11" borderId="166" xfId="0" applyNumberFormat="1" applyFont="1" applyFill="1" applyBorder="1" applyAlignment="1">
      <s:alignment horizontal="center" vertical="top" mc:Ignorable="vyd"/>
    </s:xf>
    <s:xf numFmtId="4" fontId="7" fillId="11" borderId="176" xfId="0" applyNumberFormat="1" applyFont="1" applyFill="1" applyBorder="1" applyAlignment="1">
      <s:alignment horizontal="center" vertical="top" mc:Ignorable="vyd"/>
    </s:xf>
    <s:xf numFmtId="3" fontId="7" fillId="11" borderId="158" xfId="0" applyNumberFormat="1" applyFont="1" applyFill="1" applyBorder="1" applyAlignment="1">
      <s:alignment horizontal="center" vertical="top" mc:Ignorable="vyd"/>
    </s:xf>
    <s:xf numFmtId="3" fontId="7" fillId="11" borderId="159" xfId="0" applyNumberFormat="1" applyFont="1" applyFill="1" applyBorder="1" applyAlignment="1">
      <s:alignment horizontal="center" vertical="top" mc:Ignorable="vyd"/>
    </s:xf>
    <s:xf numFmtId="166" fontId="7" fillId="11" borderId="150" xfId="0" applyNumberFormat="1" applyFont="1" applyFill="1" applyBorder="1" applyAlignment="1">
      <s:alignment horizontal="center" vertical="top" mc:Ignorable="vyd"/>
    </s:xf>
    <s:xf numFmtId="9" fontId="3" fillId="11" borderId="150" xfId="1" applyFont="1" applyFill="1" applyBorder="1" applyAlignment="1" applyProtection="1">
      <s:alignment horizontal="center" vertical="center" mc:Ignorable="vyd"/>
    </s:xf>
    <s:xf numFmtId="3" fontId="7" fillId="11" borderId="158" xfId="0" applyNumberFormat="1" applyFont="1" applyFill="1" applyBorder="1" applyAlignment="1">
      <s:alignment horizontal="center" mc:Ignorable="vyd"/>
    </s:xf>
    <s:xf numFmtId="3" fontId="7" fillId="11" borderId="166" xfId="0" applyNumberFormat="1" applyFont="1" applyFill="1" applyBorder="1" applyAlignment="1">
      <s:alignment horizontal="center" mc:Ignorable="vyd"/>
    </s:xf>
    <s:xf numFmtId="3" fontId="7" fillId="11" borderId="166" xfId="0" applyNumberFormat="1" applyFont="1" applyFill="1" applyBorder="1" applyAlignment="1">
      <s:alignment horizontal="right" mc:Ignorable="vyd"/>
    </s:xf>
    <s:xf numFmtId="3" fontId="7" fillId="11" borderId="159" xfId="0" applyNumberFormat="1" applyFont="1" applyFill="1" applyBorder="1" applyAlignment="1">
      <s:alignment horizontal="right" mc:Ignorable="vyd"/>
    </s:xf>
    <s:xf numFmtId="4" fontId="46" fillId="0" borderId="11" xfId="0" applyNumberFormat="1" applyFont="1" applyBorder="1" applyAlignment="1">
      <s:alignment horizontal="center" vertical="top" mc:Ignorable="vyd"/>
    </s:xf>
    <s:xf numFmtId="4" fontId="46" fillId="0" borderId="18" xfId="0" applyNumberFormat="1" applyFont="1" applyBorder="1" applyAlignment="1">
      <s:alignment horizontal="center" vertical="top" mc:Ignorable="vyd"/>
    </s:xf>
    <s:xf numFmtId="4" fontId="46" fillId="0" borderId="14" xfId="0" applyNumberFormat="1" applyFont="1" applyBorder="1" applyAlignment="1">
      <s:alignment horizontal="center" vertical="top" mc:Ignorable="vyd"/>
    </s:xf>
    <s:xf numFmtId="4" fontId="46" fillId="0" borderId="17" xfId="0" applyNumberFormat="1" applyFont="1" applyBorder="1" applyAlignment="1">
      <s:alignment horizontal="center" vertical="top" mc:Ignorable="vyd"/>
    </s:xf>
    <s:xf numFmtId="4" fontId="46" fillId="0" borderId="0" xfId="0" applyNumberFormat="1" applyFont="1" applyAlignment="1">
      <s:alignment horizontal="center" vertical="top" mc:Ignorable="vyd"/>
    </s:xf>
    <s:xf numFmtId="4" fontId="46" fillId="0" borderId="22" xfId="0" applyNumberFormat="1" applyFont="1" applyBorder="1" applyAlignment="1">
      <s:alignment horizontal="center" vertical="top" mc:Ignorable="vyd"/>
    </s:xf>
    <s:xf numFmtId="4" fontId="46" fillId="0" borderId="44" xfId="0" applyNumberFormat="1" applyFont="1" applyBorder="1" applyAlignment="1">
      <s:alignment horizontal="center" vertical="top" mc:Ignorable="vyd"/>
    </s:xf>
    <s:xf numFmtId="4" fontId="46" fillId="0" borderId="31" xfId="0" applyNumberFormat="1" applyFont="1" applyBorder="1" applyAlignment="1">
      <s:alignment horizontal="center" vertical="top" mc:Ignorable="vyd"/>
    </s:xf>
    <s:xf numFmtId="4" fontId="46" fillId="0" borderId="30" xfId="0" applyNumberFormat="1" applyFont="1" applyBorder="1" applyAlignment="1">
      <s:alignment horizontal="center" vertical="top" mc:Ignorable="vyd"/>
    </s:xf>
    <s:xf numFmtId="4" fontId="46" fillId="0" borderId="18" xfId="0" applyNumberFormat="1" applyFont="1" applyBorder="1" applyAlignment="1" applyProtection="1">
      <s:alignment horizontal="center" vertical="top" mc:Ignorable="vyd"/>
      <s:protection locked="0"/>
    </s:xf>
    <s:xf numFmtId="4" fontId="46" fillId="10" borderId="11" xfId="0" applyNumberFormat="1" applyFont="1" applyFill="1" applyBorder="1" applyAlignment="1">
      <s:alignment horizontal="center" vertical="top" mc:Ignorable="vyd"/>
    </s:xf>
    <s:xf numFmtId="9" fontId="6" fillId="2" borderId="43" xfId="1" applyFont="1" applyFill="1" applyBorder="1" applyAlignment="1" applyProtection="1">
      <s:alignment vertical="center" mc:Ignorable="vyd"/>
    </s:xf>
    <s:xf numFmtId="0" fontId="15" fillId="2" borderId="174" xfId="0" applyFont="1" applyFill="1" applyBorder="1" applyAlignment="1">
      <s:alignment horizontal="center" vertical="center" wrapText="1" mc:Ignorable="vyd"/>
    </s:xf>
    <s:xf numFmtId="4" fontId="21" fillId="0" borderId="17" xfId="0" applyNumberFormat="1" applyFont="1" applyBorder="1" applyAlignment="1">
      <s:alignment horizontal="center" vertical="center" mc:Ignorable="vyd"/>
    </s:xf>
    <s:xf numFmtId="3" fontId="16" fillId="0" borderId="107" xfId="0" applyNumberFormat="1" applyFont="1" applyBorder="1" applyAlignment="1">
      <s:alignment horizontal="center" vertical="center" mc:Ignorable="vyd"/>
    </s:xf>
    <s:xf numFmtId="0" fontId="42" fillId="33" borderId="21" xfId="0" applyFont="1" applyFill="1" applyBorder="1"/>
    <s:xf numFmtId="0" fontId="42" fillId="35" borderId="110" xfId="0" applyFont="1" applyFill="1" applyBorder="1" applyProtection="1">
      <s:protection locked="0"/>
    </s:xf>
    <s:xf numFmtId="0" fontId="42" fillId="35" borderId="18" xfId="0" applyFont="1" applyFill="1" applyBorder="1"/>
    <s:xf numFmtId="168" fontId="17" fillId="19" borderId="33" xfId="0" applyNumberFormat="1" applyFont="1" applyFill="1" applyBorder="1" applyAlignment="1">
      <s:alignment horizontal="right" vertical="center" wrapText="1" indent="1" mc:Ignorable="vyd"/>
    </s:xf>
    <s:xf numFmtId="168" fontId="17" fillId="19" borderId="41" xfId="0" applyNumberFormat="1" applyFont="1" applyFill="1" applyBorder="1" applyAlignment="1">
      <s:alignment horizontal="right" vertical="center" wrapText="1" indent="1" mc:Ignorable="vyd"/>
    </s:xf>
    <s:xf numFmtId="168" fontId="17" fillId="0" borderId="108" xfId="0" applyNumberFormat="1" applyFont="1" applyBorder="1" applyAlignment="1">
      <s:alignment horizontal="right" vertical="center" wrapText="1" indent="1" mc:Ignorable="vyd"/>
    </s:xf>
    <s:xf numFmtId="0" fontId="42" fillId="35" borderId="48" xfId="0" applyFont="1" applyFill="1" applyBorder="1" applyProtection="1">
      <s:protection locked="0"/>
    </s:xf>
    <s:xf numFmtId="168" fontId="17" fillId="19" borderId="96" xfId="0" applyNumberFormat="1" applyFont="1" applyFill="1" applyBorder="1" applyAlignment="1">
      <s:alignment horizontal="right" vertical="center" wrapText="1" indent="1" mc:Ignorable="vyd"/>
    </s:xf>
    <s:xf numFmtId="0" fontId="42" fillId="35" borderId="21" xfId="0" applyFont="1" applyFill="1" applyBorder="1"/>
    <s:xf numFmtId="4" fontId="44" fillId="28" borderId="17" xfId="0" applyNumberFormat="1" applyFont="1" applyFill="1" applyBorder="1" applyAlignment="1">
      <s:alignment horizontal="center" vertical="top" mc:Ignorable="vyd"/>
    </s:xf>
    <s:xf numFmtId="4" fontId="48" fillId="28" borderId="14" xfId="0" applyNumberFormat="1" applyFont="1" applyFill="1" applyBorder="1" applyAlignment="1">
      <s:alignment horizontal="center" vertical="top" mc:Ignorable="vyd"/>
    </s:xf>
    <s:xf numFmtId="4" fontId="44" fillId="31" borderId="14" xfId="0" applyNumberFormat="1" applyFont="1" applyFill="1" applyBorder="1" applyAlignment="1">
      <s:alignment horizontal="center" vertical="top" mc:Ignorable="vyd"/>
    </s:xf>
    <s:xf numFmtId="4" fontId="48" fillId="31" borderId="14" xfId="0" applyNumberFormat="1" applyFont="1" applyFill="1" applyBorder="1" applyAlignment="1">
      <s:alignment horizontal="center" vertical="top" mc:Ignorable="vyd"/>
    </s:xf>
    <s:xf numFmtId="4" fontId="44" fillId="28" borderId="14" xfId="0" applyNumberFormat="1" applyFont="1" applyFill="1" applyBorder="1" applyAlignment="1">
      <s:alignment horizontal="center" vertical="top" mc:Ignorable="vyd"/>
    </s:xf>
    <s:xf numFmtId="4" fontId="49" fillId="28" borderId="14" xfId="0" applyNumberFormat="1" applyFont="1" applyFill="1" applyBorder="1" applyAlignment="1">
      <s:alignment horizontal="center" vertical="top" mc:Ignorable="vyd"/>
    </s:xf>
    <s:xf numFmtId="4" fontId="44" fillId="31" borderId="17" xfId="0" applyNumberFormat="1" applyFont="1" applyFill="1" applyBorder="1" applyAlignment="1">
      <s:alignment horizontal="center" vertical="top" mc:Ignorable="vyd"/>
    </s:xf>
    <s:xf numFmtId="4" fontId="50" fillId="28" borderId="17" xfId="0" applyNumberFormat="1" applyFont="1" applyFill="1" applyBorder="1" applyAlignment="1">
      <s:alignment horizontal="center" vertical="top" mc:Ignorable="vyd"/>
    </s:xf>
    <s:xf numFmtId="4" fontId="51" fillId="31" borderId="17" xfId="0" applyNumberFormat="1" applyFont="1" applyFill="1" applyBorder="1" applyAlignment="1">
      <s:alignment horizontal="center" vertical="top" mc:Ignorable="vyd"/>
    </s:xf>
    <s:xf numFmtId="4" fontId="0" fillId="0" borderId="0" xfId="0" applyNumberFormat="1"/>
    <s:xf numFmtId="3" fontId="46" fillId="0" borderId="49" xfId="0" applyNumberFormat="1" applyFont="1" applyBorder="1" applyAlignment="1">
      <s:alignment horizontal="center" vertical="top" mc:Ignorable="vyd"/>
    </s:xf>
    <s:xf numFmtId="3" fontId="44" fillId="28" borderId="20" xfId="0" applyNumberFormat="1" applyFont="1" applyFill="1" applyBorder="1" applyAlignment="1">
      <s:alignment horizontal="center" vertical="top" mc:Ignorable="vyd"/>
    </s:xf>
    <s:xf numFmtId="0" fontId="33" fillId="16" borderId="19" xfId="0" applyFont="1" applyFill="1" applyBorder="1" applyAlignment="1">
      <s:alignment horizontal="left" vertical="top" wrapText="1" mc:Ignorable="vyd"/>
    </s:xf>
    <s:xf numFmtId="0" fontId="33" fillId="16" borderId="17" xfId="0" applyFont="1" applyFill="1" applyBorder="1" applyAlignment="1">
      <s:alignment horizontal="left" vertical="top" wrapText="1" mc:Ignorable="vyd"/>
    </s:xf>
    <s:xf numFmtId="0" fontId="33" fillId="16" borderId="19" xfId="0" applyFont="1" applyFill="1" applyBorder="1" applyAlignment="1">
      <s:alignment horizontal="center" vertical="center" mc:Ignorable="vyd"/>
    </s:xf>
    <s:xf numFmtId="0" fontId="33" fillId="16" borderId="17" xfId="0" applyFont="1" applyFill="1" applyBorder="1" applyAlignment="1">
      <s:alignment horizontal="center" vertical="center" mc:Ignorable="vyd"/>
    </s:xf>
    <s:xf numFmtId="0" fontId="33" fillId="16" borderId="19" xfId="0" applyFont="1" applyFill="1" applyBorder="1" applyAlignment="1">
      <s:alignment horizontal="center" vertical="top" wrapText="1" mc:Ignorable="vyd"/>
    </s:xf>
    <s:xf numFmtId="0" fontId="33" fillId="16" borderId="17" xfId="0" applyFont="1" applyFill="1" applyBorder="1" applyAlignment="1">
      <s:alignment horizontal="center" vertical="top" wrapText="1" mc:Ignorable="vyd"/>
    </s:xf>
    <s:xf numFmtId="0" fontId="33" fillId="16" borderId="0" xfId="0" applyFont="1" applyFill="1" applyAlignment="1">
      <s:alignment horizontal="center" vertical="top" mc:Ignorable="vyd"/>
    </s:xf>
    <s:xf numFmtId="17" fontId="17" fillId="15" borderId="97" xfId="0" applyNumberFormat="1" applyFont="1" applyFill="1" applyBorder="1" applyAlignment="1">
      <s:alignment horizontal="left" vertical="center" wrapText="1" mc:Ignorable="vyd"/>
    </s:xf>
    <s:xf numFmtId="17" fontId="17" fillId="15" borderId="98" xfId="0" applyNumberFormat="1" applyFont="1" applyFill="1" applyBorder="1" applyAlignment="1">
      <s:alignment horizontal="left" vertical="center" wrapText="1" mc:Ignorable="vyd"/>
    </s:xf>
    <s:xf numFmtId="17" fontId="17" fillId="15" borderId="99" xfId="0" applyNumberFormat="1" applyFont="1" applyFill="1" applyBorder="1" applyAlignment="1">
      <s:alignment horizontal="left" vertical="center" wrapText="1" mc:Ignorable="vyd"/>
    </s:xf>
    <s:xf numFmtId="0" fontId="17" fillId="16" borderId="55" xfId="0" applyFont="1" applyFill="1" applyBorder="1" applyAlignment="1">
      <s:alignment horizontal="left" vertical="center" wrapText="1" mc:Ignorable="vyd"/>
    </s:xf>
    <s:xf numFmtId="0" fontId="17" fillId="16" borderId="39" xfId="0" applyFont="1" applyFill="1" applyBorder="1" applyAlignment="1">
      <s:alignment horizontal="left" vertical="center" wrapText="1" mc:Ignorable="vyd"/>
    </s:xf>
    <s:xf numFmtId="0" fontId="17" fillId="16" borderId="22" xfId="0" applyFont="1" applyFill="1" applyBorder="1" applyAlignment="1">
      <s:alignment horizontal="left" vertical="center" wrapText="1" mc:Ignorable="vyd"/>
    </s:xf>
    <s:xf numFmtId="0" fontId="32" fillId="18" borderId="103" xfId="0" applyFont="1" applyFill="1" applyBorder="1" applyAlignment="1">
      <s:alignment horizontal="center" vertical="center" wrapText="1" mc:Ignorable="vyd"/>
    </s:xf>
    <s:xf numFmtId="0" fontId="32" fillId="18" borderId="96" xfId="0" applyFont="1" applyFill="1" applyBorder="1" applyAlignment="1">
      <s:alignment horizontal="center" vertical="center" wrapText="1" mc:Ignorable="vyd"/>
    </s:xf>
    <s:xf numFmtId="0" fontId="17" fillId="19" borderId="103" xfId="0" applyFont="1" applyFill="1" applyBorder="1" applyAlignment="1">
      <s:alignment horizontal="left" vertical="top" wrapText="1" mc:Ignorable="vyd"/>
    </s:xf>
    <s:xf numFmtId="0" fontId="17" fillId="19" borderId="96" xfId="0" applyFont="1" applyFill="1" applyBorder="1" applyAlignment="1">
      <s:alignment horizontal="left" vertical="top" wrapText="1" mc:Ignorable="vyd"/>
    </s:xf>
    <s:xf numFmtId="0" fontId="14" fillId="7" borderId="160" xfId="0" applyFont="1" applyFill="1" applyBorder="1" applyAlignment="1">
      <s:alignment horizontal="center" vertical="center" mc:Ignorable="vyd"/>
    </s:xf>
    <s:xf numFmtId="0" fontId="14" fillId="7" borderId="161" xfId="0" applyFont="1" applyFill="1" applyBorder="1" applyAlignment="1">
      <s:alignment horizontal="center" vertical="center" mc:Ignorable="vyd"/>
    </s:xf>
    <s:xf numFmtId="0" fontId="14" fillId="7" borderId="164" xfId="0" applyFont="1" applyFill="1" applyBorder="1" applyAlignment="1">
      <s:alignment horizontal="center" vertical="center" mc:Ignorable="vyd"/>
    </s:xf>
    <s:xf numFmtId="0" fontId="12" fillId="2" borderId="161" xfId="0" applyFont="1" applyFill="1" applyBorder="1" applyAlignment="1">
      <s:alignment horizontal="center" vertical="center" wrapText="1" mc:Ignorable="vyd"/>
    </s:xf>
    <s:xf numFmtId="0" fontId="12" fillId="2" borderId="142" xfId="0" applyFont="1" applyFill="1" applyBorder="1" applyAlignment="1">
      <s:alignment horizontal="center" vertical="center" wrapText="1" mc:Ignorable="vyd"/>
    </s:xf>
    <s:xf numFmtId="166" fontId="7" fillId="4" borderId="21" xfId="1" applyNumberFormat="1" applyFont="1" applyFill="1" applyBorder="1" applyAlignment="1" applyProtection="1">
      <s:alignment horizontal="center" vertical="center" wrapText="1" mc:Ignorable="vyd"/>
    </s:xf>
    <s:xf numFmtId="166" fontId="7" fillId="4" borderId="11" xfId="1" applyNumberFormat="1" applyFont="1" applyFill="1" applyBorder="1" applyAlignment="1" applyProtection="1">
      <s:alignment horizontal="center" vertical="center" wrapText="1" mc:Ignorable="vyd"/>
    </s:xf>
    <s:xf numFmtId="0" fontId="7" fillId="0" borderId="115" xfId="0" applyFont="1" applyBorder="1" applyAlignment="1">
      <s:alignment horizontal="left" vertical="center" mc:Ignorable="vyd"/>
    </s:xf>
    <s:xf numFmtId="0" fontId="7" fillId="0" borderId="29" xfId="0" applyFont="1" applyBorder="1" applyAlignment="1">
      <s:alignment horizontal="left" vertical="center" mc:Ignorable="vyd"/>
    </s:xf>
    <s:xf numFmtId="0" fontId="7" fillId="0" borderId="50" xfId="0" applyFont="1" applyBorder="1" applyAlignment="1">
      <s:alignment horizontal="left" vertical="center" mc:Ignorable="vyd"/>
    </s:xf>
    <s:xf numFmtId="0" fontId="16" fillId="0" borderId="116" xfId="0" applyFont="1" applyBorder="1" applyAlignment="1">
      <s:alignment horizontal="left" vertical="center" mc:Ignorable="vyd"/>
    </s:xf>
    <s:xf numFmtId="0" fontId="16" fillId="0" borderId="117" xfId="0" applyFont="1" applyBorder="1" applyAlignment="1">
      <s:alignment horizontal="left" vertical="center" mc:Ignorable="vyd"/>
    </s:xf>
    <s:xf numFmtId="0" fontId="16" fillId="0" borderId="118" xfId="0" applyFont="1" applyBorder="1" applyAlignment="1">
      <s:alignment horizontal="left" vertical="center" mc:Ignorable="vyd"/>
    </s:xf>
    <s:xf numFmtId="0" fontId="12" fillId="7" borderId="152" xfId="0" applyFont="1" applyFill="1" applyBorder="1" applyAlignment="1">
      <s:alignment horizontal="center" vertical="center" wrapText="1" mc:Ignorable="vyd"/>
    </s:xf>
    <s:xf numFmtId="0" fontId="12" fillId="7" borderId="153" xfId="0" applyFont="1" applyFill="1" applyBorder="1" applyAlignment="1">
      <s:alignment horizontal="center" vertical="center" wrapText="1" mc:Ignorable="vyd"/>
    </s:xf>
    <s:xf numFmtId="0" fontId="12" fillId="2" borderId="111" xfId="0" applyFont="1" applyFill="1" applyBorder="1" applyAlignment="1">
      <s:alignment horizontal="center" vertical="center" wrapText="1" mc:Ignorable="vyd"/>
    </s:xf>
    <s:xf numFmtId="0" fontId="12" fillId="2" borderId="6" xfId="0" applyFont="1" applyFill="1" applyBorder="1" applyAlignment="1">
      <s:alignment horizontal="center" vertical="center" wrapText="1" mc:Ignorable="vyd"/>
    </s:xf>
    <s:xf numFmtId="0" fontId="12" fillId="2" borderId="113" xfId="0" applyFont="1" applyFill="1" applyBorder="1" applyAlignment="1">
      <s:alignment horizontal="center" vertical="center" wrapText="1" mc:Ignorable="vyd"/>
    </s:xf>
    <s:xf numFmtId="0" fontId="16" fillId="0" borderId="115" xfId="0" applyFont="1" applyBorder="1" applyAlignment="1">
      <s:alignment horizontal="left" vertical="center" mc:Ignorable="vyd"/>
    </s:xf>
    <s:xf numFmtId="0" fontId="16" fillId="0" borderId="29" xfId="0" applyFont="1" applyBorder="1" applyAlignment="1">
      <s:alignment horizontal="left" vertical="center" mc:Ignorable="vyd"/>
    </s:xf>
    <s:xf numFmtId="0" fontId="16" fillId="0" borderId="50" xfId="0" applyFont="1" applyBorder="1" applyAlignment="1">
      <s:alignment horizontal="left" vertical="center" mc:Ignorable="vyd"/>
    </s:xf>
    <s:xf numFmtId="3" fontId="6" fillId="2" borderId="111" xfId="0" applyNumberFormat="1" applyFont="1" applyFill="1" applyBorder="1" applyAlignment="1" applyProtection="1">
      <s:alignment horizontal="center" mc:Ignorable="vyd"/>
      <s:protection locked="0"/>
    </s:xf>
    <s:xf numFmtId="3" fontId="6" fillId="2" borderId="113" xfId="0" applyNumberFormat="1" applyFont="1" applyFill="1" applyBorder="1" applyAlignment="1" applyProtection="1">
      <s:alignment horizontal="center" mc:Ignorable="vyd"/>
      <s:protection locked="0"/>
    </s:xf>
    <s:xf numFmtId="0" fontId="10" fillId="2" borderId="148" xfId="0" applyFont="1" applyFill="1" applyBorder="1" applyAlignment="1">
      <s:alignment horizontal="center" vertical="center" mc:Ignorable="vyd"/>
    </s:xf>
    <s:xf numFmtId="0" fontId="11" fillId="3" borderId="1" xfId="0" applyFont="1" applyFill="1" applyBorder="1" applyAlignment="1" applyProtection="1">
      <s:alignment horizontal="center" vertical="center" wrapText="1" mc:Ignorable="vyd"/>
      <s:protection locked="0"/>
    </s:xf>
    <s:xf numFmtId="0" fontId="11" fillId="3" borderId="101" xfId="0" applyFont="1" applyFill="1" applyBorder="1" applyAlignment="1" applyProtection="1">
      <s:alignment horizontal="center" vertical="center" wrapText="1" mc:Ignorable="vyd"/>
      <s:protection locked="0"/>
    </s:xf>
    <s:xf numFmtId="0" fontId="11" fillId="3" borderId="102" xfId="0" applyFont="1" applyFill="1" applyBorder="1" applyAlignment="1" applyProtection="1">
      <s:alignment horizontal="center" vertical="center" wrapText="1" mc:Ignorable="vyd"/>
      <s:protection locked="0"/>
    </s:xf>
    <s:xf numFmtId="0" fontId="11" fillId="3" borderId="3" xfId="0" applyFont="1" applyFill="1" applyBorder="1" applyAlignment="1" applyProtection="1">
      <s:alignment horizontal="center" vertical="center" wrapText="1" mc:Ignorable="vyd"/>
      <s:protection locked="0"/>
    </s:xf>
    <s:xf numFmtId="0" fontId="11" fillId="3" borderId="4" xfId="0" applyFont="1" applyFill="1" applyBorder="1" applyAlignment="1" applyProtection="1">
      <s:alignment horizontal="center" vertical="center" wrapText="1" mc:Ignorable="vyd"/>
      <s:protection locked="0"/>
    </s:xf>
    <s:xf numFmtId="0" fontId="11" fillId="3" borderId="5" xfId="0" applyFont="1" applyFill="1" applyBorder="1" applyAlignment="1" applyProtection="1">
      <s:alignment horizontal="center" vertical="center" wrapText="1" mc:Ignorable="vyd"/>
      <s:protection locked="0"/>
    </s:xf>
    <s:xf numFmtId="0" fontId="14" fillId="2" borderId="111" xfId="0" applyFont="1" applyFill="1" applyBorder="1" applyAlignment="1">
      <s:alignment horizontal="center" vertical="center" mc:Ignorable="vyd"/>
    </s:xf>
    <s:xf numFmtId="0" fontId="14" fillId="2" borderId="112" xfId="0" applyFont="1" applyFill="1" applyBorder="1" applyAlignment="1">
      <s:alignment horizontal="center" vertical="center" mc:Ignorable="vyd"/>
    </s:xf>
    <s:xf numFmtId="0" fontId="14" fillId="2" borderId="113" xfId="0" applyFont="1" applyFill="1" applyBorder="1" applyAlignment="1">
      <s:alignment horizontal="center" vertical="center" mc:Ignorable="vyd"/>
    </s:xf>
    <s:xf numFmtId="0" fontId="16" fillId="0" borderId="97" xfId="0" applyFont="1" applyBorder="1" applyAlignment="1">
      <s:alignment horizontal="left" vertical="center" mc:Ignorable="vyd"/>
    </s:xf>
    <s:xf numFmtId="0" fontId="16" fillId="0" borderId="98" xfId="0" applyFont="1" applyBorder="1" applyAlignment="1">
      <s:alignment horizontal="left" vertical="center" mc:Ignorable="vyd"/>
    </s:xf>
    <s:xf numFmtId="0" fontId="16" fillId="0" borderId="114" xfId="0" applyFont="1" applyBorder="1" applyAlignment="1">
      <s:alignment horizontal="left" vertical="center" mc:Ignorable="vyd"/>
    </s:xf>
    <s:xf numFmtId="0" fontId="14" fillId="34" borderId="160" xfId="0" applyFont="1" applyFill="1" applyBorder="1" applyAlignment="1">
      <s:alignment horizontal="center" vertical="center" mc:Ignorable="vyd"/>
    </s:xf>
    <s:xf numFmtId="0" fontId="14" fillId="34" borderId="161" xfId="0" applyFont="1" applyFill="1" applyBorder="1" applyAlignment="1">
      <s:alignment horizontal="center" vertical="center" mc:Ignorable="vyd"/>
    </s:xf>
    <s:xf numFmtId="0" fontId="14" fillId="34" borderId="164" xfId="0" applyFont="1" applyFill="1" applyBorder="1" applyAlignment="1">
      <s:alignment horizontal="center" vertical="center" mc:Ignorable="vyd"/>
    </s:xf>
    <s:xf numFmtId="0" fontId="12" fillId="34" borderId="168" xfId="0" applyFont="1" applyFill="1" applyBorder="1" applyAlignment="1">
      <s:alignment horizontal="center" vertical="center" wrapText="1" mc:Ignorable="vyd"/>
    </s:xf>
    <s:xf numFmtId="0" fontId="12" fillId="34" borderId="101" xfId="0" applyFont="1" applyFill="1" applyBorder="1" applyAlignment="1">
      <s:alignment horizontal="center" vertical="center" wrapText="1" mc:Ignorable="vyd"/>
    </s:xf>
    <s:xf numFmtId="0" fontId="12" fillId="34" borderId="162" xfId="0" applyFont="1" applyFill="1" applyBorder="1" applyAlignment="1">
      <s:alignment horizontal="center" vertical="center" wrapText="1" mc:Ignorable="vyd"/>
    </s:xf>
    <s:xf numFmtId="0" fontId="12" fillId="34" borderId="170" xfId="0" applyFont="1" applyFill="1" applyBorder="1" applyAlignment="1">
      <s:alignment horizontal="center" vertical="center" wrapText="1" mc:Ignorable="vyd"/>
    </s:xf>
    <s:xf numFmtId="0" fontId="12" fillId="34" borderId="42" xfId="0" applyFont="1" applyFill="1" applyBorder="1" applyAlignment="1">
      <s:alignment horizontal="center" vertical="center" wrapText="1" mc:Ignorable="vyd"/>
    </s:xf>
    <s:xf numFmtId="0" fontId="12" fillId="34" borderId="49" xfId="0" applyFont="1" applyFill="1" applyBorder="1" applyAlignment="1">
      <s:alignment horizontal="center" vertical="center" wrapText="1" mc:Ignorable="vyd"/>
    </s:xf>
    <s:xf numFmtId="3" fontId="12" fillId="34" borderId="163" xfId="0" applyNumberFormat="1" applyFont="1" applyFill="1" applyBorder="1" applyAlignment="1">
      <s:alignment horizontal="center" vertical="center" mc:Ignorable="vyd"/>
    </s:xf>
    <s:xf numFmtId="3" fontId="12" fillId="34" borderId="169" xfId="0" applyNumberFormat="1" applyFont="1" applyFill="1" applyBorder="1" applyAlignment="1">
      <s:alignment horizontal="center" vertical="center" mc:Ignorable="vyd"/>
    </s:xf>
    <s:xf numFmtId="3" fontId="12" fillId="34" borderId="175" xfId="0" applyNumberFormat="1" applyFont="1" applyFill="1" applyBorder="1" applyAlignment="1">
      <s:alignment horizontal="center" vertical="center" mc:Ignorable="vyd"/>
    </s:xf>
    <s:xf numFmtId="3" fontId="12" fillId="34" borderId="163" xfId="0" applyNumberFormat="1" applyFont="1" applyFill="1" applyBorder="1" applyAlignment="1">
      <s:alignment horizontal="center" vertical="center" wrapText="1" mc:Ignorable="vyd"/>
    </s:xf>
    <s:xf numFmtId="3" fontId="12" fillId="34" borderId="169" xfId="0" applyNumberFormat="1" applyFont="1" applyFill="1" applyBorder="1" applyAlignment="1">
      <s:alignment horizontal="center" vertical="center" wrapText="1" mc:Ignorable="vyd"/>
    </s:xf>
    <s:xf numFmtId="3" fontId="12" fillId="34" borderId="175" xfId="0" applyNumberFormat="1" applyFont="1" applyFill="1" applyBorder="1" applyAlignment="1">
      <s:alignment horizontal="center" vertical="center" wrapText="1" mc:Ignorable="vyd"/>
    </s:xf>
    <s:xf numFmtId="3" fontId="12" fillId="34" borderId="116" xfId="0" applyNumberFormat="1" applyFont="1" applyFill="1" applyBorder="1" applyAlignment="1">
      <s:alignment horizontal="center" vertical="center" mc:Ignorable="vyd"/>
    </s:xf>
    <s:xf numFmtId="3" fontId="12" fillId="34" borderId="167" xfId="0" applyNumberFormat="1" applyFont="1" applyFill="1" applyBorder="1" applyAlignment="1">
      <s:alignment horizontal="center" vertical="center" mc:Ignorable="vyd"/>
    </s:xf>
    <s:xf numFmtId="3" fontId="12" fillId="34" borderId="116" xfId="0" applyNumberFormat="1" applyFont="1" applyFill="1" applyBorder="1" applyAlignment="1">
      <s:alignment horizontal="center" vertical="center" wrapText="1" mc:Ignorable="vyd"/>
    </s:xf>
    <s:xf numFmtId="3" fontId="12" fillId="34" borderId="167" xfId="0" applyNumberFormat="1" applyFont="1" applyFill="1" applyBorder="1" applyAlignment="1">
      <s:alignment horizontal="center" vertical="center" wrapText="1" mc:Ignorable="vyd"/>
    </s:xf>
    <s:xf numFmtId="5" fontId="30" fillId="0" borderId="160" xfId="0" applyNumberFormat="1" applyFont="1" applyBorder="1" applyAlignment="1">
      <s:alignment horizontal="center" vertical="center" mc:Ignorable="vyd"/>
    </s:xf>
    <s:xf numFmtId="5" fontId="30" fillId="0" borderId="161" xfId="0" applyNumberFormat="1" applyFont="1" applyBorder="1" applyAlignment="1">
      <s:alignment horizontal="center" vertical="center" mc:Ignorable="vyd"/>
    </s:xf>
    <s:xf numFmtId="5" fontId="30" fillId="0" borderId="164" xfId="0" applyNumberFormat="1" applyFont="1" applyBorder="1" applyAlignment="1">
      <s:alignment horizontal="center" vertical="center" mc:Ignorable="vyd"/>
    </s:xf>
    <s:xf numFmtId="167" fontId="30" fillId="0" borderId="160" xfId="1" applyNumberFormat="1" applyFont="1" applyBorder="1" applyAlignment="1" applyProtection="1">
      <s:alignment horizontal="center" vertical="center" mc:Ignorable="vyd"/>
    </s:xf>
    <s:xf numFmtId="167" fontId="30" fillId="0" borderId="161" xfId="1" applyNumberFormat="1" applyFont="1" applyBorder="1" applyAlignment="1" applyProtection="1">
      <s:alignment horizontal="center" vertical="center" mc:Ignorable="vyd"/>
    </s:xf>
    <s:xf numFmtId="167" fontId="30" fillId="0" borderId="164" xfId="1" applyNumberFormat="1" applyFont="1" applyBorder="1" applyAlignment="1" applyProtection="1">
      <s:alignment horizontal="center" vertical="center" mc:Ignorable="vyd"/>
    </s:xf>
    <s:xf numFmtId="0" fontId="7" fillId="0" borderId="116" xfId="0" applyFont="1" applyBorder="1" applyAlignment="1">
      <s:alignment horizontal="left" vertical="center" mc:Ignorable="vyd"/>
    </s:xf>
    <s:xf numFmtId="0" fontId="7" fillId="0" borderId="117" xfId="0" applyFont="1" applyBorder="1" applyAlignment="1">
      <s:alignment horizontal="left" vertical="center" mc:Ignorable="vyd"/>
    </s:xf>
    <s:xf numFmtId="0" fontId="7" fillId="0" borderId="118" xfId="0" applyFont="1" applyBorder="1" applyAlignment="1">
      <s:alignment horizontal="left" vertical="center" mc:Ignorable="vyd"/>
    </s:xf>
    <s:xf numFmtId="0" fontId="7" fillId="0" borderId="160" xfId="0" applyFont="1" applyBorder="1" applyAlignment="1">
      <s:alignment horizontal="left" vertical="center" mc:Ignorable="vyd"/>
    </s:xf>
    <s:xf numFmtId="0" fontId="7" fillId="0" borderId="161" xfId="0" applyFont="1" applyBorder="1" applyAlignment="1">
      <s:alignment horizontal="left" vertical="center" mc:Ignorable="vyd"/>
    </s:xf>
    <s:xf numFmtId="0" fontId="7" fillId="0" borderId="164" xfId="0" applyFont="1" applyBorder="1" applyAlignment="1">
      <s:alignment horizontal="left" vertical="center" mc:Ignorable="vyd"/>
    </s:xf>
    <s:xf numFmtId="0" fontId="10" fillId="2" borderId="0" xfId="0" applyFont="1" applyFill="1" applyAlignment="1">
      <s:alignment vertical="center" mc:Ignorable="vyd"/>
    </s:xf>
    <s:xf numFmtId="166" fontId="7" fillId="4" borderId="126" xfId="1" applyNumberFormat="1" applyFont="1" applyFill="1" applyBorder="1" applyAlignment="1" applyProtection="1">
      <s:alignment horizontal="center" vertical="center" wrapText="1" mc:Ignorable="vyd"/>
    </s:xf>
    <s:xf numFmtId="165" fontId="5" fillId="2" borderId="0" xfId="0" applyNumberFormat="1" applyFont="1" applyFill="1" applyAlignment="1">
      <s:alignment horizontal="left" vertical="center" mc:Ignorable="vyd"/>
    </s:xf>
    <s:xf numFmtId="0" fontId="9" fillId="2" borderId="0" xfId="0" applyFont="1" applyFill="1" applyAlignment="1">
      <s:alignment horizontal="left" vertical="top" mc:Ignorable="vyd"/>
    </s:xf>
    <s:xf numFmtId="0" fontId="14" fillId="2" borderId="140" xfId="0" applyFont="1" applyFill="1" applyBorder="1" applyAlignment="1">
      <s:alignment horizontal="center" vertical="center" mc:Ignorable="vyd"/>
    </s:xf>
    <s:xf numFmtId="0" fontId="14" fillId="2" borderId="141" xfId="0" applyFont="1" applyFill="1" applyBorder="1" applyAlignment="1">
      <s:alignment horizontal="center" vertical="center" mc:Ignorable="vyd"/>
    </s:xf>
    <s:xf numFmtId="0" fontId="14" fillId="2" borderId="142" xfId="0" applyFont="1" applyFill="1" applyBorder="1" applyAlignment="1">
      <s:alignment horizontal="center" vertical="center" mc:Ignorable="vyd"/>
    </s:xf>
    <s:xf numFmtId="3" fontId="6" fillId="2" borderId="140" xfId="0" applyNumberFormat="1" applyFont="1" applyFill="1" applyBorder="1" applyAlignment="1" applyProtection="1">
      <s:alignment horizontal="left" vertical="center" mc:Ignorable="vyd"/>
      <s:protection locked="0"/>
    </s:xf>
    <s:xf numFmtId="3" fontId="6" fillId="2" borderId="146" xfId="0" applyNumberFormat="1" applyFont="1" applyFill="1" applyBorder="1" applyAlignment="1" applyProtection="1">
      <s:alignment horizontal="left" vertical="center" mc:Ignorable="vyd"/>
      <s:protection locked="0"/>
    </s:xf>
    <s:xf numFmtId="0" fontId="6" fillId="2" borderId="148" xfId="0" applyFont="1" applyFill="1" applyBorder="1" applyAlignment="1">
      <s:alignment horizontal="center" vertical="center" mc:Ignorable="vyd"/>
    </s:xf>
    <s:xf numFmtId="0" fontId="11" fillId="3" borderId="18" xfId="0" applyFont="1" applyFill="1" applyBorder="1" applyAlignment="1" applyProtection="1">
      <s:alignment horizontal="center" vertical="center" wrapText="1" mc:Ignorable="vyd"/>
      <s:protection locked="0"/>
    </s:xf>
    <s:xf numFmtId="0" fontId="14" fillId="13" borderId="140" xfId="0" applyFont="1" applyFill="1" applyBorder="1" applyAlignment="1">
      <s:alignment horizontal="center" vertical="center" mc:Ignorable="vyd"/>
    </s:xf>
    <s:xf numFmtId="0" fontId="14" fillId="13" borderId="141" xfId="0" applyFont="1" applyFill="1" applyBorder="1" applyAlignment="1">
      <s:alignment horizontal="center" vertical="center" mc:Ignorable="vyd"/>
    </s:xf>
    <s:xf numFmtId="0" fontId="14" fillId="13" borderId="142" xfId="0" applyFont="1" applyFill="1" applyBorder="1" applyAlignment="1">
      <s:alignment horizontal="center" vertical="center" mc:Ignorable="vyd"/>
    </s:xf>
    <s:xf numFmtId="0" fontId="12" fillId="2" borderId="176" xfId="0" applyFont="1" applyFill="1" applyBorder="1" applyAlignment="1">
      <s:alignment horizontal="center" vertical="center" wrapText="1" mc:Ignorable="vyd"/>
    </s:xf>
    <s:xf numFmtId="0" fontId="12" fillId="2" borderId="164" xfId="0" applyFont="1" applyFill="1" applyBorder="1" applyAlignment="1">
      <s:alignment horizontal="center" vertical="center" wrapText="1" mc:Ignorable="vyd"/>
    </s:xf>
    <s:xf numFmtId="3" fontId="6" fillId="2" borderId="179" xfId="0" applyNumberFormat="1" applyFont="1" applyFill="1" applyBorder="1" applyAlignment="1" applyProtection="1">
      <s:alignment horizontal="center" mc:Ignorable="vyd"/>
      <s:protection locked="0"/>
    </s:xf>
    <s:xf numFmtId="3" fontId="6" fillId="2" borderId="2" xfId="0" applyNumberFormat="1" applyFont="1" applyFill="1" applyBorder="1" applyAlignment="1" applyProtection="1">
      <s:alignment horizontal="center" mc:Ignorable="vyd"/>
      <s:protection locked="0"/>
    </s:xf>
    <s:xf numFmtId="0" fontId="11" fillId="3" borderId="23" xfId="0" applyFont="1" applyFill="1" applyBorder="1" applyAlignment="1" applyProtection="1">
      <s:alignment horizontal="center" vertical="center" wrapText="1" mc:Ignorable="vyd"/>
      <s:protection locked="0"/>
    </s:xf>
    <s:xf numFmtId="0" fontId="11" fillId="3" borderId="39" xfId="0" applyFont="1" applyFill="1" applyBorder="1" applyAlignment="1" applyProtection="1">
      <s:alignment horizontal="center" vertical="center" wrapText="1" mc:Ignorable="vyd"/>
      <s:protection locked="0"/>
    </s:xf>
    <s:xf numFmtId="0" fontId="11" fillId="3" borderId="22" xfId="0" applyFont="1" applyFill="1" applyBorder="1" applyAlignment="1" applyProtection="1">
      <s:alignment horizontal="center" vertical="center" wrapText="1" mc:Ignorable="vyd"/>
      <s:protection locked="0"/>
    </s:xf>
    <s:xf numFmtId="0" fontId="11" fillId="3" borderId="125" xfId="0" applyFont="1" applyFill="1" applyBorder="1" applyAlignment="1" applyProtection="1">
      <s:alignment horizontal="center" vertical="center" wrapText="1" mc:Ignorable="vyd"/>
      <s:protection locked="0"/>
    </s:xf>
    <s:xf numFmtId="0" fontId="11" fillId="3" borderId="42" xfId="0" applyFont="1" applyFill="1" applyBorder="1" applyAlignment="1" applyProtection="1">
      <s:alignment horizontal="center" vertical="center" wrapText="1" mc:Ignorable="vyd"/>
      <s:protection locked="0"/>
    </s:xf>
    <s:xf numFmtId="0" fontId="11" fillId="3" borderId="14" xfId="0" applyFont="1" applyFill="1" applyBorder="1" applyAlignment="1" applyProtection="1">
      <s:alignment horizontal="center" vertical="center" wrapText="1" mc:Ignorable="vyd"/>
      <s:protection locked="0"/>
    </s:xf>
    <s:xf numFmtId="0" fontId="10" fillId="2" borderId="42" xfId="0" applyFont="1" applyFill="1" applyBorder="1" applyAlignment="1">
      <s:alignment horizontal="center" vertical="center" mc:Ignorable="vyd"/>
    </s:xf>
    <s:xf numFmtId="0" fontId="14" fillId="2" borderId="160" xfId="0" applyFont="1" applyFill="1" applyBorder="1" applyAlignment="1">
      <s:alignment horizontal="center" vertical="center" mc:Ignorable="vyd"/>
    </s:xf>
    <s:xf numFmtId="0" fontId="14" fillId="2" borderId="161" xfId="0" applyFont="1" applyFill="1" applyBorder="1" applyAlignment="1">
      <s:alignment horizontal="center" vertical="center" mc:Ignorable="vyd"/>
    </s:xf>
    <s:xf numFmtId="0" fontId="14" fillId="2" borderId="164" xfId="0" applyFont="1" applyFill="1" applyBorder="1" applyAlignment="1">
      <s:alignment horizontal="center" vertical="center" mc:Ignorable="vyd"/>
    </s:xf>
    <s:xf numFmtId="0" fontId="10" fillId="2" borderId="0" xfId="0" applyFont="1" applyFill="1" applyAlignment="1">
      <s:alignment horizontal="center" vertical="center" mc:Ignorable="vyd"/>
    </s:xf>
    <s:xf numFmtId="0" fontId="12" fillId="13" borderId="162" xfId="0" applyFont="1" applyFill="1" applyBorder="1" applyAlignment="1">
      <s:alignment horizontal="center" vertical="center" wrapText="1" mc:Ignorable="vyd"/>
    </s:xf>
    <s:xf numFmtId="0" fontId="12" fillId="13" borderId="49" xfId="0" applyFont="1" applyFill="1" applyBorder="1" applyAlignment="1">
      <s:alignment horizontal="center" vertical="center" wrapText="1" mc:Ignorable="vyd"/>
    </s:xf>
    <s:xf numFmtId="0" fontId="14" fillId="13" borderId="160" xfId="0" applyFont="1" applyFill="1" applyBorder="1" applyAlignment="1">
      <s:alignment horizontal="center" vertical="center" mc:Ignorable="vyd"/>
    </s:xf>
    <s:xf numFmtId="0" fontId="14" fillId="13" borderId="161" xfId="0" applyFont="1" applyFill="1" applyBorder="1" applyAlignment="1">
      <s:alignment horizontal="center" vertical="center" mc:Ignorable="vyd"/>
    </s:xf>
    <s:xf numFmtId="0" fontId="14" fillId="13" borderId="164" xfId="0" applyFont="1" applyFill="1" applyBorder="1" applyAlignment="1">
      <s:alignment horizontal="center" vertical="center" mc:Ignorable="vyd"/>
    </s:xf>
    <s:xf numFmtId="0" fontId="12" fillId="2" borderId="160" xfId="0" applyFont="1" applyFill="1" applyBorder="1" applyAlignment="1">
      <s:alignment horizontal="center" vertical="center" wrapText="1" mc:Ignorable="vyd"/>
    </s:xf>
    <s:xf numFmtId="3" fontId="6" fillId="2" borderId="179" xfId="0" applyNumberFormat="1" applyFont="1" applyFill="1" applyBorder="1" applyAlignment="1" applyProtection="1">
      <s:alignment horizontal="center" vertical="center" mc:Ignorable="vyd"/>
      <s:protection locked="0"/>
    </s:xf>
    <s:xf numFmtId="3" fontId="6" fillId="2" borderId="2" xfId="0" applyNumberFormat="1" applyFont="1" applyFill="1" applyBorder="1" applyAlignment="1" applyProtection="1">
      <s:alignment horizontal="center" vertical="center" mc:Ignorable="vyd"/>
      <s:protection locked="0"/>
    </s:xf>
    <s:xf numFmtId="0" fontId="11" fillId="3" borderId="168" xfId="0" applyFont="1" applyFill="1" applyBorder="1" applyAlignment="1" applyProtection="1">
      <s:alignment horizontal="center" vertical="center" wrapText="1" mc:Ignorable="vyd"/>
      <s:protection locked="0"/>
    </s:xf>
    <s:xf numFmtId="0" fontId="11" fillId="3" borderId="162" xfId="0" applyFont="1" applyFill="1" applyBorder="1" applyAlignment="1" applyProtection="1">
      <s:alignment horizontal="center" vertical="center" wrapText="1" mc:Ignorable="vyd"/>
      <s:protection locked="0"/>
    </s:xf>
    <s:xf numFmtId="0" fontId="11" fillId="3" borderId="177" xfId="0" applyFont="1" applyFill="1" applyBorder="1" applyAlignment="1" applyProtection="1">
      <s:alignment horizontal="center" vertical="center" wrapText="1" mc:Ignorable="vyd"/>
      <s:protection locked="0"/>
    </s:xf>
    <s:xf numFmtId="0" fontId="11" fillId="3" borderId="148" xfId="0" applyFont="1" applyFill="1" applyBorder="1" applyAlignment="1" applyProtection="1">
      <s:alignment horizontal="center" vertical="center" wrapText="1" mc:Ignorable="vyd"/>
      <s:protection locked="0"/>
    </s:xf>
    <s:xf numFmtId="0" fontId="11" fillId="3" borderId="178" xfId="0" applyFont="1" applyFill="1" applyBorder="1" applyAlignment="1" applyProtection="1">
      <s:alignment horizontal="center" vertical="center" wrapText="1" mc:Ignorable="vyd"/>
      <s:protection locked="0"/>
    </s:xf>
    <s:xf numFmtId="0" fontId="33" fillId="16" borderId="19" xfId="0" applyFont="1" applyFill="1" applyBorder="1" applyAlignment="1">
      <s:alignment horizontal="left" vertical="top" mc:Ignorable="vyd"/>
    </s:xf>
    <s:xf numFmtId="0" fontId="33" fillId="16" borderId="17" xfId="0" applyFont="1" applyFill="1" applyBorder="1" applyAlignment="1">
      <s:alignment horizontal="left" vertical="top" mc:Ignorable="vyd"/>
    </s:xf>
    <s:xf numFmtId="0" fontId="17" fillId="19" borderId="103" xfId="0" applyFont="1" applyFill="1" applyBorder="1" applyAlignment="1">
      <s:alignment horizontal="left" vertical="center" wrapText="1" mc:Ignorable="vyd"/>
    </s:xf>
    <s:xf numFmtId="0" fontId="17" fillId="19" borderId="96" xfId="0" applyFont="1" applyFill="1" applyBorder="1" applyAlignment="1">
      <s:alignment horizontal="left" vertical="center" wrapText="1" mc:Ignorable="vyd"/>
    </s:xf>
    <s:xf numFmtId="0" fontId="38" fillId="20" borderId="61" xfId="0" applyFont="1" applyFill="1" applyBorder="1" applyAlignment="1" applyProtection="1">
      <s:alignment horizontal="center" mc:Ignorable="vyd"/>
      <s:protection locked="0"/>
    </s:xf>
    <s:xf numFmtId="0" fontId="38" fillId="20" borderId="62" xfId="0" applyFont="1" applyFill="1" applyBorder="1" applyAlignment="1" applyProtection="1">
      <s:alignment horizontal="center" mc:Ignorable="vyd"/>
      <s:protection locked="0"/>
    </s:xf>
    <s:xf numFmtId="3" fontId="39" fillId="22" borderId="61" xfId="0" applyNumberFormat="1" applyFont="1" applyFill="1" applyBorder="1" applyAlignment="1" applyProtection="1">
      <s:alignment horizontal="center" mc:Ignorable="vyd"/>
      <s:protection locked="0"/>
    </s:xf>
    <s:xf numFmtId="3" fontId="39" fillId="22" borderId="63" xfId="0" applyNumberFormat="1" applyFont="1" applyFill="1" applyBorder="1" applyAlignment="1" applyProtection="1">
      <s:alignment horizontal="center" mc:Ignorable="vyd"/>
      <s:protection locked="0"/>
    </s:xf>
    <s:xf numFmtId="3" fontId="39" fillId="22" borderId="62" xfId="0" applyNumberFormat="1" applyFont="1" applyFill="1" applyBorder="1" applyAlignment="1" applyProtection="1">
      <s:alignment horizontal="center" mc:Ignorable="vyd"/>
      <s:protection locked="0"/>
    </s:xf>
    <s:xf numFmtId="0" fontId="32" fillId="20" borderId="61" xfId="0" applyFont="1" applyFill="1" applyBorder="1" applyAlignment="1" applyProtection="1">
      <s:alignment horizontal="left" wrapText="1" mc:Ignorable="vyd"/>
      <s:protection locked="0"/>
    </s:xf>
    <s:xf numFmtId="0" fontId="32" fillId="20" borderId="63" xfId="0" applyFont="1" applyFill="1" applyBorder="1" applyAlignment="1" applyProtection="1">
      <s:alignment horizontal="left" wrapText="1" mc:Ignorable="vyd"/>
      <s:protection locked="0"/>
    </s:xf>
    <s:xf numFmtId="0" fontId="32" fillId="20" borderId="62" xfId="0" applyFont="1" applyFill="1" applyBorder="1" applyAlignment="1" applyProtection="1">
      <s:alignment horizontal="left" wrapText="1" mc:Ignorable="vyd"/>
      <s:protection locked="0"/>
    </s:xf>
    <s:xf numFmtId="0" fontId="32" fillId="20" borderId="58" xfId="0" applyFont="1" applyFill="1" applyBorder="1" applyAlignment="1" applyProtection="1">
      <s:alignment horizontal="left" wrapText="1" mc:Ignorable="vyd"/>
      <s:protection locked="0"/>
    </s:xf>
    <s:xf numFmtId="0" fontId="17" fillId="26" borderId="73" xfId="0" applyFont="1" applyFill="1" applyBorder="1" applyAlignment="1" applyProtection="1">
      <s:alignment horizontal="center" vertical="center" wrapText="1" mc:Ignorable="vyd"/>
      <s:protection hidden="1"/>
    </s:xf>
    <s:xf numFmtId="0" fontId="17" fillId="26" borderId="75" xfId="0" applyFont="1" applyFill="1" applyBorder="1" applyAlignment="1" applyProtection="1">
      <s:alignment horizontal="center" vertical="center" wrapText="1" mc:Ignorable="vyd"/>
      <s:protection hidden="1"/>
    </s:xf>
    <s:xf numFmtId="0" fontId="17" fillId="26" borderId="81" xfId="0" applyFont="1" applyFill="1" applyBorder="1" applyAlignment="1" applyProtection="1">
      <s:alignment horizontal="center" vertical="center" wrapText="1" mc:Ignorable="vyd"/>
      <s:protection hidden="1"/>
    </s:xf>
    <s:xf numFmtId="0" fontId="17" fillId="26" borderId="82" xfId="0" applyFont="1" applyFill="1" applyBorder="1" applyAlignment="1" applyProtection="1">
      <s:alignment horizontal="center" vertical="center" wrapText="1" mc:Ignorable="vyd"/>
      <s:protection hidden="1"/>
    </s:xf>
    <s:xf numFmtId="0" fontId="40" fillId="23" borderId="73" xfId="0" applyFont="1" applyFill="1" applyBorder="1" applyAlignment="1" applyProtection="1">
      <s:alignment horizontal="center" vertical="center" wrapText="1" mc:Ignorable="vyd"/>
      <s:protection hidden="1"/>
    </s:xf>
    <s:xf numFmtId="0" fontId="40" fillId="23" borderId="75" xfId="0" applyFont="1" applyFill="1" applyBorder="1" applyAlignment="1" applyProtection="1">
      <s:alignment horizontal="center" vertical="center" wrapText="1" mc:Ignorable="vyd"/>
      <s:protection hidden="1"/>
    </s:xf>
    <s:xf numFmtId="0" fontId="40" fillId="23" borderId="82" xfId="0" applyFont="1" applyFill="1" applyBorder="1" applyAlignment="1" applyProtection="1">
      <s:alignment horizontal="center" vertical="center" wrapText="1" mc:Ignorable="vyd"/>
      <s:protection hidden="1"/>
    </s:xf>
  </s:cellXfs>
  <s:cellStyles count="4">
    <s:cellStyle name="Обычный" xfId="0" builtinId="0"/>
    <s:cellStyle name="Процентный" xfId="1" builtinId="5"/>
    <s:cellStyle name="Финансовый" xfId="2" builtinId="3"/>
    <s:cellStyle xr:uid="{00000000-0005-0000-0000-000003000000}" name="TableStyleLight1" xfId="3"/>
  </s:cellStyles>
  <s:dxfs count="30"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006100"/>
      </s:font>
      <s:fill>
        <s:patternFill>
          <s:bgColor rgb="FFC6EFCE"/>
        </s:patternFill>
      </s:fill>
    </s:dxf>
    <s:dxf>
      <s:font>
        <s:color rgb="FF9C0006"/>
      </s:font>
      <s:fill>
        <s:patternFill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>
          <s:bgColor rgb="FFC6EFCE"/>
        </s:patternFill>
      </s:fill>
    </s:dxf>
    <s:dxf>
      <s:font>
        <s:color rgb="FF9C0006"/>
      </s:font>
      <s:fill>
        <s:patternFill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</s:dxfs>
  <s:tableStyles count="0" defaultTableStyle="TableStyleMedium2" defaultPivotStyle="PivotStyleLight16"/>
  <s:extLst>
    <s:ext uri="{EB79DEF2-80B8-43e5-95BD-54CBDDF9020C}">
      <x14:slicerStyles defaultSlicerStyle="SlicerStyleLight1"/>
    </s:ext>
    <s:ext uri="{9260A510-F301-46a8-8635-F512D64BE5F5}">
      <unk1:timelineStyles defaultTimelineStyle="TimeSlicerStyleLight1"/>
    </s:ext>
  </s:extLst>
</s:styleSheet>
</file>

<file path=xl/_rels/workbook.xml.rels><?xml version="1.0" ?><Relationships xmlns="http://schemas.openxmlformats.org/package/2006/relationships"><Relationship Id="rId12" Type="http://schemas.openxmlformats.org/officeDocument/2006/relationships/externalLink" Target="externalLinks/externalLink1.xml"/><Relationship Id="rId15" Type="http://schemas.openxmlformats.org/officeDocument/2006/relationships/sharedStrings" Target="sharedStrings.xml"/><Relationship Id="rId13" Type="http://schemas.openxmlformats.org/officeDocument/2006/relationships/styles" Target="styles.xml"/><Relationship Target="theme/theme1.xml" Type="http://schemas.openxmlformats.org/officeDocument/2006/relationships/theme" Id="rId14"/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worksheets/sheet10.xml" Type="http://schemas.openxmlformats.org/officeDocument/2006/relationships/worksheet" Id="rId10"/><Relationship Target="worksheets/sheet11.xml" Type="http://schemas.openxmlformats.org/officeDocument/2006/relationships/worksheet" Id="rId11"/></Relationships>
</file>

<file path=xl/externalLinks/_rels/externalLink1.xml.rels><?xml version="1.0" ?><Relationships xmlns="http://schemas.openxmlformats.org/package/2006/relationships"><Relationship Id="rId3" Type="http://schemas.openxmlformats.org/officeDocument/2006/relationships/externalLinkPath" Target="../../../&#1071;&#1083;&#1090;&#1072;/&#1045;&#1054;%20&#1071;&#1083;&#1090;&#1072;%20&#1051;&#1077;&#1085;&#1080;&#1085;&#1072;%2018_04.2026.xlsx" TargetMode="External"/><Relationship Id="rId2" Type="http://schemas.openxmlformats.org/officeDocument/2006/relationships/externalLinkPath" Target="/Users/lenadacenko/Yandex.Disk-glamejewelry.localized/Glame%20API/&#1045;&#1078;&#1077;&#1076;&#1085;&#1077;&#1074;&#1085;&#1086;/&#1071;&#1083;&#1090;&#1072;/&#1045;&#1054;%20&#1071;&#1083;&#1090;&#1072;%20&#1051;&#1077;&#1085;&#1080;&#1085;&#1072;%2018_04.2026.xlsx" TargetMode="External"/><Relationship Id="rId1" Type="http://schemas.openxmlformats.org/officeDocument/2006/relationships/externalLinkPath" Target="/Users/lenadacenko/Yandex.Disk-glamejewelry.localized/Glame%20API/&#1045;&#1078;&#1077;&#1076;&#1085;&#1077;&#1074;&#1085;&#1086;/&#1071;&#1083;&#1090;&#1072;/&#1045;&#1054;%20&#1071;&#1083;&#1090;&#1072;%20&#1051;&#1077;&#1085;&#1080;&#1085;&#1072;%2018_04.2026.xlsx" TargetMode="External"/></Relationships>
</file>

<file path=xl/externalLinks/externalLink1.xml><?xml version="1.0" encoding="utf-8"?>
<s:externalLink xmlns:x14="http://schemas.microsoft.com/office/spreadsheetml/2009/9/main" xmlns:mc="http://schemas.openxmlformats.org/markup-compatibility/2006" xmlns:unk4="http://schemas.microsoft.com/office/spreadsheetml/2021/extlinks2021" xmlns:s="http://schemas.openxmlformats.org/spreadsheetml/2006/main" xmlns:r="http://schemas.openxmlformats.org/officeDocument/2006/relationships" mc:Ignorable="x14 unk4">
  <s:externalBook r:id="rId1">
    <unk4:alternateUrls>
      <unk4:absoluteUrl r:id="rId2"/>
      <unk4:relativeUrl r:id="rId3"/>
    </unk4:alternateUrls>
    <s:sheetNames>
      <s:sheetName val="Ялта, Ленина, 18"/>
      <s:sheetName val="Св. по пок."/>
      <s:sheetName val="План на день"/>
      <s:sheetName val="Рогалевич"/>
      <s:sheetName val="Самошкина"/>
      <s:sheetName val="Уразгильдеева"/>
      <s:sheetName val="Вед-ть Рогалевич"/>
      <s:sheetName val="Вед-ть Уразгильдеева"/>
      <s:sheetName val="График"/>
      <s:sheetName val="Вед-ть Самошкина"/>
      <s:sheetName val="Конкурс"/>
    </s:sheetNames>
    <s:sheetDataSet>
      <s:sheetData sheetId="0">
        <s:row r="18">
          <s:cell r="F18" t="str">
            <s:v>Выручка на  вошедшего</s:v>
          </s:cell>
          <s:cell r="M18">
            <s:v>0.75390060871555187</s:v>
          </s:cell>
        </s:row>
        <s:row r="20">
          <s:cell r="F20" t="str">
            <s:v>Конверсия план/факт</s:v>
          </s:cell>
        </s:row>
      </s:sheetData>
      <s:sheetData sheetId="1"/>
      <s:sheetData sheetId="2"/>
      <s:sheetData sheetId="3">
        <s:row r="57">
          <s:cell r="R57">
            <s:v>0</s:v>
          </s:cell>
        </s:row>
      </s:sheetData>
      <s:sheetData sheetId="4"/>
      <s:sheetData sheetId="5">
        <s:row r="57">
          <s:cell r="R57">
            <s:v>0</s:v>
          </s:cell>
        </s:row>
      </s:sheetData>
      <s:sheetData sheetId="6"/>
      <s:sheetData sheetId="7"/>
      <s:sheetData sheetId="8">
        <s:row r="28">
          <s:cell r="B28" t="str">
            <s:v>Рогалевич Ирина</s:v>
          </s:cell>
        </s:row>
      </s:sheetData>
      <s:sheetData sheetId="9"/>
      <s:sheetData sheetId="10"/>
    </s:sheetDataSet>
  </s:externalBook>
</s: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s:worksheet xmlns:x14ac="http://schemas.microsoft.com/office/spreadsheetml/2009/9/ac" xmlns:mc="http://schemas.openxmlformats.org/markup-compatibility/2006" xmlns:xr3="http://schemas.microsoft.com/office/spreadsheetml/2016/revision3" xmlns:xr2="http://schemas.microsoft.com/office/spreadsheetml/2015/revision2" xmlns:s="http://schemas.openxmlformats.org/spreadsheetml/2006/main" xmlns:xr="http://schemas.microsoft.com/office/spreadsheetml/2014/revision" mc:Ignorable="x14ac xr xr2 xr3" xr:uid="{F2DE7F0F-A552-BB4F-93E5-6A76F4221902}">
  <s:dimension ref="A1:JA64"/>
  <s:sheetViews>
    <s:sheetView tabSelected="0" topLeftCell="A4" workbookViewId="0">
      <s:selection activeCell="S52" sqref="S52"/>
    </s:sheetView>
  </s:sheetViews>
  <s:sheetFormatPr baseColWidth="10" defaultColWidth="10" defaultRowHeight="15"/>
  <s:cols>
    <s:col min="1" max="1" width="19" customWidth="1"/>
    <s:col min="4" max="4" width="14.832" customWidth="1"/>
    <s:col min="11" max="11" width="12" customWidth="1"/>
    <s:col min="15" max="15" width="12.164" customWidth="1"/>
    <s:col min="19" max="19" width="11.164" customWidth="1"/>
  </s:cols>
  <s:sheetData>
    <s:row r="1" ht="36">
      <s:c r="A1" s="3">
        <s:f ca="1">TODAY()-1</s:f>
        <s:v>46151</s:v>
      </s:c>
      <s:c r="B1" s="3"/>
      <s:c r="C1" s="3"/>
      <s:c r="D1" s="4"/>
      <s:c r="E1" s="4"/>
      <s:c r="F1" s="5"/>
      <s:c r="G1" s="5"/>
      <s:c r="H1" s="5"/>
      <s:c r="I1" s="5"/>
      <s:c r="J1" s="6"/>
      <s:c r="K1" s="6"/>
      <s:c r="L1" s="6"/>
      <s:c r="M1" s="6"/>
      <s:c r="N1" s="6"/>
      <s:c r="O1" s="6"/>
      <s:c r="P1" s="6"/>
      <s:c r="Q1" s="6"/>
      <s:c r="R1" s="6"/>
      <s:c r="S1" s="6"/>
      <s:c r="T1" s="6"/>
      <s:c r="U1" s="6"/>
      <s:c r="V1" s="7"/>
      <s:c r="W1" s="7"/>
      <s:c r="X1" s="7"/>
      <s:c r="Y1" s="7"/>
      <s:c r="Z1" s="5"/>
      <s:c r="AA1" s="5"/>
      <s:c r="AB1" s="5"/>
      <s:c r="AC1" s="5"/>
    </s:row>
    <s:row r="2" ht="36">
      <s:c r="A2" s="8" t="s">
        <s:v>121</s:v>
      </s:c>
      <s:c r="B2" s="8"/>
      <s:c r="C2" s="8"/>
      <s:c r="D2" s="4"/>
      <s:c r="E2" s="4"/>
      <s:c r="F2" s="5"/>
      <s:c r="G2" s="5"/>
      <s:c r="H2" s="5"/>
      <s:c r="I2" s="801" t="s">
        <s:v>130</s:v>
      </s:c>
      <s:c r="J2" s="801"/>
      <s:c r="K2" s="801"/>
      <s:c r="L2" s="801"/>
      <s:c r="M2" s="801"/>
      <s:c r="N2" s="801"/>
      <s:c r="O2" s="801"/>
      <s:c r="P2" s="9"/>
      <s:c r="Q2" s="9"/>
      <s:c r="R2" s="9"/>
      <s:c r="S2" s="9"/>
      <s:c r="T2" s="9"/>
      <s:c r="U2" s="9"/>
      <s:c r="V2" s="7"/>
      <s:c r="W2" s="7"/>
      <s:c r="X2" s="7"/>
      <s:c r="Y2" s="7"/>
      <s:c r="Z2" s="5"/>
      <s:c r="AA2" s="5"/>
      <s:c r="AB2" s="5"/>
      <s:c r="AC2" s="5"/>
    </s:row>
    <s:row r="3" spans="1:29" ht="20" customHeight="1" thickBot="1">
      <s:c r="A3" s="10"/>
      <s:c r="B3" s="10"/>
      <s:c r="C3" s="10" t="s">
        <s:v>0</s:v>
      </s:c>
      <s:c r="D3" s="4"/>
      <s:c r="E3" s="4"/>
      <s:c r="F3" s="5"/>
      <s:c r="G3" s="5"/>
      <s:c r="H3" s="5"/>
      <s:c r="I3" s="802" t="s">
        <s:v>1</s:v>
      </s:c>
      <s:c r="J3" s="803"/>
      <s:c r="K3" s="803"/>
      <s:c r="L3" s="803"/>
      <s:c r="M3" s="803"/>
      <s:c r="N3" s="803"/>
      <s:c r="O3" s="804"/>
      <s:c r="P3" s="6"/>
      <s:c r="Q3" s="6"/>
      <s:c r="R3" s="9"/>
      <s:c r="S3" s="6"/>
      <s:c r="T3" s="6"/>
      <s:c r="U3" s="11"/>
      <s:c r="V3" s="7"/>
      <s:c r="W3" s="7"/>
      <s:c r="X3" s="7"/>
      <s:c r="Y3" s="7"/>
      <s:c r="Z3" s="5"/>
      <s:c r="AA3" s="5"/>
      <s:c r="AB3" s="5"/>
      <s:c r="AC3" s="5"/>
    </s:row>
    <s:row r="4" spans="1:29" ht="18" customHeight="1">
      <s:c r="A4" s="4"/>
      <s:c r="B4" s="4"/>
      <s:c r="C4" s="799">
        <s:f>I8-D56</s:f>
        <s:v>622617</s:v>
      </s:c>
      <s:c r="D4" s="800"/>
      <s:c r="E4" s="12">
        <s:f>IF(I8&lt;&gt;0,C4/I8,0)</s:f>
        <s:v>0.33174392583120199</s:v>
      </s:c>
      <s:c r="F4" s="5"/>
      <s:c r="G4" s="5"/>
      <s:c r="H4" s="5"/>
      <s:c r="I4" s="805"/>
      <s:c r="J4" s="806"/>
      <s:c r="K4" s="806"/>
      <s:c r="L4" s="806"/>
      <s:c r="M4" s="806"/>
      <s:c r="N4" s="806"/>
      <s:c r="O4" s="807"/>
      <s:c r="P4" s="6"/>
      <s:c r="Q4" s="6"/>
      <s:c r="R4" s="9"/>
      <s:c r="S4" s="6"/>
      <s:c r="T4" s="5"/>
      <s:c r="U4" s="5"/>
      <s:c r="V4" s="7"/>
      <s:c r="W4" s="7"/>
      <s:c r="X4" s="7"/>
      <s:c r="Y4" s="7"/>
      <s:c r="Z4" s="5"/>
      <s:c r="AA4" s="5"/>
      <s:c r="AB4" s="5"/>
      <s:c r="AC4" s="5"/>
    </s:row>
    <s:row r="5">
      <s:c r="A5" s="5"/>
      <s:c r="B5" s="5"/>
      <s:c r="C5" s="5"/>
      <s:c r="D5" s="5"/>
      <s:c r="E5" s="5"/>
      <s:c r="F5" s="5"/>
      <s:c r="G5" s="5"/>
      <s:c r="H5" s="5"/>
      <s:c r="I5" s="5"/>
      <s:c r="J5" s="13"/>
      <s:c r="K5" s="13"/>
      <s:c r="L5" s="13"/>
      <s:c r="M5" s="13"/>
      <s:c r="N5" s="13"/>
      <s:c r="O5" s="13"/>
      <s:c r="P5" s="13"/>
      <s:c r="Q5" s="13"/>
      <s:c r="R5" s="14"/>
      <s:c r="S5" s="13"/>
      <s:c r="T5" s="5"/>
      <s:c r="U5" s="5"/>
      <s:c r="V5" s="5"/>
      <s:c r="W5" s="5"/>
      <s:c r="X5" s="5"/>
      <s:c r="Y5" s="5"/>
      <s:c r="Z5" s="5"/>
      <s:c r="AA5" s="5"/>
      <s:c r="AB5" s="5"/>
      <s:c r="AC5" s="5"/>
    </s:row>
    <s:row r="6" spans="1:29" ht="21" customHeight="1" thickBot="1">
      <s:c r="A6" s="15"/>
      <s:c r="B6" s="15"/>
      <s:c r="C6" s="16"/>
      <s:c r="D6" s="16"/>
      <s:c r="E6" s="5"/>
      <s:c r="F6" s="808" t="s">
        <s:v>2</s:v>
      </s:c>
      <s:c r="G6" s="809"/>
      <s:c r="H6" s="809"/>
      <s:c r="I6" s="809"/>
      <s:c r="J6" s="809"/>
      <s:c r="K6" s="809"/>
      <s:c r="L6" s="809"/>
      <s:c r="M6" s="809"/>
      <s:c r="N6" s="809"/>
      <s:c r="O6" s="809"/>
      <s:c r="P6" s="809"/>
      <s:c r="Q6" s="810"/>
      <s:c r="R6" s="14"/>
      <s:c r="S6" s="13"/>
      <s:c r="T6" s="5"/>
      <s:c r="U6" s="5"/>
      <s:c r="V6" s="5"/>
      <s:c r="W6" s="17"/>
      <s:c r="X6" s="17"/>
      <s:c r="Y6" s="5"/>
      <s:c r="Z6" s="5"/>
      <s:c r="AA6" s="5"/>
      <s:c r="AB6" s="5"/>
      <s:c r="AC6" s="5"/>
    </s:row>
    <s:row r="7" ht="48">
      <s:c r="A7" s="15"/>
      <s:c r="B7" s="15"/>
      <s:c r="C7" s="15"/>
      <s:c r="D7" s="15"/>
      <s:c r="E7" s="18"/>
      <s:c r="F7" s="793" t="s">
        <s:v>3</s:v>
      </s:c>
      <s:c r="G7" s="794"/>
      <s:c r="H7" s="795"/>
      <s:c r="I7" s="670" t="s">
        <s:v>4</s:v>
      </s:c>
      <s:c r="J7" s="671" t="s">
        <s:v>5</s:v>
      </s:c>
      <s:c r="K7" s="689" t="s">
        <s:v>6</s:v>
      </s:c>
      <s:c r="L7" s="663" t="s">
        <s:v>7</s:v>
      </s:c>
      <s:c r="M7" s="19" t="s">
        <s:v>8</s:v>
      </s:c>
      <s:c r="N7" s="20" t="s">
        <s:v>9</s:v>
      </s:c>
      <s:c r="O7" s="574" t="s">
        <s:v>10</s:v>
      </s:c>
      <s:c r="P7" s="781" t="s">
        <s:v>11</s:v>
      </s:c>
      <s:c r="Q7" s="782"/>
      <s:c r="R7" s="14"/>
      <s:c r="S7" s="13"/>
      <s:c r="T7" s="5"/>
      <s:c r="U7" s="5"/>
      <s:c r="V7" s="5"/>
      <s:c r="W7" s="17"/>
      <s:c r="X7" s="17"/>
      <s:c r="Y7" s="5"/>
      <s:c r="Z7" s="5"/>
      <s:c r="AA7" s="5"/>
      <s:c r="AB7" s="5"/>
      <s:c r="AC7" s="5"/>
    </s:row>
    <s:row r="8">
      <s:c r="A8" s="15"/>
      <s:c r="B8" s="15"/>
      <s:c r="C8" s="15"/>
      <s:c r="D8" s="15"/>
      <s:c r="E8" s="5"/>
      <s:c r="F8" s="811" t="s">
        <s:v>12</s:v>
      </s:c>
      <s:c r="G8" s="812"/>
      <s:c r="H8" s="813"/>
      <s:c r="I8" s="673">
        <s:f>I13*I10</s:f>
        <s:v>1876800</s:v>
      </s:c>
      <s:c r="J8" s="674">
        <s:f>D56</s:f>
        <s:v>1254183</s:v>
      </s:c>
      <s:c r="K8" s="675">
        <s:f>IF(AND(I8&lt;&gt;"",I8&lt;&gt;0,J8&lt;&gt;""),J8/I8,"")</s:f>
        <s:v>0.66825607416879795</s:v>
      </s:c>
      <s:c r="L8" s="664">
        <s:f>IF(SUMIF($D$25:$D$55,"&gt;=0",$V$25:$V$55)&lt;&gt;0,I8*D56/SUMIF($D$25:$D$55,"&gt;=0",$V$25:$V$55),0)</s:f>
        <s:v>1254182.99999999</s:v>
      </s:c>
      <s:c r="M8" s="22">
        <s:f>L8/I8</s:f>
        <s:v>0.66825607416879695</s:v>
      </s:c>
      <s:c r="N8" s="23">
        <s:f>IF(AND(J8&lt;&gt;0,J8&lt;&gt;"",I8&lt;&gt;0,I8&lt;&gt;""),L8-I8,"")</s:f>
        <s:v>-622617</s:v>
      </s:c>
      <s:c r="O8" s="575"/>
      <s:c r="P8" s="25" t="str">
        <s:f>IF(AND(O8&lt;&gt;"",O8&lt;&gt;0,L8&lt;&gt;"",L8&lt;&gt;0),-O8+L8,"")</s:f>
        <s:v/>
      </s:c>
      <s:c r="Q8" s="26" t="str">
        <s:f>IF(AND(O8&lt;&gt;"",O8&lt;&gt;0,N8&lt;&gt;0,N8&lt;&gt;""),O8/N8,"")</s:f>
        <s:v/>
      </s:c>
      <s:c r="R8" s="14"/>
      <s:c r="S8" s="13"/>
      <s:c r="T8" s="5"/>
      <s:c r="U8" s="5"/>
      <s:c r="V8" s="17"/>
      <s:c r="W8" s="17"/>
      <s:c r="X8" s="5"/>
      <s:c r="Y8" s="5"/>
      <s:c r="Z8" s="5"/>
      <s:c r="AA8" s="5"/>
      <s:c r="AB8" s="5"/>
      <s:c r="AC8" s="5"/>
    </s:row>
    <s:row r="9">
      <s:c r="A9" s="15"/>
      <s:c r="B9" s="15"/>
      <s:c r="C9" s="15"/>
      <s:c r="D9" s="15"/>
      <s:c r="E9" s="5"/>
      <s:c r="F9" s="785" t="s">
        <s:v>13</s:v>
      </s:c>
      <s:c r="G9" s="786"/>
      <s:c r="H9" s="787"/>
      <s:c r="I9" s="676">
        <s:f>I8/I11</s:f>
        <s:v>272</s:v>
      </s:c>
      <s:c r="J9" s="677">
        <s:f>E56</s:f>
        <s:v>159</s:v>
      </s:c>
      <s:c r="K9" s="678">
        <s:f>IF(AND(I9&lt;&gt;"",I9&lt;&gt;0,J9&lt;&gt;""),J9/I9,"")</s:f>
        <s:v>0.58455882352941102</s:v>
      </s:c>
      <s:c r="L9" s="665">
        <s:f>IF(SUMIF($E$25:$E$55,"&gt;=0",$W$25:$W$55)&lt;&gt;0,I9*E56/SUMIF($E$25:$E$55,"&gt;=0",$W$25:$W$55),0)</s:f>
        <s:v>158.99999999999901</s:v>
      </s:c>
      <s:c r="M9" s="30">
        <s:f>IF(AND(I9&lt;&gt;"",I9&lt;&gt;0,L9&lt;&gt;"",L9&lt;&gt;0),L9/I9,"")</s:f>
        <s:v>0.58455882352941102</s:v>
      </s:c>
      <s:c r="N9" s="31">
        <s:f>IF(AND(J9&lt;&gt;0,J9&lt;&gt;"",I9&lt;&gt;0,I9&lt;&gt;""),L9-I9,"")</s:f>
        <s:v>-113</s:v>
      </s:c>
      <s:c r="O9" s="576"/>
      <s:c r="P9" s="33" t="str">
        <s:f>IF(AND(O9&lt;&gt;"",O9&lt;&gt;0,L9&lt;&gt;"",L9&lt;&gt;0),-O9+L9,"")</s:f>
        <s:v/>
      </s:c>
      <s:c r="Q9" s="34" t="str">
        <s:f>IF(AND(O9&lt;&gt;"",O9&lt;&gt;0,N9&lt;&gt;0,N9&lt;&gt;""),O9/N9,"")</s:f>
        <s:v/>
      </s:c>
      <s:c r="R9" s="14"/>
      <s:c r="S9" s="13"/>
      <s:c r="T9" s="5"/>
      <s:c r="U9" s="5"/>
      <s:c r="V9" s="17"/>
      <s:c r="W9" s="17"/>
      <s:c r="X9" s="5"/>
      <s:c r="Y9" s="5"/>
      <s:c r="Z9" s="5"/>
      <s:c r="AA9" s="5"/>
      <s:c r="AB9" s="5"/>
      <s:c r="AC9" s="5"/>
    </s:row>
    <s:row r="10">
      <s:c r="A10" s="15"/>
      <s:c r="B10" s="15"/>
      <s:c r="C10" s="15"/>
      <s:c r="D10" s="15"/>
      <s:c r="E10" s="5"/>
      <s:c r="F10" s="796" t="s">
        <s:v>14</s:v>
      </s:c>
      <s:c r="G10" s="797"/>
      <s:c r="H10" s="798"/>
      <s:c r="I10" s="577">
        <s:f>I11*I12</s:f>
        <s:v>11730</s:v>
      </s:c>
      <s:c r="J10" s="679">
        <s:f>H56</s:f>
        <s:v>15677.2875</s:v>
      </s:c>
      <s:c r="K10" s="680">
        <s:f>IF(AND(I10&lt;&gt;"",I10&lt;&gt;0,J10&lt;&gt;""),J10/I10,"")</s:f>
        <s:v>1.3365121483375899</s:v>
      </s:c>
      <s:c r="L10" s="665">
        <s:f>J10</s:f>
        <s:v>15677.2875</s:v>
      </s:c>
      <s:c r="M10" s="37">
        <s:f>IF(AND(I10&lt;&gt;"",I10&lt;&gt;0,L10&lt;&gt;"",L10&lt;&gt;0),L10/I10,"")</s:f>
        <s:v>1.3365121483375899</s:v>
      </s:c>
      <s:c r="N10" s="38">
        <s:f>IF(AND(J10&lt;&gt;0,J10&lt;&gt;"",I10&lt;&gt;0,I10&lt;&gt;""),L10-I10,"")</s:f>
        <s:v>3947.2874999999999</s:v>
      </s:c>
      <s:c r="O10" s="577"/>
      <s:c r="P10" s="40" t="str">
        <s:f>IF(AND(O10&lt;&gt;"",O10&lt;&gt;0,L10&lt;&gt;"",L10&lt;&gt;0),-O10+L10,"")</s:f>
        <s:v/>
      </s:c>
      <s:c r="Q10" s="41" t="str">
        <s:f>IF(AND(O10&lt;&gt;"",O10&lt;&gt;0,N10&lt;&gt;0,N10&lt;&gt;""),O10/N10,"")</s:f>
        <s:v/>
      </s:c>
      <s:c r="R10" s="14"/>
      <s:c r="S10" s="13"/>
      <s:c r="T10" s="5"/>
      <s:c r="U10" s="5"/>
      <s:c r="V10" s="17"/>
      <s:c r="W10" s="17"/>
      <s:c r="X10" s="5"/>
      <s:c r="Y10" s="5"/>
      <s:c r="Z10" s="5"/>
      <s:c r="AA10" s="5"/>
      <s:c r="AB10" s="5"/>
      <s:c r="AC10" s="5"/>
    </s:row>
    <s:row r="11">
      <s:c r="A11" s="15"/>
      <s:c r="B11" s="15"/>
      <s:c r="C11" s="5"/>
      <s:c r="D11" s="5"/>
      <s:c r="E11" s="5"/>
      <s:c r="F11" s="785" t="s">
        <s:v>15</s:v>
      </s:c>
      <s:c r="G11" s="786"/>
      <s:c r="H11" s="787"/>
      <s:c r="I11" s="681">
        <s:v>6900</s:v>
      </s:c>
      <s:c r="J11" s="677">
        <s:f>F56</s:f>
        <s:v>7887.9433962264102</s:v>
      </s:c>
      <s:c r="K11" s="678">
        <s:f>IF(AND(I11&lt;&gt;"",I11&lt;&gt;0,J11&lt;&gt;""),J11/I11,"")</s:f>
        <s:v>1.14318020235165</s:v>
      </s:c>
      <s:c r="L11" s="665">
        <s:f>IF(L9&gt;0,L8/L9,"")</s:f>
        <s:v>7887.9433962264602</s:v>
      </s:c>
      <s:c r="M11" s="30">
        <s:f>IF(AND(I11&lt;&gt;"",I11&lt;&gt;0,L11&lt;&gt;"",L11&lt;&gt;0),L11/I11,"")</s:f>
        <s:v>1.14318020235166</s:v>
      </s:c>
      <s:c r="N11" s="31">
        <s:f>IF(AND(J11&lt;&gt;0,J11&lt;&gt;"",I11&lt;&gt;0,I11&lt;&gt;""),L11-I11,"")</s:f>
        <s:v>987.94339622645998</s:v>
      </s:c>
      <s:c r="O11" s="578"/>
      <s:c r="P11" s="33" t="str">
        <s:f>IF(AND(O11&lt;&gt;"",O11&lt;&gt;0,L11&lt;&gt;"",L11&lt;&gt;0),-O11+L11,"")</s:f>
        <s:v/>
      </s:c>
      <s:c r="Q11" s="34" t="str">
        <s:f>IF(AND(O11&lt;&gt;"",O11&lt;&gt;0,N11&lt;&gt;0,N11&lt;&gt;""),O11/N11,"")</s:f>
        <s:v/>
      </s:c>
      <s:c r="R11" s="14"/>
      <s:c r="S11" s="13"/>
      <s:c r="T11" s="5"/>
      <s:c r="U11" s="5"/>
      <s:c r="V11" s="17"/>
      <s:c r="W11" s="5"/>
      <s:c r="X11" s="5"/>
      <s:c r="Y11" s="5"/>
      <s:c r="Z11" s="5"/>
      <s:c r="AA11" s="5"/>
      <s:c r="AB11" s="5"/>
      <s:c r="AC11" s="5"/>
    </s:row>
    <s:row r="12">
      <s:c r="A12" s="15"/>
      <s:c r="B12" s="15"/>
      <s:c r="C12" s="5"/>
      <s:c r="D12" s="5"/>
      <s:c r="E12" s="5"/>
      <s:c r="F12" s="785" t="s">
        <s:v>16</s:v>
      </s:c>
      <s:c r="G12" s="786"/>
      <s:c r="H12" s="787"/>
      <s:c r="I12" s="682">
        <s:v>1.7</s:v>
      </s:c>
      <s:c r="J12" s="683">
        <s:f>J56</s:f>
        <s:v>1.9875</s:v>
      </s:c>
      <s:c r="K12" s="678">
        <s:f>IF(AND(I12&lt;&gt;"",I12&lt;&gt;0,J12&lt;&gt;""),J12/I12,"")</s:f>
        <s:v>1.16911764705882</s:v>
      </s:c>
      <s:c r="L12" s="666">
        <s:f>J12</s:f>
        <s:v>1.9875</s:v>
      </s:c>
      <s:c r="M12" s="30">
        <s:f>IF(AND(I12&lt;&gt;"",I12&lt;&gt;0,L12&lt;&gt;"",L12&lt;&gt;0),L12/I12,"")</s:f>
        <s:v>1.16911764705882</s:v>
      </s:c>
      <s:c r="N12" s="45">
        <s:f>IF(AND(J12&lt;&gt;0,J12&lt;&gt;"",I12&lt;&gt;0,I12&lt;&gt;""),L12-I12,"")</s:f>
        <s:v>0.28749999999999998</s:v>
      </s:c>
      <s:c r="O12" s="579"/>
      <s:c r="P12" s="33" t="str">
        <s:f>IF(AND(O12&lt;&gt;"",O12&lt;&gt;0,L12&lt;&gt;"",L12&lt;&gt;0),-O12+L12,"")</s:f>
        <s:v/>
      </s:c>
      <s:c r="Q12" s="34" t="str">
        <s:f>IF(AND(O12&lt;&gt;"",O12&lt;&gt;0,N12&lt;&gt;0,N12&lt;&gt;""),O12/N12,"")</s:f>
        <s:v/>
      </s:c>
      <s:c r="R12" s="14"/>
      <s:c r="S12" s="13"/>
      <s:c r="T12" s="5"/>
      <s:c r="U12" s="5"/>
      <s:c r="V12" s="17"/>
      <s:c r="W12" s="5"/>
      <s:c r="X12" s="5"/>
      <s:c r="Y12" s="5"/>
      <s:c r="Z12" s="5"/>
      <s:c r="AA12" s="5"/>
      <s:c r="AB12" s="5"/>
      <s:c r="AC12" s="5"/>
    </s:row>
    <s:row r="13">
      <s:c r="A13" s="15"/>
      <s:c r="B13" s="15"/>
      <s:c r="C13" s="5"/>
      <s:c r="D13" s="5"/>
      <s:c r="E13" s="5"/>
      <s:c r="F13" s="785" t="s">
        <s:v>17</s:v>
      </s:c>
      <s:c r="G13" s="786"/>
      <s:c r="H13" s="787"/>
      <s:c r="I13" s="676">
        <s:f>I17*I20</s:f>
        <s:v>160</s:v>
      </s:c>
      <s:c r="J13" s="677">
        <s:f>G56</s:f>
        <s:v>80</s:v>
      </s:c>
      <s:c r="K13" s="678">
        <s:f>IF(AND(I13&lt;&gt;"",I13&lt;&gt;0,J13&lt;&gt;""),J13/I13,"")</s:f>
        <s:v>0.5</s:v>
      </s:c>
      <s:c r="L13" s="665">
        <s:f>IF(SUMIF($G$25:$G$55,"&gt;=0",$X$25:$X$55)&lt;&gt;0,I13*G56/SUMIF($G$25:$G$55,"&gt;=0",$X$25:$X$55),"")</s:f>
        <s:v>79.999999999999901</s:v>
      </s:c>
      <s:c r="M13" s="30">
        <s:f>IF(AND(I13&lt;&gt;"",I13&lt;&gt;0,L13&lt;&gt;"",L13&lt;&gt;0),L13/I13,"")</s:f>
        <s:v>0.499999999999999</s:v>
      </s:c>
      <s:c r="N13" s="45">
        <s:f>IF(AND(J13&lt;&gt;0,J13&lt;&gt;"",I13&lt;&gt;0,I13&lt;&gt;""),L13-I13,"")</s:f>
        <s:v>-80</s:v>
      </s:c>
      <s:c r="O13" s="580"/>
      <s:c r="P13" s="33" t="str">
        <s:f>IF(AND(O13&lt;&gt;"",O13&lt;&gt;0,L13&lt;&gt;"",L13&lt;&gt;0),-O13+L13,"")</s:f>
        <s:v/>
      </s:c>
      <s:c r="Q13" s="34" t="str">
        <s:f>IF(AND(O13&lt;&gt;"",O13&lt;&gt;0,N13&lt;&gt;0,N13&lt;&gt;""),O13/N13,"")</s:f>
        <s:v/>
      </s:c>
      <s:c r="R13" s="14"/>
      <s:c r="S13" s="13"/>
      <s:c r="T13" s="5"/>
      <s:c r="U13" s="5"/>
      <s:c r="V13" s="17"/>
      <s:c r="W13" s="5"/>
      <s:c r="X13" s="5"/>
      <s:c r="Y13" s="5"/>
      <s:c r="Z13" s="5"/>
      <s:c r="AA13" s="5"/>
      <s:c r="AB13" s="5"/>
      <s:c r="AC13" s="5"/>
    </s:row>
    <s:row r="14">
      <s:c r="A14" s="15"/>
      <s:c r="B14" s="15"/>
      <s:c r="C14" s="5"/>
      <s:c r="D14" s="5"/>
      <s:c r="E14" s="5"/>
      <s:c r="F14" s="785" t="s">
        <s:v>18</s:v>
      </s:c>
      <s:c r="G14" s="786"/>
      <s:c r="H14" s="787"/>
      <s:c r="I14" s="681">
        <s:v>30</s:v>
      </s:c>
      <s:c r="J14" s="684">
        <s:v>30</s:v>
      </s:c>
      <s:c r="K14" s="678">
        <s:f>IF(AND(I14&lt;&gt;"",I14&lt;&gt;0,J14&lt;&gt;""),J14/I14,"")</s:f>
        <s:v>1</s:v>
      </s:c>
      <s:c r="L14" s="665">
        <s:f>IF(SUMIF($D$25:$D$55,"&gt;=0",$V$25:$V$55),I56*I8/SUMIF($D$25:$D$55,"&gt;=0",$V$25:$V$55),"")</s:f>
        <s:v>1041.24999999999</s:v>
      </s:c>
      <s:c r="M14" s="30"/>
      <s:c r="N14" s="31">
        <s:f>IF(AND(J14&lt;&gt;0,J14&lt;&gt;"",I14&lt;&gt;0,I14&lt;&gt;""),L14-I14,"")</s:f>
        <s:v>1011.24999999999</s:v>
      </s:c>
      <s:c r="O14" s="580"/>
      <s:c r="P14" s="33" t="str">
        <s:f>IF(AND(O14&lt;&gt;"",O14&lt;&gt;0,L14&lt;&gt;"",L14&lt;&gt;0),-O14+L14,"")</s:f>
        <s:v/>
      </s:c>
      <s:c r="Q14" s="34" t="str">
        <s:f>IF(AND(O14&lt;&gt;"",O14&lt;&gt;0,N14&lt;&gt;0,N14&lt;&gt;""),O14/N14,"")</s:f>
        <s:v/>
      </s:c>
      <s:c r="R14" s="14"/>
      <s:c r="S14" s="13"/>
      <s:c r="T14" s="5"/>
      <s:c r="U14" s="5"/>
      <s:c r="V14" s="17"/>
      <s:c r="W14" s="48"/>
      <s:c r="X14" s="5"/>
      <s:c r="Y14" s="5"/>
      <s:c r="Z14" s="5"/>
      <s:c r="AA14" s="5"/>
      <s:c r="AB14" s="5"/>
      <s:c r="AC14" s="5"/>
    </s:row>
    <s:row r="15">
      <s:c r="A15" s="15"/>
      <s:c r="B15" s="15"/>
      <s:c r="C15" s="5"/>
      <s:c r="D15" s="5"/>
      <s:c r="E15" s="5"/>
      <s:c r="F15" s="785" t="s">
        <s:v>19</s:v>
      </s:c>
      <s:c r="G15" s="786"/>
      <s:c r="H15" s="787"/>
      <s:c r="I15" s="681">
        <s:f>I8/I14</s:f>
        <s:v>62560</s:v>
      </s:c>
      <s:c r="J15" s="677">
        <s:f>J8/J14</s:f>
        <s:v>41806.1</s:v>
      </s:c>
      <s:c r="K15" s="678">
        <s:f>IF(AND(I15&lt;&gt;"",I15&lt;&gt;0,J15&lt;&gt;""),J15/I15,"")</s:f>
        <s:v>0.66825607416879795</s:v>
      </s:c>
      <s:c r="L15" s="665">
        <s:f>J15</s:f>
        <s:v>41806.1</s:v>
      </s:c>
      <s:c r="M15" s="49">
        <s:f>IF(AND(I15&lt;&gt;"",I15&lt;&gt;0,L15&lt;&gt;"",L15&lt;&gt;0),L15/I15,"")</s:f>
        <s:v>0.66825607416879795</s:v>
      </s:c>
      <s:c r="N15" s="31">
        <s:f>IF(AND(J15&lt;&gt;0,J15&lt;&gt;"",I15&lt;&gt;0,I15&lt;&gt;""),L15-I15,"")</s:f>
        <s:v>-20753.900000000001</s:v>
      </s:c>
      <s:c r="O15" s="580"/>
      <s:c r="P15" s="33" t="str">
        <s:f>IF(AND(O15&lt;&gt;"",O15&lt;&gt;0,L15&lt;&gt;"",L15&lt;&gt;0),-O15+L15,"")</s:f>
        <s:v/>
      </s:c>
      <s:c r="Q15" s="34" t="str">
        <s:f>IF(AND(O15&lt;&gt;"",O15&lt;&gt;0,N15&lt;&gt;0,N15&lt;&gt;""),O15/N15,"")</s:f>
        <s:v/>
      </s:c>
      <s:c r="R15" s="14"/>
      <s:c r="S15" s="13"/>
      <s:c r="T15" s="5"/>
      <s:c r="U15" s="5"/>
      <s:c r="V15" s="17"/>
      <s:c r="W15" s="17"/>
      <s:c r="X15" s="5"/>
      <s:c r="Y15" s="5"/>
      <s:c r="Z15" s="5"/>
      <s:c r="AA15" s="5"/>
      <s:c r="AB15" s="5"/>
      <s:c r="AC15" s="5"/>
    </s:row>
    <s:row r="16" spans="1:29" ht="15" customHeight="1">
      <s:c r="A16" s="15"/>
      <s:c r="B16" s="15"/>
      <s:c r="C16" s="5"/>
      <s:c r="D16" s="5"/>
      <s:c r="E16" s="5"/>
      <s:c r="F16" s="785" t="s">
        <s:v>20</s:v>
      </s:c>
      <s:c r="G16" s="786"/>
      <s:c r="H16" s="787"/>
      <s:c r="I16" s="681"/>
      <s:c r="J16" s="677">
        <s:f>J8-I15*J14</s:f>
        <s:v>-622617</s:v>
      </s:c>
      <s:c r="K16" s="678" t="str">
        <s:f>IF(AND(I16&lt;&gt;"",I16&lt;&gt;0,J16&lt;&gt;""),J16/I16,"")</s:f>
        <s:v/>
      </s:c>
      <s:c r="L16" s="667">
        <s:f>J16</s:f>
        <s:v>-622617</s:v>
      </s:c>
      <s:c r="M16" s="50" t="str">
        <s:f>IF(AND(I16&lt;&gt;"",I16&lt;&gt;0,L16&lt;&gt;"",L16&lt;&gt;0),L16/I16,"")</s:f>
        <s:v/>
      </s:c>
      <s:c r="N16" s="31" t="str">
        <s:f>IF(AND(J16&lt;&gt;0,J16&lt;&gt;"",I16&lt;&gt;0,I16&lt;&gt;""),L16-I16,"")</s:f>
        <s:v/>
      </s:c>
      <s:c r="O16" s="580"/>
      <s:c r="P16" s="33" t="str">
        <s:f>IF(AND(O16&lt;&gt;"",O16&lt;&gt;0,L16&lt;&gt;"",L16&lt;&gt;0),-O16+L16,"")</s:f>
        <s:v/>
      </s:c>
      <s:c r="Q16" s="34" t="str">
        <s:f>IF(AND(O16&lt;&gt;"",O16&lt;&gt;0,N16&lt;&gt;0,N16&lt;&gt;""),O16/N16,"")</s:f>
        <s:v/>
      </s:c>
      <s:c r="R16" s="14"/>
      <s:c r="S16" s="783" t="s">
        <s:v>21</s:v>
      </s:c>
      <s:c r="T16" s="5"/>
      <s:c r="U16" s="5"/>
      <s:c r="V16" s="17"/>
      <s:c r="W16" s="17"/>
      <s:c r="X16" s="5"/>
      <s:c r="Y16" s="5"/>
      <s:c r="Z16" s="5"/>
      <s:c r="AA16" s="5"/>
      <s:c r="AB16" s="5"/>
      <s:c r="AC16" s="5"/>
    </s:row>
    <s:row r="17">
      <s:c r="A17" s="15"/>
      <s:c r="B17" s="15"/>
      <s:c r="C17" s="5"/>
      <s:c r="D17" s="5"/>
      <s:c r="E17" s="5"/>
      <s:c r="F17" s="785" t="s">
        <s:v>22</s:v>
      </s:c>
      <s:c r="G17" s="786"/>
      <s:c r="H17" s="787"/>
      <s:c r="I17" s="681">
        <s:v>1600</s:v>
      </s:c>
      <s:c r="J17" s="677">
        <s:f>I56</s:f>
        <s:v>1041.25</s:v>
      </s:c>
      <s:c r="K17" s="678">
        <s:f>IF(AND(I17&lt;&gt;"",I17&lt;&gt;0,J17&lt;&gt;""),J17/I17,"")</s:f>
        <s:v>0.65078124999999998</s:v>
      </s:c>
      <s:c r="L17" s="667">
        <s:f>J17/J14*I14</s:f>
        <s:v>1041.25</s:v>
      </s:c>
      <s:c r="M17" s="50">
        <s:f>IF(AND(I17&lt;&gt;"",I17&lt;&gt;0,L17&lt;&gt;"",L17&lt;&gt;0),L17/I17,"")</s:f>
        <s:v>0.65078124999999998</s:v>
      </s:c>
      <s:c r="N17" s="31">
        <s:f>IF(AND(J17&lt;&gt;0,J17&lt;&gt;"",I17&lt;&gt;0,I17&lt;&gt;""),L17-I17,"")</s:f>
        <s:v>-558.75</s:v>
      </s:c>
      <s:c r="O17" s="580"/>
      <s:c r="P17" s="33" t="str">
        <s:f>IF(AND(O17&lt;&gt;"",O17&lt;&gt;0,L17&lt;&gt;"",L17&lt;&gt;0),-O17+L17,"")</s:f>
        <s:v/>
      </s:c>
      <s:c r="Q17" s="34" t="str">
        <s:f>IF(AND(O17&lt;&gt;"",O17&lt;&gt;0,N17&lt;&gt;0,N17&lt;&gt;""),O17/N17,"")</s:f>
        <s:v/>
      </s:c>
      <s:c r="R17" s="14"/>
      <s:c r="S17" s="784"/>
      <s:c r="T17" s="5"/>
      <s:c r="U17" s="5"/>
      <s:c r="V17" s="17"/>
      <s:c r="W17" s="17"/>
      <s:c r="X17" s="5"/>
      <s:c r="Y17" s="5"/>
      <s:c r="Z17" s="5"/>
      <s:c r="AA17" s="5"/>
      <s:c r="AB17" s="5"/>
      <s:c r="AC17" s="5"/>
    </s:row>
    <s:row r="18">
      <s:c r="A18" s="15"/>
      <s:c r="B18" s="15"/>
      <s:c r="C18" s="5"/>
      <s:c r="D18" s="5"/>
      <s:c r="E18" s="5"/>
      <s:c r="F18" s="785" t="s">
        <s:v>122</s:v>
      </s:c>
      <s:c r="G18" s="786"/>
      <s:c r="H18" s="787"/>
      <s:c r="I18" s="676">
        <s:f>I8/I17</s:f>
        <s:v>1173</s:v>
      </s:c>
      <s:c r="J18" s="677">
        <s:f>J8/J17</s:f>
        <s:v>1204.49747899159</s:v>
      </s:c>
      <s:c r="K18" s="678">
        <s:f>IF(AND(I18&lt;&gt;"",I18&lt;&gt;0,J18&lt;&gt;""),J18/I18,"")</s:f>
        <s:v>1.02685207075157</s:v>
      </s:c>
      <s:c r="L18" s="667">
        <s:f>J18</s:f>
        <s:v>1204.49747899159</s:v>
      </s:c>
      <s:c r="M18" s="50">
        <s:f>IF(AND(I18&lt;&gt;"",I18&lt;&gt;0,L18&lt;&gt;"",L18&lt;&gt;0),L18/I18,"")</s:f>
        <s:v>1.02685207075157</s:v>
      </s:c>
      <s:c r="N18" s="31">
        <s:f>IF(AND(J18&lt;&gt;0,J18&lt;&gt;"",I18&lt;&gt;0,I18&lt;&gt;""),L18-I18,"")</s:f>
        <s:v>31.497478991596601</s:v>
      </s:c>
      <s:c r="O18" s="576"/>
      <s:c r="P18" s="33" t="str">
        <s:f>IF(AND(O18&lt;&gt;"",O18&lt;&gt;0,L18&lt;&gt;"",L18&lt;&gt;0),-O18+L18,"")</s:f>
        <s:v/>
      </s:c>
      <s:c r="Q18" s="34" t="str">
        <s:f>IF(AND(O18&lt;&gt;"",O18&lt;&gt;0,N18&lt;&gt;0,N18&lt;&gt;""),O18/N18,"")</s:f>
        <s:v/>
      </s:c>
      <s:c r="R18" s="14"/>
      <s:c r="S18" s="51"/>
      <s:c r="T18" s="5"/>
      <s:c r="U18" s="5"/>
      <s:c r="V18" s="17"/>
      <s:c r="W18" s="17"/>
      <s:c r="X18" s="5"/>
      <s:c r="Y18" s="5"/>
      <s:c r="Z18" s="5"/>
      <s:c r="AA18" s="5"/>
      <s:c r="AB18" s="5"/>
      <s:c r="AC18" s="5"/>
    </s:row>
    <s:row r="19">
      <s:c r="A19" s="15"/>
      <s:c r="B19" s="15"/>
      <s:c r="C19" s="5"/>
      <s:c r="D19" s="5"/>
      <s:c r="E19" s="5"/>
      <s:c r="F19" s="785"/>
      <s:c r="G19" s="786"/>
      <s:c r="H19" s="787"/>
      <s:c r="I19" s="685"/>
      <s:c r="J19" s="52"/>
      <s:c r="K19" s="678" t="str">
        <s:f>IF(AND(I19&lt;&gt;"",I19&lt;&gt;0,J19&lt;&gt;""),J19/I19,"")</s:f>
        <s:v/>
      </s:c>
      <s:c r="L19" s="668">
        <s:f>J19</s:f>
        <s:v>0</s:v>
      </s:c>
      <s:c r="M19" s="53" t="str">
        <s:f>IF(AND(I19&lt;&gt;"",I19&lt;&gt;0,L19&lt;&gt;"",L19&lt;&gt;0),L19/I19,"")</s:f>
        <s:v/>
      </s:c>
      <s:c r="N19" s="31" t="str">
        <s:f>IF(AND(J19&lt;&gt;0,J19&lt;&gt;"",I19&lt;&gt;0,I19&lt;&gt;""),L19-I19,"")</s:f>
        <s:v/>
      </s:c>
      <s:c r="O19" s="581">
        <s:v>0</s:v>
      </s:c>
      <s:c r="P19" s="33" t="str">
        <s:f>IF(AND(O19&lt;&gt;"",O19&lt;&gt;0,L19&lt;&gt;"",L19&lt;&gt;0),-O19+L19,"")</s:f>
        <s:v/>
      </s:c>
      <s:c r="Q19" s="34" t="str">
        <s:f>IF(AND(O19&lt;&gt;"",O19&lt;&gt;0,N19&lt;&gt;0,N19&lt;&gt;""),O19/N19,"")</s:f>
        <s:v/>
      </s:c>
      <s:c r="R19" s="14"/>
      <s:c r="S19" s="29" t="e">
        <s:f>S18/I16</s:f>
        <s:v>#DIV/0!</s:v>
      </s:c>
      <s:c r="T19" s="5"/>
      <s:c r="U19" s="5"/>
      <s:c r="V19" s="17"/>
      <s:c r="W19" s="17"/>
      <s:c r="X19" s="5"/>
      <s:c r="Y19" s="5"/>
      <s:c r="Z19" s="5"/>
      <s:c r="AA19" s="5"/>
      <s:c r="AB19" s="5"/>
      <s:c r="AC19" s="5"/>
    </s:row>
    <s:row r="20" spans="1:261" ht="19" customHeight="1">
      <s:c r="A20" s="15"/>
      <s:c r="B20" s="15"/>
      <s:c r="C20" s="5"/>
      <s:c r="D20" s="5"/>
      <s:c r="E20" s="5"/>
      <s:c r="F20" s="788" t="s">
        <s:v>23</s:v>
      </s:c>
      <s:c r="G20" s="789"/>
      <s:c r="H20" s="790"/>
      <s:c r="I20" s="686">
        <s:v>0.1</s:v>
      </s:c>
      <s:c r="J20" s="687">
        <s:f>T56</s:f>
        <s:v>7.6830732292917162E-2</s:v>
      </s:c>
      <s:c r="K20" s="688">
        <s:f>J20/I20</s:f>
        <s:v>0.76830732292917159</s:v>
      </s:c>
      <s:c r="L20" s="669">
        <s:f>J20/I20</s:f>
        <s:v>0.76830732292917159</s:v>
      </s:c>
      <s:c r="M20" s="55">
        <s:f>J20/I20</s:f>
        <s:v>0.76830732292917159</s:v>
      </s:c>
      <s:c r="N20" s="56">
        <s:f>IF(AND(J20&lt;&gt;0,J20&lt;&gt;"",I20&lt;&gt;0,I20&lt;&gt;""),L20-I20,"")</s:f>
        <s:v>0.66830732292917161</s:v>
      </s:c>
      <s:c r="O20" s="583"/>
      <s:c r="P20" s="573" t="str">
        <s:f>IF(AND(O20&lt;&gt;"",O20&lt;&gt;0,L20&lt;&gt;"",L20&lt;&gt;0),-O20+L20,"")</s:f>
        <s:v/>
      </s:c>
      <s:c r="Q20" s="59" t="str">
        <s:f>IF(AND(O20&lt;&gt;"",O20&lt;&gt;0,N20&lt;&gt;0,N20&lt;&gt;""),O20/N20,"")</s:f>
        <s:v/>
      </s:c>
      <s:c r="R20" s="14"/>
      <s:c r="S20" s="13"/>
      <s:c r="T20" s="5"/>
      <s:c r="U20" s="5"/>
      <s:c r="V20" s="17"/>
      <s:c r="W20" s="17"/>
      <s:c r="X20" s="5"/>
      <s:c r="Y20" s="5"/>
      <s:c r="Z20" s="5"/>
      <s:c r="AA20" s="5"/>
      <s:c r="AB20" s="5"/>
      <s:c r="AC20" s="5"/>
    </s:row>
    <s:row r="21">
      <s:c r="A21" s="15"/>
      <s:c r="B21" s="15"/>
      <s:c r="C21" s="5"/>
      <s:c r="D21" s="5"/>
      <s:c r="E21" s="5"/>
      <s:c r="F21" s="5"/>
      <s:c r="G21" s="5"/>
      <s:c r="H21" s="5"/>
      <s:c r="I21" s="5"/>
      <s:c r="J21" s="5"/>
      <s:c r="K21" s="5"/>
      <s:c r="L21" s="5"/>
      <s:c r="M21" s="5"/>
      <s:c r="N21" s="5"/>
      <s:c r="O21" s="5"/>
      <s:c r="P21" s="5"/>
      <s:c r="Q21" s="5"/>
      <s:c r="R21" s="5"/>
      <s:c r="S21" s="5"/>
      <s:c r="T21" s="5"/>
      <s:c r="U21" s="5"/>
      <s:c r="V21" s="5"/>
      <s:c r="W21" s="17"/>
      <s:c r="X21" s="17"/>
      <s:c r="Y21" s="5"/>
      <s:c r="Z21" s="5"/>
      <s:c r="AA21" s="5"/>
      <s:c r="AB21" s="5"/>
      <s:c r="AC21" s="5"/>
    </s:row>
    <s:row r="22" spans="1:261" ht="20" customHeight="1" thickBot="1">
      <s:c r="A22" s="778" t="s">
        <s:v>24</s:v>
      </s:c>
      <s:c r="B22" s="779"/>
      <s:c r="C22" s="779"/>
      <s:c r="D22" s="779"/>
      <s:c r="E22" s="779"/>
      <s:c r="F22" s="779"/>
      <s:c r="G22" s="779"/>
      <s:c r="H22" s="779"/>
      <s:c r="I22" s="779"/>
      <s:c r="J22" s="779"/>
      <s:c r="K22" s="779"/>
      <s:c r="L22" s="779"/>
      <s:c r="M22" s="779"/>
      <s:c r="N22" s="779"/>
      <s:c r="O22" s="779"/>
      <s:c r="P22" s="779"/>
      <s:c r="Q22" s="779"/>
      <s:c r="R22" s="779"/>
      <s:c r="S22" s="779"/>
      <s:c r="T22" s="779"/>
      <s:c r="U22" s="791" t="s">
        <s:v>45</s:v>
      </s:c>
      <s:c r="V22" s="778" t="s">
        <s:v>25</s:v>
      </s:c>
      <s:c r="W22" s="779"/>
      <s:c r="X22" s="779"/>
      <s:c r="Y22" s="779"/>
      <s:c r="Z22" s="779"/>
      <s:c r="AA22" s="779"/>
      <s:c r="AB22" s="779"/>
      <s:c r="AC22" s="780"/>
      <s:c r="AD22" s="2"/>
      <s:c r="AE22" s="2"/>
      <s:c r="AF22" s="2"/>
      <s:c r="AG22" s="2"/>
      <s:c r="AH22" s="2"/>
      <s:c r="AI22" s="2"/>
      <s:c r="AJ22" s="2"/>
      <s:c r="AK22" s="2"/>
      <s:c r="AL22" s="2"/>
      <s:c r="AM22" s="2"/>
      <s:c r="AN22" s="2"/>
      <s:c r="AO22" s="2"/>
    </s:row>
    <s:row r="23" ht="48">
      <s:c r="A23" s="531" t="s">
        <s:v>26</s:v>
      </s:c>
      <s:c r="B23" s="540" t="s">
        <s:v>27</s:v>
      </s:c>
      <s:c r="C23" s="541" t="s">
        <s:v>28</s:v>
      </s:c>
      <s:c r="D23" s="530" t="s">
        <s:v>29</s:v>
      </s:c>
      <s:c r="E23" s="482" t="s">
        <s:v>30</s:v>
      </s:c>
      <s:c r="F23" s="482" t="s">
        <s:v>31</s:v>
      </s:c>
      <s:c r="G23" s="482" t="s">
        <s:v>32</s:v>
      </s:c>
      <s:c r="H23" s="482" t="s">
        <s:v>33</s:v>
      </s:c>
      <s:c r="I23" s="482" t="s">
        <s:v>22</s:v>
      </s:c>
      <s:c r="J23" s="483" t="s">
        <s:v>34</s:v>
      </s:c>
      <s:c r="K23" s="428" t="s">
        <s:v>35</s:v>
      </s:c>
      <s:c r="L23" s="405" t="s">
        <s:v>36</s:v>
      </s:c>
      <s:c r="M23" s="405" t="s">
        <s:v>37</s:v>
      </s:c>
      <s:c r="N23" s="405" t="s">
        <s:v>38</s:v>
      </s:c>
      <s:c r="O23" s="405" t="s">
        <s:v>39</s:v>
      </s:c>
      <s:c r="P23" s="484" t="s">
        <s:v>40</s:v>
      </s:c>
      <s:c r="Q23" s="485" t="s">
        <s:v>41</s:v>
      </s:c>
      <s:c r="R23" s="405" t="s">
        <s:v>42</s:v>
      </s:c>
      <s:c r="S23" s="486" t="s">
        <s:v>43</s:v>
      </s:c>
      <s:c r="T23" s="549" t="s">
        <s:v>44</s:v>
      </s:c>
      <s:c r="U23" s="792"/>
      <s:c r="V23" s="557" t="s">
        <s:v>46</s:v>
      </s:c>
      <s:c r="W23" s="558" t="s">
        <s:v>47</s:v>
      </s:c>
      <s:c r="X23" s="558" t="s">
        <s:v>48</s:v>
      </s:c>
      <s:c r="Y23" s="558" t="s">
        <s:v>49</s:v>
      </s:c>
      <s:c r="Z23" s="558" t="s">
        <s:v>50</s:v>
      </s:c>
      <s:c r="AA23" s="558" t="s">
        <s:v>51</s:v>
      </s:c>
      <s:c r="AB23" s="559" t="s">
        <s:v>52</s:v>
      </s:c>
      <s:c r="AC23" s="560" t="s">
        <s:v>53</s:v>
      </s:c>
      <s:c r="AE23" s="60"/>
      <s:c r="AF23" s="2"/>
      <s:c r="AG23" s="2"/>
      <s:c r="AH23" s="2"/>
      <s:c r="AI23" s="2"/>
      <s:c r="AJ23" s="2"/>
      <s:c r="AK23" s="2"/>
      <s:c r="AL23" s="2"/>
      <s:c r="AM23" s="2"/>
      <s:c r="AN23" s="2"/>
      <s:c r="AO23" s="2"/>
    </s:row>
    <s:row r="24">
      <s:c r="A24" s="532"/>
      <s:c r="B24" s="376">
        <s:v>1</s:v>
      </s:c>
      <s:c r="C24" s="542">
        <s:v>2</s:v>
      </s:c>
      <s:c r="D24" s="166">
        <s:v>3</s:v>
      </s:c>
      <s:c r="E24" s="61">
        <s:v>4</s:v>
      </s:c>
      <s:c r="F24" s="61">
        <s:v>5</s:v>
      </s:c>
      <s:c r="G24" s="61"/>
      <s:c r="H24" s="61">
        <s:v>7</s:v>
      </s:c>
      <s:c r="I24" s="61"/>
      <s:c r="J24" s="62">
        <s:v>9</s:v>
      </s:c>
      <s:c r="K24" s="376">
        <s:v>10</s:v>
      </s:c>
      <s:c r="L24" s="61">
        <s:v>11</s:v>
      </s:c>
      <s:c r="M24" s="61">
        <s:v>12</s:v>
      </s:c>
      <s:c r="N24" s="61">
        <s:v>13</s:v>
      </s:c>
      <s:c r="O24" s="61">
        <s:v>14</s:v>
      </s:c>
      <s:c r="P24" s="62">
        <s:v>15</s:v>
      </s:c>
      <s:c r="Q24" s="63">
        <s:v>16</s:v>
      </s:c>
      <s:c r="R24" s="62">
        <s:v>17</s:v>
      </s:c>
      <s:c r="S24" s="377"/>
      <s:c r="T24" s="487">
        <s:v>13</s:v>
      </s:c>
      <s:c r="U24" s="553"/>
      <s:c r="V24" s="488">
        <s:v>1</s:v>
      </s:c>
      <s:c r="W24" s="561">
        <s:v>2</s:v>
      </s:c>
      <s:c r="X24" s="561">
        <s:v>3</s:v>
      </s:c>
      <s:c r="Y24" s="561">
        <s:v>4</s:v>
      </s:c>
      <s:c r="Z24" s="561">
        <s:v>5</s:v>
      </s:c>
      <s:c r="AA24" s="561">
        <s:v>6</s:v>
      </s:c>
      <s:c r="AB24" s="561">
        <s:v>10</s:v>
      </s:c>
      <s:c r="AC24" s="562">
        <s:v>11</s:v>
      </s:c>
      <s:c r="AD24" s="2"/>
      <s:c r="AE24" s="2"/>
      <s:c r="AF24" s="2"/>
      <s:c r="AG24" s="2"/>
      <s:c r="AH24" s="2"/>
      <s:c r="AI24" s="2"/>
      <s:c r="AJ24" s="2"/>
      <s:c r="AK24" s="2"/>
      <s:c r="AL24" s="2"/>
      <s:c r="AM24" s="2"/>
      <s:c r="AN24" s="2"/>
      <s:c r="AO24" s="2"/>
    </s:row>
    <s:row r="25">
      <s:c r="A25" s="533" t="s">
        <s:v>131</s:v>
      </s:c>
      <s:c r="B25" s="543">
        <s:v>46113</s:v>
      </s:c>
      <s:c r="C25" s="544" t="s">
        <s:v>57</s:v>
      </s:c>
      <s:c r="D25" s="749">
        <s:v>27636</s:v>
      </s:c>
      <s:c r="E25" s="307">
        <s:v>6</s:v>
      </s:c>
      <s:c r="F25" s="308">
        <s:f>IF(AND(E25&lt;&gt;"",E25&lt;&gt;0),D25/E25,"")</s:f>
        <s:v>4606</s:v>
      </s:c>
      <s:c r="G25" s="307">
        <s:v>4</s:v>
      </s:c>
      <s:c r="H25" s="308">
        <s:f>IF(AND(G25&lt;&gt;"",G25&lt;&gt;0),D25/G25,"")</s:f>
        <s:v>6909</s:v>
      </s:c>
      <s:c r="I25" s="307">
        <s:v>35</s:v>
      </s:c>
      <s:c r="J25" s="375">
        <s:f>IF(AND(G25&lt;&gt;"",G25&lt;&gt;0),E25/G25,"")</s:f>
        <s:v>1.5</s:v>
      </s:c>
      <s:c r="K25" s="378"/>
      <s:c r="L25" s="353"/>
      <s:c r="M25" s="307"/>
      <s:c r="N25" s="307"/>
      <s:c r="O25" s="307"/>
      <s:c r="P25" s="307"/>
      <s:c r="Q25" s="309"/>
      <s:c r="R25" s="309"/>
      <s:c r="S25" s="379"/>
      <s:c r="T25" s="550">
        <s:f>IF(AND(I25&lt;&gt;"",I25&lt;&gt;0),G25/I25,"")</s:f>
        <s:v>0.11428571428571428</s:v>
      </s:c>
      <s:c r="U25" s="554">
        <s:f>D25/V25</s:f>
        <s:v>0.32151462601599917</s:v>
      </s:c>
      <s:c r="V25" s="489">
        <s:f>$I$8*AB25*AC25/SUMPRODUCT($AC$25:$AC$55,$AB$25:$AB$55)</s:f>
        <s:v>85955.654156227349</s:v>
      </s:c>
      <s:c r="W25" s="563">
        <s:f>$I$9*AB25*AC25/SUMPRODUCT($AC$25:$AC$55,$AB$25:$AB$55)</s:f>
        <s:v>12.457341182061933</s:v>
      </s:c>
      <s:c r="X25" s="563">
        <s:f>IF($I$12="","",W25/$I$12)</s:f>
        <s:v>7.3278477541540781</s:v>
      </s:c>
      <s:c r="Y25" s="564">
        <s:f>IF(D25&lt;&gt;"",D25,V25)</s:f>
        <s:v>27636</s:v>
      </s:c>
      <s:c r="Z25" s="563">
        <s:f>IF(E25&lt;&gt;"",E25,W25)</s:f>
        <s:v>6</s:v>
      </s:c>
      <s:c r="AA25" s="563">
        <s:f>IF(G25&lt;&gt;"",G25,X25)</s:f>
        <s:v>4</s:v>
      </s:c>
      <s:c r="AB25" s="565">
        <s:v>1</s:v>
      </s:c>
      <s:c r="AC25" s="566">
        <s:v>0.75349420659858612</s:v>
      </s:c>
      <s:c r="AD25" s="310"/>
      <s:c r="AE25" s="311"/>
      <s:c r="AF25" s="310"/>
      <s:c r="AG25" s="310"/>
      <s:c r="AH25" s="310"/>
      <s:c r="AI25" s="310"/>
      <s:c r="AJ25" s="310"/>
      <s:c r="AK25" s="310"/>
      <s:c r="AL25" s="310"/>
      <s:c r="AM25" s="310"/>
      <s:c r="AN25" s="310"/>
      <s:c r="AO25" s="310"/>
      <s:c r="AP25" s="310"/>
      <s:c r="AQ25" s="310"/>
      <s:c r="AR25" s="310"/>
      <s:c r="AS25" s="310"/>
      <s:c r="AT25" s="310"/>
      <s:c r="AU25" s="310"/>
      <s:c r="AV25" s="310"/>
      <s:c r="AW25" s="310"/>
      <s:c r="AX25" s="310"/>
      <s:c r="AY25" s="310"/>
      <s:c r="AZ25" s="310"/>
      <s:c r="BA25" s="310"/>
      <s:c r="BB25" s="310"/>
      <s:c r="BC25" s="310"/>
      <s:c r="BD25" s="310"/>
      <s:c r="BE25" s="310"/>
      <s:c r="BF25" s="310"/>
      <s:c r="BG25" s="310"/>
      <s:c r="BH25" s="310"/>
      <s:c r="BI25" s="310"/>
      <s:c r="BJ25" s="310"/>
      <s:c r="BK25" s="310"/>
      <s:c r="BL25" s="310"/>
      <s:c r="BM25" s="310"/>
      <s:c r="BN25" s="310"/>
      <s:c r="BO25" s="310"/>
      <s:c r="BP25" s="310"/>
      <s:c r="BQ25" s="310"/>
      <s:c r="BR25" s="310"/>
      <s:c r="BS25" s="310"/>
      <s:c r="BT25" s="310"/>
      <s:c r="BU25" s="310"/>
      <s:c r="BV25" s="310"/>
      <s:c r="BW25" s="310"/>
      <s:c r="BX25" s="310"/>
      <s:c r="BY25" s="310"/>
      <s:c r="BZ25" s="310"/>
      <s:c r="CA25" s="310"/>
      <s:c r="CB25" s="310"/>
      <s:c r="CC25" s="310"/>
      <s:c r="CD25" s="310"/>
      <s:c r="CE25" s="310"/>
      <s:c r="CF25" s="310"/>
      <s:c r="CG25" s="310"/>
      <s:c r="CH25" s="310"/>
      <s:c r="CI25" s="310"/>
      <s:c r="CJ25" s="310"/>
      <s:c r="CK25" s="310"/>
      <s:c r="CL25" s="310"/>
      <s:c r="CM25" s="310"/>
      <s:c r="CN25" s="310"/>
      <s:c r="CO25" s="310"/>
      <s:c r="CP25" s="310"/>
      <s:c r="CQ25" s="310"/>
      <s:c r="CR25" s="310"/>
      <s:c r="CS25" s="310"/>
      <s:c r="CT25" s="310"/>
      <s:c r="CU25" s="310"/>
      <s:c r="CV25" s="310"/>
      <s:c r="CW25" s="310"/>
      <s:c r="CX25" s="310"/>
      <s:c r="CY25" s="310"/>
      <s:c r="CZ25" s="310"/>
      <s:c r="DA25" s="310"/>
      <s:c r="DB25" s="310"/>
      <s:c r="DC25" s="310"/>
      <s:c r="DD25" s="310"/>
      <s:c r="DE25" s="310"/>
      <s:c r="DF25" s="310"/>
      <s:c r="DG25" s="310"/>
      <s:c r="DH25" s="310"/>
      <s:c r="DI25" s="310"/>
      <s:c r="DJ25" s="310"/>
      <s:c r="DK25" s="310"/>
      <s:c r="DL25" s="310"/>
      <s:c r="DM25" s="310"/>
      <s:c r="DN25" s="310"/>
      <s:c r="DO25" s="310"/>
      <s:c r="DP25" s="310"/>
      <s:c r="DQ25" s="310"/>
      <s:c r="DR25" s="310"/>
      <s:c r="DS25" s="310"/>
      <s:c r="DT25" s="310"/>
      <s:c r="DU25" s="310"/>
      <s:c r="DV25" s="310"/>
      <s:c r="DW25" s="310"/>
      <s:c r="DX25" s="310"/>
      <s:c r="DY25" s="310"/>
      <s:c r="DZ25" s="310"/>
      <s:c r="EA25" s="310"/>
      <s:c r="EB25" s="310"/>
      <s:c r="EC25" s="310"/>
      <s:c r="ED25" s="310"/>
      <s:c r="EE25" s="310"/>
      <s:c r="EF25" s="310"/>
      <s:c r="EG25" s="310"/>
      <s:c r="EH25" s="310"/>
      <s:c r="EI25" s="310"/>
      <s:c r="EJ25" s="310"/>
      <s:c r="EK25" s="310"/>
      <s:c r="EL25" s="310"/>
      <s:c r="EM25" s="310"/>
      <s:c r="EN25" s="310"/>
      <s:c r="EO25" s="310"/>
      <s:c r="EP25" s="310"/>
      <s:c r="EQ25" s="310"/>
      <s:c r="ER25" s="310"/>
      <s:c r="ES25" s="310"/>
      <s:c r="ET25" s="310"/>
      <s:c r="EU25" s="310"/>
      <s:c r="EV25" s="310"/>
      <s:c r="EW25" s="310"/>
      <s:c r="EX25" s="310"/>
      <s:c r="EY25" s="310"/>
      <s:c r="EZ25" s="310"/>
      <s:c r="FA25" s="310"/>
      <s:c r="FB25" s="310"/>
      <s:c r="FC25" s="310"/>
      <s:c r="FD25" s="310"/>
      <s:c r="FE25" s="310"/>
      <s:c r="FF25" s="310"/>
      <s:c r="FG25" s="310"/>
      <s:c r="FH25" s="310"/>
      <s:c r="FI25" s="310"/>
      <s:c r="FJ25" s="310"/>
      <s:c r="FK25" s="310"/>
      <s:c r="FL25" s="310"/>
      <s:c r="FM25" s="310"/>
      <s:c r="FN25" s="310"/>
      <s:c r="FO25" s="310"/>
      <s:c r="FP25" s="310"/>
      <s:c r="FQ25" s="310"/>
      <s:c r="FR25" s="310"/>
      <s:c r="FS25" s="310"/>
      <s:c r="FT25" s="310"/>
      <s:c r="FU25" s="310"/>
      <s:c r="FV25" s="310"/>
      <s:c r="FW25" s="310"/>
      <s:c r="FX25" s="310"/>
      <s:c r="FY25" s="310"/>
      <s:c r="FZ25" s="310"/>
      <s:c r="GA25" s="310"/>
      <s:c r="GB25" s="310"/>
      <s:c r="GC25" s="310"/>
      <s:c r="GD25" s="310"/>
      <s:c r="GE25" s="310"/>
      <s:c r="GF25" s="310"/>
      <s:c r="GG25" s="310"/>
      <s:c r="GH25" s="310"/>
      <s:c r="GI25" s="310"/>
      <s:c r="GJ25" s="310"/>
      <s:c r="GK25" s="310"/>
      <s:c r="GL25" s="310"/>
      <s:c r="GM25" s="310"/>
      <s:c r="GN25" s="310"/>
      <s:c r="GO25" s="310"/>
      <s:c r="GP25" s="310"/>
      <s:c r="GQ25" s="310"/>
      <s:c r="GR25" s="310"/>
      <s:c r="GS25" s="310"/>
      <s:c r="GT25" s="310"/>
      <s:c r="GU25" s="310"/>
      <s:c r="GV25" s="310"/>
      <s:c r="GW25" s="310"/>
      <s:c r="GX25" s="310"/>
      <s:c r="GY25" s="310"/>
      <s:c r="GZ25" s="310"/>
      <s:c r="HA25" s="310"/>
      <s:c r="HB25" s="310"/>
      <s:c r="HC25" s="310"/>
      <s:c r="HD25" s="310"/>
      <s:c r="HE25" s="310"/>
      <s:c r="HF25" s="310"/>
      <s:c r="HG25" s="310"/>
      <s:c r="HH25" s="310"/>
      <s:c r="HI25" s="310"/>
      <s:c r="HJ25" s="310"/>
      <s:c r="HK25" s="310"/>
      <s:c r="HL25" s="310"/>
      <s:c r="HM25" s="310"/>
      <s:c r="HN25" s="310"/>
      <s:c r="HO25" s="310"/>
      <s:c r="HP25" s="310"/>
      <s:c r="HQ25" s="310"/>
      <s:c r="HR25" s="310"/>
      <s:c r="HS25" s="310"/>
      <s:c r="HT25" s="310"/>
      <s:c r="HU25" s="310"/>
      <s:c r="HV25" s="310"/>
      <s:c r="HW25" s="310"/>
      <s:c r="HX25" s="310"/>
      <s:c r="HY25" s="310"/>
      <s:c r="HZ25" s="310"/>
      <s:c r="IA25" s="310"/>
      <s:c r="IB25" s="310"/>
      <s:c r="IC25" s="310"/>
      <s:c r="ID25" s="310"/>
      <s:c r="IE25" s="310"/>
      <s:c r="IF25" s="310"/>
      <s:c r="IG25" s="310"/>
      <s:c r="IH25" s="310"/>
      <s:c r="II25" s="310"/>
      <s:c r="IJ25" s="310"/>
      <s:c r="IK25" s="310"/>
      <s:c r="IL25" s="310"/>
      <s:c r="IM25" s="310"/>
      <s:c r="IN25" s="310"/>
      <s:c r="IO25" s="310"/>
      <s:c r="IP25" s="310"/>
      <s:c r="IQ25" s="310"/>
      <s:c r="IR25" s="310"/>
      <s:c r="IS25" s="310"/>
      <s:c r="IT25" s="310"/>
      <s:c r="IU25" s="310"/>
      <s:c r="IV25" s="310"/>
      <s:c r="IW25" s="310"/>
      <s:c r="IX25" s="310"/>
      <s:c r="IY25" s="310"/>
      <s:c r="IZ25" s="310"/>
      <s:c r="JA25" s="310"/>
    </s:row>
    <s:row r="26">
      <s:c r="A26" s="533" t="s">
        <s:v>133</s:v>
      </s:c>
      <s:c r="B26" s="543">
        <s:v>46114</s:v>
      </s:c>
      <s:c r="C26" s="544" t="s">
        <s:v>58</s:v>
      </s:c>
      <s:c r="D26" s="750">
        <s:v>29523</s:v>
      </s:c>
      <s:c r="E26" s="309">
        <s:v>3</s:v>
      </s:c>
      <s:c r="F26" s="308">
        <s:f>IF(AND(E26&lt;&gt;"",E26&lt;&gt;0),D26/E26,"")</s:f>
        <s:v>9841</s:v>
      </s:c>
      <s:c r="G26" s="309">
        <s:v>2</s:v>
      </s:c>
      <s:c r="H26" s="308">
        <s:f>IF(AND(G26&lt;&gt;"",G26&lt;&gt;0),D26/G26,"")</s:f>
        <s:v>14761.5</s:v>
      </s:c>
      <s:c r="I26" s="309">
        <s:v>40</s:v>
      </s:c>
      <s:c r="J26" s="375">
        <s:f>IF(AND(G26&lt;&gt;"",G26&lt;&gt;0),E26/G26,"")</s:f>
        <s:v>1.5</s:v>
      </s:c>
      <s:c r="K26" s="380"/>
      <s:c r="L26" s="309"/>
      <s:c r="M26" s="309"/>
      <s:c r="N26" s="309"/>
      <s:c r="O26" s="309"/>
      <s:c r="P26" s="307">
        <s:v>12391</s:v>
      </s:c>
      <s:c r="Q26" s="307"/>
      <s:c r="R26" s="309"/>
      <s:c r="S26" s="381"/>
      <s:c r="T26" s="550">
        <s:f>IF(AND(I26&lt;&gt;"",I26&lt;&gt;0),G26/I26,"")</s:f>
        <s:v>0.05</s:v>
      </s:c>
      <s:c r="U26" s="554">
        <s:f>D26/V26</s:f>
        <s:v>0.19321478879339304</s:v>
      </s:c>
      <s:c r="V26" s="489">
        <s:f>$I$8*AB26*AC26/SUMPRODUCT($AC$25:$AC$55,$AB$25:$AB$55)</s:f>
        <s:v>152798.86278047436</s:v>
      </s:c>
      <s:c r="W26" s="563">
        <s:f>$I$9*AB26*AC26/SUMPRODUCT($AC$25:$AC$55,$AB$25:$AB$55)</s:f>
        <s:v>22.144762721807876</s:v>
      </s:c>
      <s:c r="X26" s="563">
        <s:f>IF($I$12="","",W26/$I$12)</s:f>
        <s:v>13.026331012828162</s:v>
      </s:c>
      <s:c r="Y26" s="564">
        <s:f>IF(AB26&lt;&gt;"",IF(D26&lt;&gt;"",D26,($I$8-SUM($Y$25:Y25))*AA26*AB26/SUMPRODUCT($AB26:$AB$55,$AA26:$AA$55)),"")</s:f>
        <s:v>29523</s:v>
      </s:c>
      <s:c r="Z26" s="563">
        <s:f>IF(AC26&lt;&gt;"",IF(E26&lt;&gt;"",E26,($I$9-SUM($Z$25:Z25))*AB26*AC26/SUMPRODUCT($AC26:$AC$55,$AB26:$AB$55)),"")</s:f>
        <s:v>3</s:v>
      </s:c>
      <s:c r="AA26" s="563">
        <s:f>IF(AC26&lt;&gt;"",IF($I$12&lt;&gt;"",IF(G26&lt;&gt;"",G26,($I$9/$I$12-SUM($AA$25:AA25))*AB26*AC26/SUMPRODUCT($AC26:$AC$55,$AB26:$AB$55)),""),"")</s:f>
        <s:v>2</s:v>
      </s:c>
      <s:c r="AB26" s="565">
        <s:v>1</s:v>
      </s:c>
      <s:c r="AC26" s="566">
        <s:v>1.3394471720345642</s:v>
      </s:c>
      <s:c r="AD26" s="311"/>
      <s:c r="AE26" s="311"/>
      <s:c r="AF26" s="310"/>
      <s:c r="AG26" s="310"/>
      <s:c r="AH26" s="310"/>
      <s:c r="AI26" s="310"/>
      <s:c r="AJ26" s="310"/>
      <s:c r="AK26" s="310"/>
      <s:c r="AL26" s="310"/>
      <s:c r="AM26" s="310"/>
      <s:c r="AN26" s="310"/>
      <s:c r="AO26" s="310"/>
      <s:c r="AP26" s="310"/>
      <s:c r="AQ26" s="310"/>
      <s:c r="AR26" s="310"/>
      <s:c r="AS26" s="310"/>
      <s:c r="AT26" s="310"/>
      <s:c r="AU26" s="310"/>
      <s:c r="AV26" s="310"/>
      <s:c r="AW26" s="310"/>
      <s:c r="AX26" s="310"/>
      <s:c r="AY26" s="310"/>
      <s:c r="AZ26" s="310"/>
      <s:c r="BA26" s="310"/>
      <s:c r="BB26" s="310"/>
      <s:c r="BC26" s="310"/>
      <s:c r="BD26" s="310"/>
      <s:c r="BE26" s="310"/>
      <s:c r="BF26" s="310"/>
      <s:c r="BG26" s="310"/>
      <s:c r="BH26" s="310"/>
      <s:c r="BI26" s="310"/>
      <s:c r="BJ26" s="310"/>
      <s:c r="BK26" s="310"/>
      <s:c r="BL26" s="310"/>
      <s:c r="BM26" s="310"/>
      <s:c r="BN26" s="310"/>
      <s:c r="BO26" s="310"/>
      <s:c r="BP26" s="310"/>
      <s:c r="BQ26" s="310"/>
      <s:c r="BR26" s="310"/>
      <s:c r="BS26" s="310"/>
      <s:c r="BT26" s="310"/>
      <s:c r="BU26" s="310"/>
      <s:c r="BV26" s="310"/>
      <s:c r="BW26" s="310"/>
      <s:c r="BX26" s="310"/>
      <s:c r="BY26" s="310"/>
      <s:c r="BZ26" s="310"/>
      <s:c r="CA26" s="310"/>
      <s:c r="CB26" s="310"/>
      <s:c r="CC26" s="310"/>
      <s:c r="CD26" s="310"/>
      <s:c r="CE26" s="310"/>
      <s:c r="CF26" s="310"/>
      <s:c r="CG26" s="310"/>
      <s:c r="CH26" s="310"/>
      <s:c r="CI26" s="310"/>
      <s:c r="CJ26" s="310"/>
      <s:c r="CK26" s="310"/>
      <s:c r="CL26" s="310"/>
      <s:c r="CM26" s="310"/>
      <s:c r="CN26" s="310"/>
      <s:c r="CO26" s="310"/>
      <s:c r="CP26" s="310"/>
      <s:c r="CQ26" s="310"/>
      <s:c r="CR26" s="310"/>
      <s:c r="CS26" s="310"/>
      <s:c r="CT26" s="310"/>
      <s:c r="CU26" s="310"/>
      <s:c r="CV26" s="310"/>
      <s:c r="CW26" s="310"/>
      <s:c r="CX26" s="310"/>
      <s:c r="CY26" s="310"/>
      <s:c r="CZ26" s="310"/>
      <s:c r="DA26" s="310"/>
      <s:c r="DB26" s="310"/>
      <s:c r="DC26" s="310"/>
      <s:c r="DD26" s="310"/>
      <s:c r="DE26" s="310"/>
      <s:c r="DF26" s="310"/>
      <s:c r="DG26" s="310"/>
      <s:c r="DH26" s="310"/>
      <s:c r="DI26" s="310"/>
      <s:c r="DJ26" s="310"/>
      <s:c r="DK26" s="310"/>
      <s:c r="DL26" s="310"/>
      <s:c r="DM26" s="310"/>
      <s:c r="DN26" s="310"/>
      <s:c r="DO26" s="310"/>
      <s:c r="DP26" s="310"/>
      <s:c r="DQ26" s="310"/>
      <s:c r="DR26" s="310"/>
      <s:c r="DS26" s="310"/>
      <s:c r="DT26" s="310"/>
      <s:c r="DU26" s="310"/>
      <s:c r="DV26" s="310"/>
      <s:c r="DW26" s="310"/>
      <s:c r="DX26" s="310"/>
      <s:c r="DY26" s="310"/>
      <s:c r="DZ26" s="310"/>
      <s:c r="EA26" s="310"/>
      <s:c r="EB26" s="310"/>
      <s:c r="EC26" s="310"/>
      <s:c r="ED26" s="310"/>
      <s:c r="EE26" s="310"/>
      <s:c r="EF26" s="310"/>
      <s:c r="EG26" s="310"/>
      <s:c r="EH26" s="310"/>
      <s:c r="EI26" s="310"/>
      <s:c r="EJ26" s="310"/>
      <s:c r="EK26" s="310"/>
      <s:c r="EL26" s="310"/>
      <s:c r="EM26" s="310"/>
      <s:c r="EN26" s="310"/>
      <s:c r="EO26" s="310"/>
      <s:c r="EP26" s="310"/>
      <s:c r="EQ26" s="310"/>
      <s:c r="ER26" s="310"/>
      <s:c r="ES26" s="310"/>
      <s:c r="ET26" s="310"/>
      <s:c r="EU26" s="310"/>
      <s:c r="EV26" s="310"/>
      <s:c r="EW26" s="310"/>
      <s:c r="EX26" s="310"/>
      <s:c r="EY26" s="310"/>
      <s:c r="EZ26" s="310"/>
      <s:c r="FA26" s="310"/>
      <s:c r="FB26" s="310"/>
      <s:c r="FC26" s="310"/>
      <s:c r="FD26" s="310"/>
      <s:c r="FE26" s="310"/>
      <s:c r="FF26" s="310"/>
      <s:c r="FG26" s="310"/>
      <s:c r="FH26" s="310"/>
      <s:c r="FI26" s="310"/>
      <s:c r="FJ26" s="310"/>
      <s:c r="FK26" s="310"/>
      <s:c r="FL26" s="310"/>
      <s:c r="FM26" s="310"/>
      <s:c r="FN26" s="310"/>
      <s:c r="FO26" s="310"/>
      <s:c r="FP26" s="310"/>
      <s:c r="FQ26" s="310"/>
      <s:c r="FR26" s="310"/>
      <s:c r="FS26" s="310"/>
      <s:c r="FT26" s="310"/>
      <s:c r="FU26" s="310"/>
      <s:c r="FV26" s="310"/>
      <s:c r="FW26" s="310"/>
      <s:c r="FX26" s="310"/>
      <s:c r="FY26" s="310"/>
      <s:c r="FZ26" s="310"/>
      <s:c r="GA26" s="310"/>
      <s:c r="GB26" s="310"/>
      <s:c r="GC26" s="310"/>
      <s:c r="GD26" s="310"/>
      <s:c r="GE26" s="310"/>
      <s:c r="GF26" s="310"/>
      <s:c r="GG26" s="310"/>
      <s:c r="GH26" s="310"/>
      <s:c r="GI26" s="310"/>
      <s:c r="GJ26" s="310"/>
      <s:c r="GK26" s="310"/>
      <s:c r="GL26" s="310"/>
      <s:c r="GM26" s="310"/>
      <s:c r="GN26" s="310"/>
      <s:c r="GO26" s="310"/>
      <s:c r="GP26" s="310"/>
      <s:c r="GQ26" s="310"/>
      <s:c r="GR26" s="310"/>
      <s:c r="GS26" s="310"/>
      <s:c r="GT26" s="310"/>
      <s:c r="GU26" s="310"/>
      <s:c r="GV26" s="310"/>
      <s:c r="GW26" s="310"/>
      <s:c r="GX26" s="310"/>
      <s:c r="GY26" s="310"/>
      <s:c r="GZ26" s="310"/>
      <s:c r="HA26" s="310"/>
      <s:c r="HB26" s="310"/>
      <s:c r="HC26" s="310"/>
      <s:c r="HD26" s="310"/>
      <s:c r="HE26" s="310"/>
      <s:c r="HF26" s="310"/>
      <s:c r="HG26" s="310"/>
      <s:c r="HH26" s="310"/>
      <s:c r="HI26" s="310"/>
      <s:c r="HJ26" s="310"/>
      <s:c r="HK26" s="310"/>
      <s:c r="HL26" s="310"/>
      <s:c r="HM26" s="310"/>
      <s:c r="HN26" s="310"/>
      <s:c r="HO26" s="310"/>
      <s:c r="HP26" s="310"/>
      <s:c r="HQ26" s="310"/>
      <s:c r="HR26" s="310"/>
      <s:c r="HS26" s="310"/>
      <s:c r="HT26" s="310"/>
      <s:c r="HU26" s="310"/>
      <s:c r="HV26" s="310"/>
      <s:c r="HW26" s="310"/>
      <s:c r="HX26" s="310"/>
      <s:c r="HY26" s="310"/>
      <s:c r="HZ26" s="310"/>
      <s:c r="IA26" s="310"/>
      <s:c r="IB26" s="310"/>
      <s:c r="IC26" s="310"/>
      <s:c r="ID26" s="310"/>
      <s:c r="IE26" s="310"/>
      <s:c r="IF26" s="310"/>
      <s:c r="IG26" s="310"/>
      <s:c r="IH26" s="310"/>
      <s:c r="II26" s="310"/>
      <s:c r="IJ26" s="310"/>
      <s:c r="IK26" s="310"/>
      <s:c r="IL26" s="310"/>
      <s:c r="IM26" s="310"/>
      <s:c r="IN26" s="310"/>
      <s:c r="IO26" s="310"/>
      <s:c r="IP26" s="310"/>
      <s:c r="IQ26" s="310"/>
      <s:c r="IR26" s="310"/>
      <s:c r="IS26" s="310"/>
      <s:c r="IT26" s="310"/>
      <s:c r="IU26" s="310"/>
      <s:c r="IV26" s="310"/>
      <s:c r="IW26" s="310"/>
      <s:c r="IX26" s="310"/>
      <s:c r="IY26" s="310"/>
      <s:c r="IZ26" s="310"/>
    </s:row>
    <s:row r="27" spans="1:261" s="602" customFormat="1">
      <s:c r="A27" s="534" t="s">
        <s:v>133</s:v>
      </s:c>
      <s:c r="B27" s="584">
        <s:v>46115</s:v>
      </s:c>
      <s:c r="C27" s="585" t="s">
        <s:v>59</s:v>
      </s:c>
      <s:c r="D27" s="751">
        <s:v>14876</s:v>
      </s:c>
      <s:c r="E27" s="586">
        <s:v>3</s:v>
      </s:c>
      <s:c r="F27" s="587">
        <s:f>IF(AND(E27&lt;&gt;"",E27&lt;&gt;0),D27/E27,"")</s:f>
        <s:v>4958.6666666666597</s:v>
      </s:c>
      <s:c r="G27" s="586">
        <s:v>2</s:v>
      </s:c>
      <s:c r="H27" s="587">
        <s:f>IF(AND(G27&lt;&gt;"",G27&lt;&gt;0),D27/G27,"")</s:f>
        <s:v>7438</s:v>
      </s:c>
      <s:c r="I27" s="586">
        <s:v>44</s:v>
      </s:c>
      <s:c r="J27" s="588">
        <s:f>IF(AND(G27&lt;&gt;"",G27&lt;&gt;0),E27/G27,"")</s:f>
        <s:v>1.5</s:v>
      </s:c>
      <s:c r="K27" s="589"/>
      <s:c r="L27" s="586"/>
      <s:c r="M27" s="586"/>
      <s:c r="N27" s="590"/>
      <s:c r="O27" s="590"/>
      <s:c r="P27" s="591"/>
      <s:c r="Q27" s="591"/>
      <s:c r="R27" s="586"/>
      <s:c r="S27" s="592"/>
      <s:c r="T27" s="593">
        <s:f>IF(AND(I27&lt;&gt;"",I27&lt;&gt;0),G27/I27,"")</s:f>
        <s:v>4.5454545454545456E-2</s:v>
      </s:c>
      <s:c r="U27" s="594">
        <s:f>D27/V27</s:f>
        <s:v>8.045200610848853E-2</s:v>
      </s:c>
      <s:c r="V27" s="595">
        <s:f>$I$8*AB27*AC27/SUMPRODUCT($AC$25:$AC$55,$AB$25:$AB$55)</s:f>
        <s:v>184905.27109964043</s:v>
      </s:c>
      <s:c r="W27" s="596">
        <s:f>$I$9*AB27*AC27/SUMPRODUCT($AC$25:$AC$55,$AB$25:$AB$55)</s:f>
        <s:v>26.797865376759482</s:v>
      </s:c>
      <s:c r="X27" s="596">
        <s:f>IF($I$12="","",W27/$I$12)</s:f>
        <s:v>15.763450221623225</s:v>
      </s:c>
      <s:c r="Y27" s="597">
        <s:f>IF(AB27&lt;&gt;"",IF(D27&lt;&gt;"",D27,($I$8-SUM($Y$25:Y26))*AA27*AB27/SUMPRODUCT($AB27:$AB$55,$AA27:$AA$55)),"")</s:f>
        <s:v>14876</s:v>
      </s:c>
      <s:c r="Z27" s="596">
        <s:f>IF(AC27&lt;&gt;"",IF(E27&lt;&gt;"",E27,($I$9-SUM($Z$25:Z26))*AB27*AC27/SUMPRODUCT($AC27:$AC$55,$AB27:$AB$55)),"")</s:f>
        <s:v>3</s:v>
      </s:c>
      <s:c r="AA27" s="596">
        <s:f>IF(AC27&lt;&gt;"",IF($I$12&lt;&gt;"",IF(G27&lt;&gt;"",G27,($I$9/$I$12-SUM($AA$25:AA26))*AB27*AC27/SUMPRODUCT($AC27:$AC$55,$AB27:$AB$55)),""),"")</s:f>
        <s:v>2</s:v>
      </s:c>
      <s:c r="AB27" s="598">
        <s:v>1</s:v>
      </s:c>
      <s:c r="AC27" s="599">
        <s:v>1.6208945404556168</s:v>
      </s:c>
      <s:c r="AD27" s="600"/>
      <s:c r="AE27" s="600"/>
      <s:c r="AF27" s="601"/>
      <s:c r="AG27" s="601"/>
      <s:c r="AH27" s="601"/>
      <s:c r="AI27" s="601"/>
      <s:c r="AJ27" s="601"/>
      <s:c r="AK27" s="601"/>
      <s:c r="AL27" s="601"/>
      <s:c r="AM27" s="601"/>
      <s:c r="AN27" s="601"/>
      <s:c r="AO27" s="601"/>
      <s:c r="AP27" s="601"/>
      <s:c r="AQ27" s="601"/>
      <s:c r="AR27" s="601"/>
      <s:c r="AS27" s="601"/>
      <s:c r="AT27" s="601"/>
      <s:c r="AU27" s="601"/>
      <s:c r="AV27" s="601"/>
      <s:c r="AW27" s="601"/>
      <s:c r="AX27" s="601"/>
      <s:c r="AY27" s="601"/>
      <s:c r="AZ27" s="601"/>
      <s:c r="BA27" s="601"/>
      <s:c r="BB27" s="601"/>
      <s:c r="BC27" s="601"/>
      <s:c r="BD27" s="601"/>
      <s:c r="BE27" s="601"/>
      <s:c r="BF27" s="601"/>
      <s:c r="BG27" s="601"/>
      <s:c r="BH27" s="601"/>
      <s:c r="BI27" s="601"/>
      <s:c r="BJ27" s="601"/>
      <s:c r="BK27" s="601"/>
      <s:c r="BL27" s="601"/>
      <s:c r="BM27" s="601"/>
      <s:c r="BN27" s="601"/>
      <s:c r="BO27" s="601"/>
      <s:c r="BP27" s="601"/>
      <s:c r="BQ27" s="601"/>
      <s:c r="BR27" s="601"/>
      <s:c r="BS27" s="601"/>
      <s:c r="BT27" s="601"/>
      <s:c r="BU27" s="601"/>
      <s:c r="BV27" s="601"/>
      <s:c r="BW27" s="601"/>
      <s:c r="BX27" s="601"/>
      <s:c r="BY27" s="601"/>
      <s:c r="BZ27" s="601"/>
      <s:c r="CA27" s="601"/>
      <s:c r="CB27" s="601"/>
      <s:c r="CC27" s="601"/>
      <s:c r="CD27" s="601"/>
      <s:c r="CE27" s="601"/>
      <s:c r="CF27" s="601"/>
      <s:c r="CG27" s="601"/>
      <s:c r="CH27" s="601"/>
      <s:c r="CI27" s="601"/>
      <s:c r="CJ27" s="601"/>
      <s:c r="CK27" s="601"/>
      <s:c r="CL27" s="601"/>
      <s:c r="CM27" s="601"/>
      <s:c r="CN27" s="601"/>
      <s:c r="CO27" s="601"/>
      <s:c r="CP27" s="601"/>
      <s:c r="CQ27" s="601"/>
      <s:c r="CR27" s="601"/>
      <s:c r="CS27" s="601"/>
      <s:c r="CT27" s="601"/>
      <s:c r="CU27" s="601"/>
      <s:c r="CV27" s="601"/>
      <s:c r="CW27" s="601"/>
      <s:c r="CX27" s="601"/>
      <s:c r="CY27" s="601"/>
      <s:c r="CZ27" s="601"/>
      <s:c r="DA27" s="601"/>
      <s:c r="DB27" s="601"/>
      <s:c r="DC27" s="601"/>
      <s:c r="DD27" s="601"/>
      <s:c r="DE27" s="601"/>
      <s:c r="DF27" s="601"/>
      <s:c r="DG27" s="601"/>
      <s:c r="DH27" s="601"/>
      <s:c r="DI27" s="601"/>
      <s:c r="DJ27" s="601"/>
      <s:c r="DK27" s="601"/>
      <s:c r="DL27" s="601"/>
      <s:c r="DM27" s="601"/>
      <s:c r="DN27" s="601"/>
      <s:c r="DO27" s="601"/>
      <s:c r="DP27" s="601"/>
      <s:c r="DQ27" s="601"/>
      <s:c r="DR27" s="601"/>
      <s:c r="DS27" s="601"/>
      <s:c r="DT27" s="601"/>
      <s:c r="DU27" s="601"/>
      <s:c r="DV27" s="601"/>
      <s:c r="DW27" s="601"/>
      <s:c r="DX27" s="601"/>
      <s:c r="DY27" s="601"/>
      <s:c r="DZ27" s="601"/>
      <s:c r="EA27" s="601"/>
      <s:c r="EB27" s="601"/>
      <s:c r="EC27" s="601"/>
      <s:c r="ED27" s="601"/>
      <s:c r="EE27" s="601"/>
      <s:c r="EF27" s="601"/>
      <s:c r="EG27" s="601"/>
      <s:c r="EH27" s="601"/>
      <s:c r="EI27" s="601"/>
      <s:c r="EJ27" s="601"/>
      <s:c r="EK27" s="601"/>
      <s:c r="EL27" s="601"/>
      <s:c r="EM27" s="601"/>
      <s:c r="EN27" s="601"/>
      <s:c r="EO27" s="601"/>
      <s:c r="EP27" s="601"/>
      <s:c r="EQ27" s="601"/>
      <s:c r="ER27" s="601"/>
      <s:c r="ES27" s="601"/>
      <s:c r="ET27" s="601"/>
      <s:c r="EU27" s="601"/>
      <s:c r="EV27" s="601"/>
      <s:c r="EW27" s="601"/>
      <s:c r="EX27" s="601"/>
      <s:c r="EY27" s="601"/>
      <s:c r="EZ27" s="601"/>
      <s:c r="FA27" s="601"/>
      <s:c r="FB27" s="601"/>
      <s:c r="FC27" s="601"/>
      <s:c r="FD27" s="601"/>
      <s:c r="FE27" s="601"/>
      <s:c r="FF27" s="601"/>
      <s:c r="FG27" s="601"/>
      <s:c r="FH27" s="601"/>
      <s:c r="FI27" s="601"/>
      <s:c r="FJ27" s="601"/>
      <s:c r="FK27" s="601"/>
      <s:c r="FL27" s="601"/>
      <s:c r="FM27" s="601"/>
      <s:c r="FN27" s="601"/>
      <s:c r="FO27" s="601"/>
      <s:c r="FP27" s="601"/>
      <s:c r="FQ27" s="601"/>
      <s:c r="FR27" s="601"/>
      <s:c r="FS27" s="601"/>
      <s:c r="FT27" s="601"/>
      <s:c r="FU27" s="601"/>
      <s:c r="FV27" s="601"/>
      <s:c r="FW27" s="601"/>
      <s:c r="FX27" s="601"/>
      <s:c r="FY27" s="601"/>
      <s:c r="FZ27" s="601"/>
      <s:c r="GA27" s="601"/>
      <s:c r="GB27" s="601"/>
      <s:c r="GC27" s="601"/>
      <s:c r="GD27" s="601"/>
      <s:c r="GE27" s="601"/>
      <s:c r="GF27" s="601"/>
      <s:c r="GG27" s="601"/>
      <s:c r="GH27" s="601"/>
      <s:c r="GI27" s="601"/>
      <s:c r="GJ27" s="601"/>
      <s:c r="GK27" s="601"/>
      <s:c r="GL27" s="601"/>
      <s:c r="GM27" s="601"/>
      <s:c r="GN27" s="601"/>
      <s:c r="GO27" s="601"/>
      <s:c r="GP27" s="601"/>
      <s:c r="GQ27" s="601"/>
      <s:c r="GR27" s="601"/>
      <s:c r="GS27" s="601"/>
      <s:c r="GT27" s="601"/>
      <s:c r="GU27" s="601"/>
      <s:c r="GV27" s="601"/>
      <s:c r="GW27" s="601"/>
      <s:c r="GX27" s="601"/>
      <s:c r="GY27" s="601"/>
      <s:c r="GZ27" s="601"/>
      <s:c r="HA27" s="601"/>
      <s:c r="HB27" s="601"/>
      <s:c r="HC27" s="601"/>
      <s:c r="HD27" s="601"/>
      <s:c r="HE27" s="601"/>
      <s:c r="HF27" s="601"/>
      <s:c r="HG27" s="601"/>
      <s:c r="HH27" s="601"/>
      <s:c r="HI27" s="601"/>
      <s:c r="HJ27" s="601"/>
      <s:c r="HK27" s="601"/>
      <s:c r="HL27" s="601"/>
      <s:c r="HM27" s="601"/>
      <s:c r="HN27" s="601"/>
      <s:c r="HO27" s="601"/>
      <s:c r="HP27" s="601"/>
      <s:c r="HQ27" s="601"/>
      <s:c r="HR27" s="601"/>
      <s:c r="HS27" s="601"/>
      <s:c r="HT27" s="601"/>
      <s:c r="HU27" s="601"/>
      <s:c r="HV27" s="601"/>
      <s:c r="HW27" s="601"/>
      <s:c r="HX27" s="601"/>
      <s:c r="HY27" s="601"/>
      <s:c r="HZ27" s="601"/>
      <s:c r="IA27" s="601"/>
      <s:c r="IB27" s="601"/>
      <s:c r="IC27" s="601"/>
      <s:c r="ID27" s="601"/>
      <s:c r="IE27" s="601"/>
      <s:c r="IF27" s="601"/>
      <s:c r="IG27" s="601"/>
      <s:c r="IH27" s="601"/>
      <s:c r="II27" s="601"/>
      <s:c r="IJ27" s="601"/>
      <s:c r="IK27" s="601"/>
      <s:c r="IL27" s="601"/>
      <s:c r="IM27" s="601"/>
      <s:c r="IN27" s="601"/>
      <s:c r="IO27" s="601"/>
      <s:c r="IP27" s="601"/>
      <s:c r="IQ27" s="601"/>
      <s:c r="IR27" s="601"/>
      <s:c r="IS27" s="601"/>
      <s:c r="IT27" s="601"/>
      <s:c r="IU27" s="601"/>
      <s:c r="IV27" s="601"/>
      <s:c r="IW27" s="601"/>
      <s:c r="IX27" s="601"/>
      <s:c r="IY27" s="601"/>
      <s:c r="IZ27" s="601"/>
    </s:row>
    <s:row r="28" spans="1:261" s="602" customFormat="1">
      <s:c r="A28" s="534" t="s">
        <s:v>131</s:v>
      </s:c>
      <s:c r="B28" s="584">
        <s:v>46116</s:v>
      </s:c>
      <s:c r="C28" s="585" t="s">
        <s:v>60</s:v>
      </s:c>
      <s:c r="D28" s="751">
        <s:v>30939</s:v>
      </s:c>
      <s:c r="E28" s="586">
        <s:v>5</s:v>
      </s:c>
      <s:c r="F28" s="587">
        <s:f>IF(AND(E28&lt;&gt;"",E28&lt;&gt;0),D28/E28,"")</s:f>
        <s:v>6187.8</s:v>
      </s:c>
      <s:c r="G28" s="586">
        <s:v>4</s:v>
      </s:c>
      <s:c r="H28" s="587">
        <s:f>IF(AND(G28&lt;&gt;"",G28&lt;&gt;0),D28/G28,"")</s:f>
        <s:v>7734.75</s:v>
      </s:c>
      <s:c r="I28" s="586">
        <s:v>51</s:v>
      </s:c>
      <s:c r="J28" s="588">
        <s:f>IF(AND(G28&lt;&gt;"",G28&lt;&gt;0),E28/G28,"")</s:f>
        <s:v>1.25</s:v>
      </s:c>
      <s:c r="K28" s="589"/>
      <s:c r="L28" s="586"/>
      <s:c r="M28" s="586"/>
      <s:c r="N28" s="586"/>
      <s:c r="O28" s="586"/>
      <s:c r="P28" s="591"/>
      <s:c r="Q28" s="591"/>
      <s:c r="R28" s="586"/>
      <s:c r="S28" s="592">
        <s:v>4263</s:v>
      </s:c>
      <s:c r="T28" s="593">
        <s:f>IF(AND(I28&lt;&gt;"",I28&lt;&gt;0),G28/I28,"")</s:f>
        <s:v>7.8431372549019607E-2</s:v>
      </s:c>
      <s:c r="U28" s="594">
        <s:f>D28/V28</s:f>
        <s:v>0.28181777540561198</s:v>
      </s:c>
      <s:c r="V28" s="595">
        <s:f>$I$8*AB28*AC28/SUMPRODUCT($AC$25:$AC$55,$AB$25:$AB$55)</s:f>
        <s:v>109783.70670718103</s:v>
      </s:c>
      <s:c r="W28" s="596">
        <s:f>$I$9*AB28*AC28/SUMPRODUCT($AC$25:$AC$55,$AB$25:$AB$55)</s:f>
        <s:v>15.910682131475511</s:v>
      </s:c>
      <s:c r="X28" s="596">
        <s:f>IF($I$12="","",W28/$I$12)</s:f>
        <s:v>9.3592247832208884</s:v>
      </s:c>
      <s:c r="Y28" s="597">
        <s:f>IF(AB28&lt;&gt;"",IF(D28&lt;&gt;"",D28,($I$8-SUM($Y$25:Y27))*AA28*AB28/SUMPRODUCT($AB28:$AB$55,$AA28:$AA$55)),"")</s:f>
        <s:v>30939</s:v>
      </s:c>
      <s:c r="Z28" s="596">
        <s:f>IF(AC28&lt;&gt;"",IF(E28&lt;&gt;"",E28,($I$9-SUM($Z$25:Z27))*AB28*AC28/SUMPRODUCT($AC28:$AC$55,$AB28:$AB$55)),"")</s:f>
        <s:v>5</s:v>
      </s:c>
      <s:c r="AA28" s="596">
        <s:f>IF(AC28&lt;&gt;"",IF($I$12&lt;&gt;"",IF(G28&lt;&gt;"",G28,($I$9/$I$12-SUM($AA$25:AA27))*AB28*AC28/SUMPRODUCT($AC28:$AC$55,$AB28:$AB$55)),""),"")</s:f>
        <s:v>4</s:v>
      </s:c>
      <s:c r="AB28" s="598">
        <s:v>1</s:v>
      </s:c>
      <s:c r="AC28" s="599">
        <s:v>0.96237283974862542</s:v>
      </s:c>
      <s:c r="AD28" s="600"/>
      <s:c r="AE28" s="603"/>
      <s:c r="AF28" s="601"/>
      <s:c r="AG28" s="601"/>
      <s:c r="AH28" s="601"/>
      <s:c r="AI28" s="601"/>
      <s:c r="AJ28" s="601"/>
      <s:c r="AK28" s="601"/>
      <s:c r="AL28" s="601"/>
      <s:c r="AM28" s="601"/>
      <s:c r="AN28" s="601"/>
      <s:c r="AO28" s="601"/>
      <s:c r="AP28" s="601"/>
      <s:c r="AQ28" s="601"/>
      <s:c r="AR28" s="601"/>
      <s:c r="AS28" s="601"/>
      <s:c r="AT28" s="601"/>
      <s:c r="AU28" s="601"/>
      <s:c r="AV28" s="601"/>
      <s:c r="AW28" s="601"/>
      <s:c r="AX28" s="601"/>
      <s:c r="AY28" s="601"/>
      <s:c r="AZ28" s="601"/>
      <s:c r="BA28" s="601"/>
      <s:c r="BB28" s="601"/>
      <s:c r="BC28" s="601"/>
      <s:c r="BD28" s="601"/>
      <s:c r="BE28" s="601"/>
      <s:c r="BF28" s="601"/>
      <s:c r="BG28" s="601"/>
      <s:c r="BH28" s="601"/>
      <s:c r="BI28" s="601"/>
      <s:c r="BJ28" s="601"/>
      <s:c r="BK28" s="601"/>
      <s:c r="BL28" s="601"/>
      <s:c r="BM28" s="601"/>
      <s:c r="BN28" s="601"/>
      <s:c r="BO28" s="601"/>
      <s:c r="BP28" s="601"/>
      <s:c r="BQ28" s="601"/>
      <s:c r="BR28" s="601"/>
      <s:c r="BS28" s="601"/>
      <s:c r="BT28" s="601"/>
      <s:c r="BU28" s="601"/>
      <s:c r="BV28" s="601"/>
      <s:c r="BW28" s="601"/>
      <s:c r="BX28" s="601"/>
      <s:c r="BY28" s="601"/>
      <s:c r="BZ28" s="601"/>
      <s:c r="CA28" s="601"/>
      <s:c r="CB28" s="601"/>
      <s:c r="CC28" s="601"/>
      <s:c r="CD28" s="601"/>
      <s:c r="CE28" s="601"/>
      <s:c r="CF28" s="601"/>
      <s:c r="CG28" s="601"/>
      <s:c r="CH28" s="601"/>
      <s:c r="CI28" s="601"/>
      <s:c r="CJ28" s="601"/>
      <s:c r="CK28" s="601"/>
      <s:c r="CL28" s="601"/>
      <s:c r="CM28" s="601"/>
      <s:c r="CN28" s="601"/>
      <s:c r="CO28" s="601"/>
      <s:c r="CP28" s="601"/>
      <s:c r="CQ28" s="601"/>
      <s:c r="CR28" s="601"/>
      <s:c r="CS28" s="601"/>
      <s:c r="CT28" s="601"/>
      <s:c r="CU28" s="601"/>
      <s:c r="CV28" s="601"/>
      <s:c r="CW28" s="601"/>
      <s:c r="CX28" s="601"/>
      <s:c r="CY28" s="601"/>
      <s:c r="CZ28" s="601"/>
      <s:c r="DA28" s="601"/>
      <s:c r="DB28" s="601"/>
      <s:c r="DC28" s="601"/>
      <s:c r="DD28" s="601"/>
      <s:c r="DE28" s="601"/>
      <s:c r="DF28" s="601"/>
      <s:c r="DG28" s="601"/>
      <s:c r="DH28" s="601"/>
      <s:c r="DI28" s="601"/>
      <s:c r="DJ28" s="601"/>
      <s:c r="DK28" s="601"/>
      <s:c r="DL28" s="601"/>
      <s:c r="DM28" s="601"/>
      <s:c r="DN28" s="601"/>
      <s:c r="DO28" s="601"/>
      <s:c r="DP28" s="601"/>
      <s:c r="DQ28" s="601"/>
      <s:c r="DR28" s="601"/>
      <s:c r="DS28" s="601"/>
      <s:c r="DT28" s="601"/>
      <s:c r="DU28" s="601"/>
      <s:c r="DV28" s="601"/>
      <s:c r="DW28" s="601"/>
      <s:c r="DX28" s="601"/>
      <s:c r="DY28" s="601"/>
      <s:c r="DZ28" s="601"/>
      <s:c r="EA28" s="601"/>
      <s:c r="EB28" s="601"/>
      <s:c r="EC28" s="601"/>
      <s:c r="ED28" s="601"/>
      <s:c r="EE28" s="601"/>
      <s:c r="EF28" s="601"/>
      <s:c r="EG28" s="601"/>
      <s:c r="EH28" s="601"/>
      <s:c r="EI28" s="601"/>
      <s:c r="EJ28" s="601"/>
      <s:c r="EK28" s="601"/>
      <s:c r="EL28" s="601"/>
      <s:c r="EM28" s="601"/>
      <s:c r="EN28" s="601"/>
      <s:c r="EO28" s="601"/>
      <s:c r="EP28" s="601"/>
      <s:c r="EQ28" s="601"/>
      <s:c r="ER28" s="601"/>
      <s:c r="ES28" s="601"/>
      <s:c r="ET28" s="601"/>
      <s:c r="EU28" s="601"/>
      <s:c r="EV28" s="601"/>
      <s:c r="EW28" s="601"/>
      <s:c r="EX28" s="601"/>
      <s:c r="EY28" s="601"/>
      <s:c r="EZ28" s="601"/>
      <s:c r="FA28" s="601"/>
      <s:c r="FB28" s="601"/>
      <s:c r="FC28" s="601"/>
      <s:c r="FD28" s="601"/>
      <s:c r="FE28" s="601"/>
      <s:c r="FF28" s="601"/>
      <s:c r="FG28" s="601"/>
      <s:c r="FH28" s="601"/>
      <s:c r="FI28" s="601"/>
      <s:c r="FJ28" s="601"/>
      <s:c r="FK28" s="601"/>
      <s:c r="FL28" s="601"/>
      <s:c r="FM28" s="601"/>
      <s:c r="FN28" s="601"/>
      <s:c r="FO28" s="601"/>
      <s:c r="FP28" s="601"/>
      <s:c r="FQ28" s="601"/>
      <s:c r="FR28" s="601"/>
      <s:c r="FS28" s="601"/>
      <s:c r="FT28" s="601"/>
      <s:c r="FU28" s="601"/>
      <s:c r="FV28" s="601"/>
      <s:c r="FW28" s="601"/>
      <s:c r="FX28" s="601"/>
      <s:c r="FY28" s="601"/>
      <s:c r="FZ28" s="601"/>
      <s:c r="GA28" s="601"/>
      <s:c r="GB28" s="601"/>
      <s:c r="GC28" s="601"/>
      <s:c r="GD28" s="601"/>
      <s:c r="GE28" s="601"/>
      <s:c r="GF28" s="601"/>
      <s:c r="GG28" s="601"/>
      <s:c r="GH28" s="601"/>
      <s:c r="GI28" s="601"/>
      <s:c r="GJ28" s="601"/>
      <s:c r="GK28" s="601"/>
      <s:c r="GL28" s="601"/>
      <s:c r="GM28" s="601"/>
      <s:c r="GN28" s="601"/>
      <s:c r="GO28" s="601"/>
      <s:c r="GP28" s="601"/>
      <s:c r="GQ28" s="601"/>
      <s:c r="GR28" s="601"/>
      <s:c r="GS28" s="601"/>
      <s:c r="GT28" s="601"/>
      <s:c r="GU28" s="601"/>
      <s:c r="GV28" s="601"/>
      <s:c r="GW28" s="601"/>
      <s:c r="GX28" s="601"/>
      <s:c r="GY28" s="601"/>
      <s:c r="GZ28" s="601"/>
      <s:c r="HA28" s="601"/>
      <s:c r="HB28" s="601"/>
      <s:c r="HC28" s="601"/>
      <s:c r="HD28" s="601"/>
      <s:c r="HE28" s="601"/>
      <s:c r="HF28" s="601"/>
      <s:c r="HG28" s="601"/>
      <s:c r="HH28" s="601"/>
      <s:c r="HI28" s="601"/>
      <s:c r="HJ28" s="601"/>
      <s:c r="HK28" s="601"/>
      <s:c r="HL28" s="601"/>
      <s:c r="HM28" s="601"/>
      <s:c r="HN28" s="601"/>
      <s:c r="HO28" s="601"/>
      <s:c r="HP28" s="601"/>
      <s:c r="HQ28" s="601"/>
      <s:c r="HR28" s="601"/>
      <s:c r="HS28" s="601"/>
      <s:c r="HT28" s="601"/>
      <s:c r="HU28" s="601"/>
      <s:c r="HV28" s="601"/>
      <s:c r="HW28" s="601"/>
      <s:c r="HX28" s="601"/>
      <s:c r="HY28" s="601"/>
      <s:c r="HZ28" s="601"/>
      <s:c r="IA28" s="601"/>
      <s:c r="IB28" s="601"/>
      <s:c r="IC28" s="601"/>
      <s:c r="ID28" s="601"/>
      <s:c r="IE28" s="601"/>
      <s:c r="IF28" s="601"/>
      <s:c r="IG28" s="601"/>
      <s:c r="IH28" s="601"/>
      <s:c r="II28" s="601"/>
      <s:c r="IJ28" s="601"/>
      <s:c r="IK28" s="601"/>
      <s:c r="IL28" s="601"/>
      <s:c r="IM28" s="601"/>
      <s:c r="IN28" s="601"/>
      <s:c r="IO28" s="601"/>
      <s:c r="IP28" s="601"/>
      <s:c r="IQ28" s="601"/>
      <s:c r="IR28" s="601"/>
      <s:c r="IS28" s="601"/>
      <s:c r="IT28" s="601"/>
      <s:c r="IU28" s="601"/>
      <s:c r="IV28" s="601"/>
      <s:c r="IW28" s="601"/>
      <s:c r="IX28" s="601"/>
      <s:c r="IY28" s="601"/>
      <s:c r="IZ28" s="601"/>
    </s:row>
    <s:row r="29" spans="1:261" s="602" customFormat="1">
      <s:c r="A29" s="535" t="s">
        <s:v>131</s:v>
      </s:c>
      <s:c r="B29" s="584">
        <s:v>46117</s:v>
      </s:c>
      <s:c r="C29" s="585" t="s">
        <s:v>54</s:v>
      </s:c>
      <s:c r="D29" s="752">
        <s:v>18674</s:v>
      </s:c>
      <s:c r="E29" s="586">
        <s:v>3</s:v>
      </s:c>
      <s:c r="F29" s="587">
        <s:f>IF(AND(E29&lt;&gt;"",E29&lt;&gt;0),D29/E29,"")</s:f>
        <s:v>6224.6666666666597</s:v>
      </s:c>
      <s:c r="G29" s="586">
        <s:v>3</s:v>
      </s:c>
      <s:c r="H29" s="587">
        <s:f>IF(AND(G29&lt;&gt;"",G29&lt;&gt;0),D29/G29,"")</s:f>
        <s:v>6224.6666666666597</s:v>
      </s:c>
      <s:c r="I29" s="586">
        <s:v>34</s:v>
      </s:c>
      <s:c r="J29" s="588">
        <s:f>IF(AND(G29&lt;&gt;"",G29&lt;&gt;0),E29/G29,"")</s:f>
        <s:v>1</s:v>
      </s:c>
      <s:c r="K29" s="589"/>
      <s:c r="L29" s="586"/>
      <s:c r="M29" s="586"/>
      <s:c r="N29" s="586"/>
      <s:c r="O29" s="586"/>
      <s:c r="P29" s="591"/>
      <s:c r="Q29" s="591"/>
      <s:c r="R29" s="586"/>
      <s:c r="S29" s="592"/>
      <s:c r="T29" s="593">
        <s:f>IF(AND(I29&lt;&gt;"",I29&lt;&gt;0),G29/I29,"")</s:f>
        <s:v>8.8235294117647065E-2</s:v>
      </s:c>
      <s:c r="U29" s="594">
        <s:f>D29/V29</s:f>
        <s:v>0.25177847759988697</s:v>
      </s:c>
      <s:c r="V29" s="595">
        <s:f>$I$8*AB29*AC29/SUMPRODUCT($AC$25:$AC$55,$AB$25:$AB$55)</s:f>
        <s:v>74168.372841127915</s:v>
      </s:c>
      <s:c r="W29" s="596">
        <s:f>$I$9*AB29*AC29/SUMPRODUCT($AC$25:$AC$55,$AB$25:$AB$55)</s:f>
        <s:v>10.749039542192451</s:v>
      </s:c>
      <s:c r="X29" s="596">
        <s:f>IF($I$12="","",W29/$I$12)</s:f>
        <s:v>6.3229644365837947</s:v>
      </s:c>
      <s:c r="Y29" s="597">
        <s:f>IF(AB29&lt;&gt;"",IF(D29&lt;&gt;"",D29,($I$8-SUM($Y$25:Y28))*AA29*AB29/SUMPRODUCT($AB29:$AB$55,$AA29:$AA$55)),"")</s:f>
        <s:v>18674</s:v>
      </s:c>
      <s:c r="Z29" s="596">
        <s:f>IF(AC29&lt;&gt;"",IF(E29&lt;&gt;"",E29,($I$9-SUM($Z$25:Z28))*AB29*AC29/SUMPRODUCT($AC29:$AC$55,$AB29:$AB$55)),"")</s:f>
        <s:v>3</s:v>
      </s:c>
      <s:c r="AA29" s="596">
        <s:f>IF(AC29&lt;&gt;"",IF($I$12&lt;&gt;"",IF(G29&lt;&gt;"",G29,($I$9/$I$12-SUM($AA$25:AA28))*AB29*AC29/SUMPRODUCT($AC29:$AC$55,$AB29:$AB$55)),""),"")</s:f>
        <s:v>3</s:v>
      </s:c>
      <s:c r="AB29" s="598">
        <s:v>1</s:v>
      </s:c>
      <s:c r="AC29" s="599">
        <s:v>0.65016594658287519</s:v>
      </s:c>
      <s:c r="AD29" s="600"/>
      <s:c r="AE29" s="600"/>
      <s:c r="AF29" s="601"/>
      <s:c r="AG29" s="601"/>
      <s:c r="AH29" s="601"/>
      <s:c r="AI29" s="601"/>
      <s:c r="AJ29" s="601"/>
      <s:c r="AK29" s="601"/>
      <s:c r="AL29" s="601"/>
      <s:c r="AM29" s="601"/>
      <s:c r="AN29" s="601"/>
      <s:c r="AO29" s="601"/>
      <s:c r="AP29" s="601"/>
      <s:c r="AQ29" s="601"/>
      <s:c r="AR29" s="601"/>
      <s:c r="AS29" s="601"/>
      <s:c r="AT29" s="601"/>
      <s:c r="AU29" s="601"/>
      <s:c r="AV29" s="601"/>
      <s:c r="AW29" s="601"/>
      <s:c r="AX29" s="601"/>
      <s:c r="AY29" s="601"/>
      <s:c r="AZ29" s="601"/>
      <s:c r="BA29" s="601"/>
      <s:c r="BB29" s="601"/>
      <s:c r="BC29" s="601"/>
      <s:c r="BD29" s="601"/>
      <s:c r="BE29" s="601"/>
      <s:c r="BF29" s="601"/>
      <s:c r="BG29" s="601"/>
      <s:c r="BH29" s="601"/>
      <s:c r="BI29" s="601"/>
      <s:c r="BJ29" s="601"/>
      <s:c r="BK29" s="601"/>
      <s:c r="BL29" s="601"/>
      <s:c r="BM29" s="601"/>
      <s:c r="BN29" s="601"/>
      <s:c r="BO29" s="601"/>
      <s:c r="BP29" s="601"/>
      <s:c r="BQ29" s="601"/>
      <s:c r="BR29" s="601"/>
      <s:c r="BS29" s="601"/>
      <s:c r="BT29" s="601"/>
      <s:c r="BU29" s="601"/>
      <s:c r="BV29" s="601"/>
      <s:c r="BW29" s="601"/>
      <s:c r="BX29" s="601"/>
      <s:c r="BY29" s="601"/>
      <s:c r="BZ29" s="601"/>
      <s:c r="CA29" s="601"/>
      <s:c r="CB29" s="601"/>
      <s:c r="CC29" s="601"/>
      <s:c r="CD29" s="601"/>
      <s:c r="CE29" s="601"/>
      <s:c r="CF29" s="601"/>
      <s:c r="CG29" s="601"/>
      <s:c r="CH29" s="601"/>
      <s:c r="CI29" s="601"/>
      <s:c r="CJ29" s="601"/>
      <s:c r="CK29" s="601"/>
      <s:c r="CL29" s="601"/>
      <s:c r="CM29" s="601"/>
      <s:c r="CN29" s="601"/>
      <s:c r="CO29" s="601"/>
      <s:c r="CP29" s="601"/>
      <s:c r="CQ29" s="601"/>
      <s:c r="CR29" s="601"/>
      <s:c r="CS29" s="601"/>
      <s:c r="CT29" s="601"/>
      <s:c r="CU29" s="601"/>
      <s:c r="CV29" s="601"/>
      <s:c r="CW29" s="601"/>
      <s:c r="CX29" s="601"/>
      <s:c r="CY29" s="601"/>
      <s:c r="CZ29" s="601"/>
      <s:c r="DA29" s="601"/>
      <s:c r="DB29" s="601"/>
      <s:c r="DC29" s="601"/>
      <s:c r="DD29" s="601"/>
      <s:c r="DE29" s="601"/>
      <s:c r="DF29" s="601"/>
      <s:c r="DG29" s="601"/>
      <s:c r="DH29" s="601"/>
      <s:c r="DI29" s="601"/>
      <s:c r="DJ29" s="601"/>
      <s:c r="DK29" s="601"/>
      <s:c r="DL29" s="601"/>
      <s:c r="DM29" s="601"/>
      <s:c r="DN29" s="601"/>
      <s:c r="DO29" s="601"/>
      <s:c r="DP29" s="601"/>
      <s:c r="DQ29" s="601"/>
      <s:c r="DR29" s="601"/>
      <s:c r="DS29" s="601"/>
      <s:c r="DT29" s="601"/>
      <s:c r="DU29" s="601"/>
      <s:c r="DV29" s="601"/>
      <s:c r="DW29" s="601"/>
      <s:c r="DX29" s="601"/>
      <s:c r="DY29" s="601"/>
      <s:c r="DZ29" s="601"/>
      <s:c r="EA29" s="601"/>
      <s:c r="EB29" s="601"/>
      <s:c r="EC29" s="601"/>
      <s:c r="ED29" s="601"/>
      <s:c r="EE29" s="601"/>
      <s:c r="EF29" s="601"/>
      <s:c r="EG29" s="601"/>
      <s:c r="EH29" s="601"/>
      <s:c r="EI29" s="601"/>
      <s:c r="EJ29" s="601"/>
      <s:c r="EK29" s="601"/>
      <s:c r="EL29" s="601"/>
      <s:c r="EM29" s="601"/>
      <s:c r="EN29" s="601"/>
      <s:c r="EO29" s="601"/>
      <s:c r="EP29" s="601"/>
      <s:c r="EQ29" s="601"/>
      <s:c r="ER29" s="601"/>
      <s:c r="ES29" s="601"/>
      <s:c r="ET29" s="601"/>
      <s:c r="EU29" s="601"/>
      <s:c r="EV29" s="601"/>
      <s:c r="EW29" s="601"/>
      <s:c r="EX29" s="601"/>
      <s:c r="EY29" s="601"/>
      <s:c r="EZ29" s="601"/>
      <s:c r="FA29" s="601"/>
      <s:c r="FB29" s="601"/>
      <s:c r="FC29" s="601"/>
      <s:c r="FD29" s="601"/>
      <s:c r="FE29" s="601"/>
      <s:c r="FF29" s="601"/>
      <s:c r="FG29" s="601"/>
      <s:c r="FH29" s="601"/>
      <s:c r="FI29" s="601"/>
      <s:c r="FJ29" s="601"/>
      <s:c r="FK29" s="601"/>
      <s:c r="FL29" s="601"/>
      <s:c r="FM29" s="601"/>
      <s:c r="FN29" s="601"/>
      <s:c r="FO29" s="601"/>
      <s:c r="FP29" s="601"/>
      <s:c r="FQ29" s="601"/>
      <s:c r="FR29" s="601"/>
      <s:c r="FS29" s="601"/>
      <s:c r="FT29" s="601"/>
      <s:c r="FU29" s="601"/>
      <s:c r="FV29" s="601"/>
      <s:c r="FW29" s="601"/>
      <s:c r="FX29" s="601"/>
      <s:c r="FY29" s="601"/>
      <s:c r="FZ29" s="601"/>
      <s:c r="GA29" s="601"/>
      <s:c r="GB29" s="601"/>
      <s:c r="GC29" s="601"/>
      <s:c r="GD29" s="601"/>
      <s:c r="GE29" s="601"/>
      <s:c r="GF29" s="601"/>
      <s:c r="GG29" s="601"/>
      <s:c r="GH29" s="601"/>
      <s:c r="GI29" s="601"/>
      <s:c r="GJ29" s="601"/>
      <s:c r="GK29" s="601"/>
      <s:c r="GL29" s="601"/>
      <s:c r="GM29" s="601"/>
      <s:c r="GN29" s="601"/>
      <s:c r="GO29" s="601"/>
      <s:c r="GP29" s="601"/>
      <s:c r="GQ29" s="601"/>
      <s:c r="GR29" s="601"/>
      <s:c r="GS29" s="601"/>
      <s:c r="GT29" s="601"/>
      <s:c r="GU29" s="601"/>
      <s:c r="GV29" s="601"/>
      <s:c r="GW29" s="601"/>
      <s:c r="GX29" s="601"/>
      <s:c r="GY29" s="601"/>
      <s:c r="GZ29" s="601"/>
      <s:c r="HA29" s="601"/>
      <s:c r="HB29" s="601"/>
      <s:c r="HC29" s="601"/>
      <s:c r="HD29" s="601"/>
      <s:c r="HE29" s="601"/>
      <s:c r="HF29" s="601"/>
      <s:c r="HG29" s="601"/>
      <s:c r="HH29" s="601"/>
      <s:c r="HI29" s="601"/>
      <s:c r="HJ29" s="601"/>
      <s:c r="HK29" s="601"/>
      <s:c r="HL29" s="601"/>
      <s:c r="HM29" s="601"/>
      <s:c r="HN29" s="601"/>
      <s:c r="HO29" s="601"/>
      <s:c r="HP29" s="601"/>
      <s:c r="HQ29" s="601"/>
      <s:c r="HR29" s="601"/>
      <s:c r="HS29" s="601"/>
      <s:c r="HT29" s="601"/>
      <s:c r="HU29" s="601"/>
      <s:c r="HV29" s="601"/>
      <s:c r="HW29" s="601"/>
      <s:c r="HX29" s="601"/>
      <s:c r="HY29" s="601"/>
      <s:c r="HZ29" s="601"/>
      <s:c r="IA29" s="601"/>
      <s:c r="IB29" s="601"/>
      <s:c r="IC29" s="601"/>
      <s:c r="ID29" s="601"/>
      <s:c r="IE29" s="601"/>
      <s:c r="IF29" s="601"/>
      <s:c r="IG29" s="601"/>
      <s:c r="IH29" s="601"/>
      <s:c r="II29" s="601"/>
      <s:c r="IJ29" s="601"/>
      <s:c r="IK29" s="601"/>
      <s:c r="IL29" s="601"/>
      <s:c r="IM29" s="601"/>
      <s:c r="IN29" s="601"/>
      <s:c r="IO29" s="601"/>
      <s:c r="IP29" s="601"/>
      <s:c r="IQ29" s="601"/>
      <s:c r="IR29" s="601"/>
      <s:c r="IS29" s="601"/>
      <s:c r="IT29" s="601"/>
      <s:c r="IU29" s="601"/>
      <s:c r="IV29" s="601"/>
      <s:c r="IW29" s="601"/>
      <s:c r="IX29" s="601"/>
      <s:c r="IY29" s="601"/>
      <s:c r="IZ29" s="601"/>
      <s:c r="JA29" s="601"/>
    </s:row>
    <s:row r="30">
      <s:c r="A30" s="534" t="s">
        <s:v>138</s:v>
      </s:c>
      <s:c r="B30" s="543">
        <s:v>46118</s:v>
      </s:c>
      <s:c r="C30" s="544" t="s">
        <s:v>55</s:v>
      </s:c>
      <s:c r="D30" s="750">
        <s:v>8055</s:v>
      </s:c>
      <s:c r="E30" s="309">
        <s:v>2</s:v>
      </s:c>
      <s:c r="F30" s="308">
        <s:f>IF(AND(E30&lt;&gt;"",E30&lt;&gt;0),D30/E30,"")</s:f>
        <s:v>4027.5</s:v>
      </s:c>
      <s:c r="G30" s="309">
        <s:v>1</s:v>
      </s:c>
      <s:c r="H30" s="308">
        <s:f>IF(AND(G30&lt;&gt;"",G30&lt;&gt;0),D30/G30,"")</s:f>
        <s:v>8055</s:v>
      </s:c>
      <s:c r="I30" s="309">
        <s:v>31</s:v>
      </s:c>
      <s:c r="J30" s="375">
        <s:f>IF(AND(G30&lt;&gt;"",G30&lt;&gt;0),E30/G30,"")</s:f>
        <s:v>2</s:v>
      </s:c>
      <s:c r="K30" s="380"/>
      <s:c r="L30" s="352"/>
      <s:c r="M30" s="309"/>
      <s:c r="N30" s="309"/>
      <s:c r="O30" s="309"/>
      <s:c r="P30" s="307"/>
      <s:c r="Q30" s="309"/>
      <s:c r="R30" s="309"/>
      <s:c r="S30" s="381">
        <s:v>8051.17</s:v>
      </s:c>
      <s:c r="T30" s="550">
        <s:f>IF(AND(I30&lt;&gt;"",I30&lt;&gt;0),G30/I30,"")</s:f>
        <s:v>3.2258064516129031E-2</s:v>
      </s:c>
      <s:c r="U30" s="554">
        <s:f>D30/V30</s:f>
        <s:v>9.7903561314049398E-2</s:v>
      </s:c>
      <s:c r="V30" s="489">
        <s:f>$I$8*AB30*AC30/SUMPRODUCT($AC$25:$AC$55,$AB$25:$AB$55)</s:f>
        <s:v>82274.841608280549</s:v>
      </s:c>
      <s:c r="W30" s="563">
        <s:f>$I$9*AB30*AC30/SUMPRODUCT($AC$25:$AC$55,$AB$25:$AB$55)</s:f>
        <s:v>11.9238900881566</s:v>
      </s:c>
      <s:c r="X30" s="563">
        <s:f>IF($I$12="","",W30/$I$12)</s:f>
        <s:v>7.0140529930332942</s:v>
      </s:c>
      <s:c r="Y30" s="564">
        <s:f>IF(AB30&lt;&gt;"",IF(D30&lt;&gt;"",D30,($I$8-SUM($Y$25:Y29))*AA30*AB30/SUMPRODUCT($AB30:$AB$55,$AA30:$AA$55)),"")</s:f>
        <s:v>8055</s:v>
      </s:c>
      <s:c r="Z30" s="563">
        <s:f>IF(AC30&lt;&gt;"",IF(E30&lt;&gt;"",E30,($I$9-SUM($Z$25:Z29))*AB30*AC30/SUMPRODUCT($AC30:$AC$55,$AB30:$AB$55)),"")</s:f>
        <s:v>2</s:v>
      </s:c>
      <s:c r="AA30" s="563">
        <s:f>IF(AC30&lt;&gt;"",IF($I$12&lt;&gt;"",IF(G30&lt;&gt;"",G30,($I$9/$I$12-SUM($AA$25:AA29))*AB30*AC30/SUMPRODUCT($AC30:$AC$55,$AB30:$AB$55)),""),"")</s:f>
        <s:v>1</s:v>
      </s:c>
      <s:c r="AB30" s="565">
        <s:v>1</s:v>
      </s:c>
      <s:c r="AC30" s="566">
        <s:v>0.72122790652003155</s:v>
      </s:c>
      <s:c r="AD30" s="311"/>
      <s:c r="AE30" s="311"/>
      <s:c r="AF30" s="310"/>
      <s:c r="AG30" s="310"/>
      <s:c r="AH30" s="310"/>
      <s:c r="AI30" s="310"/>
      <s:c r="AJ30" s="310"/>
      <s:c r="AK30" s="310"/>
      <s:c r="AL30" s="310"/>
      <s:c r="AM30" s="310"/>
      <s:c r="AN30" s="310"/>
      <s:c r="AO30" s="310"/>
      <s:c r="AP30" s="310"/>
      <s:c r="AQ30" s="310"/>
      <s:c r="AR30" s="310"/>
      <s:c r="AS30" s="310"/>
      <s:c r="AT30" s="310"/>
      <s:c r="AU30" s="310"/>
      <s:c r="AV30" s="310"/>
      <s:c r="AW30" s="310"/>
      <s:c r="AX30" s="310"/>
      <s:c r="AY30" s="310"/>
      <s:c r="AZ30" s="310"/>
      <s:c r="BA30" s="310"/>
      <s:c r="BB30" s="310"/>
      <s:c r="BC30" s="310"/>
      <s:c r="BD30" s="310"/>
      <s:c r="BE30" s="310"/>
      <s:c r="BF30" s="310"/>
      <s:c r="BG30" s="310"/>
      <s:c r="BH30" s="310"/>
      <s:c r="BI30" s="310"/>
      <s:c r="BJ30" s="310"/>
      <s:c r="BK30" s="310"/>
      <s:c r="BL30" s="310"/>
      <s:c r="BM30" s="310"/>
      <s:c r="BN30" s="310"/>
      <s:c r="BO30" s="310"/>
      <s:c r="BP30" s="310"/>
      <s:c r="BQ30" s="310"/>
      <s:c r="BR30" s="310"/>
      <s:c r="BS30" s="310"/>
      <s:c r="BT30" s="310"/>
      <s:c r="BU30" s="310"/>
      <s:c r="BV30" s="310"/>
      <s:c r="BW30" s="310"/>
      <s:c r="BX30" s="310"/>
      <s:c r="BY30" s="310"/>
      <s:c r="BZ30" s="310"/>
      <s:c r="CA30" s="310"/>
      <s:c r="CB30" s="310"/>
      <s:c r="CC30" s="310"/>
      <s:c r="CD30" s="310"/>
      <s:c r="CE30" s="310"/>
      <s:c r="CF30" s="310"/>
      <s:c r="CG30" s="310"/>
      <s:c r="CH30" s="310"/>
      <s:c r="CI30" s="310"/>
      <s:c r="CJ30" s="310"/>
      <s:c r="CK30" s="310"/>
      <s:c r="CL30" s="310"/>
      <s:c r="CM30" s="310"/>
      <s:c r="CN30" s="310"/>
      <s:c r="CO30" s="310"/>
      <s:c r="CP30" s="310"/>
      <s:c r="CQ30" s="310"/>
      <s:c r="CR30" s="310"/>
      <s:c r="CS30" s="310"/>
      <s:c r="CT30" s="310"/>
      <s:c r="CU30" s="310"/>
      <s:c r="CV30" s="310"/>
      <s:c r="CW30" s="310"/>
      <s:c r="CX30" s="310"/>
      <s:c r="CY30" s="310"/>
      <s:c r="CZ30" s="310"/>
      <s:c r="DA30" s="310"/>
      <s:c r="DB30" s="310"/>
      <s:c r="DC30" s="310"/>
      <s:c r="DD30" s="310"/>
      <s:c r="DE30" s="310"/>
      <s:c r="DF30" s="310"/>
      <s:c r="DG30" s="310"/>
      <s:c r="DH30" s="310"/>
      <s:c r="DI30" s="310"/>
      <s:c r="DJ30" s="310"/>
      <s:c r="DK30" s="310"/>
      <s:c r="DL30" s="310"/>
      <s:c r="DM30" s="310"/>
      <s:c r="DN30" s="310"/>
      <s:c r="DO30" s="310"/>
      <s:c r="DP30" s="310"/>
      <s:c r="DQ30" s="310"/>
      <s:c r="DR30" s="310"/>
      <s:c r="DS30" s="310"/>
      <s:c r="DT30" s="310"/>
      <s:c r="DU30" s="310"/>
      <s:c r="DV30" s="310"/>
      <s:c r="DW30" s="310"/>
      <s:c r="DX30" s="310"/>
      <s:c r="DY30" s="310"/>
      <s:c r="DZ30" s="310"/>
      <s:c r="EA30" s="310"/>
      <s:c r="EB30" s="310"/>
      <s:c r="EC30" s="310"/>
      <s:c r="ED30" s="310"/>
      <s:c r="EE30" s="310"/>
      <s:c r="EF30" s="310"/>
      <s:c r="EG30" s="310"/>
      <s:c r="EH30" s="310"/>
      <s:c r="EI30" s="310"/>
      <s:c r="EJ30" s="310"/>
      <s:c r="EK30" s="310"/>
      <s:c r="EL30" s="310"/>
      <s:c r="EM30" s="310"/>
      <s:c r="EN30" s="310"/>
      <s:c r="EO30" s="310"/>
      <s:c r="EP30" s="310"/>
      <s:c r="EQ30" s="310"/>
      <s:c r="ER30" s="310"/>
      <s:c r="ES30" s="310"/>
      <s:c r="ET30" s="310"/>
      <s:c r="EU30" s="310"/>
      <s:c r="EV30" s="310"/>
      <s:c r="EW30" s="310"/>
      <s:c r="EX30" s="310"/>
      <s:c r="EY30" s="310"/>
      <s:c r="EZ30" s="310"/>
      <s:c r="FA30" s="310"/>
      <s:c r="FB30" s="310"/>
      <s:c r="FC30" s="310"/>
      <s:c r="FD30" s="310"/>
      <s:c r="FE30" s="310"/>
      <s:c r="FF30" s="310"/>
      <s:c r="FG30" s="310"/>
      <s:c r="FH30" s="310"/>
      <s:c r="FI30" s="310"/>
      <s:c r="FJ30" s="310"/>
      <s:c r="FK30" s="310"/>
      <s:c r="FL30" s="310"/>
      <s:c r="FM30" s="310"/>
      <s:c r="FN30" s="310"/>
      <s:c r="FO30" s="310"/>
      <s:c r="FP30" s="310"/>
      <s:c r="FQ30" s="310"/>
      <s:c r="FR30" s="310"/>
      <s:c r="FS30" s="310"/>
      <s:c r="FT30" s="310"/>
      <s:c r="FU30" s="310"/>
      <s:c r="FV30" s="310"/>
      <s:c r="FW30" s="310"/>
      <s:c r="FX30" s="310"/>
      <s:c r="FY30" s="310"/>
      <s:c r="FZ30" s="310"/>
      <s:c r="GA30" s="310"/>
      <s:c r="GB30" s="310"/>
      <s:c r="GC30" s="310"/>
      <s:c r="GD30" s="310"/>
      <s:c r="GE30" s="310"/>
      <s:c r="GF30" s="310"/>
      <s:c r="GG30" s="310"/>
      <s:c r="GH30" s="310"/>
      <s:c r="GI30" s="310"/>
      <s:c r="GJ30" s="310"/>
      <s:c r="GK30" s="310"/>
      <s:c r="GL30" s="310"/>
      <s:c r="GM30" s="310"/>
      <s:c r="GN30" s="310"/>
      <s:c r="GO30" s="310"/>
      <s:c r="GP30" s="310"/>
      <s:c r="GQ30" s="310"/>
      <s:c r="GR30" s="310"/>
      <s:c r="GS30" s="310"/>
      <s:c r="GT30" s="310"/>
      <s:c r="GU30" s="310"/>
      <s:c r="GV30" s="310"/>
      <s:c r="GW30" s="310"/>
      <s:c r="GX30" s="310"/>
      <s:c r="GY30" s="310"/>
      <s:c r="GZ30" s="310"/>
      <s:c r="HA30" s="310"/>
      <s:c r="HB30" s="310"/>
      <s:c r="HC30" s="310"/>
      <s:c r="HD30" s="310"/>
      <s:c r="HE30" s="310"/>
      <s:c r="HF30" s="310"/>
      <s:c r="HG30" s="310"/>
      <s:c r="HH30" s="310"/>
      <s:c r="HI30" s="310"/>
      <s:c r="HJ30" s="310"/>
      <s:c r="HK30" s="310"/>
      <s:c r="HL30" s="310"/>
      <s:c r="HM30" s="310"/>
      <s:c r="HN30" s="310"/>
      <s:c r="HO30" s="310"/>
      <s:c r="HP30" s="310"/>
      <s:c r="HQ30" s="310"/>
      <s:c r="HR30" s="310"/>
      <s:c r="HS30" s="310"/>
      <s:c r="HT30" s="310"/>
      <s:c r="HU30" s="310"/>
      <s:c r="HV30" s="310"/>
      <s:c r="HW30" s="310"/>
      <s:c r="HX30" s="310"/>
      <s:c r="HY30" s="310"/>
      <s:c r="HZ30" s="310"/>
      <s:c r="IA30" s="310"/>
      <s:c r="IB30" s="310"/>
      <s:c r="IC30" s="310"/>
      <s:c r="ID30" s="310"/>
      <s:c r="IE30" s="310"/>
      <s:c r="IF30" s="310"/>
      <s:c r="IG30" s="310"/>
      <s:c r="IH30" s="310"/>
      <s:c r="II30" s="310"/>
      <s:c r="IJ30" s="310"/>
      <s:c r="IK30" s="310"/>
      <s:c r="IL30" s="310"/>
      <s:c r="IM30" s="310"/>
      <s:c r="IN30" s="310"/>
      <s:c r="IO30" s="310"/>
      <s:c r="IP30" s="310"/>
      <s:c r="IQ30" s="310"/>
      <s:c r="IR30" s="310"/>
      <s:c r="IS30" s="310"/>
      <s:c r="IT30" s="310"/>
      <s:c r="IU30" s="310"/>
      <s:c r="IV30" s="310"/>
      <s:c r="IW30" s="310"/>
      <s:c r="IX30" s="310"/>
      <s:c r="IY30" s="310"/>
      <s:c r="IZ30" s="310"/>
    </s:row>
    <s:row r="31">
      <s:c r="A31" s="534" t="s">
        <s:v>139</s:v>
      </s:c>
      <s:c r="B31" s="543">
        <s:v>46119</s:v>
      </s:c>
      <s:c r="C31" s="544" t="s">
        <s:v>56</s:v>
      </s:c>
      <s:c r="D31" s="753">
        <s:v>16967</s:v>
      </s:c>
      <s:c r="E31" s="309">
        <s:v>3</s:v>
      </s:c>
      <s:c r="F31" s="308">
        <s:f>IF(AND(E31&lt;&gt;"",E31&lt;&gt;0),D31/E31,"")</s:f>
        <s:v>5655.6666666666597</s:v>
      </s:c>
      <s:c r="G31" s="309">
        <s:v>2</s:v>
      </s:c>
      <s:c r="H31" s="308">
        <s:f>IF(AND(G31&lt;&gt;"",G31&lt;&gt;0),D31/G31,"")</s:f>
        <s:v>8483.5</s:v>
      </s:c>
      <s:c r="I31" s="309">
        <s:v>34</s:v>
      </s:c>
      <s:c r="J31" s="375">
        <s:f>IF(AND(G31&lt;&gt;"",G31&lt;&gt;0),E31/G31,"")</s:f>
        <s:v>1.5</s:v>
      </s:c>
      <s:c r="K31" s="380"/>
      <s:c r="L31" s="309"/>
      <s:c r="M31" s="309"/>
      <s:c r="N31" s="309"/>
      <s:c r="O31" s="309"/>
      <s:c r="P31" s="307"/>
      <s:c r="Q31" s="307"/>
      <s:c r="R31" s="309"/>
      <s:c r="S31" s="381"/>
      <s:c r="T31" s="550">
        <s:f>IF(AND(I31&lt;&gt;"",I31&lt;&gt;0),G31/I31,"")</s:f>
        <s:v>5.8823529411764705E-2</s:v>
      </s:c>
      <s:c r="U31" s="554">
        <s:f>D31/V31</s:f>
        <s:v>0.206223429523957</s:v>
      </s:c>
      <s:c r="V31" s="489">
        <s:f>$I$8*AB31*AC31/SUMPRODUCT($AC$25:$AC$55,$AB$25:$AB$55)</s:f>
        <s:v>82274.841608280549</s:v>
      </s:c>
      <s:c r="W31" s="563">
        <s:f>$I$9*AB31*AC31/SUMPRODUCT($AC$25:$AC$55,$AB$25:$AB$55)</s:f>
        <s:v>11.9238900881566</s:v>
      </s:c>
      <s:c r="X31" s="563">
        <s:f>IF($I$12="","",W31/$I$12)</s:f>
        <s:v>7.0140529930332942</s:v>
      </s:c>
      <s:c r="Y31" s="564">
        <s:f>IF(AB31&lt;&gt;"",IF(D31&lt;&gt;"",D31,($I$8-SUM($Y$25:Y30))*AA31*AB31/SUMPRODUCT($AB31:$AB$55,$AA31:$AA$55)),"")</s:f>
        <s:v>16967</s:v>
      </s:c>
      <s:c r="Z31" s="563">
        <s:f>IF(AC31&lt;&gt;"",IF(E31&lt;&gt;"",E31,($I$9-SUM($Z$25:Z30))*AB31*AC31/SUMPRODUCT($AC31:$AC$55,$AB31:$AB$55)),"")</s:f>
        <s:v>3</s:v>
      </s:c>
      <s:c r="AA31" s="563">
        <s:f>IF(AC31&lt;&gt;"",IF($I$12&lt;&gt;"",IF(G31&lt;&gt;"",G31,($I$9/$I$12-SUM($AA$25:AA30))*AB31*AC31/SUMPRODUCT($AC31:$AC$55,$AB31:$AB$55)),""),"")</s:f>
        <s:v>2</s:v>
      </s:c>
      <s:c r="AB31" s="565">
        <s:v>1</s:v>
      </s:c>
      <s:c r="AC31" s="566">
        <s:v>0.72122790652003155</s:v>
      </s:c>
      <s:c r="AD31" s="311"/>
      <s:c r="AE31" s="311"/>
      <s:c r="AF31" s="310"/>
      <s:c r="AG31" s="310"/>
      <s:c r="AH31" s="310"/>
      <s:c r="AI31" s="310"/>
      <s:c r="AJ31" s="310"/>
      <s:c r="AK31" s="310"/>
      <s:c r="AL31" s="310"/>
      <s:c r="AM31" s="310"/>
      <s:c r="AN31" s="310"/>
      <s:c r="AO31" s="310"/>
      <s:c r="AP31" s="310"/>
      <s:c r="AQ31" s="310"/>
      <s:c r="AR31" s="310"/>
      <s:c r="AS31" s="310"/>
      <s:c r="AT31" s="310"/>
      <s:c r="AU31" s="310"/>
      <s:c r="AV31" s="310"/>
      <s:c r="AW31" s="310"/>
      <s:c r="AX31" s="310"/>
      <s:c r="AY31" s="310"/>
      <s:c r="AZ31" s="310"/>
      <s:c r="BA31" s="310"/>
      <s:c r="BB31" s="310"/>
      <s:c r="BC31" s="310"/>
      <s:c r="BD31" s="310"/>
      <s:c r="BE31" s="310"/>
      <s:c r="BF31" s="310"/>
      <s:c r="BG31" s="310"/>
      <s:c r="BH31" s="310"/>
      <s:c r="BI31" s="310"/>
      <s:c r="BJ31" s="310"/>
      <s:c r="BK31" s="310"/>
      <s:c r="BL31" s="310"/>
      <s:c r="BM31" s="310"/>
      <s:c r="BN31" s="310"/>
      <s:c r="BO31" s="310"/>
      <s:c r="BP31" s="310"/>
      <s:c r="BQ31" s="310"/>
      <s:c r="BR31" s="310"/>
      <s:c r="BS31" s="310"/>
      <s:c r="BT31" s="310"/>
      <s:c r="BU31" s="310"/>
      <s:c r="BV31" s="310"/>
      <s:c r="BW31" s="310"/>
      <s:c r="BX31" s="310"/>
      <s:c r="BY31" s="310"/>
      <s:c r="BZ31" s="310"/>
      <s:c r="CA31" s="310"/>
      <s:c r="CB31" s="310"/>
      <s:c r="CC31" s="310"/>
      <s:c r="CD31" s="310"/>
      <s:c r="CE31" s="310"/>
      <s:c r="CF31" s="310"/>
      <s:c r="CG31" s="310"/>
      <s:c r="CH31" s="310"/>
      <s:c r="CI31" s="310"/>
      <s:c r="CJ31" s="310"/>
      <s:c r="CK31" s="310"/>
      <s:c r="CL31" s="310"/>
      <s:c r="CM31" s="310"/>
      <s:c r="CN31" s="310"/>
      <s:c r="CO31" s="310"/>
      <s:c r="CP31" s="310"/>
      <s:c r="CQ31" s="310"/>
      <s:c r="CR31" s="310"/>
      <s:c r="CS31" s="310"/>
      <s:c r="CT31" s="310"/>
      <s:c r="CU31" s="310"/>
      <s:c r="CV31" s="310"/>
      <s:c r="CW31" s="310"/>
      <s:c r="CX31" s="310"/>
      <s:c r="CY31" s="310"/>
      <s:c r="CZ31" s="310"/>
      <s:c r="DA31" s="310"/>
      <s:c r="DB31" s="310"/>
      <s:c r="DC31" s="310"/>
      <s:c r="DD31" s="310"/>
      <s:c r="DE31" s="310"/>
      <s:c r="DF31" s="310"/>
      <s:c r="DG31" s="310"/>
      <s:c r="DH31" s="310"/>
      <s:c r="DI31" s="310"/>
      <s:c r="DJ31" s="310"/>
      <s:c r="DK31" s="310"/>
      <s:c r="DL31" s="310"/>
      <s:c r="DM31" s="310"/>
      <s:c r="DN31" s="310"/>
      <s:c r="DO31" s="310"/>
      <s:c r="DP31" s="310"/>
      <s:c r="DQ31" s="310"/>
      <s:c r="DR31" s="310"/>
      <s:c r="DS31" s="310"/>
      <s:c r="DT31" s="310"/>
      <s:c r="DU31" s="310"/>
      <s:c r="DV31" s="310"/>
      <s:c r="DW31" s="310"/>
      <s:c r="DX31" s="310"/>
      <s:c r="DY31" s="310"/>
      <s:c r="DZ31" s="310"/>
      <s:c r="EA31" s="310"/>
      <s:c r="EB31" s="310"/>
      <s:c r="EC31" s="310"/>
      <s:c r="ED31" s="310"/>
      <s:c r="EE31" s="310"/>
      <s:c r="EF31" s="310"/>
      <s:c r="EG31" s="310"/>
      <s:c r="EH31" s="310"/>
      <s:c r="EI31" s="310"/>
      <s:c r="EJ31" s="310"/>
      <s:c r="EK31" s="310"/>
      <s:c r="EL31" s="310"/>
      <s:c r="EM31" s="310"/>
      <s:c r="EN31" s="310"/>
      <s:c r="EO31" s="310"/>
      <s:c r="EP31" s="310"/>
      <s:c r="EQ31" s="310"/>
      <s:c r="ER31" s="310"/>
      <s:c r="ES31" s="310"/>
      <s:c r="ET31" s="310"/>
      <s:c r="EU31" s="310"/>
      <s:c r="EV31" s="310"/>
      <s:c r="EW31" s="310"/>
      <s:c r="EX31" s="310"/>
      <s:c r="EY31" s="310"/>
      <s:c r="EZ31" s="310"/>
      <s:c r="FA31" s="310"/>
      <s:c r="FB31" s="310"/>
      <s:c r="FC31" s="310"/>
      <s:c r="FD31" s="310"/>
      <s:c r="FE31" s="310"/>
      <s:c r="FF31" s="310"/>
      <s:c r="FG31" s="310"/>
      <s:c r="FH31" s="310"/>
      <s:c r="FI31" s="310"/>
      <s:c r="FJ31" s="310"/>
      <s:c r="FK31" s="310"/>
      <s:c r="FL31" s="310"/>
      <s:c r="FM31" s="310"/>
      <s:c r="FN31" s="310"/>
      <s:c r="FO31" s="310"/>
      <s:c r="FP31" s="310"/>
      <s:c r="FQ31" s="310"/>
      <s:c r="FR31" s="310"/>
      <s:c r="FS31" s="310"/>
      <s:c r="FT31" s="310"/>
      <s:c r="FU31" s="310"/>
      <s:c r="FV31" s="310"/>
      <s:c r="FW31" s="310"/>
      <s:c r="FX31" s="310"/>
      <s:c r="FY31" s="310"/>
      <s:c r="FZ31" s="310"/>
      <s:c r="GA31" s="310"/>
      <s:c r="GB31" s="310"/>
      <s:c r="GC31" s="310"/>
      <s:c r="GD31" s="310"/>
      <s:c r="GE31" s="310"/>
      <s:c r="GF31" s="310"/>
      <s:c r="GG31" s="310"/>
      <s:c r="GH31" s="310"/>
      <s:c r="GI31" s="310"/>
      <s:c r="GJ31" s="310"/>
      <s:c r="GK31" s="310"/>
      <s:c r="GL31" s="310"/>
      <s:c r="GM31" s="310"/>
      <s:c r="GN31" s="310"/>
      <s:c r="GO31" s="310"/>
      <s:c r="GP31" s="310"/>
      <s:c r="GQ31" s="310"/>
      <s:c r="GR31" s="310"/>
      <s:c r="GS31" s="310"/>
      <s:c r="GT31" s="310"/>
      <s:c r="GU31" s="310"/>
      <s:c r="GV31" s="310"/>
      <s:c r="GW31" s="310"/>
      <s:c r="GX31" s="310"/>
      <s:c r="GY31" s="310"/>
      <s:c r="GZ31" s="310"/>
      <s:c r="HA31" s="310"/>
      <s:c r="HB31" s="310"/>
      <s:c r="HC31" s="310"/>
      <s:c r="HD31" s="310"/>
      <s:c r="HE31" s="310"/>
      <s:c r="HF31" s="310"/>
      <s:c r="HG31" s="310"/>
      <s:c r="HH31" s="310"/>
      <s:c r="HI31" s="310"/>
      <s:c r="HJ31" s="310"/>
      <s:c r="HK31" s="310"/>
      <s:c r="HL31" s="310"/>
      <s:c r="HM31" s="310"/>
      <s:c r="HN31" s="310"/>
      <s:c r="HO31" s="310"/>
      <s:c r="HP31" s="310"/>
      <s:c r="HQ31" s="310"/>
      <s:c r="HR31" s="310"/>
      <s:c r="HS31" s="310"/>
      <s:c r="HT31" s="310"/>
      <s:c r="HU31" s="310"/>
      <s:c r="HV31" s="310"/>
      <s:c r="HW31" s="310"/>
      <s:c r="HX31" s="310"/>
      <s:c r="HY31" s="310"/>
      <s:c r="HZ31" s="310"/>
      <s:c r="IA31" s="310"/>
      <s:c r="IB31" s="310"/>
      <s:c r="IC31" s="310"/>
      <s:c r="ID31" s="310"/>
      <s:c r="IE31" s="310"/>
      <s:c r="IF31" s="310"/>
      <s:c r="IG31" s="310"/>
      <s:c r="IH31" s="310"/>
      <s:c r="II31" s="310"/>
      <s:c r="IJ31" s="310"/>
      <s:c r="IK31" s="310"/>
      <s:c r="IL31" s="310"/>
      <s:c r="IM31" s="310"/>
      <s:c r="IN31" s="310"/>
      <s:c r="IO31" s="310"/>
      <s:c r="IP31" s="310"/>
      <s:c r="IQ31" s="310"/>
      <s:c r="IR31" s="310"/>
      <s:c r="IS31" s="310"/>
      <s:c r="IT31" s="310"/>
      <s:c r="IU31" s="310"/>
      <s:c r="IV31" s="310"/>
      <s:c r="IW31" s="310"/>
      <s:c r="IX31" s="310"/>
      <s:c r="IY31" s="310"/>
      <s:c r="IZ31" s="310"/>
      <s:c r="JA31" s="310"/>
    </s:row>
    <s:row r="32">
      <s:c r="A32" s="534" t="s">
        <s:v>139</s:v>
      </s:c>
      <s:c r="B32" s="543">
        <s:v>46120</s:v>
      </s:c>
      <s:c r="C32" s="544" t="s">
        <s:v>57</s:v>
      </s:c>
      <s:c r="D32" s="753">
        <s:v>90013</s:v>
      </s:c>
      <s:c r="E32" s="309">
        <s:v>9</s:v>
      </s:c>
      <s:c r="F32" s="308">
        <s:f>IF(AND(E32&lt;&gt;"",E32&lt;&gt;0),D32/E32,"")</s:f>
        <s:v>10001.4444444444</s:v>
      </s:c>
      <s:c r="G32" s="309">
        <s:v>6</s:v>
      </s:c>
      <s:c r="H32" s="308">
        <s:f>IF(AND(G32&lt;&gt;"",G32&lt;&gt;0),D32/G32,"")</s:f>
        <s:v>15002.166666666601</s:v>
      </s:c>
      <s:c r="I32" s="309">
        <s:v>42</s:v>
      </s:c>
      <s:c r="J32" s="375">
        <s:f>IF(AND(G32&lt;&gt;"",G32&lt;&gt;0),E32/G32,"")</s:f>
        <s:v>1.5</s:v>
      </s:c>
      <s:c r="K32" s="380">
        <s:v>51415</s:v>
      </s:c>
      <s:c r="L32" s="352"/>
      <s:c r="M32" s="309">
        <s:v>7093</s:v>
      </s:c>
      <s:c r="N32" s="309"/>
      <s:c r="O32" s="309"/>
      <s:c r="P32" s="307"/>
      <s:c r="Q32" s="307"/>
      <s:c r="R32" s="312">
        <s:v>6440</s:v>
      </s:c>
      <s:c r="S32" s="382"/>
      <s:c r="T32" s="550">
        <s:f>IF(AND(I32&lt;&gt;"",I32&lt;&gt;0),G32/I32,"")</s:f>
        <s:v>0.14285714285714285</s:v>
      </s:c>
      <s:c r="U32" s="554">
        <s:f>D32/V32</s:f>
        <s:v>1.4790559179426701</s:v>
      </s:c>
      <s:c r="V32" s="489">
        <s:f>$I$8*AB32*AC32/SUMPRODUCT($AC$25:$AC$55,$AB$25:$AB$55)</s:f>
        <s:v>60858.415769165586</s:v>
      </s:c>
      <s:c r="W32" s="563">
        <s:f>$I$9*AB32*AC32/SUMPRODUCT($AC$25:$AC$55,$AB$25:$AB$55)</s:f>
        <s:v>8.8200602564008097</s:v>
      </s:c>
      <s:c r="X32" s="563">
        <s:f>IF($I$12="","",W32/$I$12)</s:f>
        <s:v>5.1882707390593001</s:v>
      </s:c>
      <s:c r="Y32" s="564">
        <s:f>IF(AB32&lt;&gt;"",IF(D32&lt;&gt;"",D32,($I$8-SUM($Y$25:Y31))*AA32*AB32/SUMPRODUCT($AB32:$AB$55,$AA32:$AA$55)),"")</s:f>
        <s:v>90013</s:v>
      </s:c>
      <s:c r="Z32" s="563">
        <s:f>IF(AC32&lt;&gt;"",IF(E32&lt;&gt;"",E32,($I$9-SUM($Z$25:Z31))*AB32*AC32/SUMPRODUCT($AC32:$AC$55,$AB32:$AB$55)),"")</s:f>
        <s:v>9</s:v>
      </s:c>
      <s:c r="AA32" s="563">
        <s:f>IF(AC32&lt;&gt;"",IF($I$12&lt;&gt;"",IF(G32&lt;&gt;"",G32,($I$9/$I$12-SUM($AA$25:AA31))*AB32*AC32/SUMPRODUCT($AC32:$AC$55,$AB32:$AB$55)),""),"")</s:f>
        <s:v>6</s:v>
      </s:c>
      <s:c r="AB32" s="565">
        <s:v>1</s:v>
      </s:c>
      <s:c r="AC32" s="566">
        <s:v>0.53348978790259238</s:v>
      </s:c>
      <s:c r="AD32" s="311"/>
      <s:c r="AE32" s="311"/>
      <s:c r="AF32" s="310"/>
      <s:c r="AG32" s="310"/>
      <s:c r="AH32" s="310"/>
      <s:c r="AI32" s="310"/>
      <s:c r="AJ32" s="310"/>
      <s:c r="AK32" s="310"/>
      <s:c r="AL32" s="310"/>
      <s:c r="AM32" s="310"/>
      <s:c r="AN32" s="310"/>
      <s:c r="AO32" s="310"/>
      <s:c r="AP32" s="310"/>
      <s:c r="AQ32" s="310"/>
      <s:c r="AR32" s="310"/>
      <s:c r="AS32" s="310"/>
      <s:c r="AT32" s="310"/>
      <s:c r="AU32" s="310"/>
      <s:c r="AV32" s="310"/>
      <s:c r="AW32" s="310"/>
      <s:c r="AX32" s="310"/>
      <s:c r="AY32" s="310"/>
      <s:c r="AZ32" s="310"/>
      <s:c r="BA32" s="310"/>
      <s:c r="BB32" s="310"/>
      <s:c r="BC32" s="310"/>
      <s:c r="BD32" s="310"/>
      <s:c r="BE32" s="310"/>
      <s:c r="BF32" s="310"/>
      <s:c r="BG32" s="310"/>
      <s:c r="BH32" s="310"/>
      <s:c r="BI32" s="310"/>
      <s:c r="BJ32" s="310"/>
      <s:c r="BK32" s="310"/>
      <s:c r="BL32" s="310"/>
      <s:c r="BM32" s="310"/>
      <s:c r="BN32" s="310"/>
      <s:c r="BO32" s="310"/>
      <s:c r="BP32" s="310"/>
      <s:c r="BQ32" s="310"/>
      <s:c r="BR32" s="310"/>
      <s:c r="BS32" s="310"/>
      <s:c r="BT32" s="310"/>
      <s:c r="BU32" s="310"/>
      <s:c r="BV32" s="310"/>
      <s:c r="BW32" s="310"/>
      <s:c r="BX32" s="310"/>
      <s:c r="BY32" s="310"/>
      <s:c r="BZ32" s="310"/>
      <s:c r="CA32" s="310"/>
      <s:c r="CB32" s="310"/>
      <s:c r="CC32" s="310"/>
      <s:c r="CD32" s="310"/>
      <s:c r="CE32" s="310"/>
      <s:c r="CF32" s="310"/>
      <s:c r="CG32" s="310"/>
      <s:c r="CH32" s="310"/>
      <s:c r="CI32" s="310"/>
      <s:c r="CJ32" s="310"/>
      <s:c r="CK32" s="310"/>
      <s:c r="CL32" s="310"/>
      <s:c r="CM32" s="310"/>
      <s:c r="CN32" s="310"/>
      <s:c r="CO32" s="310"/>
      <s:c r="CP32" s="310"/>
      <s:c r="CQ32" s="310"/>
      <s:c r="CR32" s="310"/>
      <s:c r="CS32" s="310"/>
      <s:c r="CT32" s="310"/>
      <s:c r="CU32" s="310"/>
      <s:c r="CV32" s="310"/>
      <s:c r="CW32" s="310"/>
      <s:c r="CX32" s="310"/>
      <s:c r="CY32" s="310"/>
      <s:c r="CZ32" s="310"/>
      <s:c r="DA32" s="310"/>
      <s:c r="DB32" s="310"/>
      <s:c r="DC32" s="310"/>
      <s:c r="DD32" s="310"/>
      <s:c r="DE32" s="310"/>
      <s:c r="DF32" s="310"/>
      <s:c r="DG32" s="310"/>
      <s:c r="DH32" s="310"/>
      <s:c r="DI32" s="310"/>
      <s:c r="DJ32" s="310"/>
      <s:c r="DK32" s="310"/>
      <s:c r="DL32" s="310"/>
      <s:c r="DM32" s="310"/>
      <s:c r="DN32" s="310"/>
      <s:c r="DO32" s="310"/>
      <s:c r="DP32" s="310"/>
      <s:c r="DQ32" s="310"/>
      <s:c r="DR32" s="310"/>
      <s:c r="DS32" s="310"/>
      <s:c r="DT32" s="310"/>
      <s:c r="DU32" s="310"/>
      <s:c r="DV32" s="310"/>
      <s:c r="DW32" s="310"/>
      <s:c r="DX32" s="310"/>
      <s:c r="DY32" s="310"/>
      <s:c r="DZ32" s="310"/>
      <s:c r="EA32" s="310"/>
      <s:c r="EB32" s="310"/>
      <s:c r="EC32" s="310"/>
      <s:c r="ED32" s="310"/>
      <s:c r="EE32" s="310"/>
      <s:c r="EF32" s="310"/>
      <s:c r="EG32" s="310"/>
      <s:c r="EH32" s="310"/>
      <s:c r="EI32" s="310"/>
      <s:c r="EJ32" s="310"/>
      <s:c r="EK32" s="310"/>
      <s:c r="EL32" s="310"/>
      <s:c r="EM32" s="310"/>
      <s:c r="EN32" s="310"/>
      <s:c r="EO32" s="310"/>
      <s:c r="EP32" s="310"/>
      <s:c r="EQ32" s="310"/>
      <s:c r="ER32" s="310"/>
      <s:c r="ES32" s="310"/>
      <s:c r="ET32" s="310"/>
      <s:c r="EU32" s="310"/>
      <s:c r="EV32" s="310"/>
      <s:c r="EW32" s="310"/>
      <s:c r="EX32" s="310"/>
      <s:c r="EY32" s="310"/>
      <s:c r="EZ32" s="310"/>
      <s:c r="FA32" s="310"/>
      <s:c r="FB32" s="310"/>
      <s:c r="FC32" s="310"/>
      <s:c r="FD32" s="310"/>
      <s:c r="FE32" s="310"/>
      <s:c r="FF32" s="310"/>
      <s:c r="FG32" s="310"/>
      <s:c r="FH32" s="310"/>
      <s:c r="FI32" s="310"/>
      <s:c r="FJ32" s="310"/>
      <s:c r="FK32" s="310"/>
      <s:c r="FL32" s="310"/>
      <s:c r="FM32" s="310"/>
      <s:c r="FN32" s="310"/>
      <s:c r="FO32" s="310"/>
      <s:c r="FP32" s="310"/>
      <s:c r="FQ32" s="310"/>
      <s:c r="FR32" s="310"/>
      <s:c r="FS32" s="310"/>
      <s:c r="FT32" s="310"/>
      <s:c r="FU32" s="310"/>
      <s:c r="FV32" s="310"/>
      <s:c r="FW32" s="310"/>
      <s:c r="FX32" s="310"/>
      <s:c r="FY32" s="310"/>
      <s:c r="FZ32" s="310"/>
      <s:c r="GA32" s="310"/>
      <s:c r="GB32" s="310"/>
      <s:c r="GC32" s="310"/>
      <s:c r="GD32" s="310"/>
      <s:c r="GE32" s="310"/>
      <s:c r="GF32" s="310"/>
      <s:c r="GG32" s="310"/>
      <s:c r="GH32" s="310"/>
      <s:c r="GI32" s="310"/>
      <s:c r="GJ32" s="310"/>
      <s:c r="GK32" s="310"/>
      <s:c r="GL32" s="310"/>
      <s:c r="GM32" s="310"/>
      <s:c r="GN32" s="310"/>
      <s:c r="GO32" s="310"/>
      <s:c r="GP32" s="310"/>
      <s:c r="GQ32" s="310"/>
      <s:c r="GR32" s="310"/>
      <s:c r="GS32" s="310"/>
      <s:c r="GT32" s="310"/>
      <s:c r="GU32" s="310"/>
      <s:c r="GV32" s="310"/>
      <s:c r="GW32" s="310"/>
      <s:c r="GX32" s="310"/>
      <s:c r="GY32" s="310"/>
      <s:c r="GZ32" s="310"/>
      <s:c r="HA32" s="310"/>
      <s:c r="HB32" s="310"/>
      <s:c r="HC32" s="310"/>
      <s:c r="HD32" s="310"/>
      <s:c r="HE32" s="310"/>
      <s:c r="HF32" s="310"/>
      <s:c r="HG32" s="310"/>
      <s:c r="HH32" s="310"/>
      <s:c r="HI32" s="310"/>
      <s:c r="HJ32" s="310"/>
      <s:c r="HK32" s="310"/>
      <s:c r="HL32" s="310"/>
      <s:c r="HM32" s="310"/>
      <s:c r="HN32" s="310"/>
      <s:c r="HO32" s="310"/>
      <s:c r="HP32" s="310"/>
      <s:c r="HQ32" s="310"/>
      <s:c r="HR32" s="310"/>
      <s:c r="HS32" s="310"/>
      <s:c r="HT32" s="310"/>
      <s:c r="HU32" s="310"/>
      <s:c r="HV32" s="310"/>
      <s:c r="HW32" s="310"/>
      <s:c r="HX32" s="310"/>
      <s:c r="HY32" s="310"/>
      <s:c r="HZ32" s="310"/>
      <s:c r="IA32" s="310"/>
      <s:c r="IB32" s="310"/>
      <s:c r="IC32" s="310"/>
      <s:c r="ID32" s="310"/>
      <s:c r="IE32" s="310"/>
      <s:c r="IF32" s="310"/>
      <s:c r="IG32" s="310"/>
      <s:c r="IH32" s="310"/>
      <s:c r="II32" s="310"/>
      <s:c r="IJ32" s="310"/>
      <s:c r="IK32" s="310"/>
      <s:c r="IL32" s="310"/>
      <s:c r="IM32" s="310"/>
      <s:c r="IN32" s="310"/>
      <s:c r="IO32" s="310"/>
      <s:c r="IP32" s="310"/>
      <s:c r="IQ32" s="310"/>
      <s:c r="IR32" s="310"/>
      <s:c r="IS32" s="310"/>
      <s:c r="IT32" s="310"/>
      <s:c r="IU32" s="310"/>
      <s:c r="IV32" s="310"/>
      <s:c r="IW32" s="310"/>
      <s:c r="IX32" s="310"/>
      <s:c r="IY32" s="310"/>
      <s:c r="IZ32" s="310"/>
      <s:c r="JA32" s="310"/>
    </s:row>
    <s:row r="33" spans="1:261" s="602" customFormat="1">
      <s:c r="A33" s="534" t="s">
        <s:v>138</s:v>
      </s:c>
      <s:c r="B33" s="584">
        <s:v>46121</s:v>
      </s:c>
      <s:c r="C33" s="585" t="s">
        <s:v>58</s:v>
      </s:c>
      <s:c r="D33" s="751">
        <s:v>37609</s:v>
      </s:c>
      <s:c r="E33" s="590">
        <s:v>5</s:v>
      </s:c>
      <s:c r="F33" s="587">
        <s:f>IF(AND(E33&lt;&gt;"",E33&lt;&gt;0),D33/E33,"")</s:f>
        <s:v>7521.8</s:v>
      </s:c>
      <s:c r="G33" s="590">
        <s:v>3</s:v>
      </s:c>
      <s:c r="H33" s="587">
        <s:f>IF(AND(G33&lt;&gt;"",G33&lt;&gt;0),D33/G33,"")</s:f>
        <s:v>12536.333333333299</s:v>
      </s:c>
      <s:c r="I33" s="590">
        <s:v>46</s:v>
      </s:c>
      <s:c r="J33" s="588">
        <s:f>IF(AND(G33&lt;&gt;"",G33&lt;&gt;0),E33/G33,"")</s:f>
        <s:v>1.6666666666666601</s:v>
      </s:c>
      <s:c r="K33" s="589"/>
      <s:c r="L33" s="586"/>
      <s:c r="M33" s="586"/>
      <s:c r="N33" s="586"/>
      <s:c r="O33" s="586"/>
      <s:c r="P33" s="591"/>
      <s:c r="Q33" s="591"/>
      <s:c r="R33" s="587"/>
      <s:c r="S33" s="607">
        <s:v>4123</s:v>
      </s:c>
      <s:c r="T33" s="593">
        <s:f>IF(AND(I33&lt;&gt;"",I33&lt;&gt;0),G33/I33,"")</s:f>
        <s:v>6.5217391304347824E-2</s:v>
      </s:c>
      <s:c r="U33" s="594">
        <s:f>D33/V33</s:f>
        <s:v>0.82420882878922197</s:v>
      </s:c>
      <s:c r="V33" s="595">
        <s:f>$I$8*AB33*AC33/SUMPRODUCT($AC$25:$AC$55,$AB$25:$AB$55)</s:f>
        <s:v>45630.426035654476</s:v>
      </s:c>
      <s:c r="W33" s="596">
        <s:f>$I$9*AB33*AC33/SUMPRODUCT($AC$25:$AC$55,$AB$25:$AB$55)</s:f>
        <s:v>6.6131052225586204</s:v>
      </s:c>
      <s:c r="X33" s="596">
        <s:f>IF($I$12="","",W33/$I$12)</s:f>
        <s:v>3.890061895622718</s:v>
      </s:c>
      <s:c r="Y33" s="597">
        <s:f>IF(AB33&lt;&gt;"",IF(D33&lt;&gt;"",D33,($I$8-SUM($Y$25:Y32))*AA33*AB33/SUMPRODUCT($AB33:$AB$55,$AA33:$AA$55)),"")</s:f>
        <s:v>37609</s:v>
      </s:c>
      <s:c r="Z33" s="596">
        <s:f>IF(AC33&lt;&gt;"",IF(E33&lt;&gt;"",E33,($I$9-SUM($Z$25:Z32))*AB33*AC33/SUMPRODUCT($AC33:$AC$55,$AB33:$AB$55)),"")</s:f>
        <s:v>5</s:v>
      </s:c>
      <s:c r="AA33" s="596">
        <s:f>IF(AC33&lt;&gt;"",IF($I$12&lt;&gt;"",IF(G33&lt;&gt;"",G33,($I$9/$I$12-SUM($AA$25:AA32))*AB33*AC33/SUMPRODUCT($AC33:$AC$55,$AB33:$AB$55)),""),"")</s:f>
        <s:v>3</s:v>
      </s:c>
      <s:c r="AB33" s="598">
        <s:v>1</s:v>
      </s:c>
      <s:c r="AC33" s="599">
        <s:v>0.4</s:v>
      </s:c>
      <s:c r="AD33" s="600"/>
      <s:c r="AE33" s="600"/>
      <s:c r="AF33" s="601"/>
      <s:c r="AG33" s="601"/>
      <s:c r="AH33" s="601"/>
      <s:c r="AI33" s="601"/>
      <s:c r="AJ33" s="601"/>
      <s:c r="AK33" s="601"/>
      <s:c r="AL33" s="601"/>
      <s:c r="AM33" s="601"/>
      <s:c r="AN33" s="601"/>
      <s:c r="AO33" s="601"/>
      <s:c r="AP33" s="601"/>
      <s:c r="AQ33" s="601"/>
      <s:c r="AR33" s="601"/>
      <s:c r="AS33" s="601"/>
      <s:c r="AT33" s="601"/>
      <s:c r="AU33" s="601"/>
      <s:c r="AV33" s="601"/>
      <s:c r="AW33" s="601"/>
      <s:c r="AX33" s="601"/>
      <s:c r="AY33" s="601"/>
      <s:c r="AZ33" s="601"/>
      <s:c r="BA33" s="601"/>
      <s:c r="BB33" s="601"/>
      <s:c r="BC33" s="601"/>
      <s:c r="BD33" s="601"/>
      <s:c r="BE33" s="601"/>
      <s:c r="BF33" s="601"/>
      <s:c r="BG33" s="601"/>
      <s:c r="BH33" s="601"/>
      <s:c r="BI33" s="601"/>
      <s:c r="BJ33" s="601"/>
      <s:c r="BK33" s="601"/>
      <s:c r="BL33" s="601"/>
      <s:c r="BM33" s="601"/>
      <s:c r="BN33" s="601"/>
      <s:c r="BO33" s="601"/>
      <s:c r="BP33" s="601"/>
      <s:c r="BQ33" s="601"/>
      <s:c r="BR33" s="601"/>
      <s:c r="BS33" s="601"/>
      <s:c r="BT33" s="601"/>
      <s:c r="BU33" s="601"/>
      <s:c r="BV33" s="601"/>
      <s:c r="BW33" s="601"/>
      <s:c r="BX33" s="601"/>
      <s:c r="BY33" s="601"/>
      <s:c r="BZ33" s="601"/>
      <s:c r="CA33" s="601"/>
      <s:c r="CB33" s="601"/>
      <s:c r="CC33" s="601"/>
      <s:c r="CD33" s="601"/>
      <s:c r="CE33" s="601"/>
      <s:c r="CF33" s="601"/>
      <s:c r="CG33" s="601"/>
      <s:c r="CH33" s="601"/>
      <s:c r="CI33" s="601"/>
      <s:c r="CJ33" s="601"/>
      <s:c r="CK33" s="601"/>
      <s:c r="CL33" s="601"/>
      <s:c r="CM33" s="601"/>
      <s:c r="CN33" s="601"/>
      <s:c r="CO33" s="601"/>
      <s:c r="CP33" s="601"/>
      <s:c r="CQ33" s="601"/>
      <s:c r="CR33" s="601"/>
      <s:c r="CS33" s="601"/>
      <s:c r="CT33" s="601"/>
      <s:c r="CU33" s="601"/>
      <s:c r="CV33" s="601"/>
      <s:c r="CW33" s="601"/>
      <s:c r="CX33" s="601"/>
      <s:c r="CY33" s="601"/>
      <s:c r="CZ33" s="601"/>
      <s:c r="DA33" s="601"/>
      <s:c r="DB33" s="601"/>
      <s:c r="DC33" s="601"/>
      <s:c r="DD33" s="601"/>
      <s:c r="DE33" s="601"/>
      <s:c r="DF33" s="601"/>
      <s:c r="DG33" s="601"/>
      <s:c r="DH33" s="601"/>
      <s:c r="DI33" s="601"/>
      <s:c r="DJ33" s="601"/>
      <s:c r="DK33" s="601"/>
      <s:c r="DL33" s="601"/>
      <s:c r="DM33" s="601"/>
      <s:c r="DN33" s="601"/>
      <s:c r="DO33" s="601"/>
      <s:c r="DP33" s="601"/>
      <s:c r="DQ33" s="601"/>
      <s:c r="DR33" s="601"/>
      <s:c r="DS33" s="601"/>
      <s:c r="DT33" s="601"/>
      <s:c r="DU33" s="601"/>
      <s:c r="DV33" s="601"/>
      <s:c r="DW33" s="601"/>
      <s:c r="DX33" s="601"/>
      <s:c r="DY33" s="601"/>
      <s:c r="DZ33" s="601"/>
      <s:c r="EA33" s="601"/>
      <s:c r="EB33" s="601"/>
      <s:c r="EC33" s="601"/>
      <s:c r="ED33" s="601"/>
      <s:c r="EE33" s="601"/>
      <s:c r="EF33" s="601"/>
      <s:c r="EG33" s="601"/>
      <s:c r="EH33" s="601"/>
      <s:c r="EI33" s="601"/>
      <s:c r="EJ33" s="601"/>
      <s:c r="EK33" s="601"/>
      <s:c r="EL33" s="601"/>
      <s:c r="EM33" s="601"/>
      <s:c r="EN33" s="601"/>
      <s:c r="EO33" s="601"/>
      <s:c r="EP33" s="601"/>
      <s:c r="EQ33" s="601"/>
      <s:c r="ER33" s="601"/>
      <s:c r="ES33" s="601"/>
      <s:c r="ET33" s="601"/>
      <s:c r="EU33" s="601"/>
      <s:c r="EV33" s="601"/>
      <s:c r="EW33" s="601"/>
      <s:c r="EX33" s="601"/>
      <s:c r="EY33" s="601"/>
      <s:c r="EZ33" s="601"/>
      <s:c r="FA33" s="601"/>
      <s:c r="FB33" s="601"/>
      <s:c r="FC33" s="601"/>
      <s:c r="FD33" s="601"/>
      <s:c r="FE33" s="601"/>
      <s:c r="FF33" s="601"/>
      <s:c r="FG33" s="601"/>
      <s:c r="FH33" s="601"/>
      <s:c r="FI33" s="601"/>
      <s:c r="FJ33" s="601"/>
      <s:c r="FK33" s="601"/>
      <s:c r="FL33" s="601"/>
      <s:c r="FM33" s="601"/>
      <s:c r="FN33" s="601"/>
      <s:c r="FO33" s="601"/>
      <s:c r="FP33" s="601"/>
      <s:c r="FQ33" s="601"/>
      <s:c r="FR33" s="601"/>
      <s:c r="FS33" s="601"/>
      <s:c r="FT33" s="601"/>
      <s:c r="FU33" s="601"/>
      <s:c r="FV33" s="601"/>
      <s:c r="FW33" s="601"/>
      <s:c r="FX33" s="601"/>
      <s:c r="FY33" s="601"/>
      <s:c r="FZ33" s="601"/>
      <s:c r="GA33" s="601"/>
      <s:c r="GB33" s="601"/>
      <s:c r="GC33" s="601"/>
      <s:c r="GD33" s="601"/>
      <s:c r="GE33" s="601"/>
      <s:c r="GF33" s="601"/>
      <s:c r="GG33" s="601"/>
      <s:c r="GH33" s="601"/>
      <s:c r="GI33" s="601"/>
      <s:c r="GJ33" s="601"/>
      <s:c r="GK33" s="601"/>
      <s:c r="GL33" s="601"/>
      <s:c r="GM33" s="601"/>
      <s:c r="GN33" s="601"/>
      <s:c r="GO33" s="601"/>
      <s:c r="GP33" s="601"/>
      <s:c r="GQ33" s="601"/>
      <s:c r="GR33" s="601"/>
      <s:c r="GS33" s="601"/>
      <s:c r="GT33" s="601"/>
      <s:c r="GU33" s="601"/>
      <s:c r="GV33" s="601"/>
      <s:c r="GW33" s="601"/>
      <s:c r="GX33" s="601"/>
      <s:c r="GY33" s="601"/>
      <s:c r="GZ33" s="601"/>
      <s:c r="HA33" s="601"/>
      <s:c r="HB33" s="601"/>
      <s:c r="HC33" s="601"/>
      <s:c r="HD33" s="601"/>
      <s:c r="HE33" s="601"/>
      <s:c r="HF33" s="601"/>
      <s:c r="HG33" s="601"/>
      <s:c r="HH33" s="601"/>
      <s:c r="HI33" s="601"/>
      <s:c r="HJ33" s="601"/>
      <s:c r="HK33" s="601"/>
      <s:c r="HL33" s="601"/>
      <s:c r="HM33" s="601"/>
      <s:c r="HN33" s="601"/>
      <s:c r="HO33" s="601"/>
      <s:c r="HP33" s="601"/>
      <s:c r="HQ33" s="601"/>
      <s:c r="HR33" s="601"/>
      <s:c r="HS33" s="601"/>
      <s:c r="HT33" s="601"/>
      <s:c r="HU33" s="601"/>
      <s:c r="HV33" s="601"/>
      <s:c r="HW33" s="601"/>
      <s:c r="HX33" s="601"/>
      <s:c r="HY33" s="601"/>
      <s:c r="HZ33" s="601"/>
      <s:c r="IA33" s="601"/>
      <s:c r="IB33" s="601"/>
      <s:c r="IC33" s="601"/>
      <s:c r="ID33" s="601"/>
      <s:c r="IE33" s="601"/>
      <s:c r="IF33" s="601"/>
      <s:c r="IG33" s="601"/>
      <s:c r="IH33" s="601"/>
      <s:c r="II33" s="601"/>
      <s:c r="IJ33" s="601"/>
      <s:c r="IK33" s="601"/>
      <s:c r="IL33" s="601"/>
      <s:c r="IM33" s="601"/>
      <s:c r="IN33" s="601"/>
      <s:c r="IO33" s="601"/>
      <s:c r="IP33" s="601"/>
      <s:c r="IQ33" s="601"/>
      <s:c r="IR33" s="601"/>
      <s:c r="IS33" s="601"/>
      <s:c r="IT33" s="601"/>
      <s:c r="IU33" s="601"/>
      <s:c r="IV33" s="601"/>
      <s:c r="IW33" s="601"/>
      <s:c r="IX33" s="601"/>
      <s:c r="IY33" s="601"/>
      <s:c r="IZ33" s="601"/>
    </s:row>
    <s:row r="34" spans="1:261" s="602" customFormat="1">
      <s:c r="A34" s="534" t="s">
        <s:v>139</s:v>
      </s:c>
      <s:c r="B34" s="584">
        <s:v>46122</s:v>
      </s:c>
      <s:c r="C34" s="585" t="s">
        <s:v>59</s:v>
      </s:c>
      <s:c r="D34" s="751">
        <s:v>23175</s:v>
      </s:c>
      <s:c r="E34" s="586">
        <s:v>4</s:v>
      </s:c>
      <s:c r="F34" s="587">
        <s:f>IF(AND(E34&lt;&gt;"",E34&lt;&gt;0),D34/E34,"")</s:f>
        <s:v>5793.75</s:v>
      </s:c>
      <s:c r="G34" s="586">
        <s:v>2</s:v>
      </s:c>
      <s:c r="H34" s="587">
        <s:f>IF(AND(G34&lt;&gt;"",G34&lt;&gt;0),D34/G34,"")</s:f>
        <s:v>11587.5</s:v>
      </s:c>
      <s:c r="I34" s="586">
        <s:v>51</s:v>
      </s:c>
      <s:c r="J34" s="588">
        <s:f>IF(AND(G34&lt;&gt;"",G34&lt;&gt;0),E34/G34,"")</s:f>
        <s:v>2</s:v>
      </s:c>
      <s:c r="K34" s="589"/>
      <s:c r="L34" s="608"/>
      <s:c r="M34" s="586"/>
      <s:c r="N34" s="586"/>
      <s:c r="O34" s="586"/>
      <s:c r="P34" s="591"/>
      <s:c r="Q34" s="591"/>
      <s:c r="R34" s="587"/>
      <s:c r="S34" s="607"/>
      <s:c r="T34" s="593">
        <s:f>IF(AND(I34&lt;&gt;"",I34&lt;&gt;0),G34/I34,"")</s:f>
        <s:v>3.9215686274509803E-2</s:v>
      </s:c>
      <s:c r="U34" s="594">
        <s:f>D34/V34</s:f>
        <s:v>0.50788480436039796</s:v>
      </s:c>
      <s:c r="V34" s="595">
        <s:f>$I$8*AB34*AC34/SUMPRODUCT($AC$25:$AC$55,$AB$25:$AB$55)</s:f>
        <s:v>45630.426035654476</s:v>
      </s:c>
      <s:c r="W34" s="596">
        <s:f>$I$9*AB34*AC34/SUMPRODUCT($AC$25:$AC$55,$AB$25:$AB$55)</s:f>
        <s:v>6.6131052225586204</s:v>
      </s:c>
      <s:c r="X34" s="596">
        <s:f>IF($I$12="","",W34/$I$12)</s:f>
        <s:v>3.890061895622718</s:v>
      </s:c>
      <s:c r="Y34" s="597">
        <s:f>IF(AB34&lt;&gt;"",IF(D34&lt;&gt;"",D34,($I$8-SUM($Y$25:Y33))*AA34*AB34/SUMPRODUCT($AB34:$AB$55,$AA34:$AA$55)),"")</s:f>
        <s:v>23175</s:v>
      </s:c>
      <s:c r="Z34" s="596">
        <s:f>IF(AC34&lt;&gt;"",IF(E34&lt;&gt;"",E34,($I$9-SUM($Z$25:Z33))*AB34*AC34/SUMPRODUCT($AC34:$AC$55,$AB34:$AB$55)),"")</s:f>
        <s:v>4</s:v>
      </s:c>
      <s:c r="AA34" s="596">
        <s:f>IF(AC34&lt;&gt;"",IF($I$12&lt;&gt;"",IF(G34&lt;&gt;"",G34,($I$9/$I$12-SUM($AA$25:AA33))*AB34*AC34/SUMPRODUCT($AC34:$AC$55,$AB34:$AB$55)),""),"")</s:f>
        <s:v>2</s:v>
      </s:c>
      <s:c r="AB34" s="598">
        <s:v>1</s:v>
      </s:c>
      <s:c r="AC34" s="599">
        <s:v>0.4</s:v>
      </s:c>
      <s:c r="AD34" s="600"/>
      <s:c r="AE34" s="600"/>
      <s:c r="AF34" s="601"/>
      <s:c r="AG34" s="601"/>
      <s:c r="AH34" s="601"/>
      <s:c r="AI34" s="601"/>
      <s:c r="AJ34" s="601"/>
      <s:c r="AK34" s="601"/>
      <s:c r="AL34" s="601"/>
      <s:c r="AM34" s="601"/>
      <s:c r="AN34" s="601"/>
      <s:c r="AO34" s="601"/>
      <s:c r="AP34" s="601"/>
      <s:c r="AQ34" s="601"/>
      <s:c r="AR34" s="601"/>
      <s:c r="AS34" s="601"/>
      <s:c r="AT34" s="601"/>
      <s:c r="AU34" s="601"/>
      <s:c r="AV34" s="601"/>
      <s:c r="AW34" s="601"/>
      <s:c r="AX34" s="601"/>
      <s:c r="AY34" s="601"/>
      <s:c r="AZ34" s="601"/>
      <s:c r="BA34" s="601"/>
      <s:c r="BB34" s="601"/>
      <s:c r="BC34" s="601"/>
      <s:c r="BD34" s="601"/>
      <s:c r="BE34" s="601"/>
      <s:c r="BF34" s="601"/>
      <s:c r="BG34" s="601"/>
      <s:c r="BH34" s="601"/>
      <s:c r="BI34" s="601"/>
      <s:c r="BJ34" s="601"/>
      <s:c r="BK34" s="601"/>
      <s:c r="BL34" s="601"/>
      <s:c r="BM34" s="601"/>
      <s:c r="BN34" s="601"/>
      <s:c r="BO34" s="601"/>
      <s:c r="BP34" s="601"/>
      <s:c r="BQ34" s="601"/>
      <s:c r="BR34" s="601"/>
      <s:c r="BS34" s="601"/>
      <s:c r="BT34" s="601"/>
      <s:c r="BU34" s="601"/>
      <s:c r="BV34" s="601"/>
      <s:c r="BW34" s="601"/>
      <s:c r="BX34" s="601"/>
      <s:c r="BY34" s="601"/>
      <s:c r="BZ34" s="601"/>
      <s:c r="CA34" s="601"/>
      <s:c r="CB34" s="601"/>
      <s:c r="CC34" s="601"/>
      <s:c r="CD34" s="601"/>
      <s:c r="CE34" s="601"/>
      <s:c r="CF34" s="601"/>
      <s:c r="CG34" s="601"/>
      <s:c r="CH34" s="601"/>
      <s:c r="CI34" s="601"/>
      <s:c r="CJ34" s="601"/>
      <s:c r="CK34" s="601"/>
      <s:c r="CL34" s="601"/>
      <s:c r="CM34" s="601"/>
      <s:c r="CN34" s="601"/>
      <s:c r="CO34" s="601"/>
      <s:c r="CP34" s="601"/>
      <s:c r="CQ34" s="601"/>
      <s:c r="CR34" s="601"/>
      <s:c r="CS34" s="601"/>
      <s:c r="CT34" s="601"/>
      <s:c r="CU34" s="601"/>
      <s:c r="CV34" s="601"/>
      <s:c r="CW34" s="601"/>
      <s:c r="CX34" s="601"/>
      <s:c r="CY34" s="601"/>
      <s:c r="CZ34" s="601"/>
      <s:c r="DA34" s="601"/>
      <s:c r="DB34" s="601"/>
      <s:c r="DC34" s="601"/>
      <s:c r="DD34" s="601"/>
      <s:c r="DE34" s="601"/>
      <s:c r="DF34" s="601"/>
      <s:c r="DG34" s="601"/>
      <s:c r="DH34" s="601"/>
      <s:c r="DI34" s="601"/>
      <s:c r="DJ34" s="601"/>
      <s:c r="DK34" s="601"/>
      <s:c r="DL34" s="601"/>
      <s:c r="DM34" s="601"/>
      <s:c r="DN34" s="601"/>
      <s:c r="DO34" s="601"/>
      <s:c r="DP34" s="601"/>
      <s:c r="DQ34" s="601"/>
      <s:c r="DR34" s="601"/>
      <s:c r="DS34" s="601"/>
      <s:c r="DT34" s="601"/>
      <s:c r="DU34" s="601"/>
      <s:c r="DV34" s="601"/>
      <s:c r="DW34" s="601"/>
      <s:c r="DX34" s="601"/>
      <s:c r="DY34" s="601"/>
      <s:c r="DZ34" s="601"/>
      <s:c r="EA34" s="601"/>
      <s:c r="EB34" s="601"/>
      <s:c r="EC34" s="601"/>
      <s:c r="ED34" s="601"/>
      <s:c r="EE34" s="601"/>
      <s:c r="EF34" s="601"/>
      <s:c r="EG34" s="601"/>
      <s:c r="EH34" s="601"/>
      <s:c r="EI34" s="601"/>
      <s:c r="EJ34" s="601"/>
      <s:c r="EK34" s="601"/>
      <s:c r="EL34" s="601"/>
      <s:c r="EM34" s="601"/>
      <s:c r="EN34" s="601"/>
      <s:c r="EO34" s="601"/>
      <s:c r="EP34" s="601"/>
      <s:c r="EQ34" s="601"/>
      <s:c r="ER34" s="601"/>
      <s:c r="ES34" s="601"/>
      <s:c r="ET34" s="601"/>
      <s:c r="EU34" s="601"/>
      <s:c r="EV34" s="601"/>
      <s:c r="EW34" s="601"/>
      <s:c r="EX34" s="601"/>
      <s:c r="EY34" s="601"/>
      <s:c r="EZ34" s="601"/>
      <s:c r="FA34" s="601"/>
      <s:c r="FB34" s="601"/>
      <s:c r="FC34" s="601"/>
      <s:c r="FD34" s="601"/>
      <s:c r="FE34" s="601"/>
      <s:c r="FF34" s="601"/>
      <s:c r="FG34" s="601"/>
      <s:c r="FH34" s="601"/>
      <s:c r="FI34" s="601"/>
      <s:c r="FJ34" s="601"/>
      <s:c r="FK34" s="601"/>
      <s:c r="FL34" s="601"/>
      <s:c r="FM34" s="601"/>
      <s:c r="FN34" s="601"/>
      <s:c r="FO34" s="601"/>
      <s:c r="FP34" s="601"/>
      <s:c r="FQ34" s="601"/>
      <s:c r="FR34" s="601"/>
      <s:c r="FS34" s="601"/>
      <s:c r="FT34" s="601"/>
      <s:c r="FU34" s="601"/>
      <s:c r="FV34" s="601"/>
      <s:c r="FW34" s="601"/>
      <s:c r="FX34" s="601"/>
      <s:c r="FY34" s="601"/>
      <s:c r="FZ34" s="601"/>
      <s:c r="GA34" s="601"/>
      <s:c r="GB34" s="601"/>
      <s:c r="GC34" s="601"/>
      <s:c r="GD34" s="601"/>
      <s:c r="GE34" s="601"/>
      <s:c r="GF34" s="601"/>
      <s:c r="GG34" s="601"/>
      <s:c r="GH34" s="601"/>
      <s:c r="GI34" s="601"/>
      <s:c r="GJ34" s="601"/>
      <s:c r="GK34" s="601"/>
      <s:c r="GL34" s="601"/>
      <s:c r="GM34" s="601"/>
      <s:c r="GN34" s="601"/>
      <s:c r="GO34" s="601"/>
      <s:c r="GP34" s="601"/>
      <s:c r="GQ34" s="601"/>
      <s:c r="GR34" s="601"/>
      <s:c r="GS34" s="601"/>
      <s:c r="GT34" s="601"/>
      <s:c r="GU34" s="601"/>
      <s:c r="GV34" s="601"/>
      <s:c r="GW34" s="601"/>
      <s:c r="GX34" s="601"/>
      <s:c r="GY34" s="601"/>
      <s:c r="GZ34" s="601"/>
      <s:c r="HA34" s="601"/>
      <s:c r="HB34" s="601"/>
      <s:c r="HC34" s="601"/>
      <s:c r="HD34" s="601"/>
      <s:c r="HE34" s="601"/>
      <s:c r="HF34" s="601"/>
      <s:c r="HG34" s="601"/>
      <s:c r="HH34" s="601"/>
      <s:c r="HI34" s="601"/>
      <s:c r="HJ34" s="601"/>
      <s:c r="HK34" s="601"/>
      <s:c r="HL34" s="601"/>
      <s:c r="HM34" s="601"/>
      <s:c r="HN34" s="601"/>
      <s:c r="HO34" s="601"/>
      <s:c r="HP34" s="601"/>
      <s:c r="HQ34" s="601"/>
      <s:c r="HR34" s="601"/>
      <s:c r="HS34" s="601"/>
      <s:c r="HT34" s="601"/>
      <s:c r="HU34" s="601"/>
      <s:c r="HV34" s="601"/>
      <s:c r="HW34" s="601"/>
      <s:c r="HX34" s="601"/>
      <s:c r="HY34" s="601"/>
      <s:c r="HZ34" s="601"/>
      <s:c r="IA34" s="601"/>
      <s:c r="IB34" s="601"/>
      <s:c r="IC34" s="601"/>
      <s:c r="ID34" s="601"/>
      <s:c r="IE34" s="601"/>
      <s:c r="IF34" s="601"/>
      <s:c r="IG34" s="601"/>
      <s:c r="IH34" s="601"/>
      <s:c r="II34" s="601"/>
      <s:c r="IJ34" s="601"/>
      <s:c r="IK34" s="601"/>
      <s:c r="IL34" s="601"/>
      <s:c r="IM34" s="601"/>
      <s:c r="IN34" s="601"/>
      <s:c r="IO34" s="601"/>
      <s:c r="IP34" s="601"/>
      <s:c r="IQ34" s="601"/>
      <s:c r="IR34" s="601"/>
      <s:c r="IS34" s="601"/>
      <s:c r="IT34" s="601"/>
      <s:c r="IU34" s="601"/>
      <s:c r="IV34" s="601"/>
      <s:c r="IW34" s="601"/>
      <s:c r="IX34" s="601"/>
      <s:c r="IY34" s="601"/>
      <s:c r="IZ34" s="601"/>
    </s:row>
    <s:row r="35" spans="1:261" s="602" customFormat="1">
      <s:c r="A35" s="534" t="s">
        <s:v>133</s:v>
      </s:c>
      <s:c r="B35" s="584">
        <s:v>46123</s:v>
      </s:c>
      <s:c r="C35" s="585" t="s">
        <s:v>60</s:v>
      </s:c>
      <s:c r="D35" s="751">
        <s:v>77762</s:v>
      </s:c>
      <s:c r="E35" s="586">
        <s:v>10</s:v>
      </s:c>
      <s:c r="F35" s="587">
        <s:f>IF(AND(E35&lt;&gt;"",E35&lt;&gt;0),D35/E35,"")</s:f>
        <s:v>7776.2</s:v>
      </s:c>
      <s:c r="G35" s="586">
        <s:v>6</s:v>
      </s:c>
      <s:c r="H35" s="587">
        <s:f>IF(AND(G35&lt;&gt;"",G35&lt;&gt;0),D35/G35,"")</s:f>
        <s:v>12960.333333333299</s:v>
      </s:c>
      <s:c r="I35" s="586">
        <s:v>36</s:v>
      </s:c>
      <s:c r="J35" s="588">
        <s:f>IF(AND(G35&lt;&gt;"",G35&lt;&gt;0),E35/G35,"")</s:f>
        <s:v>1.6666666666666601</s:v>
      </s:c>
      <s:c r="K35" s="589"/>
      <s:c r="L35" s="586"/>
      <s:c r="M35" s="586"/>
      <s:c r="N35" s="586"/>
      <s:c r="O35" s="586"/>
      <s:c r="P35" s="591"/>
      <s:c r="Q35" s="591"/>
      <s:c r="R35" s="587">
        <s:v>25513</s:v>
      </s:c>
      <s:c r="S35" s="607"/>
      <s:c r="T35" s="593">
        <s:f>IF(AND(I35&lt;&gt;"",I35&lt;&gt;0),G35/I35,"")</s:f>
        <s:v>0.16666666666666666</s:v>
      </s:c>
      <s:c r="U35" s="594">
        <s:f>D35/V35</s:f>
        <s:v>1.7041699312480301</s:v>
      </s:c>
      <s:c r="V35" s="595">
        <s:f>$I$8*AB35*AC35/SUMPRODUCT($AC$25:$AC$55,$AB$25:$AB$55)</s:f>
        <s:v>45630.426035654476</s:v>
      </s:c>
      <s:c r="W35" s="596">
        <s:f>$I$9*AB35*AC35/SUMPRODUCT($AC$25:$AC$55,$AB$25:$AB$55)</s:f>
        <s:v>6.6131052225586204</s:v>
      </s:c>
      <s:c r="X35" s="596">
        <s:f>IF($I$12="","",W35/$I$12)</s:f>
        <s:v>3.890061895622718</s:v>
      </s:c>
      <s:c r="Y35" s="597">
        <s:f>IF(AB35&lt;&gt;"",IF(D35&lt;&gt;"",D35,($I$8-SUM($Y$25:Y34))*AA35*AB35/SUMPRODUCT($AB35:$AB$55,$AA35:$AA$55)),"")</s:f>
        <s:v>77762</s:v>
      </s:c>
      <s:c r="Z35" s="596">
        <s:f>IF(AC35&lt;&gt;"",IF(E35&lt;&gt;"",E35,($I$9-SUM($Z$25:Z34))*AB35*AC35/SUMPRODUCT($AC35:$AC$55,$AB35:$AB$55)),"")</s:f>
        <s:v>10</s:v>
      </s:c>
      <s:c r="AA35" s="596">
        <s:f>IF(AC35&lt;&gt;"",IF($I$12&lt;&gt;"",IF(G35&lt;&gt;"",G35,($I$9/$I$12-SUM($AA$25:AA34))*AB35*AC35/SUMPRODUCT($AC35:$AC$55,$AB35:$AB$55)),""),"")</s:f>
        <s:v>6</s:v>
      </s:c>
      <s:c r="AB35" s="598">
        <s:v>1</s:v>
      </s:c>
      <s:c r="AC35" s="599">
        <s:v>0.4</s:v>
      </s:c>
      <s:c r="AD35" s="600"/>
      <s:c r="AE35" s="600"/>
      <s:c r="AF35" s="601"/>
      <s:c r="AG35" s="601"/>
      <s:c r="AH35" s="601"/>
      <s:c r="AI35" s="601"/>
      <s:c r="AJ35" s="601"/>
      <s:c r="AK35" s="601"/>
      <s:c r="AL35" s="601"/>
      <s:c r="AM35" s="601"/>
      <s:c r="AN35" s="601"/>
      <s:c r="AO35" s="601"/>
      <s:c r="AP35" s="601"/>
      <s:c r="AQ35" s="601"/>
      <s:c r="AR35" s="601"/>
      <s:c r="AS35" s="601"/>
      <s:c r="AT35" s="601"/>
      <s:c r="AU35" s="601"/>
      <s:c r="AV35" s="601"/>
      <s:c r="AW35" s="601"/>
      <s:c r="AX35" s="601"/>
      <s:c r="AY35" s="601"/>
      <s:c r="AZ35" s="601"/>
      <s:c r="BA35" s="601"/>
      <s:c r="BB35" s="601"/>
      <s:c r="BC35" s="601"/>
      <s:c r="BD35" s="601"/>
      <s:c r="BE35" s="601"/>
      <s:c r="BF35" s="601"/>
      <s:c r="BG35" s="601"/>
      <s:c r="BH35" s="601"/>
      <s:c r="BI35" s="601"/>
      <s:c r="BJ35" s="601"/>
      <s:c r="BK35" s="601"/>
      <s:c r="BL35" s="601"/>
      <s:c r="BM35" s="601"/>
      <s:c r="BN35" s="601"/>
      <s:c r="BO35" s="601"/>
      <s:c r="BP35" s="601"/>
      <s:c r="BQ35" s="601"/>
      <s:c r="BR35" s="601"/>
      <s:c r="BS35" s="601"/>
      <s:c r="BT35" s="601"/>
      <s:c r="BU35" s="601"/>
      <s:c r="BV35" s="601"/>
      <s:c r="BW35" s="601"/>
      <s:c r="BX35" s="601"/>
      <s:c r="BY35" s="601"/>
      <s:c r="BZ35" s="601"/>
      <s:c r="CA35" s="601"/>
      <s:c r="CB35" s="601"/>
      <s:c r="CC35" s="601"/>
      <s:c r="CD35" s="601"/>
      <s:c r="CE35" s="601"/>
      <s:c r="CF35" s="601"/>
      <s:c r="CG35" s="601"/>
      <s:c r="CH35" s="601"/>
      <s:c r="CI35" s="601"/>
      <s:c r="CJ35" s="601"/>
      <s:c r="CK35" s="601"/>
      <s:c r="CL35" s="601"/>
      <s:c r="CM35" s="601"/>
      <s:c r="CN35" s="601"/>
      <s:c r="CO35" s="601"/>
      <s:c r="CP35" s="601"/>
      <s:c r="CQ35" s="601"/>
      <s:c r="CR35" s="601"/>
      <s:c r="CS35" s="601"/>
      <s:c r="CT35" s="601"/>
      <s:c r="CU35" s="601"/>
      <s:c r="CV35" s="601"/>
      <s:c r="CW35" s="601"/>
      <s:c r="CX35" s="601"/>
      <s:c r="CY35" s="601"/>
      <s:c r="CZ35" s="601"/>
      <s:c r="DA35" s="601"/>
      <s:c r="DB35" s="601"/>
      <s:c r="DC35" s="601"/>
      <s:c r="DD35" s="601"/>
      <s:c r="DE35" s="601"/>
      <s:c r="DF35" s="601"/>
      <s:c r="DG35" s="601"/>
      <s:c r="DH35" s="601"/>
      <s:c r="DI35" s="601"/>
      <s:c r="DJ35" s="601"/>
      <s:c r="DK35" s="601"/>
      <s:c r="DL35" s="601"/>
      <s:c r="DM35" s="601"/>
      <s:c r="DN35" s="601"/>
      <s:c r="DO35" s="601"/>
      <s:c r="DP35" s="601"/>
      <s:c r="DQ35" s="601"/>
      <s:c r="DR35" s="601"/>
      <s:c r="DS35" s="601"/>
      <s:c r="DT35" s="601"/>
      <s:c r="DU35" s="601"/>
      <s:c r="DV35" s="601"/>
      <s:c r="DW35" s="601"/>
      <s:c r="DX35" s="601"/>
      <s:c r="DY35" s="601"/>
      <s:c r="DZ35" s="601"/>
      <s:c r="EA35" s="601"/>
      <s:c r="EB35" s="601"/>
      <s:c r="EC35" s="601"/>
      <s:c r="ED35" s="601"/>
      <s:c r="EE35" s="601"/>
      <s:c r="EF35" s="601"/>
      <s:c r="EG35" s="601"/>
      <s:c r="EH35" s="601"/>
      <s:c r="EI35" s="601"/>
      <s:c r="EJ35" s="601"/>
      <s:c r="EK35" s="601"/>
      <s:c r="EL35" s="601"/>
      <s:c r="EM35" s="601"/>
      <s:c r="EN35" s="601"/>
      <s:c r="EO35" s="601"/>
      <s:c r="EP35" s="601"/>
      <s:c r="EQ35" s="601"/>
      <s:c r="ER35" s="601"/>
      <s:c r="ES35" s="601"/>
      <s:c r="ET35" s="601"/>
      <s:c r="EU35" s="601"/>
      <s:c r="EV35" s="601"/>
      <s:c r="EW35" s="601"/>
      <s:c r="EX35" s="601"/>
      <s:c r="EY35" s="601"/>
      <s:c r="EZ35" s="601"/>
      <s:c r="FA35" s="601"/>
      <s:c r="FB35" s="601"/>
      <s:c r="FC35" s="601"/>
      <s:c r="FD35" s="601"/>
      <s:c r="FE35" s="601"/>
      <s:c r="FF35" s="601"/>
      <s:c r="FG35" s="601"/>
      <s:c r="FH35" s="601"/>
      <s:c r="FI35" s="601"/>
      <s:c r="FJ35" s="601"/>
      <s:c r="FK35" s="601"/>
      <s:c r="FL35" s="601"/>
      <s:c r="FM35" s="601"/>
      <s:c r="FN35" s="601"/>
      <s:c r="FO35" s="601"/>
      <s:c r="FP35" s="601"/>
      <s:c r="FQ35" s="601"/>
      <s:c r="FR35" s="601"/>
      <s:c r="FS35" s="601"/>
      <s:c r="FT35" s="601"/>
      <s:c r="FU35" s="601"/>
      <s:c r="FV35" s="601"/>
      <s:c r="FW35" s="601"/>
      <s:c r="FX35" s="601"/>
      <s:c r="FY35" s="601"/>
      <s:c r="FZ35" s="601"/>
      <s:c r="GA35" s="601"/>
      <s:c r="GB35" s="601"/>
      <s:c r="GC35" s="601"/>
      <s:c r="GD35" s="601"/>
      <s:c r="GE35" s="601"/>
      <s:c r="GF35" s="601"/>
      <s:c r="GG35" s="601"/>
      <s:c r="GH35" s="601"/>
      <s:c r="GI35" s="601"/>
      <s:c r="GJ35" s="601"/>
      <s:c r="GK35" s="601"/>
      <s:c r="GL35" s="601"/>
      <s:c r="GM35" s="601"/>
      <s:c r="GN35" s="601"/>
      <s:c r="GO35" s="601"/>
      <s:c r="GP35" s="601"/>
      <s:c r="GQ35" s="601"/>
      <s:c r="GR35" s="601"/>
      <s:c r="GS35" s="601"/>
      <s:c r="GT35" s="601"/>
      <s:c r="GU35" s="601"/>
      <s:c r="GV35" s="601"/>
      <s:c r="GW35" s="601"/>
      <s:c r="GX35" s="601"/>
      <s:c r="GY35" s="601"/>
      <s:c r="GZ35" s="601"/>
      <s:c r="HA35" s="601"/>
      <s:c r="HB35" s="601"/>
      <s:c r="HC35" s="601"/>
      <s:c r="HD35" s="601"/>
      <s:c r="HE35" s="601"/>
      <s:c r="HF35" s="601"/>
      <s:c r="HG35" s="601"/>
      <s:c r="HH35" s="601"/>
      <s:c r="HI35" s="601"/>
      <s:c r="HJ35" s="601"/>
      <s:c r="HK35" s="601"/>
      <s:c r="HL35" s="601"/>
      <s:c r="HM35" s="601"/>
      <s:c r="HN35" s="601"/>
      <s:c r="HO35" s="601"/>
      <s:c r="HP35" s="601"/>
      <s:c r="HQ35" s="601"/>
      <s:c r="HR35" s="601"/>
      <s:c r="HS35" s="601"/>
      <s:c r="HT35" s="601"/>
      <s:c r="HU35" s="601"/>
      <s:c r="HV35" s="601"/>
      <s:c r="HW35" s="601"/>
      <s:c r="HX35" s="601"/>
      <s:c r="HY35" s="601"/>
      <s:c r="HZ35" s="601"/>
      <s:c r="IA35" s="601"/>
      <s:c r="IB35" s="601"/>
      <s:c r="IC35" s="601"/>
      <s:c r="ID35" s="601"/>
      <s:c r="IE35" s="601"/>
      <s:c r="IF35" s="601"/>
      <s:c r="IG35" s="601"/>
      <s:c r="IH35" s="601"/>
      <s:c r="II35" s="601"/>
      <s:c r="IJ35" s="601"/>
      <s:c r="IK35" s="601"/>
      <s:c r="IL35" s="601"/>
      <s:c r="IM35" s="601"/>
      <s:c r="IN35" s="601"/>
      <s:c r="IO35" s="601"/>
      <s:c r="IP35" s="601"/>
      <s:c r="IQ35" s="601"/>
      <s:c r="IR35" s="601"/>
      <s:c r="IS35" s="601"/>
      <s:c r="IT35" s="601"/>
      <s:c r="IU35" s="601"/>
      <s:c r="IV35" s="601"/>
      <s:c r="IW35" s="601"/>
      <s:c r="IX35" s="601"/>
      <s:c r="IY35" s="601"/>
      <s:c r="IZ35" s="601"/>
    </s:row>
    <s:row r="36" spans="1:261" s="602" customFormat="1">
      <s:c r="A36" s="534" t="s">
        <s:v>131</s:v>
      </s:c>
      <s:c r="B36" s="584">
        <s:v>46124</s:v>
      </s:c>
      <s:c r="C36" s="585" t="s">
        <s:v>54</s:v>
      </s:c>
      <s:c r="D36" s="751">
        <s:v>28377</s:v>
      </s:c>
      <s:c r="E36" s="609">
        <s:v>3</s:v>
      </s:c>
      <s:c r="F36" s="587">
        <s:f>IF(AND(E36&lt;&gt;"",E36&lt;&gt;0),D36/E36,"")</s:f>
        <s:v>9459</s:v>
      </s:c>
      <s:c r="G36" s="586">
        <s:v>2</s:v>
      </s:c>
      <s:c r="H36" s="587">
        <s:f>IF(AND(G36&lt;&gt;"",G36&lt;&gt;0),D36/G36,"")</s:f>
        <s:v>14188.5</s:v>
      </s:c>
      <s:c r="I36" s="586">
        <s:v>46</s:v>
      </s:c>
      <s:c r="J36" s="588">
        <s:f>IF(AND(G36&lt;&gt;"",G36&lt;&gt;0),E36/G36,"")</s:f>
        <s:v>1.5</s:v>
      </s:c>
      <s:c r="K36" s="589"/>
      <s:c r="L36" s="586"/>
      <s:c r="M36" s="586">
        <s:v>14992</s:v>
      </s:c>
      <s:c r="N36" s="586"/>
      <s:c r="O36" s="586"/>
      <s:c r="P36" s="591"/>
      <s:c r="Q36" s="591"/>
      <s:c r="R36" s="587"/>
      <s:c r="S36" s="607"/>
      <s:c r="T36" s="593">
        <s:f>IF(AND(I36&lt;&gt;"",I36&lt;&gt;0),G36/I36,"")</s:f>
        <s:v>4.3478260869565216E-2</s:v>
      </s:c>
      <s:c r="U36" s="594">
        <s:f>D36/V36</s:f>
        <s:v>0.62188768471779998</s:v>
      </s:c>
      <s:c r="V36" s="595">
        <s:f>$I$8*AB36*AC36/SUMPRODUCT($AC$25:$AC$55,$AB$25:$AB$55)</s:f>
        <s:v>45630.426035654476</s:v>
      </s:c>
      <s:c r="W36" s="596">
        <s:f>$I$9*AB36*AC36/SUMPRODUCT($AC$25:$AC$55,$AB$25:$AB$55)</s:f>
        <s:v>6.6131052225586204</s:v>
      </s:c>
      <s:c r="X36" s="596">
        <s:f>IF($I$12="","",W36/$I$12)</s:f>
        <s:v>3.890061895622718</s:v>
      </s:c>
      <s:c r="Y36" s="597">
        <s:f>IF(AB36&lt;&gt;"",IF(D36&lt;&gt;"",D36,($I$8-SUM($Y$25:Y35))*AA36*AB36/SUMPRODUCT($AB36:$AB$55,$AA36:$AA$55)),"")</s:f>
        <s:v>28377</s:v>
      </s:c>
      <s:c r="Z36" s="596">
        <s:f>IF(AC36&lt;&gt;"",IF(E35&lt;&gt;"",E35,($I$9-SUM($Z$25:Z35))*AB36*AC36/SUMPRODUCT($AC36:$AC$55,$AB36:$AB$55)),"")</s:f>
        <s:v>10</s:v>
      </s:c>
      <s:c r="AA36" s="596">
        <s:f>IF(AC36&lt;&gt;"",IF($I$12&lt;&gt;"",IF(G36&lt;&gt;"",G36,($I$9/$I$12-SUM($AA$25:AA35))*AB36*AC36/SUMPRODUCT($AC36:$AC$55,$AB36:$AB$55)),""),"")</s:f>
        <s:v>2</s:v>
      </s:c>
      <s:c r="AB36" s="598">
        <s:v>1</s:v>
      </s:c>
      <s:c r="AC36" s="599">
        <s:v>0.4</s:v>
      </s:c>
      <s:c r="AD36" s="600"/>
      <s:c r="AE36" s="600"/>
      <s:c r="AF36" s="601"/>
      <s:c r="AG36" s="601"/>
      <s:c r="AH36" s="601"/>
      <s:c r="AI36" s="601"/>
      <s:c r="AJ36" s="601"/>
      <s:c r="AK36" s="601"/>
      <s:c r="AL36" s="601"/>
      <s:c r="AM36" s="601"/>
      <s:c r="AN36" s="601"/>
      <s:c r="AO36" s="601"/>
      <s:c r="AP36" s="601"/>
      <s:c r="AQ36" s="601"/>
      <s:c r="AR36" s="601"/>
      <s:c r="AS36" s="601"/>
      <s:c r="AT36" s="601"/>
      <s:c r="AU36" s="601"/>
      <s:c r="AV36" s="601"/>
      <s:c r="AW36" s="601"/>
      <s:c r="AX36" s="601"/>
      <s:c r="AY36" s="601"/>
      <s:c r="AZ36" s="601"/>
      <s:c r="BA36" s="601"/>
      <s:c r="BB36" s="601"/>
      <s:c r="BC36" s="601"/>
      <s:c r="BD36" s="601"/>
      <s:c r="BE36" s="601"/>
      <s:c r="BF36" s="601"/>
      <s:c r="BG36" s="601"/>
      <s:c r="BH36" s="601"/>
      <s:c r="BI36" s="601"/>
      <s:c r="BJ36" s="601"/>
      <s:c r="BK36" s="601"/>
      <s:c r="BL36" s="601"/>
      <s:c r="BM36" s="601"/>
      <s:c r="BN36" s="601"/>
      <s:c r="BO36" s="601"/>
      <s:c r="BP36" s="601"/>
      <s:c r="BQ36" s="601"/>
      <s:c r="BR36" s="601"/>
      <s:c r="BS36" s="601"/>
      <s:c r="BT36" s="601"/>
      <s:c r="BU36" s="601"/>
      <s:c r="BV36" s="601"/>
      <s:c r="BW36" s="601"/>
      <s:c r="BX36" s="601"/>
      <s:c r="BY36" s="601"/>
      <s:c r="BZ36" s="601"/>
      <s:c r="CA36" s="601"/>
      <s:c r="CB36" s="601"/>
      <s:c r="CC36" s="601"/>
      <s:c r="CD36" s="601"/>
      <s:c r="CE36" s="601"/>
      <s:c r="CF36" s="601"/>
      <s:c r="CG36" s="601"/>
      <s:c r="CH36" s="601"/>
      <s:c r="CI36" s="601"/>
      <s:c r="CJ36" s="601"/>
      <s:c r="CK36" s="601"/>
      <s:c r="CL36" s="601"/>
      <s:c r="CM36" s="601"/>
      <s:c r="CN36" s="601"/>
      <s:c r="CO36" s="601"/>
      <s:c r="CP36" s="601"/>
      <s:c r="CQ36" s="601"/>
      <s:c r="CR36" s="601"/>
      <s:c r="CS36" s="601"/>
      <s:c r="CT36" s="601"/>
      <s:c r="CU36" s="601"/>
      <s:c r="CV36" s="601"/>
      <s:c r="CW36" s="601"/>
      <s:c r="CX36" s="601"/>
      <s:c r="CY36" s="601"/>
      <s:c r="CZ36" s="601"/>
      <s:c r="DA36" s="601"/>
      <s:c r="DB36" s="601"/>
      <s:c r="DC36" s="601"/>
      <s:c r="DD36" s="601"/>
      <s:c r="DE36" s="601"/>
      <s:c r="DF36" s="601"/>
      <s:c r="DG36" s="601"/>
      <s:c r="DH36" s="601"/>
      <s:c r="DI36" s="601"/>
      <s:c r="DJ36" s="601"/>
      <s:c r="DK36" s="601"/>
      <s:c r="DL36" s="601"/>
      <s:c r="DM36" s="601"/>
      <s:c r="DN36" s="601"/>
      <s:c r="DO36" s="601"/>
      <s:c r="DP36" s="601"/>
      <s:c r="DQ36" s="601"/>
      <s:c r="DR36" s="601"/>
      <s:c r="DS36" s="601"/>
      <s:c r="DT36" s="601"/>
      <s:c r="DU36" s="601"/>
      <s:c r="DV36" s="601"/>
      <s:c r="DW36" s="601"/>
      <s:c r="DX36" s="601"/>
      <s:c r="DY36" s="601"/>
      <s:c r="DZ36" s="601"/>
      <s:c r="EA36" s="601"/>
      <s:c r="EB36" s="601"/>
      <s:c r="EC36" s="601"/>
      <s:c r="ED36" s="601"/>
      <s:c r="EE36" s="601"/>
      <s:c r="EF36" s="601"/>
      <s:c r="EG36" s="601"/>
      <s:c r="EH36" s="601"/>
      <s:c r="EI36" s="601"/>
      <s:c r="EJ36" s="601"/>
      <s:c r="EK36" s="601"/>
      <s:c r="EL36" s="601"/>
      <s:c r="EM36" s="601"/>
      <s:c r="EN36" s="601"/>
      <s:c r="EO36" s="601"/>
      <s:c r="EP36" s="601"/>
      <s:c r="EQ36" s="601"/>
      <s:c r="ER36" s="601"/>
      <s:c r="ES36" s="601"/>
      <s:c r="ET36" s="601"/>
      <s:c r="EU36" s="601"/>
      <s:c r="EV36" s="601"/>
      <s:c r="EW36" s="601"/>
      <s:c r="EX36" s="601"/>
      <s:c r="EY36" s="601"/>
      <s:c r="EZ36" s="601"/>
      <s:c r="FA36" s="601"/>
      <s:c r="FB36" s="601"/>
      <s:c r="FC36" s="601"/>
      <s:c r="FD36" s="601"/>
      <s:c r="FE36" s="601"/>
      <s:c r="FF36" s="601"/>
      <s:c r="FG36" s="601"/>
      <s:c r="FH36" s="601"/>
      <s:c r="FI36" s="601"/>
      <s:c r="FJ36" s="601"/>
      <s:c r="FK36" s="601"/>
      <s:c r="FL36" s="601"/>
      <s:c r="FM36" s="601"/>
      <s:c r="FN36" s="601"/>
      <s:c r="FO36" s="601"/>
      <s:c r="FP36" s="601"/>
      <s:c r="FQ36" s="601"/>
      <s:c r="FR36" s="601"/>
      <s:c r="FS36" s="601"/>
      <s:c r="FT36" s="601"/>
      <s:c r="FU36" s="601"/>
      <s:c r="FV36" s="601"/>
      <s:c r="FW36" s="601"/>
      <s:c r="FX36" s="601"/>
      <s:c r="FY36" s="601"/>
      <s:c r="FZ36" s="601"/>
      <s:c r="GA36" s="601"/>
      <s:c r="GB36" s="601"/>
      <s:c r="GC36" s="601"/>
      <s:c r="GD36" s="601"/>
      <s:c r="GE36" s="601"/>
      <s:c r="GF36" s="601"/>
      <s:c r="GG36" s="601"/>
      <s:c r="GH36" s="601"/>
      <s:c r="GI36" s="601"/>
      <s:c r="GJ36" s="601"/>
      <s:c r="GK36" s="601"/>
      <s:c r="GL36" s="601"/>
      <s:c r="GM36" s="601"/>
      <s:c r="GN36" s="601"/>
      <s:c r="GO36" s="601"/>
      <s:c r="GP36" s="601"/>
      <s:c r="GQ36" s="601"/>
      <s:c r="GR36" s="601"/>
      <s:c r="GS36" s="601"/>
      <s:c r="GT36" s="601"/>
      <s:c r="GU36" s="601"/>
      <s:c r="GV36" s="601"/>
      <s:c r="GW36" s="601"/>
      <s:c r="GX36" s="601"/>
      <s:c r="GY36" s="601"/>
      <s:c r="GZ36" s="601"/>
      <s:c r="HA36" s="601"/>
      <s:c r="HB36" s="601"/>
      <s:c r="HC36" s="601"/>
      <s:c r="HD36" s="601"/>
      <s:c r="HE36" s="601"/>
      <s:c r="HF36" s="601"/>
      <s:c r="HG36" s="601"/>
      <s:c r="HH36" s="601"/>
      <s:c r="HI36" s="601"/>
      <s:c r="HJ36" s="601"/>
      <s:c r="HK36" s="601"/>
      <s:c r="HL36" s="601"/>
      <s:c r="HM36" s="601"/>
      <s:c r="HN36" s="601"/>
      <s:c r="HO36" s="601"/>
      <s:c r="HP36" s="601"/>
      <s:c r="HQ36" s="601"/>
      <s:c r="HR36" s="601"/>
      <s:c r="HS36" s="601"/>
      <s:c r="HT36" s="601"/>
      <s:c r="HU36" s="601"/>
      <s:c r="HV36" s="601"/>
      <s:c r="HW36" s="601"/>
      <s:c r="HX36" s="601"/>
      <s:c r="HY36" s="601"/>
      <s:c r="HZ36" s="601"/>
      <s:c r="IA36" s="601"/>
      <s:c r="IB36" s="601"/>
      <s:c r="IC36" s="601"/>
      <s:c r="ID36" s="601"/>
      <s:c r="IE36" s="601"/>
      <s:c r="IF36" s="601"/>
      <s:c r="IG36" s="601"/>
      <s:c r="IH36" s="601"/>
      <s:c r="II36" s="601"/>
      <s:c r="IJ36" s="601"/>
      <s:c r="IK36" s="601"/>
      <s:c r="IL36" s="601"/>
      <s:c r="IM36" s="601"/>
      <s:c r="IN36" s="601"/>
      <s:c r="IO36" s="601"/>
      <s:c r="IP36" s="601"/>
      <s:c r="IQ36" s="601"/>
      <s:c r="IR36" s="601"/>
      <s:c r="IS36" s="601"/>
      <s:c r="IT36" s="601"/>
      <s:c r="IU36" s="601"/>
      <s:c r="IV36" s="601"/>
      <s:c r="IW36" s="601"/>
      <s:c r="IX36" s="601"/>
      <s:c r="IY36" s="601"/>
      <s:c r="IZ36" s="601"/>
    </s:row>
    <s:row r="37" spans="1:261" s="602" customFormat="1">
      <s:c r="A37" s="534" t="s">
        <s:v>133</s:v>
      </s:c>
      <s:c r="B37" s="584">
        <s:v>46125</s:v>
      </s:c>
      <s:c r="C37" s="585" t="s">
        <s:v>55</s:v>
      </s:c>
      <s:c r="D37" s="751">
        <s:v>44417</s:v>
      </s:c>
      <s:c r="E37" s="586">
        <s:v>6</s:v>
      </s:c>
      <s:c r="F37" s="587">
        <s:f>IF(AND(E37&lt;&gt;"",E37&lt;&gt;0),D37/E37,"")</s:f>
        <s:v>7402.8333333333303</s:v>
      </s:c>
      <s:c r="G37" s="586">
        <s:v>5</s:v>
      </s:c>
      <s:c r="H37" s="587">
        <s:f>IF(AND(G37&lt;&gt;"",G37&lt;&gt;0),D37/G37,"")</s:f>
        <s:v>8883.4</s:v>
      </s:c>
      <s:c r="I37" s="586">
        <s:v>42</s:v>
      </s:c>
      <s:c r="J37" s="588">
        <s:f>IF(AND(G37&lt;&gt;"",G37&lt;&gt;0),E37/G37,"")</s:f>
        <s:v>1.2</s:v>
      </s:c>
      <s:c r="K37" s="610">
        <s:v>10993</s:v>
      </s:c>
      <s:c r="L37" s="586"/>
      <s:c r="M37" s="586"/>
      <s:c r="N37" s="586"/>
      <s:c r="O37" s="586">
        <s:v>7658</s:v>
      </s:c>
      <s:c r="P37" s="591"/>
      <s:c r="Q37" s="591"/>
      <s:c r="R37" s="587"/>
      <s:c r="S37" s="611"/>
      <s:c r="T37" s="593">
        <s:f>IF(AND(I37&lt;&gt;"",I37&lt;&gt;0),G37/I37,"")</s:f>
        <s:v>0.11904761904761904</s:v>
      </s:c>
      <s:c r="U37" s="594">
        <s:f>D37/V37</s:f>
        <s:v>0.97340752342074699</s:v>
      </s:c>
      <s:c r="V37" s="595">
        <s:f>$I$8*AB37*AC37/SUMPRODUCT($AC$25:$AC$55,$AB$25:$AB$55)</s:f>
        <s:v>45630.426035654476</s:v>
      </s:c>
      <s:c r="W37" s="596">
        <s:f>$I$9*AB37*AC37/SUMPRODUCT($AC$25:$AC$55,$AB$25:$AB$55)</s:f>
        <s:v>6.6131052225586204</s:v>
      </s:c>
      <s:c r="X37" s="596">
        <s:f>IF($I$12="","",W37/$I$12)</s:f>
        <s:v>3.890061895622718</s:v>
      </s:c>
      <s:c r="Y37" s="597">
        <s:f>IF(AB37&lt;&gt;"",IF(D37&lt;&gt;"",D37,($I$8-SUM($Y$25:Y36))*AA37*AB37/SUMPRODUCT($AB37:$AB$55,$AA37:$AA$55)),"")</s:f>
        <s:v>44417</s:v>
      </s:c>
      <s:c r="Z37" s="596">
        <s:f>IF(AC37&lt;&gt;"",IF(E37&lt;&gt;"",E37,($I$9-SUM($Z$25:Z36))*AB37*AC37/SUMPRODUCT($AC37:$AC$55,$AB37:$AB$55)),"")</s:f>
        <s:v>6</s:v>
      </s:c>
      <s:c r="AA37" s="596">
        <s:f>IF(AC37&lt;&gt;"",IF($I$12&lt;&gt;"",IF(G37&lt;&gt;"",G37,($I$9/$I$12-SUM($AA$25:AA36))*AB37*AC37/SUMPRODUCT($AC37:$AC$55,$AB37:$AB$55)),""),"")</s:f>
        <s:v>5</s:v>
      </s:c>
      <s:c r="AB37" s="598">
        <s:v>1</s:v>
      </s:c>
      <s:c r="AC37" s="599">
        <s:v>0.4</s:v>
      </s:c>
      <s:c r="AD37" s="600"/>
      <s:c r="AE37" s="600"/>
      <s:c r="AF37" s="601"/>
      <s:c r="AG37" s="601"/>
      <s:c r="AH37" s="601"/>
      <s:c r="AI37" s="601"/>
      <s:c r="AJ37" s="601"/>
      <s:c r="AK37" s="601"/>
      <s:c r="AL37" s="601"/>
      <s:c r="AM37" s="601"/>
      <s:c r="AN37" s="601"/>
      <s:c r="AO37" s="601"/>
      <s:c r="AP37" s="601"/>
      <s:c r="AQ37" s="601"/>
      <s:c r="AR37" s="601"/>
      <s:c r="AS37" s="601"/>
      <s:c r="AT37" s="601"/>
      <s:c r="AU37" s="601"/>
      <s:c r="AV37" s="601"/>
      <s:c r="AW37" s="601"/>
      <s:c r="AX37" s="601"/>
      <s:c r="AY37" s="601"/>
      <s:c r="AZ37" s="601"/>
      <s:c r="BA37" s="601"/>
      <s:c r="BB37" s="601"/>
      <s:c r="BC37" s="601"/>
      <s:c r="BD37" s="601"/>
      <s:c r="BE37" s="601"/>
      <s:c r="BF37" s="601"/>
      <s:c r="BG37" s="601"/>
      <s:c r="BH37" s="601"/>
      <s:c r="BI37" s="601"/>
      <s:c r="BJ37" s="601"/>
      <s:c r="BK37" s="601"/>
      <s:c r="BL37" s="601"/>
      <s:c r="BM37" s="601"/>
      <s:c r="BN37" s="601"/>
      <s:c r="BO37" s="601"/>
      <s:c r="BP37" s="601"/>
      <s:c r="BQ37" s="601"/>
      <s:c r="BR37" s="601"/>
      <s:c r="BS37" s="601"/>
      <s:c r="BT37" s="601"/>
      <s:c r="BU37" s="601"/>
      <s:c r="BV37" s="601"/>
      <s:c r="BW37" s="601"/>
      <s:c r="BX37" s="601"/>
      <s:c r="BY37" s="601"/>
      <s:c r="BZ37" s="601"/>
      <s:c r="CA37" s="601"/>
      <s:c r="CB37" s="601"/>
      <s:c r="CC37" s="601"/>
      <s:c r="CD37" s="601"/>
      <s:c r="CE37" s="601"/>
      <s:c r="CF37" s="601"/>
      <s:c r="CG37" s="601"/>
      <s:c r="CH37" s="601"/>
      <s:c r="CI37" s="601"/>
      <s:c r="CJ37" s="601"/>
      <s:c r="CK37" s="601"/>
      <s:c r="CL37" s="601"/>
      <s:c r="CM37" s="601"/>
      <s:c r="CN37" s="601"/>
      <s:c r="CO37" s="601"/>
      <s:c r="CP37" s="601"/>
      <s:c r="CQ37" s="601"/>
      <s:c r="CR37" s="601"/>
      <s:c r="CS37" s="601"/>
      <s:c r="CT37" s="601"/>
      <s:c r="CU37" s="601"/>
      <s:c r="CV37" s="601"/>
      <s:c r="CW37" s="601"/>
      <s:c r="CX37" s="601"/>
      <s:c r="CY37" s="601"/>
      <s:c r="CZ37" s="601"/>
      <s:c r="DA37" s="601"/>
      <s:c r="DB37" s="601"/>
      <s:c r="DC37" s="601"/>
      <s:c r="DD37" s="601"/>
      <s:c r="DE37" s="601"/>
      <s:c r="DF37" s="601"/>
      <s:c r="DG37" s="601"/>
      <s:c r="DH37" s="601"/>
      <s:c r="DI37" s="601"/>
      <s:c r="DJ37" s="601"/>
      <s:c r="DK37" s="601"/>
      <s:c r="DL37" s="601"/>
      <s:c r="DM37" s="601"/>
      <s:c r="DN37" s="601"/>
      <s:c r="DO37" s="601"/>
      <s:c r="DP37" s="601"/>
      <s:c r="DQ37" s="601"/>
      <s:c r="DR37" s="601"/>
      <s:c r="DS37" s="601"/>
      <s:c r="DT37" s="601"/>
      <s:c r="DU37" s="601"/>
      <s:c r="DV37" s="601"/>
      <s:c r="DW37" s="601"/>
      <s:c r="DX37" s="601"/>
      <s:c r="DY37" s="601"/>
      <s:c r="DZ37" s="601"/>
      <s:c r="EA37" s="601"/>
      <s:c r="EB37" s="601"/>
      <s:c r="EC37" s="601"/>
      <s:c r="ED37" s="601"/>
      <s:c r="EE37" s="601"/>
      <s:c r="EF37" s="601"/>
      <s:c r="EG37" s="601"/>
      <s:c r="EH37" s="601"/>
      <s:c r="EI37" s="601"/>
      <s:c r="EJ37" s="601"/>
      <s:c r="EK37" s="601"/>
      <s:c r="EL37" s="601"/>
      <s:c r="EM37" s="601"/>
      <s:c r="EN37" s="601"/>
      <s:c r="EO37" s="601"/>
      <s:c r="EP37" s="601"/>
      <s:c r="EQ37" s="601"/>
      <s:c r="ER37" s="601"/>
      <s:c r="ES37" s="601"/>
      <s:c r="ET37" s="601"/>
      <s:c r="EU37" s="601"/>
      <s:c r="EV37" s="601"/>
      <s:c r="EW37" s="601"/>
      <s:c r="EX37" s="601"/>
      <s:c r="EY37" s="601"/>
      <s:c r="EZ37" s="601"/>
      <s:c r="FA37" s="601"/>
      <s:c r="FB37" s="601"/>
      <s:c r="FC37" s="601"/>
      <s:c r="FD37" s="601"/>
      <s:c r="FE37" s="601"/>
      <s:c r="FF37" s="601"/>
      <s:c r="FG37" s="601"/>
      <s:c r="FH37" s="601"/>
      <s:c r="FI37" s="601"/>
      <s:c r="FJ37" s="601"/>
      <s:c r="FK37" s="601"/>
      <s:c r="FL37" s="601"/>
      <s:c r="FM37" s="601"/>
      <s:c r="FN37" s="601"/>
      <s:c r="FO37" s="601"/>
      <s:c r="FP37" s="601"/>
      <s:c r="FQ37" s="601"/>
      <s:c r="FR37" s="601"/>
      <s:c r="FS37" s="601"/>
      <s:c r="FT37" s="601"/>
      <s:c r="FU37" s="601"/>
      <s:c r="FV37" s="601"/>
      <s:c r="FW37" s="601"/>
      <s:c r="FX37" s="601"/>
      <s:c r="FY37" s="601"/>
      <s:c r="FZ37" s="601"/>
      <s:c r="GA37" s="601"/>
      <s:c r="GB37" s="601"/>
      <s:c r="GC37" s="601"/>
      <s:c r="GD37" s="601"/>
      <s:c r="GE37" s="601"/>
      <s:c r="GF37" s="601"/>
      <s:c r="GG37" s="601"/>
      <s:c r="GH37" s="601"/>
      <s:c r="GI37" s="601"/>
      <s:c r="GJ37" s="601"/>
      <s:c r="GK37" s="601"/>
      <s:c r="GL37" s="601"/>
      <s:c r="GM37" s="601"/>
      <s:c r="GN37" s="601"/>
      <s:c r="GO37" s="601"/>
      <s:c r="GP37" s="601"/>
      <s:c r="GQ37" s="601"/>
      <s:c r="GR37" s="601"/>
      <s:c r="GS37" s="601"/>
      <s:c r="GT37" s="601"/>
      <s:c r="GU37" s="601"/>
      <s:c r="GV37" s="601"/>
      <s:c r="GW37" s="601"/>
      <s:c r="GX37" s="601"/>
      <s:c r="GY37" s="601"/>
      <s:c r="GZ37" s="601"/>
      <s:c r="HA37" s="601"/>
      <s:c r="HB37" s="601"/>
      <s:c r="HC37" s="601"/>
      <s:c r="HD37" s="601"/>
      <s:c r="HE37" s="601"/>
      <s:c r="HF37" s="601"/>
      <s:c r="HG37" s="601"/>
      <s:c r="HH37" s="601"/>
      <s:c r="HI37" s="601"/>
      <s:c r="HJ37" s="601"/>
      <s:c r="HK37" s="601"/>
      <s:c r="HL37" s="601"/>
      <s:c r="HM37" s="601"/>
      <s:c r="HN37" s="601"/>
      <s:c r="HO37" s="601"/>
      <s:c r="HP37" s="601"/>
      <s:c r="HQ37" s="601"/>
      <s:c r="HR37" s="601"/>
      <s:c r="HS37" s="601"/>
      <s:c r="HT37" s="601"/>
      <s:c r="HU37" s="601"/>
      <s:c r="HV37" s="601"/>
      <s:c r="HW37" s="601"/>
      <s:c r="HX37" s="601"/>
      <s:c r="HY37" s="601"/>
      <s:c r="HZ37" s="601"/>
      <s:c r="IA37" s="601"/>
      <s:c r="IB37" s="601"/>
      <s:c r="IC37" s="601"/>
      <s:c r="ID37" s="601"/>
      <s:c r="IE37" s="601"/>
      <s:c r="IF37" s="601"/>
      <s:c r="IG37" s="601"/>
      <s:c r="IH37" s="601"/>
      <s:c r="II37" s="601"/>
      <s:c r="IJ37" s="601"/>
      <s:c r="IK37" s="601"/>
      <s:c r="IL37" s="601"/>
      <s:c r="IM37" s="601"/>
      <s:c r="IN37" s="601"/>
      <s:c r="IO37" s="601"/>
      <s:c r="IP37" s="601"/>
      <s:c r="IQ37" s="601"/>
      <s:c r="IR37" s="601"/>
      <s:c r="IS37" s="601"/>
      <s:c r="IT37" s="601"/>
      <s:c r="IU37" s="601"/>
      <s:c r="IV37" s="601"/>
      <s:c r="IW37" s="601"/>
      <s:c r="IX37" s="601"/>
      <s:c r="IY37" s="601"/>
      <s:c r="IZ37" s="601"/>
      <s:c r="JA37" s="601"/>
    </s:row>
    <s:row r="38">
      <s:c r="A38" s="536" t="s">
        <s:v>131</s:v>
      </s:c>
      <s:c r="B38" s="543">
        <s:v>46126</s:v>
      </s:c>
      <s:c r="C38" s="544" t="s">
        <s:v>56</s:v>
      </s:c>
      <s:c r="D38" s="753">
        <s:v>4692</s:v>
      </s:c>
      <s:c r="E38" s="309">
        <s:v>1</s:v>
      </s:c>
      <s:c r="F38" s="308">
        <s:f>IF(AND(E38&lt;&gt;"",E38&lt;&gt;0),D38/E38,"")</s:f>
        <s:v>4692</s:v>
      </s:c>
      <s:c r="G38" s="309">
        <s:v>1</s:v>
      </s:c>
      <s:c r="H38" s="308">
        <s:f>IF(AND(G38&lt;&gt;"",G38&lt;&gt;0),D38/G38,"")</s:f>
        <s:v>4692</s:v>
      </s:c>
      <s:c r="I38" s="309">
        <s:v>34</s:v>
      </s:c>
      <s:c r="J38" s="375">
        <s:f>IF(AND(G38&lt;&gt;"",G38&lt;&gt;0),E38/G38,"")</s:f>
        <s:v>1</s:v>
      </s:c>
      <s:c r="K38" s="380"/>
      <s:c r="L38" s="309"/>
      <s:c r="M38" s="309"/>
      <s:c r="N38" s="309"/>
      <s:c r="O38" s="309"/>
      <s:c r="P38" s="307"/>
      <s:c r="Q38" s="307"/>
      <s:c r="R38" s="308"/>
      <s:c r="S38" s="383"/>
      <s:c r="T38" s="550">
        <s:f>IF(AND(I38&lt;&gt;"",I38&lt;&gt;0),G38/I38,"")</s:f>
        <s:v>2.94117647058823E-2</s:v>
      </s:c>
      <s:c r="U38" s="554">
        <s:f>D38/V38</s:f>
        <s:v>0.102212765477197</s:v>
      </s:c>
      <s:c r="V38" s="489">
        <s:f>$I$8*AB38*AC38/SUMPRODUCT($AC$25:$AC$55,$AB$25:$AB$55)</s:f>
        <s:v>45904.246676964765</s:v>
      </s:c>
      <s:c r="W38" s="563">
        <s:f>$I$9*AB38*AC38/SUMPRODUCT($AC$25:$AC$55,$AB$25:$AB$55)</s:f>
        <s:v>6.652789373473154</s:v>
      </s:c>
      <s:c r="X38" s="563">
        <s:f>IF($I$12="","",W38/$I$12)</s:f>
        <s:v>3.9134055138077377</s:v>
      </s:c>
      <s:c r="Y38" s="564">
        <s:f>IF(AB38&lt;&gt;"",IF(D38&lt;&gt;"",D38,($I$8-SUM($Y$25:Y37))*AA38*AB38/SUMPRODUCT($AB38:$AB$55,$AA38:$AA$55)),"")</s:f>
        <s:v>4692</s:v>
      </s:c>
      <s:c r="Z38" s="563">
        <s:f>IF(AC38&lt;&gt;"",IF(E38&lt;&gt;"",E38,($I$9-SUM($Z$25:Z37))*AB38*AC38/SUMPRODUCT($AC38:$AC$55,$AB38:$AB$55)),"")</s:f>
        <s:v>1</s:v>
      </s:c>
      <s:c r="AA38" s="563">
        <s:f>IF(AC38&lt;&gt;"",IF($I$12&lt;&gt;"",IF(G38&lt;&gt;"",G38,($I$9/$I$12-SUM($AA$25:AA37))*AB38*AC38/SUMPRODUCT($AC38:$AC$55,$AB38:$AB$55)),""),"")</s:f>
        <s:v>1</s:v>
      </s:c>
      <s:c r="AB38" s="565">
        <s:v>1</s:v>
      </s:c>
      <s:c r="AC38" s="566">
        <s:v>0.40240033385703067</s:v>
      </s:c>
      <s:c r="AD38" s="311"/>
      <s:c r="AE38" s="311"/>
      <s:c r="AF38" s="310"/>
      <s:c r="AG38" s="310"/>
      <s:c r="AH38" s="310"/>
      <s:c r="AI38" s="310"/>
      <s:c r="AJ38" s="310"/>
      <s:c r="AK38" s="310"/>
      <s:c r="AL38" s="310"/>
      <s:c r="AM38" s="310"/>
      <s:c r="AN38" s="310"/>
      <s:c r="AO38" s="310"/>
      <s:c r="AP38" s="310"/>
      <s:c r="AQ38" s="310"/>
      <s:c r="AR38" s="310"/>
      <s:c r="AS38" s="310"/>
      <s:c r="AT38" s="310"/>
      <s:c r="AU38" s="310"/>
      <s:c r="AV38" s="310"/>
      <s:c r="AW38" s="310"/>
      <s:c r="AX38" s="310"/>
      <s:c r="AY38" s="310"/>
      <s:c r="AZ38" s="310"/>
      <s:c r="BA38" s="310"/>
      <s:c r="BB38" s="310"/>
      <s:c r="BC38" s="310"/>
      <s:c r="BD38" s="310"/>
      <s:c r="BE38" s="310"/>
      <s:c r="BF38" s="310"/>
      <s:c r="BG38" s="310"/>
      <s:c r="BH38" s="310"/>
      <s:c r="BI38" s="310"/>
      <s:c r="BJ38" s="310"/>
      <s:c r="BK38" s="310"/>
      <s:c r="BL38" s="310"/>
      <s:c r="BM38" s="310"/>
      <s:c r="BN38" s="310"/>
      <s:c r="BO38" s="310"/>
      <s:c r="BP38" s="310"/>
      <s:c r="BQ38" s="310"/>
      <s:c r="BR38" s="310"/>
      <s:c r="BS38" s="310"/>
      <s:c r="BT38" s="310"/>
      <s:c r="BU38" s="310"/>
      <s:c r="BV38" s="310"/>
      <s:c r="BW38" s="310"/>
      <s:c r="BX38" s="310"/>
      <s:c r="BY38" s="310"/>
      <s:c r="BZ38" s="310"/>
      <s:c r="CA38" s="310"/>
      <s:c r="CB38" s="310"/>
      <s:c r="CC38" s="310"/>
      <s:c r="CD38" s="310"/>
      <s:c r="CE38" s="310"/>
      <s:c r="CF38" s="310"/>
      <s:c r="CG38" s="310"/>
      <s:c r="CH38" s="310"/>
      <s:c r="CI38" s="310"/>
      <s:c r="CJ38" s="310"/>
      <s:c r="CK38" s="310"/>
      <s:c r="CL38" s="310"/>
      <s:c r="CM38" s="310"/>
      <s:c r="CN38" s="310"/>
      <s:c r="CO38" s="310"/>
      <s:c r="CP38" s="310"/>
      <s:c r="CQ38" s="310"/>
      <s:c r="CR38" s="310"/>
      <s:c r="CS38" s="310"/>
      <s:c r="CT38" s="310"/>
      <s:c r="CU38" s="310"/>
      <s:c r="CV38" s="310"/>
      <s:c r="CW38" s="310"/>
      <s:c r="CX38" s="310"/>
      <s:c r="CY38" s="310"/>
      <s:c r="CZ38" s="310"/>
      <s:c r="DA38" s="310"/>
      <s:c r="DB38" s="310"/>
      <s:c r="DC38" s="310"/>
      <s:c r="DD38" s="310"/>
      <s:c r="DE38" s="310"/>
      <s:c r="DF38" s="310"/>
      <s:c r="DG38" s="310"/>
      <s:c r="DH38" s="310"/>
      <s:c r="DI38" s="310"/>
      <s:c r="DJ38" s="310"/>
      <s:c r="DK38" s="310"/>
      <s:c r="DL38" s="310"/>
      <s:c r="DM38" s="310"/>
      <s:c r="DN38" s="310"/>
      <s:c r="DO38" s="310"/>
      <s:c r="DP38" s="310"/>
      <s:c r="DQ38" s="310"/>
      <s:c r="DR38" s="310"/>
      <s:c r="DS38" s="310"/>
      <s:c r="DT38" s="310"/>
      <s:c r="DU38" s="310"/>
      <s:c r="DV38" s="310"/>
      <s:c r="DW38" s="310"/>
      <s:c r="DX38" s="310"/>
      <s:c r="DY38" s="310"/>
      <s:c r="DZ38" s="310"/>
      <s:c r="EA38" s="310"/>
      <s:c r="EB38" s="310"/>
      <s:c r="EC38" s="310"/>
      <s:c r="ED38" s="310"/>
      <s:c r="EE38" s="310"/>
      <s:c r="EF38" s="310"/>
      <s:c r="EG38" s="310"/>
      <s:c r="EH38" s="310"/>
      <s:c r="EI38" s="310"/>
      <s:c r="EJ38" s="310"/>
      <s:c r="EK38" s="310"/>
      <s:c r="EL38" s="310"/>
      <s:c r="EM38" s="310"/>
      <s:c r="EN38" s="310"/>
      <s:c r="EO38" s="310"/>
      <s:c r="EP38" s="310"/>
      <s:c r="EQ38" s="310"/>
      <s:c r="ER38" s="310"/>
      <s:c r="ES38" s="310"/>
      <s:c r="ET38" s="310"/>
      <s:c r="EU38" s="310"/>
      <s:c r="EV38" s="310"/>
      <s:c r="EW38" s="310"/>
      <s:c r="EX38" s="310"/>
      <s:c r="EY38" s="310"/>
      <s:c r="EZ38" s="310"/>
      <s:c r="FA38" s="310"/>
      <s:c r="FB38" s="310"/>
      <s:c r="FC38" s="310"/>
      <s:c r="FD38" s="310"/>
      <s:c r="FE38" s="310"/>
      <s:c r="FF38" s="310"/>
      <s:c r="FG38" s="310"/>
      <s:c r="FH38" s="310"/>
      <s:c r="FI38" s="310"/>
      <s:c r="FJ38" s="310"/>
      <s:c r="FK38" s="310"/>
      <s:c r="FL38" s="310"/>
      <s:c r="FM38" s="310"/>
      <s:c r="FN38" s="310"/>
      <s:c r="FO38" s="310"/>
      <s:c r="FP38" s="310"/>
      <s:c r="FQ38" s="310"/>
      <s:c r="FR38" s="310"/>
      <s:c r="FS38" s="310"/>
      <s:c r="FT38" s="310"/>
      <s:c r="FU38" s="310"/>
      <s:c r="FV38" s="310"/>
      <s:c r="FW38" s="310"/>
      <s:c r="FX38" s="310"/>
      <s:c r="FY38" s="310"/>
      <s:c r="FZ38" s="310"/>
      <s:c r="GA38" s="310"/>
      <s:c r="GB38" s="310"/>
      <s:c r="GC38" s="310"/>
      <s:c r="GD38" s="310"/>
      <s:c r="GE38" s="310"/>
      <s:c r="GF38" s="310"/>
      <s:c r="GG38" s="310"/>
      <s:c r="GH38" s="310"/>
      <s:c r="GI38" s="310"/>
      <s:c r="GJ38" s="310"/>
      <s:c r="GK38" s="310"/>
      <s:c r="GL38" s="310"/>
      <s:c r="GM38" s="310"/>
      <s:c r="GN38" s="310"/>
      <s:c r="GO38" s="310"/>
      <s:c r="GP38" s="310"/>
      <s:c r="GQ38" s="310"/>
      <s:c r="GR38" s="310"/>
      <s:c r="GS38" s="310"/>
      <s:c r="GT38" s="310"/>
      <s:c r="GU38" s="310"/>
      <s:c r="GV38" s="310"/>
      <s:c r="GW38" s="310"/>
      <s:c r="GX38" s="310"/>
      <s:c r="GY38" s="310"/>
      <s:c r="GZ38" s="310"/>
      <s:c r="HA38" s="310"/>
      <s:c r="HB38" s="310"/>
      <s:c r="HC38" s="310"/>
      <s:c r="HD38" s="310"/>
      <s:c r="HE38" s="310"/>
      <s:c r="HF38" s="310"/>
      <s:c r="HG38" s="310"/>
      <s:c r="HH38" s="310"/>
      <s:c r="HI38" s="310"/>
      <s:c r="HJ38" s="310"/>
      <s:c r="HK38" s="310"/>
      <s:c r="HL38" s="310"/>
      <s:c r="HM38" s="310"/>
      <s:c r="HN38" s="310"/>
      <s:c r="HO38" s="310"/>
      <s:c r="HP38" s="310"/>
      <s:c r="HQ38" s="310"/>
      <s:c r="HR38" s="310"/>
      <s:c r="HS38" s="310"/>
      <s:c r="HT38" s="310"/>
      <s:c r="HU38" s="310"/>
      <s:c r="HV38" s="310"/>
      <s:c r="HW38" s="310"/>
      <s:c r="HX38" s="310"/>
      <s:c r="HY38" s="310"/>
      <s:c r="HZ38" s="310"/>
      <s:c r="IA38" s="310"/>
      <s:c r="IB38" s="310"/>
      <s:c r="IC38" s="310"/>
      <s:c r="ID38" s="310"/>
      <s:c r="IE38" s="310"/>
      <s:c r="IF38" s="310"/>
      <s:c r="IG38" s="310"/>
      <s:c r="IH38" s="310"/>
      <s:c r="II38" s="310"/>
      <s:c r="IJ38" s="310"/>
      <s:c r="IK38" s="310"/>
      <s:c r="IL38" s="310"/>
      <s:c r="IM38" s="310"/>
      <s:c r="IN38" s="310"/>
      <s:c r="IO38" s="310"/>
      <s:c r="IP38" s="310"/>
      <s:c r="IQ38" s="310"/>
      <s:c r="IR38" s="310"/>
      <s:c r="IS38" s="310"/>
      <s:c r="IT38" s="310"/>
      <s:c r="IU38" s="310"/>
      <s:c r="IV38" s="310"/>
      <s:c r="IW38" s="310"/>
      <s:c r="IX38" s="310"/>
      <s:c r="IY38" s="310"/>
      <s:c r="IZ38" s="310"/>
      <s:c r="JA38" s="310"/>
    </s:row>
    <s:row r="39">
      <s:c r="A39" s="536" t="s">
        <s:v>133</s:v>
      </s:c>
      <s:c r="B39" s="543">
        <s:v>46127</s:v>
      </s:c>
      <s:c r="C39" s="544" t="s">
        <s:v>57</s:v>
      </s:c>
      <s:c r="D39" s="754">
        <s:v>4196</s:v>
      </s:c>
      <s:c r="E39" s="309">
        <s:v>1</s:v>
      </s:c>
      <s:c r="F39" s="308">
        <s:f>IF(AND(E39&lt;&gt;"",E39&lt;&gt;0),D39/E39,"")</s:f>
        <s:v>4196</s:v>
      </s:c>
      <s:c r="G39" s="309">
        <s:v>1</s:v>
      </s:c>
      <s:c r="H39" s="308">
        <s:f>IF(AND(G39&lt;&gt;"",G39&lt;&gt;0),D39/G39,"")</s:f>
        <s:v>4196</s:v>
      </s:c>
      <s:c r="I39" s="309">
        <s:v>36</s:v>
      </s:c>
      <s:c r="J39" s="375">
        <s:f>IF(AND(G39&lt;&gt;"",G39&lt;&gt;0),E39/G39,"")</s:f>
        <s:v>1</s:v>
      </s:c>
      <s:c r="K39" s="380"/>
      <s:c r="L39" s="309"/>
      <s:c r="M39" s="309"/>
      <s:c r="N39" s="309"/>
      <s:c r="O39" s="309"/>
      <s:c r="P39" s="307"/>
      <s:c r="Q39" s="307"/>
      <s:c r="R39" s="313"/>
      <s:c r="S39" s="384">
        <s:v>4193</s:v>
      </s:c>
      <s:c r="T39" s="550">
        <s:f>IF(AND(I39&lt;&gt;"",I39&lt;&gt;0),G39/I39,"")</s:f>
        <s:v>2.7777777777777776E-2</s:v>
      </s:c>
      <s:c r="U39" s="554">
        <s:f>D39/V39</s:f>
        <s:v>4.5541056656598002E-2</s:v>
      </s:c>
      <s:c r="V39" s="489">
        <s:f>$I$8*AB39*AC39/SUMPRODUCT($AC$25:$AC$55,$AB$25:$AB$55)</s:f>
        <s:v>92136.641265043654</s:v>
      </s:c>
      <s:c r="W39" s="563">
        <s:f>$I$9*AB39*AC39/SUMPRODUCT($AC$25:$AC$55,$AB$25:$AB$55)</s:f>
        <s:v>13.353136415223718</s:v>
      </s:c>
      <s:c r="X39" s="563">
        <s:f>IF($I$12="","",W39/$I$12)</s:f>
        <s:v>7.8547861266021872</s:v>
      </s:c>
      <s:c r="Y39" s="564">
        <s:f>IF(AB39&lt;&gt;"",IF(D39&lt;&gt;"",D39,($I$8-SUM($Y$25:Y38))*AA39*AB39/SUMPRODUCT($AB39:$AB$55,$AA39:$AA$55)),"")</s:f>
        <s:v>4196</s:v>
      </s:c>
      <s:c r="Z39" s="563">
        <s:f>IF(AC39&lt;&gt;"",IF(E39&lt;&gt;"",E39,($I$9-SUM($Z$25:Z38))*AB39*AC39/SUMPRODUCT($AC39:$AC$55,$AB39:$AB$55)),"")</s:f>
        <s:v>1</s:v>
      </s:c>
      <s:c r="AA39" s="563">
        <s:f>IF(AC39&lt;&gt;"",IF($I$12&lt;&gt;"",IF(G39&lt;&gt;"",G39,($I$9/$I$12-SUM($AA$25:AA38))*AB39*AC39/SUMPRODUCT($AC39:$AC$55,$AB39:$AB$55)),""),"")</s:f>
        <s:v>1</s:v>
      </s:c>
      <s:c r="AB39" s="565">
        <s:v>1</s:v>
      </s:c>
      <s:c r="AC39" s="566">
        <s:v>0.8076772388059702</s:v>
      </s:c>
      <s:c r="AD39" s="311"/>
      <s:c r="AE39" s="311"/>
      <s:c r="AF39" s="310"/>
      <s:c r="AG39" s="310"/>
      <s:c r="AH39" s="310"/>
      <s:c r="AI39" s="310"/>
      <s:c r="AJ39" s="310"/>
      <s:c r="AK39" s="310"/>
      <s:c r="AL39" s="310"/>
      <s:c r="AM39" s="310"/>
      <s:c r="AN39" s="310"/>
      <s:c r="AO39" s="310"/>
      <s:c r="AP39" s="310"/>
      <s:c r="AQ39" s="310"/>
      <s:c r="AR39" s="310"/>
      <s:c r="AS39" s="310"/>
      <s:c r="AT39" s="310"/>
      <s:c r="AU39" s="310"/>
      <s:c r="AV39" s="310"/>
      <s:c r="AW39" s="310"/>
      <s:c r="AX39" s="310"/>
      <s:c r="AY39" s="310"/>
      <s:c r="AZ39" s="310"/>
      <s:c r="BA39" s="310"/>
      <s:c r="BB39" s="310"/>
      <s:c r="BC39" s="310"/>
      <s:c r="BD39" s="310"/>
      <s:c r="BE39" s="310"/>
      <s:c r="BF39" s="310"/>
      <s:c r="BG39" s="310"/>
      <s:c r="BH39" s="310"/>
      <s:c r="BI39" s="310"/>
      <s:c r="BJ39" s="310"/>
      <s:c r="BK39" s="310"/>
      <s:c r="BL39" s="310"/>
      <s:c r="BM39" s="310"/>
      <s:c r="BN39" s="310"/>
      <s:c r="BO39" s="310"/>
      <s:c r="BP39" s="310"/>
      <s:c r="BQ39" s="310"/>
      <s:c r="BR39" s="310"/>
      <s:c r="BS39" s="310"/>
      <s:c r="BT39" s="310"/>
      <s:c r="BU39" s="310"/>
      <s:c r="BV39" s="310"/>
      <s:c r="BW39" s="310"/>
      <s:c r="BX39" s="310"/>
      <s:c r="BY39" s="310"/>
      <s:c r="BZ39" s="310"/>
      <s:c r="CA39" s="310"/>
      <s:c r="CB39" s="310"/>
      <s:c r="CC39" s="310"/>
      <s:c r="CD39" s="310"/>
      <s:c r="CE39" s="310"/>
      <s:c r="CF39" s="310"/>
      <s:c r="CG39" s="310"/>
      <s:c r="CH39" s="310"/>
      <s:c r="CI39" s="310"/>
      <s:c r="CJ39" s="310"/>
      <s:c r="CK39" s="310"/>
      <s:c r="CL39" s="310"/>
      <s:c r="CM39" s="310"/>
      <s:c r="CN39" s="310"/>
      <s:c r="CO39" s="310"/>
      <s:c r="CP39" s="310"/>
      <s:c r="CQ39" s="310"/>
      <s:c r="CR39" s="310"/>
      <s:c r="CS39" s="310"/>
      <s:c r="CT39" s="310"/>
      <s:c r="CU39" s="310"/>
      <s:c r="CV39" s="310"/>
      <s:c r="CW39" s="310"/>
      <s:c r="CX39" s="310"/>
      <s:c r="CY39" s="310"/>
      <s:c r="CZ39" s="310"/>
      <s:c r="DA39" s="310"/>
      <s:c r="DB39" s="310"/>
      <s:c r="DC39" s="310"/>
      <s:c r="DD39" s="310"/>
      <s:c r="DE39" s="310"/>
      <s:c r="DF39" s="310"/>
      <s:c r="DG39" s="310"/>
      <s:c r="DH39" s="310"/>
      <s:c r="DI39" s="310"/>
      <s:c r="DJ39" s="310"/>
      <s:c r="DK39" s="310"/>
      <s:c r="DL39" s="310"/>
      <s:c r="DM39" s="310"/>
      <s:c r="DN39" s="310"/>
      <s:c r="DO39" s="310"/>
      <s:c r="DP39" s="310"/>
      <s:c r="DQ39" s="310"/>
      <s:c r="DR39" s="310"/>
      <s:c r="DS39" s="310"/>
      <s:c r="DT39" s="310"/>
      <s:c r="DU39" s="310"/>
      <s:c r="DV39" s="310"/>
      <s:c r="DW39" s="310"/>
      <s:c r="DX39" s="310"/>
      <s:c r="DY39" s="310"/>
      <s:c r="DZ39" s="310"/>
      <s:c r="EA39" s="310"/>
      <s:c r="EB39" s="310"/>
      <s:c r="EC39" s="310"/>
      <s:c r="ED39" s="310"/>
      <s:c r="EE39" s="310"/>
      <s:c r="EF39" s="310"/>
      <s:c r="EG39" s="310"/>
      <s:c r="EH39" s="310"/>
      <s:c r="EI39" s="310"/>
      <s:c r="EJ39" s="310"/>
      <s:c r="EK39" s="310"/>
      <s:c r="EL39" s="310"/>
      <s:c r="EM39" s="310"/>
      <s:c r="EN39" s="310"/>
      <s:c r="EO39" s="310"/>
      <s:c r="EP39" s="310"/>
      <s:c r="EQ39" s="310"/>
      <s:c r="ER39" s="310"/>
      <s:c r="ES39" s="310"/>
      <s:c r="ET39" s="310"/>
      <s:c r="EU39" s="310"/>
      <s:c r="EV39" s="310"/>
      <s:c r="EW39" s="310"/>
      <s:c r="EX39" s="310"/>
      <s:c r="EY39" s="310"/>
      <s:c r="EZ39" s="310"/>
      <s:c r="FA39" s="310"/>
      <s:c r="FB39" s="310"/>
      <s:c r="FC39" s="310"/>
      <s:c r="FD39" s="310"/>
      <s:c r="FE39" s="310"/>
      <s:c r="FF39" s="310"/>
      <s:c r="FG39" s="310"/>
      <s:c r="FH39" s="310"/>
      <s:c r="FI39" s="310"/>
      <s:c r="FJ39" s="310"/>
      <s:c r="FK39" s="310"/>
      <s:c r="FL39" s="310"/>
      <s:c r="FM39" s="310"/>
      <s:c r="FN39" s="310"/>
      <s:c r="FO39" s="310"/>
      <s:c r="FP39" s="310"/>
      <s:c r="FQ39" s="310"/>
      <s:c r="FR39" s="310"/>
      <s:c r="FS39" s="310"/>
      <s:c r="FT39" s="310"/>
      <s:c r="FU39" s="310"/>
      <s:c r="FV39" s="310"/>
      <s:c r="FW39" s="310"/>
      <s:c r="FX39" s="310"/>
      <s:c r="FY39" s="310"/>
      <s:c r="FZ39" s="310"/>
      <s:c r="GA39" s="310"/>
      <s:c r="GB39" s="310"/>
      <s:c r="GC39" s="310"/>
      <s:c r="GD39" s="310"/>
      <s:c r="GE39" s="310"/>
      <s:c r="GF39" s="310"/>
      <s:c r="GG39" s="310"/>
      <s:c r="GH39" s="310"/>
      <s:c r="GI39" s="310"/>
      <s:c r="GJ39" s="310"/>
      <s:c r="GK39" s="310"/>
      <s:c r="GL39" s="310"/>
      <s:c r="GM39" s="310"/>
      <s:c r="GN39" s="310"/>
      <s:c r="GO39" s="310"/>
      <s:c r="GP39" s="310"/>
      <s:c r="GQ39" s="310"/>
      <s:c r="GR39" s="310"/>
      <s:c r="GS39" s="310"/>
      <s:c r="GT39" s="310"/>
      <s:c r="GU39" s="310"/>
      <s:c r="GV39" s="310"/>
      <s:c r="GW39" s="310"/>
      <s:c r="GX39" s="310"/>
      <s:c r="GY39" s="310"/>
      <s:c r="GZ39" s="310"/>
      <s:c r="HA39" s="310"/>
      <s:c r="HB39" s="310"/>
      <s:c r="HC39" s="310"/>
      <s:c r="HD39" s="310"/>
      <s:c r="HE39" s="310"/>
      <s:c r="HF39" s="310"/>
      <s:c r="HG39" s="310"/>
      <s:c r="HH39" s="310"/>
      <s:c r="HI39" s="310"/>
      <s:c r="HJ39" s="310"/>
      <s:c r="HK39" s="310"/>
      <s:c r="HL39" s="310"/>
      <s:c r="HM39" s="310"/>
      <s:c r="HN39" s="310"/>
      <s:c r="HO39" s="310"/>
      <s:c r="HP39" s="310"/>
      <s:c r="HQ39" s="310"/>
      <s:c r="HR39" s="310"/>
      <s:c r="HS39" s="310"/>
      <s:c r="HT39" s="310"/>
      <s:c r="HU39" s="310"/>
      <s:c r="HV39" s="310"/>
      <s:c r="HW39" s="310"/>
      <s:c r="HX39" s="310"/>
      <s:c r="HY39" s="310"/>
      <s:c r="HZ39" s="310"/>
      <s:c r="IA39" s="310"/>
      <s:c r="IB39" s="310"/>
      <s:c r="IC39" s="310"/>
      <s:c r="ID39" s="310"/>
      <s:c r="IE39" s="310"/>
      <s:c r="IF39" s="310"/>
      <s:c r="IG39" s="310"/>
      <s:c r="IH39" s="310"/>
      <s:c r="II39" s="310"/>
      <s:c r="IJ39" s="310"/>
      <s:c r="IK39" s="310"/>
      <s:c r="IL39" s="310"/>
      <s:c r="IM39" s="310"/>
      <s:c r="IN39" s="310"/>
      <s:c r="IO39" s="310"/>
      <s:c r="IP39" s="310"/>
      <s:c r="IQ39" s="310"/>
      <s:c r="IR39" s="310"/>
      <s:c r="IS39" s="310"/>
      <s:c r="IT39" s="310"/>
      <s:c r="IU39" s="310"/>
      <s:c r="IV39" s="310"/>
      <s:c r="IW39" s="310"/>
      <s:c r="IX39" s="310"/>
      <s:c r="IY39" s="310"/>
      <s:c r="IZ39" s="310"/>
      <s:c r="JA39" s="310"/>
    </s:row>
    <s:row r="40">
      <s:c r="A40" s="536" t="s">
        <s:v>131</s:v>
      </s:c>
      <s:c r="B40" s="543">
        <s:v>46128</s:v>
      </s:c>
      <s:c r="C40" s="544" t="s">
        <s:v>58</s:v>
      </s:c>
      <s:c r="D40" s="753">
        <s:v>11286</s:v>
      </s:c>
      <s:c r="E40" s="309">
        <s:v>2</s:v>
      </s:c>
      <s:c r="F40" s="308">
        <s:f>IF(AND(E40&lt;&gt;"",E40&lt;&gt;0),D40/E40,"")</s:f>
        <s:v>5643</s:v>
      </s:c>
      <s:c r="G40" s="309">
        <s:v>2</s:v>
      </s:c>
      <s:c r="H40" s="308">
        <s:f>IF(AND(G40&lt;&gt;"",G40&lt;&gt;0),D40/G40,"")</s:f>
        <s:v>5643</s:v>
      </s:c>
      <s:c r="I40" s="309">
        <s:v>18</s:v>
      </s:c>
      <s:c r="J40" s="375">
        <s:f>IF(AND(G40&lt;&gt;"",G40&lt;&gt;0),E40/G40,"")</s:f>
        <s:v>1</s:v>
      </s:c>
      <s:c r="K40" s="380"/>
      <s:c r="L40" s="309"/>
      <s:c r="M40" s="309"/>
      <s:c r="N40" s="309"/>
      <s:c r="O40" s="309"/>
      <s:c r="P40" s="307"/>
      <s:c r="Q40" s="307"/>
      <s:c r="R40" s="308"/>
      <s:c r="S40" s="383"/>
      <s:c r="T40" s="550">
        <s:f>IF(AND(I40&lt;&gt;"",I40&lt;&gt;0),G40/I40,"")</s:f>
        <s:v>0.1111111111111111</s:v>
      </s:c>
      <s:c r="U40" s="554">
        <s:f>D40/V40</s:f>
        <s:v>0.122491984134024</s:v>
      </s:c>
      <s:c r="V40" s="489">
        <s:f>$I$8*AB40*AC40/SUMPRODUCT($AC$25:$AC$55,$AB$25:$AB$55)</s:f>
        <s:v>92136.641265043654</s:v>
      </s:c>
      <s:c r="W40" s="563">
        <s:f>$I$9*AB40*AC40/SUMPRODUCT($AC$25:$AC$55,$AB$25:$AB$55)</s:f>
        <s:v>13.353136415223718</s:v>
      </s:c>
      <s:c r="X40" s="563">
        <s:f>IF($I$12="","",W40/$I$12)</s:f>
        <s:v>7.8547861266021872</s:v>
      </s:c>
      <s:c r="Y40" s="564">
        <s:f>IF(AB40&lt;&gt;"",IF(D40&lt;&gt;"",D40,($I$8-SUM($Y$25:Y39))*AA40*AB40/SUMPRODUCT($AB40:$AB$55,$AA40:$AA$55)),"")</s:f>
        <s:v>11286</s:v>
      </s:c>
      <s:c r="Z40" s="563">
        <s:f>IF(AC40&lt;&gt;"",IF(E40&lt;&gt;"",E40,($I$9-SUM($Z$25:Z39))*AB40*AC40/SUMPRODUCT($AC40:$AC$55,$AB40:$AB$55)),"")</s:f>
        <s:v>2</s:v>
      </s:c>
      <s:c r="AA40" s="563">
        <s:f>IF(AC40&lt;&gt;"",IF($I$12&lt;&gt;"",IF(G40&lt;&gt;"",G40,($I$9/$I$12-SUM($AA$25:AA39))*AB40*AC40/SUMPRODUCT($AC40:$AC$55,$AB40:$AB$55)),""),"")</s:f>
        <s:v>2</s:v>
      </s:c>
      <s:c r="AB40" s="565">
        <s:v>1</s:v>
      </s:c>
      <s:c r="AC40" s="566">
        <s:v>0.8076772388059702</s:v>
      </s:c>
      <s:c r="AD40" s="311"/>
      <s:c r="AE40" s="311"/>
      <s:c r="AF40" s="310"/>
      <s:c r="AG40" s="310"/>
      <s:c r="AH40" s="310"/>
      <s:c r="AI40" s="310"/>
      <s:c r="AJ40" s="310"/>
      <s:c r="AK40" s="310"/>
      <s:c r="AL40" s="310"/>
      <s:c r="AM40" s="310"/>
      <s:c r="AN40" s="310"/>
      <s:c r="AO40" s="310"/>
      <s:c r="AP40" s="310"/>
      <s:c r="AQ40" s="310"/>
      <s:c r="AR40" s="310"/>
      <s:c r="AS40" s="310"/>
      <s:c r="AT40" s="310"/>
      <s:c r="AU40" s="310"/>
      <s:c r="AV40" s="310"/>
      <s:c r="AW40" s="310"/>
      <s:c r="AX40" s="310"/>
      <s:c r="AY40" s="310"/>
      <s:c r="AZ40" s="310"/>
      <s:c r="BA40" s="310"/>
      <s:c r="BB40" s="310"/>
      <s:c r="BC40" s="310"/>
      <s:c r="BD40" s="310"/>
      <s:c r="BE40" s="310"/>
      <s:c r="BF40" s="310"/>
      <s:c r="BG40" s="310"/>
      <s:c r="BH40" s="310"/>
      <s:c r="BI40" s="310"/>
      <s:c r="BJ40" s="310"/>
      <s:c r="BK40" s="310"/>
      <s:c r="BL40" s="310"/>
      <s:c r="BM40" s="310"/>
      <s:c r="BN40" s="310"/>
      <s:c r="BO40" s="310"/>
      <s:c r="BP40" s="310"/>
      <s:c r="BQ40" s="310"/>
      <s:c r="BR40" s="310"/>
      <s:c r="BS40" s="310"/>
      <s:c r="BT40" s="310"/>
      <s:c r="BU40" s="310"/>
      <s:c r="BV40" s="310"/>
      <s:c r="BW40" s="310"/>
      <s:c r="BX40" s="310"/>
      <s:c r="BY40" s="310"/>
      <s:c r="BZ40" s="310"/>
      <s:c r="CA40" s="310"/>
      <s:c r="CB40" s="310"/>
      <s:c r="CC40" s="310"/>
      <s:c r="CD40" s="310"/>
      <s:c r="CE40" s="310"/>
      <s:c r="CF40" s="310"/>
      <s:c r="CG40" s="310"/>
      <s:c r="CH40" s="310"/>
      <s:c r="CI40" s="310"/>
      <s:c r="CJ40" s="310"/>
      <s:c r="CK40" s="310"/>
      <s:c r="CL40" s="310"/>
      <s:c r="CM40" s="310"/>
      <s:c r="CN40" s="310"/>
      <s:c r="CO40" s="310"/>
      <s:c r="CP40" s="310"/>
      <s:c r="CQ40" s="310"/>
      <s:c r="CR40" s="310"/>
      <s:c r="CS40" s="310"/>
      <s:c r="CT40" s="310"/>
      <s:c r="CU40" s="310"/>
      <s:c r="CV40" s="310"/>
      <s:c r="CW40" s="310"/>
      <s:c r="CX40" s="310"/>
      <s:c r="CY40" s="310"/>
      <s:c r="CZ40" s="310"/>
      <s:c r="DA40" s="310"/>
      <s:c r="DB40" s="310"/>
      <s:c r="DC40" s="310"/>
      <s:c r="DD40" s="310"/>
      <s:c r="DE40" s="310"/>
      <s:c r="DF40" s="310"/>
      <s:c r="DG40" s="310"/>
      <s:c r="DH40" s="310"/>
      <s:c r="DI40" s="310"/>
      <s:c r="DJ40" s="310"/>
      <s:c r="DK40" s="310"/>
      <s:c r="DL40" s="310"/>
      <s:c r="DM40" s="310"/>
      <s:c r="DN40" s="310"/>
      <s:c r="DO40" s="310"/>
      <s:c r="DP40" s="310"/>
      <s:c r="DQ40" s="310"/>
      <s:c r="DR40" s="310"/>
      <s:c r="DS40" s="310"/>
      <s:c r="DT40" s="310"/>
      <s:c r="DU40" s="310"/>
      <s:c r="DV40" s="310"/>
      <s:c r="DW40" s="310"/>
      <s:c r="DX40" s="310"/>
      <s:c r="DY40" s="310"/>
      <s:c r="DZ40" s="310"/>
      <s:c r="EA40" s="310"/>
      <s:c r="EB40" s="310"/>
      <s:c r="EC40" s="310"/>
      <s:c r="ED40" s="310"/>
      <s:c r="EE40" s="310"/>
      <s:c r="EF40" s="310"/>
      <s:c r="EG40" s="310"/>
      <s:c r="EH40" s="310"/>
      <s:c r="EI40" s="310"/>
      <s:c r="EJ40" s="310"/>
      <s:c r="EK40" s="310"/>
      <s:c r="EL40" s="310"/>
      <s:c r="EM40" s="310"/>
      <s:c r="EN40" s="310"/>
      <s:c r="EO40" s="310"/>
      <s:c r="EP40" s="310"/>
      <s:c r="EQ40" s="310"/>
      <s:c r="ER40" s="310"/>
      <s:c r="ES40" s="310"/>
      <s:c r="ET40" s="310"/>
      <s:c r="EU40" s="310"/>
      <s:c r="EV40" s="310"/>
      <s:c r="EW40" s="310"/>
      <s:c r="EX40" s="310"/>
      <s:c r="EY40" s="310"/>
      <s:c r="EZ40" s="310"/>
      <s:c r="FA40" s="310"/>
      <s:c r="FB40" s="310"/>
      <s:c r="FC40" s="310"/>
      <s:c r="FD40" s="310"/>
      <s:c r="FE40" s="310"/>
      <s:c r="FF40" s="310"/>
      <s:c r="FG40" s="310"/>
      <s:c r="FH40" s="310"/>
      <s:c r="FI40" s="310"/>
      <s:c r="FJ40" s="310"/>
      <s:c r="FK40" s="310"/>
      <s:c r="FL40" s="310"/>
      <s:c r="FM40" s="310"/>
      <s:c r="FN40" s="310"/>
      <s:c r="FO40" s="310"/>
      <s:c r="FP40" s="310"/>
      <s:c r="FQ40" s="310"/>
      <s:c r="FR40" s="310"/>
      <s:c r="FS40" s="310"/>
      <s:c r="FT40" s="310"/>
      <s:c r="FU40" s="310"/>
      <s:c r="FV40" s="310"/>
      <s:c r="FW40" s="310"/>
      <s:c r="FX40" s="310"/>
      <s:c r="FY40" s="310"/>
      <s:c r="FZ40" s="310"/>
      <s:c r="GA40" s="310"/>
      <s:c r="GB40" s="310"/>
      <s:c r="GC40" s="310"/>
      <s:c r="GD40" s="310"/>
      <s:c r="GE40" s="310"/>
      <s:c r="GF40" s="310"/>
      <s:c r="GG40" s="310"/>
      <s:c r="GH40" s="310"/>
      <s:c r="GI40" s="310"/>
      <s:c r="GJ40" s="310"/>
      <s:c r="GK40" s="310"/>
      <s:c r="GL40" s="310"/>
      <s:c r="GM40" s="310"/>
      <s:c r="GN40" s="310"/>
      <s:c r="GO40" s="310"/>
      <s:c r="GP40" s="310"/>
      <s:c r="GQ40" s="310"/>
      <s:c r="GR40" s="310"/>
      <s:c r="GS40" s="310"/>
      <s:c r="GT40" s="310"/>
      <s:c r="GU40" s="310"/>
      <s:c r="GV40" s="310"/>
      <s:c r="GW40" s="310"/>
      <s:c r="GX40" s="310"/>
      <s:c r="GY40" s="310"/>
      <s:c r="GZ40" s="310"/>
      <s:c r="HA40" s="310"/>
      <s:c r="HB40" s="310"/>
      <s:c r="HC40" s="310"/>
      <s:c r="HD40" s="310"/>
      <s:c r="HE40" s="310"/>
      <s:c r="HF40" s="310"/>
      <s:c r="HG40" s="310"/>
      <s:c r="HH40" s="310"/>
      <s:c r="HI40" s="310"/>
      <s:c r="HJ40" s="310"/>
      <s:c r="HK40" s="310"/>
      <s:c r="HL40" s="310"/>
      <s:c r="HM40" s="310"/>
      <s:c r="HN40" s="310"/>
      <s:c r="HO40" s="310"/>
      <s:c r="HP40" s="310"/>
      <s:c r="HQ40" s="310"/>
      <s:c r="HR40" s="310"/>
      <s:c r="HS40" s="310"/>
      <s:c r="HT40" s="310"/>
      <s:c r="HU40" s="310"/>
      <s:c r="HV40" s="310"/>
      <s:c r="HW40" s="310"/>
      <s:c r="HX40" s="310"/>
      <s:c r="HY40" s="310"/>
      <s:c r="HZ40" s="310"/>
      <s:c r="IA40" s="310"/>
      <s:c r="IB40" s="310"/>
      <s:c r="IC40" s="310"/>
      <s:c r="ID40" s="310"/>
      <s:c r="IE40" s="310"/>
      <s:c r="IF40" s="310"/>
      <s:c r="IG40" s="310"/>
      <s:c r="IH40" s="310"/>
      <s:c r="II40" s="310"/>
      <s:c r="IJ40" s="310"/>
      <s:c r="IK40" s="310"/>
      <s:c r="IL40" s="310"/>
      <s:c r="IM40" s="310"/>
      <s:c r="IN40" s="310"/>
      <s:c r="IO40" s="310"/>
      <s:c r="IP40" s="310"/>
      <s:c r="IQ40" s="310"/>
      <s:c r="IR40" s="310"/>
      <s:c r="IS40" s="310"/>
      <s:c r="IT40" s="310"/>
      <s:c r="IU40" s="310"/>
      <s:c r="IV40" s="310"/>
      <s:c r="IW40" s="310"/>
      <s:c r="IX40" s="310"/>
      <s:c r="IY40" s="310"/>
      <s:c r="IZ40" s="310"/>
    </s:row>
    <s:row r="41" spans="1:261" s="602" customFormat="1">
      <s:c r="A41" s="536" t="s">
        <s:v>131</s:v>
      </s:c>
      <s:c r="B41" s="584">
        <s:v>46129</s:v>
      </s:c>
      <s:c r="C41" s="585" t="s">
        <s:v>59</s:v>
      </s:c>
      <s:c r="D41" s="751">
        <s:v>0</s:v>
      </s:c>
      <s:c r="E41" s="586">
        <s:v>0</s:v>
      </s:c>
      <s:c r="F41" s="587">
        <s:v>0</s:v>
      </s:c>
      <s:c r="G41" s="586">
        <s:v>0</s:v>
      </s:c>
      <s:c r="H41" s="587">
        <s:v>0</s:v>
      </s:c>
      <s:c r="I41" s="586">
        <s:v>20</s:v>
      </s:c>
      <s:c r="J41" s="588" t="str">
        <s:f>IF(AND(G41&lt;&gt;"",G41&lt;&gt;0),E41/G41,"")</s:f>
        <s:v/>
      </s:c>
      <s:c r="K41" s="589"/>
      <s:c r="L41" s="586"/>
      <s:c r="M41" s="586"/>
      <s:c r="N41" s="586"/>
      <s:c r="O41" s="586"/>
      <s:c r="P41" s="591"/>
      <s:c r="Q41" s="591"/>
      <s:c r="R41" s="612"/>
      <s:c r="S41" s="613"/>
      <s:c r="T41" s="593">
        <s:f>IF(AND(I41&lt;&gt;"",I41&lt;&gt;0),G41/I41,"")</s:f>
        <s:v>0</s:v>
      </s:c>
      <s:c r="U41" s="594">
        <s:f>D41/V41</s:f>
        <s:v>0</s:v>
      </s:c>
      <s:c r="V41" s="595">
        <s:f>$I$8*AB41*AC41/SUMPRODUCT($AC$25:$AC$55,$AB$25:$AB$55)</s:f>
        <s:v>77491.521528283643</s:v>
      </s:c>
      <s:c r="W41" s="596">
        <s:f>$I$9*AB41*AC41/SUMPRODUCT($AC$25:$AC$55,$AB$25:$AB$55)</s:f>
        <s:v>11.23065529395415</s:v>
      </s:c>
      <s:c r="X41" s="596">
        <s:f>IF($I$12="","",W41/$I$12)</s:f>
        <s:v>6.6062678199730298</s:v>
      </s:c>
      <s:c r="Y41" s="597">
        <s:f>IF(AB41&lt;&gt;"",IF(D41&lt;&gt;"",D41,($I$8-SUM($Y$25:Y40))*AA41*AB41/SUMPRODUCT($AB41:$AB$55,$AA41:$AA$55)),"")</s:f>
        <s:v>0</s:v>
      </s:c>
      <s:c r="Z41" s="596">
        <s:f>IF(AC41&lt;&gt;"",IF(E41&lt;&gt;"",E41,($I$9-SUM($Z$25:Z40))*AB41*AC41/SUMPRODUCT($AC41:$AC$55,$AB41:$AB$55)),"")</s:f>
        <s:v>0</s:v>
      </s:c>
      <s:c r="AA41" s="596">
        <s:f>IF(AC41&lt;&gt;"",IF($I$12&lt;&gt;"",IF(G41&lt;&gt;"",G41,($I$9/$I$12-SUM($AA$25:AA40))*AB41*AC41/SUMPRODUCT($AC41:$AC$55,$AB41:$AB$55)),""),"")</s:f>
        <s:v>0</s:v>
      </s:c>
      <s:c r="AB41" s="598">
        <s:v>1</s:v>
      </s:c>
      <s:c r="AC41" s="599">
        <s:v>0.6792969363707777</s:v>
      </s:c>
      <s:c r="AD41" s="600"/>
      <s:c r="AE41" s="600"/>
      <s:c r="AF41" s="601"/>
      <s:c r="AG41" s="601"/>
      <s:c r="AH41" s="601"/>
      <s:c r="AI41" s="601"/>
      <s:c r="AJ41" s="601"/>
      <s:c r="AK41" s="601"/>
      <s:c r="AL41" s="601"/>
      <s:c r="AM41" s="601"/>
      <s:c r="AN41" s="601"/>
      <s:c r="AO41" s="601"/>
      <s:c r="AP41" s="601"/>
      <s:c r="AQ41" s="601"/>
      <s:c r="AR41" s="601"/>
      <s:c r="AS41" s="601"/>
      <s:c r="AT41" s="601"/>
      <s:c r="AU41" s="601"/>
      <s:c r="AV41" s="601"/>
      <s:c r="AW41" s="601"/>
      <s:c r="AX41" s="601"/>
      <s:c r="AY41" s="601"/>
      <s:c r="AZ41" s="601"/>
      <s:c r="BA41" s="601"/>
      <s:c r="BB41" s="601"/>
      <s:c r="BC41" s="601"/>
      <s:c r="BD41" s="601"/>
      <s:c r="BE41" s="601"/>
      <s:c r="BF41" s="601"/>
      <s:c r="BG41" s="601"/>
      <s:c r="BH41" s="601"/>
      <s:c r="BI41" s="601"/>
      <s:c r="BJ41" s="601"/>
      <s:c r="BK41" s="601"/>
      <s:c r="BL41" s="601"/>
      <s:c r="BM41" s="601"/>
      <s:c r="BN41" s="601"/>
      <s:c r="BO41" s="601"/>
      <s:c r="BP41" s="601"/>
      <s:c r="BQ41" s="601"/>
      <s:c r="BR41" s="601"/>
      <s:c r="BS41" s="601"/>
      <s:c r="BT41" s="601"/>
      <s:c r="BU41" s="601"/>
      <s:c r="BV41" s="601"/>
      <s:c r="BW41" s="601"/>
      <s:c r="BX41" s="601"/>
      <s:c r="BY41" s="601"/>
      <s:c r="BZ41" s="601"/>
      <s:c r="CA41" s="601"/>
      <s:c r="CB41" s="601"/>
      <s:c r="CC41" s="601"/>
      <s:c r="CD41" s="601"/>
      <s:c r="CE41" s="601"/>
      <s:c r="CF41" s="601"/>
      <s:c r="CG41" s="601"/>
      <s:c r="CH41" s="601"/>
      <s:c r="CI41" s="601"/>
      <s:c r="CJ41" s="601"/>
      <s:c r="CK41" s="601"/>
      <s:c r="CL41" s="601"/>
      <s:c r="CM41" s="601"/>
      <s:c r="CN41" s="601"/>
      <s:c r="CO41" s="601"/>
      <s:c r="CP41" s="601"/>
      <s:c r="CQ41" s="601"/>
      <s:c r="CR41" s="601"/>
      <s:c r="CS41" s="601"/>
      <s:c r="CT41" s="601"/>
      <s:c r="CU41" s="601"/>
      <s:c r="CV41" s="601"/>
      <s:c r="CW41" s="601"/>
      <s:c r="CX41" s="601"/>
      <s:c r="CY41" s="601"/>
      <s:c r="CZ41" s="601"/>
      <s:c r="DA41" s="601"/>
      <s:c r="DB41" s="601"/>
      <s:c r="DC41" s="601"/>
      <s:c r="DD41" s="601"/>
      <s:c r="DE41" s="601"/>
      <s:c r="DF41" s="601"/>
      <s:c r="DG41" s="601"/>
      <s:c r="DH41" s="601"/>
      <s:c r="DI41" s="601"/>
      <s:c r="DJ41" s="601"/>
      <s:c r="DK41" s="601"/>
      <s:c r="DL41" s="601"/>
      <s:c r="DM41" s="601"/>
      <s:c r="DN41" s="601"/>
      <s:c r="DO41" s="601"/>
      <s:c r="DP41" s="601"/>
      <s:c r="DQ41" s="601"/>
      <s:c r="DR41" s="601"/>
      <s:c r="DS41" s="601"/>
      <s:c r="DT41" s="601"/>
      <s:c r="DU41" s="601"/>
      <s:c r="DV41" s="601"/>
      <s:c r="DW41" s="601"/>
      <s:c r="DX41" s="601"/>
      <s:c r="DY41" s="601"/>
      <s:c r="DZ41" s="601"/>
      <s:c r="EA41" s="601"/>
      <s:c r="EB41" s="601"/>
      <s:c r="EC41" s="601"/>
      <s:c r="ED41" s="601"/>
      <s:c r="EE41" s="601"/>
      <s:c r="EF41" s="601"/>
      <s:c r="EG41" s="601"/>
      <s:c r="EH41" s="601"/>
      <s:c r="EI41" s="601"/>
      <s:c r="EJ41" s="601"/>
      <s:c r="EK41" s="601"/>
      <s:c r="EL41" s="601"/>
      <s:c r="EM41" s="601"/>
      <s:c r="EN41" s="601"/>
      <s:c r="EO41" s="601"/>
      <s:c r="EP41" s="601"/>
      <s:c r="EQ41" s="601"/>
      <s:c r="ER41" s="601"/>
      <s:c r="ES41" s="601"/>
      <s:c r="ET41" s="601"/>
      <s:c r="EU41" s="601"/>
      <s:c r="EV41" s="601"/>
      <s:c r="EW41" s="601"/>
      <s:c r="EX41" s="601"/>
      <s:c r="EY41" s="601"/>
      <s:c r="EZ41" s="601"/>
      <s:c r="FA41" s="601"/>
      <s:c r="FB41" s="601"/>
      <s:c r="FC41" s="601"/>
      <s:c r="FD41" s="601"/>
      <s:c r="FE41" s="601"/>
      <s:c r="FF41" s="601"/>
      <s:c r="FG41" s="601"/>
      <s:c r="FH41" s="601"/>
      <s:c r="FI41" s="601"/>
      <s:c r="FJ41" s="601"/>
      <s:c r="FK41" s="601"/>
      <s:c r="FL41" s="601"/>
      <s:c r="FM41" s="601"/>
      <s:c r="FN41" s="601"/>
      <s:c r="FO41" s="601"/>
      <s:c r="FP41" s="601"/>
      <s:c r="FQ41" s="601"/>
      <s:c r="FR41" s="601"/>
      <s:c r="FS41" s="601"/>
      <s:c r="FT41" s="601"/>
      <s:c r="FU41" s="601"/>
      <s:c r="FV41" s="601"/>
      <s:c r="FW41" s="601"/>
      <s:c r="FX41" s="601"/>
      <s:c r="FY41" s="601"/>
      <s:c r="FZ41" s="601"/>
      <s:c r="GA41" s="601"/>
      <s:c r="GB41" s="601"/>
      <s:c r="GC41" s="601"/>
      <s:c r="GD41" s="601"/>
      <s:c r="GE41" s="601"/>
      <s:c r="GF41" s="601"/>
      <s:c r="GG41" s="601"/>
      <s:c r="GH41" s="601"/>
      <s:c r="GI41" s="601"/>
      <s:c r="GJ41" s="601"/>
      <s:c r="GK41" s="601"/>
      <s:c r="GL41" s="601"/>
      <s:c r="GM41" s="601"/>
      <s:c r="GN41" s="601"/>
      <s:c r="GO41" s="601"/>
      <s:c r="GP41" s="601"/>
      <s:c r="GQ41" s="601"/>
      <s:c r="GR41" s="601"/>
      <s:c r="GS41" s="601"/>
      <s:c r="GT41" s="601"/>
      <s:c r="GU41" s="601"/>
      <s:c r="GV41" s="601"/>
      <s:c r="GW41" s="601"/>
      <s:c r="GX41" s="601"/>
      <s:c r="GY41" s="601"/>
      <s:c r="GZ41" s="601"/>
      <s:c r="HA41" s="601"/>
      <s:c r="HB41" s="601"/>
      <s:c r="HC41" s="601"/>
      <s:c r="HD41" s="601"/>
      <s:c r="HE41" s="601"/>
      <s:c r="HF41" s="601"/>
      <s:c r="HG41" s="601"/>
      <s:c r="HH41" s="601"/>
      <s:c r="HI41" s="601"/>
      <s:c r="HJ41" s="601"/>
      <s:c r="HK41" s="601"/>
      <s:c r="HL41" s="601"/>
      <s:c r="HM41" s="601"/>
      <s:c r="HN41" s="601"/>
      <s:c r="HO41" s="601"/>
      <s:c r="HP41" s="601"/>
      <s:c r="HQ41" s="601"/>
      <s:c r="HR41" s="601"/>
      <s:c r="HS41" s="601"/>
      <s:c r="HT41" s="601"/>
      <s:c r="HU41" s="601"/>
      <s:c r="HV41" s="601"/>
      <s:c r="HW41" s="601"/>
      <s:c r="HX41" s="601"/>
      <s:c r="HY41" s="601"/>
      <s:c r="HZ41" s="601"/>
      <s:c r="IA41" s="601"/>
      <s:c r="IB41" s="601"/>
      <s:c r="IC41" s="601"/>
      <s:c r="ID41" s="601"/>
      <s:c r="IE41" s="601"/>
      <s:c r="IF41" s="601"/>
      <s:c r="IG41" s="601"/>
      <s:c r="IH41" s="601"/>
      <s:c r="II41" s="601"/>
      <s:c r="IJ41" s="601"/>
      <s:c r="IK41" s="601"/>
      <s:c r="IL41" s="601"/>
      <s:c r="IM41" s="601"/>
      <s:c r="IN41" s="601"/>
      <s:c r="IO41" s="601"/>
      <s:c r="IP41" s="601"/>
      <s:c r="IQ41" s="601"/>
      <s:c r="IR41" s="601"/>
      <s:c r="IS41" s="601"/>
      <s:c r="IT41" s="601"/>
      <s:c r="IU41" s="601"/>
      <s:c r="IV41" s="601"/>
      <s:c r="IW41" s="601"/>
      <s:c r="IX41" s="601"/>
      <s:c r="IY41" s="601"/>
      <s:c r="IZ41" s="601"/>
    </s:row>
    <s:row r="42" spans="1:261" s="602" customFormat="1">
      <s:c r="A42" s="536" t="s">
        <s:v>133</s:v>
      </s:c>
      <s:c r="B42" s="584">
        <s:v>46130</s:v>
      </s:c>
      <s:c r="C42" s="585" t="s">
        <s:v>60</s:v>
      </s:c>
      <s:c r="D42" s="751">
        <s:v>38263</s:v>
      </s:c>
      <s:c r="E42" s="590">
        <s:v>7</s:v>
      </s:c>
      <s:c r="F42" s="587">
        <s:f>IF(AND(E42&lt;&gt;"",E42&lt;&gt;0),D42/E42,"")</s:f>
        <s:v>5466.1428571428496</s:v>
      </s:c>
      <s:c r="G42" s="590">
        <s:v>4</s:v>
      </s:c>
      <s:c r="H42" s="587">
        <s:f>IF(AND(G42&lt;&gt;"",G42&lt;&gt;0),D42/G42,"")</s:f>
        <s:v>9565.75</s:v>
      </s:c>
      <s:c r="I42" s="590">
        <s:v>35</s:v>
      </s:c>
      <s:c r="J42" s="588">
        <s:f>IF(AND(G42&lt;&gt;"",G42&lt;&gt;0),E42/G42,"")</s:f>
        <s:v>1.75</s:v>
      </s:c>
      <s:c r="K42" s="589"/>
      <s:c r="L42" s="586"/>
      <s:c r="M42" s="586"/>
      <s:c r="N42" s="586"/>
      <s:c r="O42" s="586"/>
      <s:c r="P42" s="591"/>
      <s:c r="Q42" s="591"/>
      <s:c r="R42" s="587"/>
      <s:c r="S42" s="611"/>
      <s:c r="T42" s="593">
        <s:f>IF(AND(I42&lt;&gt;"",I42&lt;&gt;0),G42/I42,"")</s:f>
        <s:v>0.114285714285714</s:v>
      </s:c>
      <s:c r="U42" s="594">
        <s:f>D42/V42</s:f>
        <s:v>0.91576767980756502</s:v>
      </s:c>
      <s:c r="V42" s="595">
        <s:f>$I$8*AB42*AC42/SUMPRODUCT($AC$25:$AC$55,$AB$25:$AB$55)</s:f>
        <s:v>41782.431116197935</s:v>
      </s:c>
      <s:c r="W42" s="596">
        <s:f>$I$9*AB42*AC42/SUMPRODUCT($AC$25:$AC$55,$AB$25:$AB$55)</s:f>
        <s:v>6.0554247994489758</s:v>
      </s:c>
      <s:c r="X42" s="596">
        <s:f>IF($I$12="","",W42/$I$12)</s:f>
        <s:v>3.5620145879111624</s:v>
      </s:c>
      <s:c r="Y42" s="597">
        <s:f>IF(AB42&lt;&gt;"",IF(D42&lt;&gt;"",D42,($I$8-SUM($Y$25:Y41))*AA42*AB42/SUMPRODUCT($AB42:$AB$55,$AA42:$AA$55)),"")</s:f>
        <s:v>38263</s:v>
      </s:c>
      <s:c r="Z42" s="596">
        <s:f>IF(AC42&lt;&gt;"",IF(E42&lt;&gt;"",E42,($I$9-SUM($Z$25:Z41))*AB42*AC42/SUMPRODUCT($AC42:$AC$55,$AB42:$AB$55)),"")</s:f>
        <s:v>7</s:v>
      </s:c>
      <s:c r="AA42" s="596">
        <s:f>IF(AC42&lt;&gt;"",IF($I$12&lt;&gt;"",IF(G42&lt;&gt;"",G42,($I$9/$I$12-SUM($AA$25:AA41))*AB42*AC42/SUMPRODUCT($AC42:$AC$55,$AB42:$AB$55)),""),"")</s:f>
        <s:v>4</s:v>
      </s:c>
      <s:c r="AB42" s="598">
        <s:v>1</s:v>
      </s:c>
      <s:c r="AC42" s="599">
        <s:v>0.36626816575019644</s:v>
      </s:c>
      <s:c r="AD42" s="600"/>
      <s:c r="AE42" s="600"/>
      <s:c r="AF42" s="601"/>
      <s:c r="AG42" s="601"/>
      <s:c r="AH42" s="601"/>
      <s:c r="AI42" s="601"/>
      <s:c r="AJ42" s="601"/>
      <s:c r="AK42" s="601"/>
      <s:c r="AL42" s="601"/>
      <s:c r="AM42" s="601"/>
      <s:c r="AN42" s="601"/>
      <s:c r="AO42" s="601"/>
      <s:c r="AP42" s="601"/>
      <s:c r="AQ42" s="601"/>
      <s:c r="AR42" s="601"/>
      <s:c r="AS42" s="601"/>
      <s:c r="AT42" s="601"/>
      <s:c r="AU42" s="601"/>
      <s:c r="AV42" s="601"/>
      <s:c r="AW42" s="601"/>
      <s:c r="AX42" s="601"/>
      <s:c r="AY42" s="601"/>
      <s:c r="AZ42" s="601"/>
      <s:c r="BA42" s="601"/>
      <s:c r="BB42" s="601"/>
      <s:c r="BC42" s="601"/>
      <s:c r="BD42" s="601"/>
      <s:c r="BE42" s="601"/>
      <s:c r="BF42" s="601"/>
      <s:c r="BG42" s="601"/>
      <s:c r="BH42" s="601"/>
      <s:c r="BI42" s="601"/>
      <s:c r="BJ42" s="601"/>
      <s:c r="BK42" s="601"/>
      <s:c r="BL42" s="601"/>
      <s:c r="BM42" s="601"/>
      <s:c r="BN42" s="601"/>
      <s:c r="BO42" s="601"/>
      <s:c r="BP42" s="601"/>
      <s:c r="BQ42" s="601"/>
      <s:c r="BR42" s="601"/>
      <s:c r="BS42" s="601"/>
      <s:c r="BT42" s="601"/>
      <s:c r="BU42" s="601"/>
      <s:c r="BV42" s="601"/>
      <s:c r="BW42" s="601"/>
      <s:c r="BX42" s="601"/>
      <s:c r="BY42" s="601"/>
      <s:c r="BZ42" s="601"/>
      <s:c r="CA42" s="601"/>
      <s:c r="CB42" s="601"/>
      <s:c r="CC42" s="601"/>
      <s:c r="CD42" s="601"/>
      <s:c r="CE42" s="601"/>
      <s:c r="CF42" s="601"/>
      <s:c r="CG42" s="601"/>
      <s:c r="CH42" s="601"/>
      <s:c r="CI42" s="601"/>
      <s:c r="CJ42" s="601"/>
      <s:c r="CK42" s="601"/>
      <s:c r="CL42" s="601"/>
      <s:c r="CM42" s="601"/>
      <s:c r="CN42" s="601"/>
      <s:c r="CO42" s="601"/>
      <s:c r="CP42" s="601"/>
      <s:c r="CQ42" s="601"/>
      <s:c r="CR42" s="601"/>
      <s:c r="CS42" s="601"/>
      <s:c r="CT42" s="601"/>
      <s:c r="CU42" s="601"/>
      <s:c r="CV42" s="601"/>
      <s:c r="CW42" s="601"/>
      <s:c r="CX42" s="601"/>
      <s:c r="CY42" s="601"/>
      <s:c r="CZ42" s="601"/>
      <s:c r="DA42" s="601"/>
      <s:c r="DB42" s="601"/>
      <s:c r="DC42" s="601"/>
      <s:c r="DD42" s="601"/>
      <s:c r="DE42" s="601"/>
      <s:c r="DF42" s="601"/>
      <s:c r="DG42" s="601"/>
      <s:c r="DH42" s="601"/>
      <s:c r="DI42" s="601"/>
      <s:c r="DJ42" s="601"/>
      <s:c r="DK42" s="601"/>
      <s:c r="DL42" s="601"/>
      <s:c r="DM42" s="601"/>
      <s:c r="DN42" s="601"/>
      <s:c r="DO42" s="601"/>
      <s:c r="DP42" s="601"/>
      <s:c r="DQ42" s="601"/>
      <s:c r="DR42" s="601"/>
      <s:c r="DS42" s="601"/>
      <s:c r="DT42" s="601"/>
      <s:c r="DU42" s="601"/>
      <s:c r="DV42" s="601"/>
      <s:c r="DW42" s="601"/>
      <s:c r="DX42" s="601"/>
      <s:c r="DY42" s="601"/>
      <s:c r="DZ42" s="601"/>
      <s:c r="EA42" s="601"/>
      <s:c r="EB42" s="601"/>
      <s:c r="EC42" s="601"/>
      <s:c r="ED42" s="601"/>
      <s:c r="EE42" s="601"/>
      <s:c r="EF42" s="601"/>
      <s:c r="EG42" s="601"/>
      <s:c r="EH42" s="601"/>
      <s:c r="EI42" s="601"/>
      <s:c r="EJ42" s="601"/>
      <s:c r="EK42" s="601"/>
      <s:c r="EL42" s="601"/>
      <s:c r="EM42" s="601"/>
      <s:c r="EN42" s="601"/>
      <s:c r="EO42" s="601"/>
      <s:c r="EP42" s="601"/>
      <s:c r="EQ42" s="601"/>
      <s:c r="ER42" s="601"/>
      <s:c r="ES42" s="601"/>
      <s:c r="ET42" s="601"/>
      <s:c r="EU42" s="601"/>
      <s:c r="EV42" s="601"/>
      <s:c r="EW42" s="601"/>
      <s:c r="EX42" s="601"/>
      <s:c r="EY42" s="601"/>
      <s:c r="EZ42" s="601"/>
      <s:c r="FA42" s="601"/>
      <s:c r="FB42" s="601"/>
      <s:c r="FC42" s="601"/>
      <s:c r="FD42" s="601"/>
      <s:c r="FE42" s="601"/>
      <s:c r="FF42" s="601"/>
      <s:c r="FG42" s="601"/>
      <s:c r="FH42" s="601"/>
      <s:c r="FI42" s="601"/>
      <s:c r="FJ42" s="601"/>
      <s:c r="FK42" s="601"/>
      <s:c r="FL42" s="601"/>
      <s:c r="FM42" s="601"/>
      <s:c r="FN42" s="601"/>
      <s:c r="FO42" s="601"/>
      <s:c r="FP42" s="601"/>
      <s:c r="FQ42" s="601"/>
      <s:c r="FR42" s="601"/>
      <s:c r="FS42" s="601"/>
      <s:c r="FT42" s="601"/>
      <s:c r="FU42" s="601"/>
      <s:c r="FV42" s="601"/>
      <s:c r="FW42" s="601"/>
      <s:c r="FX42" s="601"/>
      <s:c r="FY42" s="601"/>
      <s:c r="FZ42" s="601"/>
      <s:c r="GA42" s="601"/>
      <s:c r="GB42" s="601"/>
      <s:c r="GC42" s="601"/>
      <s:c r="GD42" s="601"/>
      <s:c r="GE42" s="601"/>
      <s:c r="GF42" s="601"/>
      <s:c r="GG42" s="601"/>
      <s:c r="GH42" s="601"/>
      <s:c r="GI42" s="601"/>
      <s:c r="GJ42" s="601"/>
      <s:c r="GK42" s="601"/>
      <s:c r="GL42" s="601"/>
      <s:c r="GM42" s="601"/>
      <s:c r="GN42" s="601"/>
      <s:c r="GO42" s="601"/>
      <s:c r="GP42" s="601"/>
      <s:c r="GQ42" s="601"/>
      <s:c r="GR42" s="601"/>
      <s:c r="GS42" s="601"/>
      <s:c r="GT42" s="601"/>
      <s:c r="GU42" s="601"/>
      <s:c r="GV42" s="601"/>
      <s:c r="GW42" s="601"/>
      <s:c r="GX42" s="601"/>
      <s:c r="GY42" s="601"/>
      <s:c r="GZ42" s="601"/>
      <s:c r="HA42" s="601"/>
      <s:c r="HB42" s="601"/>
      <s:c r="HC42" s="601"/>
      <s:c r="HD42" s="601"/>
      <s:c r="HE42" s="601"/>
      <s:c r="HF42" s="601"/>
      <s:c r="HG42" s="601"/>
      <s:c r="HH42" s="601"/>
      <s:c r="HI42" s="601"/>
      <s:c r="HJ42" s="601"/>
      <s:c r="HK42" s="601"/>
      <s:c r="HL42" s="601"/>
      <s:c r="HM42" s="601"/>
      <s:c r="HN42" s="601"/>
      <s:c r="HO42" s="601"/>
      <s:c r="HP42" s="601"/>
      <s:c r="HQ42" s="601"/>
      <s:c r="HR42" s="601"/>
      <s:c r="HS42" s="601"/>
      <s:c r="HT42" s="601"/>
      <s:c r="HU42" s="601"/>
      <s:c r="HV42" s="601"/>
      <s:c r="HW42" s="601"/>
      <s:c r="HX42" s="601"/>
      <s:c r="HY42" s="601"/>
      <s:c r="HZ42" s="601"/>
      <s:c r="IA42" s="601"/>
      <s:c r="IB42" s="601"/>
      <s:c r="IC42" s="601"/>
      <s:c r="ID42" s="601"/>
      <s:c r="IE42" s="601"/>
      <s:c r="IF42" s="601"/>
      <s:c r="IG42" s="601"/>
      <s:c r="IH42" s="601"/>
      <s:c r="II42" s="601"/>
      <s:c r="IJ42" s="601"/>
      <s:c r="IK42" s="601"/>
      <s:c r="IL42" s="601"/>
      <s:c r="IM42" s="601"/>
      <s:c r="IN42" s="601"/>
      <s:c r="IO42" s="601"/>
      <s:c r="IP42" s="601"/>
      <s:c r="IQ42" s="601"/>
      <s:c r="IR42" s="601"/>
      <s:c r="IS42" s="601"/>
      <s:c r="IT42" s="601"/>
      <s:c r="IU42" s="601"/>
      <s:c r="IV42" s="601"/>
      <s:c r="IW42" s="601"/>
      <s:c r="IX42" s="601"/>
      <s:c r="IY42" s="601"/>
      <s:c r="IZ42" s="601"/>
    </s:row>
    <s:row r="43" spans="1:261" s="602" customFormat="1">
      <s:c r="A43" s="536" t="s">
        <s:v>133</s:v>
      </s:c>
      <s:c r="B43" s="584">
        <s:v>46131</s:v>
      </s:c>
      <s:c r="C43" s="585" t="s">
        <s:v>54</s:v>
      </s:c>
      <s:c r="D43" s="755">
        <s:v>38216</s:v>
      </s:c>
      <s:c r="E43" s="586">
        <s:v>6</s:v>
      </s:c>
      <s:c r="F43" s="587">
        <s:f>IF(AND(E43&lt;&gt;"",E43&lt;&gt;0),D43/E43,"")</s:f>
        <s:v>6369.3333333333303</s:v>
      </s:c>
      <s:c r="G43" s="586">
        <s:v>4</s:v>
      </s:c>
      <s:c r="H43" s="587">
        <s:f>IF(AND(G43&lt;&gt;"",G43&lt;&gt;0),D43/G43,"")</s:f>
        <s:v>9554</s:v>
      </s:c>
      <s:c r="I43" s="586">
        <s:v>40</s:v>
      </s:c>
      <s:c r="J43" s="588">
        <s:f>IF(AND(G43&lt;&gt;"",G43&lt;&gt;0),E43/G43,"")</s:f>
        <s:v>1.5</s:v>
      </s:c>
      <s:c r="K43" s="589"/>
      <s:c r="L43" s="586"/>
      <s:c r="M43" s="587"/>
      <s:c r="N43" s="586"/>
      <s:c r="O43" s="586"/>
      <s:c r="P43" s="591"/>
      <s:c r="Q43" s="591"/>
      <s:c r="R43" s="587"/>
      <s:c r="S43" s="611"/>
      <s:c r="T43" s="593">
        <s:f>IF(AND(I43&lt;&gt;"",I43&lt;&gt;0),G43/I43,"")</s:f>
        <s:v>0.1</s:v>
      </s:c>
      <s:c r="U43" s="594">
        <s:f>D43/V43</s:f>
        <s:v>0.55363531213929096</s:v>
      </s:c>
      <s:c r="V43" s="595">
        <s:f>$I$8*AB43*AC43/SUMPRODUCT($AC$25:$AC$55,$AB$25:$AB$55)</s:f>
        <s:v>69027.388900339953</s:v>
      </s:c>
      <s:c r="W43" s="596">
        <s:f>$I$9*AB43*AC43/SUMPRODUCT($AC$25:$AC$55,$AB$25:$AB$55)</s:f>
        <s:v>10.00396940584637</s:v>
      </s:c>
      <s:c r="X43" s="596">
        <s:f>IF($I$12="","",W43/$I$12)</s:f>
        <s:v>5.8846878857919824</s:v>
      </s:c>
      <s:c r="Y43" s="597">
        <s:f>IF(AB43&lt;&gt;"",IF(D43&lt;&gt;"",D43,($I$8-SUM($Y$25:Y42))*AA43*AB43/SUMPRODUCT($AB43:$AB$55,$AA43:$AA$55)),"")</s:f>
        <s:v>38216</s:v>
      </s:c>
      <s:c r="Z43" s="596">
        <s:f>IF(AC43&lt;&gt;"",IF(E43&lt;&gt;"",E43,($I$9-SUM($Z$25:Z42))*AB43*AC43/SUMPRODUCT($AC43:$AC$55,$AB43:$AB$55)),"")</s:f>
        <s:v>6</s:v>
      </s:c>
      <s:c r="AA43" s="596">
        <s:f>IF(AC43&lt;&gt;"",IF($I$12&lt;&gt;"",IF(G43&lt;&gt;"",G43,($I$9/$I$12-SUM($AA$25:AA42))*AB43*AC43/SUMPRODUCT($AC43:$AC$55,$AB43:$AB$55)),""),"")</s:f>
        <s:v>4</s:v>
      </s:c>
      <s:c r="AB43" s="598">
        <s:v>1</s:v>
      </s:c>
      <s:c r="AC43" s="599">
        <s:v>0.60509966614296939</s:v>
      </s:c>
      <s:c r="AD43" s="600"/>
      <s:c r="AE43" s="600"/>
      <s:c r="AF43" s="614"/>
      <s:c r="AG43" s="601"/>
      <s:c r="AH43" s="601"/>
      <s:c r="AI43" s="601"/>
      <s:c r="AJ43" s="601"/>
      <s:c r="AK43" s="601"/>
      <s:c r="AL43" s="601"/>
      <s:c r="AM43" s="601"/>
      <s:c r="AN43" s="601"/>
      <s:c r="AO43" s="601"/>
      <s:c r="AP43" s="601"/>
      <s:c r="AQ43" s="601"/>
      <s:c r="AR43" s="601"/>
      <s:c r="AS43" s="601"/>
      <s:c r="AT43" s="601"/>
      <s:c r="AU43" s="601"/>
      <s:c r="AV43" s="601"/>
      <s:c r="AW43" s="601"/>
      <s:c r="AX43" s="601"/>
      <s:c r="AY43" s="601"/>
      <s:c r="AZ43" s="601"/>
      <s:c r="BA43" s="601"/>
      <s:c r="BB43" s="601"/>
      <s:c r="BC43" s="601"/>
      <s:c r="BD43" s="601"/>
      <s:c r="BE43" s="601"/>
      <s:c r="BF43" s="601"/>
      <s:c r="BG43" s="601"/>
      <s:c r="BH43" s="601"/>
      <s:c r="BI43" s="601"/>
      <s:c r="BJ43" s="601"/>
      <s:c r="BK43" s="601"/>
      <s:c r="BL43" s="601"/>
      <s:c r="BM43" s="601"/>
      <s:c r="BN43" s="601"/>
      <s:c r="BO43" s="601"/>
      <s:c r="BP43" s="601"/>
      <s:c r="BQ43" s="601"/>
      <s:c r="BR43" s="601"/>
      <s:c r="BS43" s="601"/>
      <s:c r="BT43" s="601"/>
      <s:c r="BU43" s="601"/>
      <s:c r="BV43" s="601"/>
      <s:c r="BW43" s="601"/>
      <s:c r="BX43" s="601"/>
      <s:c r="BY43" s="601"/>
      <s:c r="BZ43" s="601"/>
      <s:c r="CA43" s="601"/>
      <s:c r="CB43" s="601"/>
      <s:c r="CC43" s="601"/>
      <s:c r="CD43" s="601"/>
      <s:c r="CE43" s="601"/>
      <s:c r="CF43" s="601"/>
      <s:c r="CG43" s="601"/>
      <s:c r="CH43" s="601"/>
      <s:c r="CI43" s="601"/>
      <s:c r="CJ43" s="601"/>
      <s:c r="CK43" s="601"/>
      <s:c r="CL43" s="601"/>
      <s:c r="CM43" s="601"/>
      <s:c r="CN43" s="601"/>
      <s:c r="CO43" s="601"/>
      <s:c r="CP43" s="601"/>
      <s:c r="CQ43" s="601"/>
      <s:c r="CR43" s="601"/>
      <s:c r="CS43" s="601"/>
      <s:c r="CT43" s="601"/>
      <s:c r="CU43" s="601"/>
      <s:c r="CV43" s="601"/>
      <s:c r="CW43" s="601"/>
      <s:c r="CX43" s="601"/>
      <s:c r="CY43" s="601"/>
      <s:c r="CZ43" s="601"/>
      <s:c r="DA43" s="601"/>
      <s:c r="DB43" s="601"/>
      <s:c r="DC43" s="601"/>
      <s:c r="DD43" s="601"/>
      <s:c r="DE43" s="601"/>
      <s:c r="DF43" s="601"/>
      <s:c r="DG43" s="601"/>
      <s:c r="DH43" s="601"/>
      <s:c r="DI43" s="601"/>
      <s:c r="DJ43" s="601"/>
      <s:c r="DK43" s="601"/>
      <s:c r="DL43" s="601"/>
      <s:c r="DM43" s="601"/>
      <s:c r="DN43" s="601"/>
      <s:c r="DO43" s="601"/>
      <s:c r="DP43" s="601"/>
      <s:c r="DQ43" s="601"/>
      <s:c r="DR43" s="601"/>
      <s:c r="DS43" s="601"/>
      <s:c r="DT43" s="601"/>
      <s:c r="DU43" s="601"/>
      <s:c r="DV43" s="601"/>
      <s:c r="DW43" s="601"/>
      <s:c r="DX43" s="601"/>
      <s:c r="DY43" s="601"/>
      <s:c r="DZ43" s="601"/>
      <s:c r="EA43" s="601"/>
      <s:c r="EB43" s="601"/>
      <s:c r="EC43" s="601"/>
      <s:c r="ED43" s="601"/>
      <s:c r="EE43" s="601"/>
      <s:c r="EF43" s="601"/>
      <s:c r="EG43" s="601"/>
      <s:c r="EH43" s="601"/>
      <s:c r="EI43" s="601"/>
      <s:c r="EJ43" s="601"/>
      <s:c r="EK43" s="601"/>
      <s:c r="EL43" s="601"/>
      <s:c r="EM43" s="601"/>
      <s:c r="EN43" s="601"/>
      <s:c r="EO43" s="601"/>
      <s:c r="EP43" s="601"/>
      <s:c r="EQ43" s="601"/>
      <s:c r="ER43" s="601"/>
      <s:c r="ES43" s="601"/>
      <s:c r="ET43" s="601"/>
      <s:c r="EU43" s="601"/>
      <s:c r="EV43" s="601"/>
      <s:c r="EW43" s="601"/>
      <s:c r="EX43" s="601"/>
      <s:c r="EY43" s="601"/>
      <s:c r="EZ43" s="601"/>
      <s:c r="FA43" s="601"/>
      <s:c r="FB43" s="601"/>
      <s:c r="FC43" s="601"/>
      <s:c r="FD43" s="601"/>
      <s:c r="FE43" s="601"/>
      <s:c r="FF43" s="601"/>
      <s:c r="FG43" s="601"/>
      <s:c r="FH43" s="601"/>
      <s:c r="FI43" s="601"/>
      <s:c r="FJ43" s="601"/>
      <s:c r="FK43" s="601"/>
      <s:c r="FL43" s="601"/>
      <s:c r="FM43" s="601"/>
      <s:c r="FN43" s="601"/>
      <s:c r="FO43" s="601"/>
      <s:c r="FP43" s="601"/>
      <s:c r="FQ43" s="601"/>
      <s:c r="FR43" s="601"/>
      <s:c r="FS43" s="601"/>
      <s:c r="FT43" s="601"/>
      <s:c r="FU43" s="601"/>
      <s:c r="FV43" s="601"/>
      <s:c r="FW43" s="601"/>
      <s:c r="FX43" s="601"/>
      <s:c r="FY43" s="601"/>
      <s:c r="FZ43" s="601"/>
      <s:c r="GA43" s="601"/>
      <s:c r="GB43" s="601"/>
      <s:c r="GC43" s="601"/>
      <s:c r="GD43" s="601"/>
      <s:c r="GE43" s="601"/>
      <s:c r="GF43" s="601"/>
      <s:c r="GG43" s="601"/>
      <s:c r="GH43" s="601"/>
      <s:c r="GI43" s="601"/>
      <s:c r="GJ43" s="601"/>
      <s:c r="GK43" s="601"/>
      <s:c r="GL43" s="601"/>
      <s:c r="GM43" s="601"/>
      <s:c r="GN43" s="601"/>
      <s:c r="GO43" s="601"/>
      <s:c r="GP43" s="601"/>
      <s:c r="GQ43" s="601"/>
      <s:c r="GR43" s="601"/>
      <s:c r="GS43" s="601"/>
      <s:c r="GT43" s="601"/>
      <s:c r="GU43" s="601"/>
      <s:c r="GV43" s="601"/>
      <s:c r="GW43" s="601"/>
      <s:c r="GX43" s="601"/>
      <s:c r="GY43" s="601"/>
      <s:c r="GZ43" s="601"/>
      <s:c r="HA43" s="601"/>
      <s:c r="HB43" s="601"/>
      <s:c r="HC43" s="601"/>
      <s:c r="HD43" s="601"/>
      <s:c r="HE43" s="601"/>
      <s:c r="HF43" s="601"/>
      <s:c r="HG43" s="601"/>
      <s:c r="HH43" s="601"/>
      <s:c r="HI43" s="601"/>
      <s:c r="HJ43" s="601"/>
      <s:c r="HK43" s="601"/>
      <s:c r="HL43" s="601"/>
      <s:c r="HM43" s="601"/>
      <s:c r="HN43" s="601"/>
      <s:c r="HO43" s="601"/>
      <s:c r="HP43" s="601"/>
      <s:c r="HQ43" s="601"/>
      <s:c r="HR43" s="601"/>
      <s:c r="HS43" s="601"/>
      <s:c r="HT43" s="601"/>
      <s:c r="HU43" s="601"/>
      <s:c r="HV43" s="601"/>
      <s:c r="HW43" s="601"/>
      <s:c r="HX43" s="601"/>
      <s:c r="HY43" s="601"/>
      <s:c r="HZ43" s="601"/>
      <s:c r="IA43" s="601"/>
      <s:c r="IB43" s="601"/>
      <s:c r="IC43" s="601"/>
      <s:c r="ID43" s="601"/>
      <s:c r="IE43" s="601"/>
      <s:c r="IF43" s="601"/>
      <s:c r="IG43" s="601"/>
      <s:c r="IH43" s="601"/>
      <s:c r="II43" s="601"/>
      <s:c r="IJ43" s="601"/>
      <s:c r="IK43" s="601"/>
      <s:c r="IL43" s="601"/>
      <s:c r="IM43" s="601"/>
      <s:c r="IN43" s="601"/>
      <s:c r="IO43" s="601"/>
      <s:c r="IP43" s="601"/>
      <s:c r="IQ43" s="601"/>
      <s:c r="IR43" s="601"/>
      <s:c r="IS43" s="601"/>
      <s:c r="IT43" s="601"/>
      <s:c r="IU43" s="601"/>
      <s:c r="IV43" s="601"/>
      <s:c r="IW43" s="601"/>
      <s:c r="IX43" s="601"/>
      <s:c r="IY43" s="601"/>
      <s:c r="IZ43" s="601"/>
    </s:row>
    <s:row r="44">
      <s:c r="A44" s="536" t="s">
        <s:v>138</s:v>
      </s:c>
      <s:c r="B44" s="543">
        <s:v>46132</s:v>
      </s:c>
      <s:c r="C44" s="544" t="s">
        <s:v>55</s:v>
      </s:c>
      <s:c r="D44" s="749">
        <s:v>8793</s:v>
      </s:c>
      <s:c r="E44" s="309">
        <s:v>1</s:v>
      </s:c>
      <s:c r="F44" s="308">
        <s:f>IF(AND(E44&lt;&gt;"",E44&lt;&gt;0),D44/E44,"")</s:f>
        <s:v>8793</s:v>
      </s:c>
      <s:c r="G44" s="309">
        <s:v>1</s:v>
      </s:c>
      <s:c r="H44" s="308">
        <s:f>IF(AND(G44&lt;&gt;"",G44&lt;&gt;0),D44/G44,"")</s:f>
        <s:v>8793</s:v>
      </s:c>
      <s:c r="I44" s="309">
        <s:v>44</s:v>
      </s:c>
      <s:c r="J44" s="375">
        <s:f>IF(AND(G44&lt;&gt;"",G44&lt;&gt;0),E44/G44,"")</s:f>
        <s:v>1</s:v>
      </s:c>
      <s:c r="K44" s="380"/>
      <s:c r="L44" s="309"/>
      <s:c r="M44" s="309">
        <s:v>8793</s:v>
      </s:c>
      <s:c r="N44" s="309"/>
      <s:c r="O44" s="309"/>
      <s:c r="P44" s="307"/>
      <s:c r="Q44" s="307"/>
      <s:c r="R44" s="313"/>
      <s:c r="S44" s="384"/>
      <s:c r="T44" s="550">
        <s:f>IF(AND(I44&lt;&gt;"",I44&lt;&gt;0),G44/I44,"")</s:f>
        <s:v>2.2727272727272728E-2</s:v>
      </s:c>
      <s:c r="U44" s="554">
        <s:f>D44/V44</s:f>
        <s:v>0.174870148840469</s:v>
      </s:c>
      <s:c r="V44" s="489">
        <s:f>$I$8*AB44*AC44/SUMPRODUCT($AC$25:$AC$55,$AB$25:$AB$55)</s:f>
        <s:v>50283.024623154299</s:v>
      </s:c>
      <s:c r="W44" s="563">
        <s:f>$I$9*AB44*AC44/SUMPRODUCT($AC$25:$AC$55,$AB$25:$AB$55)</s:f>
        <s:v>7.2873948729209124</s:v>
      </s:c>
      <s:c r="X44" s="563">
        <s:f>IF($I$12="","",W44/$I$12)</s:f>
        <s:v>4.2867028664240658</s:v>
      </s:c>
      <s:c r="Y44" s="564">
        <s:f>IF(AB44&lt;&gt;"",IF(D44&lt;&gt;"",D44,($I$8-SUM($Y$25:Y43))*AA44*AB44/SUMPRODUCT($AB44:$AB$55,$AA44:$AA$55)),"")</s:f>
        <s:v>8793</s:v>
      </s:c>
      <s:c r="Z44" s="563">
        <s:f>IF(AC44&lt;&gt;"",IF(E44&lt;&gt;"",E44,($I$9-SUM($Z$25:Z43))*AB44*AC44/SUMPRODUCT($AC44:$AC$55,$AB44:$AB$55)),"")</s:f>
        <s:v>1</s:v>
      </s:c>
      <s:c r="AA44" s="563">
        <s:f>IF(AC44&lt;&gt;"",IF($I$12&lt;&gt;"",IF(G44&lt;&gt;"",G44,($I$9/$I$12-SUM($AA$25:AA43))*AB44*AC44/SUMPRODUCT($AC44:$AC$55,$AB44:$AB$55)),""),"")</s:f>
        <s:v>1</s:v>
      </s:c>
      <s:c r="AB44" s="565">
        <s:v>1</s:v>
      </s:c>
      <s:c r="AC44" s="566">
        <s:v>0.44078505498821685</s:v>
      </s:c>
      <s:c r="AD44" s="311"/>
      <s:c r="AE44" s="311"/>
      <s:c r="AF44" s="314"/>
      <s:c r="AG44" s="310"/>
      <s:c r="AH44" s="310"/>
      <s:c r="AI44" s="310"/>
      <s:c r="AJ44" s="310"/>
      <s:c r="AK44" s="310"/>
      <s:c r="AL44" s="310"/>
      <s:c r="AM44" s="310"/>
      <s:c r="AN44" s="310"/>
      <s:c r="AO44" s="310"/>
      <s:c r="AP44" s="310"/>
      <s:c r="AQ44" s="310"/>
      <s:c r="AR44" s="310"/>
      <s:c r="AS44" s="310"/>
      <s:c r="AT44" s="310"/>
      <s:c r="AU44" s="310"/>
      <s:c r="AV44" s="310"/>
      <s:c r="AW44" s="310"/>
      <s:c r="AX44" s="310"/>
      <s:c r="AY44" s="310"/>
      <s:c r="AZ44" s="310"/>
      <s:c r="BA44" s="310"/>
      <s:c r="BB44" s="310"/>
      <s:c r="BC44" s="310"/>
      <s:c r="BD44" s="310"/>
      <s:c r="BE44" s="310"/>
      <s:c r="BF44" s="310"/>
      <s:c r="BG44" s="310"/>
      <s:c r="BH44" s="310"/>
      <s:c r="BI44" s="310"/>
      <s:c r="BJ44" s="310"/>
      <s:c r="BK44" s="310"/>
      <s:c r="BL44" s="310"/>
      <s:c r="BM44" s="310"/>
      <s:c r="BN44" s="310"/>
      <s:c r="BO44" s="310"/>
      <s:c r="BP44" s="310"/>
      <s:c r="BQ44" s="310"/>
      <s:c r="BR44" s="310"/>
      <s:c r="BS44" s="310"/>
      <s:c r="BT44" s="310"/>
      <s:c r="BU44" s="310"/>
      <s:c r="BV44" s="310"/>
      <s:c r="BW44" s="310"/>
      <s:c r="BX44" s="310"/>
      <s:c r="BY44" s="310"/>
      <s:c r="BZ44" s="310"/>
      <s:c r="CA44" s="310"/>
      <s:c r="CB44" s="310"/>
      <s:c r="CC44" s="310"/>
      <s:c r="CD44" s="310"/>
      <s:c r="CE44" s="310"/>
      <s:c r="CF44" s="310"/>
      <s:c r="CG44" s="310"/>
      <s:c r="CH44" s="310"/>
      <s:c r="CI44" s="310"/>
      <s:c r="CJ44" s="310"/>
      <s:c r="CK44" s="310"/>
      <s:c r="CL44" s="310"/>
      <s:c r="CM44" s="310"/>
      <s:c r="CN44" s="310"/>
      <s:c r="CO44" s="310"/>
      <s:c r="CP44" s="310"/>
      <s:c r="CQ44" s="310"/>
      <s:c r="CR44" s="310"/>
      <s:c r="CS44" s="310"/>
      <s:c r="CT44" s="310"/>
      <s:c r="CU44" s="310"/>
      <s:c r="CV44" s="310"/>
      <s:c r="CW44" s="310"/>
      <s:c r="CX44" s="310"/>
      <s:c r="CY44" s="310"/>
      <s:c r="CZ44" s="310"/>
      <s:c r="DA44" s="310"/>
      <s:c r="DB44" s="310"/>
      <s:c r="DC44" s="310"/>
      <s:c r="DD44" s="310"/>
      <s:c r="DE44" s="310"/>
      <s:c r="DF44" s="310"/>
      <s:c r="DG44" s="310"/>
      <s:c r="DH44" s="310"/>
      <s:c r="DI44" s="310"/>
      <s:c r="DJ44" s="310"/>
      <s:c r="DK44" s="310"/>
      <s:c r="DL44" s="310"/>
      <s:c r="DM44" s="310"/>
      <s:c r="DN44" s="310"/>
      <s:c r="DO44" s="310"/>
      <s:c r="DP44" s="310"/>
      <s:c r="DQ44" s="310"/>
      <s:c r="DR44" s="310"/>
      <s:c r="DS44" s="310"/>
      <s:c r="DT44" s="310"/>
      <s:c r="DU44" s="310"/>
      <s:c r="DV44" s="310"/>
      <s:c r="DW44" s="310"/>
      <s:c r="DX44" s="310"/>
      <s:c r="DY44" s="310"/>
      <s:c r="DZ44" s="310"/>
      <s:c r="EA44" s="310"/>
      <s:c r="EB44" s="310"/>
      <s:c r="EC44" s="310"/>
      <s:c r="ED44" s="310"/>
      <s:c r="EE44" s="310"/>
      <s:c r="EF44" s="310"/>
      <s:c r="EG44" s="310"/>
      <s:c r="EH44" s="310"/>
      <s:c r="EI44" s="310"/>
      <s:c r="EJ44" s="310"/>
      <s:c r="EK44" s="310"/>
      <s:c r="EL44" s="310"/>
      <s:c r="EM44" s="310"/>
      <s:c r="EN44" s="310"/>
      <s:c r="EO44" s="310"/>
      <s:c r="EP44" s="310"/>
      <s:c r="EQ44" s="310"/>
      <s:c r="ER44" s="310"/>
      <s:c r="ES44" s="310"/>
      <s:c r="ET44" s="310"/>
      <s:c r="EU44" s="310"/>
      <s:c r="EV44" s="310"/>
      <s:c r="EW44" s="310"/>
      <s:c r="EX44" s="310"/>
      <s:c r="EY44" s="310"/>
      <s:c r="EZ44" s="310"/>
      <s:c r="FA44" s="310"/>
      <s:c r="FB44" s="310"/>
      <s:c r="FC44" s="310"/>
      <s:c r="FD44" s="310"/>
      <s:c r="FE44" s="310"/>
      <s:c r="FF44" s="310"/>
      <s:c r="FG44" s="310"/>
      <s:c r="FH44" s="310"/>
      <s:c r="FI44" s="310"/>
      <s:c r="FJ44" s="310"/>
      <s:c r="FK44" s="310"/>
      <s:c r="FL44" s="310"/>
      <s:c r="FM44" s="310"/>
      <s:c r="FN44" s="310"/>
      <s:c r="FO44" s="310"/>
      <s:c r="FP44" s="310"/>
      <s:c r="FQ44" s="310"/>
      <s:c r="FR44" s="310"/>
      <s:c r="FS44" s="310"/>
      <s:c r="FT44" s="310"/>
      <s:c r="FU44" s="310"/>
      <s:c r="FV44" s="310"/>
      <s:c r="FW44" s="310"/>
      <s:c r="FX44" s="310"/>
      <s:c r="FY44" s="310"/>
      <s:c r="FZ44" s="310"/>
      <s:c r="GA44" s="310"/>
      <s:c r="GB44" s="310"/>
      <s:c r="GC44" s="310"/>
      <s:c r="GD44" s="310"/>
      <s:c r="GE44" s="310"/>
      <s:c r="GF44" s="310"/>
      <s:c r="GG44" s="310"/>
      <s:c r="GH44" s="310"/>
      <s:c r="GI44" s="310"/>
      <s:c r="GJ44" s="310"/>
      <s:c r="GK44" s="310"/>
      <s:c r="GL44" s="310"/>
      <s:c r="GM44" s="310"/>
      <s:c r="GN44" s="310"/>
      <s:c r="GO44" s="310"/>
      <s:c r="GP44" s="310"/>
      <s:c r="GQ44" s="310"/>
      <s:c r="GR44" s="310"/>
      <s:c r="GS44" s="310"/>
      <s:c r="GT44" s="310"/>
      <s:c r="GU44" s="310"/>
      <s:c r="GV44" s="310"/>
      <s:c r="GW44" s="310"/>
      <s:c r="GX44" s="310"/>
      <s:c r="GY44" s="310"/>
      <s:c r="GZ44" s="310"/>
      <s:c r="HA44" s="310"/>
      <s:c r="HB44" s="310"/>
      <s:c r="HC44" s="310"/>
      <s:c r="HD44" s="310"/>
      <s:c r="HE44" s="310"/>
      <s:c r="HF44" s="310"/>
      <s:c r="HG44" s="310"/>
      <s:c r="HH44" s="310"/>
      <s:c r="HI44" s="310"/>
      <s:c r="HJ44" s="310"/>
      <s:c r="HK44" s="310"/>
      <s:c r="HL44" s="310"/>
      <s:c r="HM44" s="310"/>
      <s:c r="HN44" s="310"/>
      <s:c r="HO44" s="310"/>
      <s:c r="HP44" s="310"/>
      <s:c r="HQ44" s="310"/>
      <s:c r="HR44" s="310"/>
      <s:c r="HS44" s="310"/>
      <s:c r="HT44" s="310"/>
      <s:c r="HU44" s="310"/>
      <s:c r="HV44" s="310"/>
      <s:c r="HW44" s="310"/>
      <s:c r="HX44" s="310"/>
      <s:c r="HY44" s="310"/>
      <s:c r="HZ44" s="310"/>
      <s:c r="IA44" s="310"/>
      <s:c r="IB44" s="310"/>
      <s:c r="IC44" s="310"/>
      <s:c r="ID44" s="310"/>
      <s:c r="IE44" s="310"/>
      <s:c r="IF44" s="310"/>
      <s:c r="IG44" s="310"/>
      <s:c r="IH44" s="310"/>
      <s:c r="II44" s="310"/>
      <s:c r="IJ44" s="310"/>
      <s:c r="IK44" s="310"/>
      <s:c r="IL44" s="310"/>
      <s:c r="IM44" s="310"/>
      <s:c r="IN44" s="310"/>
      <s:c r="IO44" s="310"/>
      <s:c r="IP44" s="310"/>
      <s:c r="IQ44" s="310"/>
      <s:c r="IR44" s="310"/>
      <s:c r="IS44" s="310"/>
      <s:c r="IT44" s="310"/>
      <s:c r="IU44" s="310"/>
      <s:c r="IV44" s="310"/>
      <s:c r="IW44" s="310"/>
      <s:c r="IX44" s="310"/>
      <s:c r="IY44" s="310"/>
      <s:c r="IZ44" s="310"/>
      <s:c r="JA44" s="310"/>
    </s:row>
    <s:row r="45">
      <s:c r="A45" s="536" t="s">
        <s:v>139</s:v>
      </s:c>
      <s:c r="B45" s="543">
        <s:v>46133</s:v>
      </s:c>
      <s:c r="C45" s="544" t="s">
        <s:v>56</s:v>
      </s:c>
      <s:c r="D45" s="749">
        <s:v>0</s:v>
      </s:c>
      <s:c r="E45" s="309">
        <s:v>0</s:v>
      </s:c>
      <s:c r="F45" s="308">
        <s:v>0</s:v>
      </s:c>
      <s:c r="G45" s="309">
        <s:v>0</s:v>
      </s:c>
      <s:c r="H45" s="308">
        <s:v>0</s:v>
      </s:c>
      <s:c r="I45" s="309">
        <s:v>41</s:v>
      </s:c>
      <s:c r="J45" s="375" t="str">
        <s:f>IF(AND(G45&lt;&gt;"",G45&lt;&gt;0),E45/G45,"")</s:f>
        <s:v/>
      </s:c>
      <s:c r="K45" s="380"/>
      <s:c r="L45" s="309"/>
      <s:c r="M45" s="309"/>
      <s:c r="N45" s="309"/>
      <s:c r="O45" s="309"/>
      <s:c r="P45" s="307"/>
      <s:c r="Q45" s="307"/>
      <s:c r="R45" s="308"/>
      <s:c r="S45" s="383"/>
      <s:c r="T45" s="550">
        <s:f>IF(AND(I45&lt;&gt;"",I45&lt;&gt;0),G45/I45,"")</s:f>
        <s:v>0</s:v>
      </s:c>
      <s:c r="U45" s="554">
        <s:f>D45/V45</s:f>
        <s:v>0</s:v>
      </s:c>
      <s:c r="V45" s="489">
        <s:f>$I$8*AB45*AC45/SUMPRODUCT($AC$25:$AC$55,$AB$25:$AB$55)</s:f>
        <s:v>13021.742504528753</s:v>
      </s:c>
      <s:c r="W45" s="563">
        <s:f>$I$9*AB45*AC45/SUMPRODUCT($AC$25:$AC$55,$AB$25:$AB$55)</s:f>
        <s:v>1.8872090586273556</s:v>
      </s:c>
      <s:c r="X45" s="563">
        <s:f>IF($I$12="","",W45/$I$12)</s:f>
        <s:v>1.1101229756631503</s:v>
      </s:c>
      <s:c r="Y45" s="564">
        <s:f>IF(AB45&lt;&gt;"",IF(D45&lt;&gt;"",D45,($I$8-SUM($Y$25:Y44))*AA45*AB45/SUMPRODUCT($AB45:$AB$55,$AA45:$AA$55)),"")</s:f>
        <s:v>0</s:v>
      </s:c>
      <s:c r="Z45" s="563">
        <s:f>IF(AC45&lt;&gt;"",IF(E45&lt;&gt;"",E45,($I$9-SUM($Z$25:Z44))*AB45*AC45/SUMPRODUCT($AC45:$AC$55,$AB45:$AB$55)),"")</s:f>
        <s:v>0</s:v>
      </s:c>
      <s:c r="AA45" s="563">
        <s:f>IF(AC45&lt;&gt;"",IF($I$12&lt;&gt;"",IF(G45&lt;&gt;"",G45,($I$9/$I$12-SUM($AA$25:AA44))*AB45*AC45/SUMPRODUCT($AC45:$AC$55,$AB45:$AB$55)),""),"")</s:f>
        <s:v>0</s:v>
      </s:c>
      <s:c r="AB45" s="565">
        <s:v>1</s:v>
      </s:c>
      <s:c r="AC45" s="566">
        <s:v>0.11414964650432051</s:v>
      </s:c>
      <s:c r="AD45" s="311"/>
      <s:c r="AE45" s="311"/>
      <s:c r="AF45" s="314"/>
      <s:c r="AG45" s="310"/>
      <s:c r="AH45" s="310"/>
      <s:c r="AI45" s="310"/>
      <s:c r="AJ45" s="310"/>
      <s:c r="AK45" s="310"/>
      <s:c r="AL45" s="310"/>
      <s:c r="AM45" s="310"/>
      <s:c r="AN45" s="310"/>
      <s:c r="AO45" s="310"/>
      <s:c r="AP45" s="310"/>
      <s:c r="AQ45" s="310"/>
      <s:c r="AR45" s="310"/>
      <s:c r="AS45" s="310"/>
      <s:c r="AT45" s="310"/>
      <s:c r="AU45" s="310"/>
      <s:c r="AV45" s="310"/>
      <s:c r="AW45" s="310"/>
      <s:c r="AX45" s="310"/>
      <s:c r="AY45" s="310"/>
      <s:c r="AZ45" s="310"/>
      <s:c r="BA45" s="310"/>
      <s:c r="BB45" s="310"/>
      <s:c r="BC45" s="310"/>
      <s:c r="BD45" s="310"/>
      <s:c r="BE45" s="310"/>
      <s:c r="BF45" s="310"/>
      <s:c r="BG45" s="310"/>
      <s:c r="BH45" s="310"/>
      <s:c r="BI45" s="310"/>
      <s:c r="BJ45" s="310"/>
      <s:c r="BK45" s="310"/>
      <s:c r="BL45" s="310"/>
      <s:c r="BM45" s="310"/>
      <s:c r="BN45" s="310"/>
      <s:c r="BO45" s="310"/>
      <s:c r="BP45" s="310"/>
      <s:c r="BQ45" s="310"/>
      <s:c r="BR45" s="310"/>
      <s:c r="BS45" s="310"/>
      <s:c r="BT45" s="310"/>
      <s:c r="BU45" s="310"/>
      <s:c r="BV45" s="310"/>
      <s:c r="BW45" s="310"/>
      <s:c r="BX45" s="310"/>
      <s:c r="BY45" s="310"/>
      <s:c r="BZ45" s="310"/>
      <s:c r="CA45" s="310"/>
      <s:c r="CB45" s="310"/>
      <s:c r="CC45" s="310"/>
      <s:c r="CD45" s="310"/>
      <s:c r="CE45" s="310"/>
      <s:c r="CF45" s="310"/>
      <s:c r="CG45" s="310"/>
      <s:c r="CH45" s="310"/>
      <s:c r="CI45" s="310"/>
      <s:c r="CJ45" s="310"/>
      <s:c r="CK45" s="310"/>
      <s:c r="CL45" s="310"/>
      <s:c r="CM45" s="310"/>
      <s:c r="CN45" s="310"/>
      <s:c r="CO45" s="310"/>
      <s:c r="CP45" s="310"/>
      <s:c r="CQ45" s="310"/>
      <s:c r="CR45" s="310"/>
      <s:c r="CS45" s="310"/>
      <s:c r="CT45" s="310"/>
      <s:c r="CU45" s="310"/>
      <s:c r="CV45" s="310"/>
      <s:c r="CW45" s="310"/>
      <s:c r="CX45" s="310"/>
      <s:c r="CY45" s="310"/>
      <s:c r="CZ45" s="310"/>
      <s:c r="DA45" s="310"/>
      <s:c r="DB45" s="310"/>
      <s:c r="DC45" s="310"/>
      <s:c r="DD45" s="310"/>
      <s:c r="DE45" s="310"/>
      <s:c r="DF45" s="310"/>
      <s:c r="DG45" s="310"/>
      <s:c r="DH45" s="310"/>
      <s:c r="DI45" s="310"/>
      <s:c r="DJ45" s="310"/>
      <s:c r="DK45" s="310"/>
      <s:c r="DL45" s="310"/>
      <s:c r="DM45" s="310"/>
      <s:c r="DN45" s="310"/>
      <s:c r="DO45" s="310"/>
      <s:c r="DP45" s="310"/>
      <s:c r="DQ45" s="310"/>
      <s:c r="DR45" s="310"/>
      <s:c r="DS45" s="310"/>
      <s:c r="DT45" s="310"/>
      <s:c r="DU45" s="310"/>
      <s:c r="DV45" s="310"/>
      <s:c r="DW45" s="310"/>
      <s:c r="DX45" s="310"/>
      <s:c r="DY45" s="310"/>
      <s:c r="DZ45" s="310"/>
      <s:c r="EA45" s="310"/>
      <s:c r="EB45" s="310"/>
      <s:c r="EC45" s="310"/>
      <s:c r="ED45" s="310"/>
      <s:c r="EE45" s="310"/>
      <s:c r="EF45" s="310"/>
      <s:c r="EG45" s="310"/>
      <s:c r="EH45" s="310"/>
      <s:c r="EI45" s="310"/>
      <s:c r="EJ45" s="310"/>
      <s:c r="EK45" s="310"/>
      <s:c r="EL45" s="310"/>
      <s:c r="EM45" s="310"/>
      <s:c r="EN45" s="310"/>
      <s:c r="EO45" s="310"/>
      <s:c r="EP45" s="310"/>
      <s:c r="EQ45" s="310"/>
      <s:c r="ER45" s="310"/>
      <s:c r="ES45" s="310"/>
      <s:c r="ET45" s="310"/>
      <s:c r="EU45" s="310"/>
      <s:c r="EV45" s="310"/>
      <s:c r="EW45" s="310"/>
      <s:c r="EX45" s="310"/>
      <s:c r="EY45" s="310"/>
      <s:c r="EZ45" s="310"/>
      <s:c r="FA45" s="310"/>
      <s:c r="FB45" s="310"/>
      <s:c r="FC45" s="310"/>
      <s:c r="FD45" s="310"/>
      <s:c r="FE45" s="310"/>
      <s:c r="FF45" s="310"/>
      <s:c r="FG45" s="310"/>
      <s:c r="FH45" s="310"/>
      <s:c r="FI45" s="310"/>
      <s:c r="FJ45" s="310"/>
      <s:c r="FK45" s="310"/>
      <s:c r="FL45" s="310"/>
      <s:c r="FM45" s="310"/>
      <s:c r="FN45" s="310"/>
      <s:c r="FO45" s="310"/>
      <s:c r="FP45" s="310"/>
      <s:c r="FQ45" s="310"/>
      <s:c r="FR45" s="310"/>
      <s:c r="FS45" s="310"/>
      <s:c r="FT45" s="310"/>
      <s:c r="FU45" s="310"/>
      <s:c r="FV45" s="310"/>
      <s:c r="FW45" s="310"/>
      <s:c r="FX45" s="310"/>
      <s:c r="FY45" s="310"/>
      <s:c r="FZ45" s="310"/>
      <s:c r="GA45" s="310"/>
      <s:c r="GB45" s="310"/>
      <s:c r="GC45" s="310"/>
      <s:c r="GD45" s="310"/>
      <s:c r="GE45" s="310"/>
      <s:c r="GF45" s="310"/>
      <s:c r="GG45" s="310"/>
      <s:c r="GH45" s="310"/>
      <s:c r="GI45" s="310"/>
      <s:c r="GJ45" s="310"/>
      <s:c r="GK45" s="310"/>
      <s:c r="GL45" s="310"/>
      <s:c r="GM45" s="310"/>
      <s:c r="GN45" s="310"/>
      <s:c r="GO45" s="310"/>
      <s:c r="GP45" s="310"/>
      <s:c r="GQ45" s="310"/>
      <s:c r="GR45" s="310"/>
      <s:c r="GS45" s="310"/>
      <s:c r="GT45" s="310"/>
      <s:c r="GU45" s="310"/>
      <s:c r="GV45" s="310"/>
      <s:c r="GW45" s="310"/>
      <s:c r="GX45" s="310"/>
      <s:c r="GY45" s="310"/>
      <s:c r="GZ45" s="310"/>
      <s:c r="HA45" s="310"/>
      <s:c r="HB45" s="310"/>
      <s:c r="HC45" s="310"/>
      <s:c r="HD45" s="310"/>
      <s:c r="HE45" s="310"/>
      <s:c r="HF45" s="310"/>
      <s:c r="HG45" s="310"/>
      <s:c r="HH45" s="310"/>
      <s:c r="HI45" s="310"/>
      <s:c r="HJ45" s="310"/>
      <s:c r="HK45" s="310"/>
      <s:c r="HL45" s="310"/>
      <s:c r="HM45" s="310"/>
      <s:c r="HN45" s="310"/>
      <s:c r="HO45" s="310"/>
      <s:c r="HP45" s="310"/>
      <s:c r="HQ45" s="310"/>
      <s:c r="HR45" s="310"/>
      <s:c r="HS45" s="310"/>
      <s:c r="HT45" s="310"/>
      <s:c r="HU45" s="310"/>
      <s:c r="HV45" s="310"/>
      <s:c r="HW45" s="310"/>
      <s:c r="HX45" s="310"/>
      <s:c r="HY45" s="310"/>
      <s:c r="HZ45" s="310"/>
      <s:c r="IA45" s="310"/>
      <s:c r="IB45" s="310"/>
      <s:c r="IC45" s="310"/>
      <s:c r="ID45" s="310"/>
      <s:c r="IE45" s="310"/>
      <s:c r="IF45" s="310"/>
      <s:c r="IG45" s="310"/>
      <s:c r="IH45" s="310"/>
      <s:c r="II45" s="310"/>
      <s:c r="IJ45" s="310"/>
      <s:c r="IK45" s="310"/>
      <s:c r="IL45" s="310"/>
      <s:c r="IM45" s="310"/>
      <s:c r="IN45" s="310"/>
      <s:c r="IO45" s="310"/>
      <s:c r="IP45" s="310"/>
      <s:c r="IQ45" s="310"/>
      <s:c r="IR45" s="310"/>
      <s:c r="IS45" s="310"/>
      <s:c r="IT45" s="310"/>
      <s:c r="IU45" s="310"/>
      <s:c r="IV45" s="310"/>
      <s:c r="IW45" s="310"/>
      <s:c r="IX45" s="310"/>
      <s:c r="IY45" s="310"/>
      <s:c r="IZ45" s="310"/>
      <s:c r="JA45" s="310"/>
    </s:row>
    <s:row r="46">
      <s:c r="A46" s="536" t="s">
        <s:v>139</s:v>
      </s:c>
      <s:c r="B46" s="543">
        <s:v>46134</s:v>
      </s:c>
      <s:c r="C46" s="544" t="s">
        <s:v>57</s:v>
      </s:c>
      <s:c r="D46" s="749">
        <s:v>57904</s:v>
      </s:c>
      <s:c r="E46" s="309">
        <s:v>9</s:v>
      </s:c>
      <s:c r="F46" s="308">
        <s:f>IF(AND(E46&lt;&gt;"",E46&lt;&gt;0),D46/E46,"")</s:f>
        <s:v>6433.7777777777701</s:v>
      </s:c>
      <s:c r="G46" s="309">
        <s:v>4</s:v>
      </s:c>
      <s:c r="H46" s="308">
        <s:f>IF(AND(G46&lt;&gt;"",G46&lt;&gt;0),D46/G46,"")</s:f>
        <s:v>14476</s:v>
      </s:c>
      <s:c r="I46" s="309">
        <s:v>48</s:v>
      </s:c>
      <s:c r="J46" s="375">
        <s:f>IF(AND(G46&lt;&gt;"",G46&lt;&gt;0),E46/G46,"")</s:f>
        <s:v>2.25</s:v>
      </s:c>
      <s:c r="K46" s="380"/>
      <s:c r="L46" s="309"/>
      <s:c r="M46" s="309"/>
      <s:c r="N46" s="309"/>
      <s:c r="O46" s="309">
        <s:v>9682</s:v>
      </s:c>
      <s:c r="P46" s="307"/>
      <s:c r="Q46" s="307"/>
      <s:c r="R46" s="308"/>
      <s:c r="S46" s="760">
        <s:v>7890</s:v>
      </s:c>
      <s:c r="T46" s="550">
        <s:f>IF(AND(I46&lt;&gt;"",I46&lt;&gt;0),G46/I46,"")</s:f>
        <s:v>8.3333333333333329E-2</s:v>
      </s:c>
      <s:c r="U46" s="554">
        <s:f>D46/V46</s:f>
        <s:v>0.80313968288484705</s:v>
      </s:c>
      <s:c r="V46" s="489">
        <s:f>$I$8*AB46*AC46/SUMPRODUCT($AC$25:$AC$55,$AB$25:$AB$55)</s:f>
        <s:v>72097.04766674088</s:v>
      </s:c>
      <s:c r="W46" s="563">
        <s:f>$I$9*AB46*AC46/SUMPRODUCT($AC$25:$AC$55,$AB$25:$AB$55)</s:f>
        <s:v>10.44884748793346</s:v>
      </s:c>
      <s:c r="X46" s="563">
        <s:f>IF($I$12="","",W46/$I$12)</s:f>
        <s:v>6.1463808752549767</s:v>
      </s:c>
      <s:c r="Y46" s="564">
        <s:f>IF(AB46&lt;&gt;"",IF(D46&lt;&gt;"",D46,($I$8-SUM($Y$25:Y45))*AA46*AB46/SUMPRODUCT($AB46:$AB$55,$AA46:$AA$55)),"")</s:f>
        <s:v>57904</s:v>
      </s:c>
      <s:c r="Z46" s="563">
        <s:f>IF(AC45&lt;&gt;"",IF(E45&lt;&gt;"",E45,($I$9-SUM($Z$25:Z44))*AB45*AC45/SUMPRODUCT($AC45:$AC$55,$AB45:$AB$55)),"")</s:f>
        <s:v>0</s:v>
      </s:c>
      <s:c r="AA46" s="563">
        <s:f>IF(AC45&lt;&gt;"",IF($I$12&lt;&gt;"",IF(G45&lt;&gt;"",G45,($I$9/$I$12-SUM($AA$25:AA44))*AB45*AC45/SUMPRODUCT($AC45:$AC$55,$AB45:$AB$55)),""),"")</s:f>
        <s:v>0</s:v>
      </s:c>
      <s:c r="AB46" s="565">
        <s:v>1</s:v>
      </s:c>
      <s:c r="AC46" s="566">
        <s:v>0.6320085428122546</s:v>
      </s:c>
      <s:c r="AD46" s="311"/>
      <s:c r="AE46" s="311"/>
      <s:c r="AF46" s="314"/>
      <s:c r="AG46" s="310"/>
      <s:c r="AH46" s="310"/>
      <s:c r="AI46" s="310"/>
      <s:c r="AJ46" s="310"/>
      <s:c r="AK46" s="310"/>
      <s:c r="AL46" s="310"/>
      <s:c r="AM46" s="310"/>
      <s:c r="AN46" s="310"/>
      <s:c r="AO46" s="310"/>
      <s:c r="AP46" s="310"/>
      <s:c r="AQ46" s="310"/>
      <s:c r="AR46" s="310"/>
      <s:c r="AS46" s="310"/>
      <s:c r="AT46" s="310"/>
      <s:c r="AU46" s="310"/>
      <s:c r="AV46" s="310"/>
      <s:c r="AW46" s="310"/>
      <s:c r="AX46" s="310"/>
      <s:c r="AY46" s="310"/>
      <s:c r="AZ46" s="310"/>
      <s:c r="BA46" s="310"/>
      <s:c r="BB46" s="310"/>
      <s:c r="BC46" s="310"/>
      <s:c r="BD46" s="310"/>
      <s:c r="BE46" s="310"/>
      <s:c r="BF46" s="310"/>
      <s:c r="BG46" s="310"/>
      <s:c r="BH46" s="310"/>
      <s:c r="BI46" s="310"/>
      <s:c r="BJ46" s="310"/>
      <s:c r="BK46" s="310"/>
      <s:c r="BL46" s="310"/>
      <s:c r="BM46" s="310"/>
      <s:c r="BN46" s="310"/>
      <s:c r="BO46" s="310"/>
      <s:c r="BP46" s="310"/>
      <s:c r="BQ46" s="310"/>
      <s:c r="BR46" s="310"/>
      <s:c r="BS46" s="310"/>
      <s:c r="BT46" s="310"/>
      <s:c r="BU46" s="310"/>
      <s:c r="BV46" s="310"/>
      <s:c r="BW46" s="310"/>
      <s:c r="BX46" s="310"/>
      <s:c r="BY46" s="310"/>
      <s:c r="BZ46" s="310"/>
      <s:c r="CA46" s="310"/>
      <s:c r="CB46" s="310"/>
      <s:c r="CC46" s="310"/>
      <s:c r="CD46" s="310"/>
      <s:c r="CE46" s="310"/>
      <s:c r="CF46" s="310"/>
      <s:c r="CG46" s="310"/>
      <s:c r="CH46" s="310"/>
      <s:c r="CI46" s="310"/>
      <s:c r="CJ46" s="310"/>
      <s:c r="CK46" s="310"/>
      <s:c r="CL46" s="310"/>
      <s:c r="CM46" s="310"/>
      <s:c r="CN46" s="310"/>
      <s:c r="CO46" s="310"/>
      <s:c r="CP46" s="310"/>
      <s:c r="CQ46" s="310"/>
      <s:c r="CR46" s="310"/>
      <s:c r="CS46" s="310"/>
      <s:c r="CT46" s="310"/>
      <s:c r="CU46" s="310"/>
      <s:c r="CV46" s="310"/>
      <s:c r="CW46" s="310"/>
      <s:c r="CX46" s="310"/>
      <s:c r="CY46" s="310"/>
      <s:c r="CZ46" s="310"/>
      <s:c r="DA46" s="310"/>
      <s:c r="DB46" s="310"/>
      <s:c r="DC46" s="310"/>
      <s:c r="DD46" s="310"/>
      <s:c r="DE46" s="310"/>
      <s:c r="DF46" s="310"/>
      <s:c r="DG46" s="310"/>
      <s:c r="DH46" s="310"/>
      <s:c r="DI46" s="310"/>
      <s:c r="DJ46" s="310"/>
      <s:c r="DK46" s="310"/>
      <s:c r="DL46" s="310"/>
      <s:c r="DM46" s="310"/>
      <s:c r="DN46" s="310"/>
      <s:c r="DO46" s="310"/>
      <s:c r="DP46" s="310"/>
      <s:c r="DQ46" s="310"/>
      <s:c r="DR46" s="310"/>
      <s:c r="DS46" s="310"/>
      <s:c r="DT46" s="310"/>
      <s:c r="DU46" s="310"/>
      <s:c r="DV46" s="310"/>
      <s:c r="DW46" s="310"/>
      <s:c r="DX46" s="310"/>
      <s:c r="DY46" s="310"/>
      <s:c r="DZ46" s="310"/>
      <s:c r="EA46" s="310"/>
      <s:c r="EB46" s="310"/>
      <s:c r="EC46" s="310"/>
      <s:c r="ED46" s="310"/>
      <s:c r="EE46" s="310"/>
      <s:c r="EF46" s="310"/>
      <s:c r="EG46" s="310"/>
      <s:c r="EH46" s="310"/>
      <s:c r="EI46" s="310"/>
      <s:c r="EJ46" s="310"/>
      <s:c r="EK46" s="310"/>
      <s:c r="EL46" s="310"/>
      <s:c r="EM46" s="310"/>
      <s:c r="EN46" s="310"/>
      <s:c r="EO46" s="310"/>
      <s:c r="EP46" s="310"/>
      <s:c r="EQ46" s="310"/>
      <s:c r="ER46" s="310"/>
      <s:c r="ES46" s="310"/>
      <s:c r="ET46" s="310"/>
      <s:c r="EU46" s="310"/>
      <s:c r="EV46" s="310"/>
      <s:c r="EW46" s="310"/>
      <s:c r="EX46" s="310"/>
      <s:c r="EY46" s="310"/>
      <s:c r="EZ46" s="310"/>
      <s:c r="FA46" s="310"/>
      <s:c r="FB46" s="310"/>
      <s:c r="FC46" s="310"/>
      <s:c r="FD46" s="310"/>
      <s:c r="FE46" s="310"/>
      <s:c r="FF46" s="310"/>
      <s:c r="FG46" s="310"/>
      <s:c r="FH46" s="310"/>
      <s:c r="FI46" s="310"/>
      <s:c r="FJ46" s="310"/>
      <s:c r="FK46" s="310"/>
      <s:c r="FL46" s="310"/>
      <s:c r="FM46" s="310"/>
      <s:c r="FN46" s="310"/>
      <s:c r="FO46" s="310"/>
      <s:c r="FP46" s="310"/>
      <s:c r="FQ46" s="310"/>
      <s:c r="FR46" s="310"/>
      <s:c r="FS46" s="310"/>
      <s:c r="FT46" s="310"/>
      <s:c r="FU46" s="310"/>
      <s:c r="FV46" s="310"/>
      <s:c r="FW46" s="310"/>
      <s:c r="FX46" s="310"/>
      <s:c r="FY46" s="310"/>
      <s:c r="FZ46" s="310"/>
      <s:c r="GA46" s="310"/>
      <s:c r="GB46" s="310"/>
      <s:c r="GC46" s="310"/>
      <s:c r="GD46" s="310"/>
      <s:c r="GE46" s="310"/>
      <s:c r="GF46" s="310"/>
      <s:c r="GG46" s="310"/>
      <s:c r="GH46" s="310"/>
      <s:c r="GI46" s="310"/>
      <s:c r="GJ46" s="310"/>
      <s:c r="GK46" s="310"/>
      <s:c r="GL46" s="310"/>
      <s:c r="GM46" s="310"/>
      <s:c r="GN46" s="310"/>
      <s:c r="GO46" s="310"/>
      <s:c r="GP46" s="310"/>
      <s:c r="GQ46" s="310"/>
      <s:c r="GR46" s="310"/>
      <s:c r="GS46" s="310"/>
      <s:c r="GT46" s="310"/>
      <s:c r="GU46" s="310"/>
      <s:c r="GV46" s="310"/>
      <s:c r="GW46" s="310"/>
      <s:c r="GX46" s="310"/>
      <s:c r="GY46" s="310"/>
      <s:c r="GZ46" s="310"/>
      <s:c r="HA46" s="310"/>
      <s:c r="HB46" s="310"/>
      <s:c r="HC46" s="310"/>
      <s:c r="HD46" s="310"/>
      <s:c r="HE46" s="310"/>
      <s:c r="HF46" s="310"/>
      <s:c r="HG46" s="310"/>
      <s:c r="HH46" s="310"/>
      <s:c r="HI46" s="310"/>
      <s:c r="HJ46" s="310"/>
      <s:c r="HK46" s="310"/>
      <s:c r="HL46" s="310"/>
      <s:c r="HM46" s="310"/>
      <s:c r="HN46" s="310"/>
      <s:c r="HO46" s="310"/>
      <s:c r="HP46" s="310"/>
      <s:c r="HQ46" s="310"/>
      <s:c r="HR46" s="310"/>
      <s:c r="HS46" s="310"/>
      <s:c r="HT46" s="310"/>
      <s:c r="HU46" s="310"/>
      <s:c r="HV46" s="310"/>
      <s:c r="HW46" s="310"/>
      <s:c r="HX46" s="310"/>
      <s:c r="HY46" s="310"/>
      <s:c r="HZ46" s="310"/>
      <s:c r="IA46" s="310"/>
      <s:c r="IB46" s="310"/>
      <s:c r="IC46" s="310"/>
      <s:c r="ID46" s="310"/>
      <s:c r="IE46" s="310"/>
      <s:c r="IF46" s="310"/>
      <s:c r="IG46" s="310"/>
      <s:c r="IH46" s="310"/>
      <s:c r="II46" s="310"/>
      <s:c r="IJ46" s="310"/>
      <s:c r="IK46" s="310"/>
      <s:c r="IL46" s="310"/>
      <s:c r="IM46" s="310"/>
      <s:c r="IN46" s="310"/>
      <s:c r="IO46" s="310"/>
      <s:c r="IP46" s="310"/>
      <s:c r="IQ46" s="310"/>
      <s:c r="IR46" s="310"/>
      <s:c r="IS46" s="310"/>
      <s:c r="IT46" s="310"/>
      <s:c r="IU46" s="310"/>
      <s:c r="IV46" s="310"/>
      <s:c r="IW46" s="310"/>
      <s:c r="IX46" s="310"/>
      <s:c r="IY46" s="310"/>
      <s:c r="IZ46" s="310"/>
      <s:c r="JA46" s="310"/>
    </s:row>
    <s:row r="47">
      <s:c r="A47" s="536" t="s">
        <s:v>139</s:v>
      </s:c>
      <s:c r="B47" s="543">
        <s:v>46135</s:v>
      </s:c>
      <s:c r="C47" s="544" t="s">
        <s:v>58</s:v>
      </s:c>
      <s:c r="D47" s="756">
        <s:v>12086</s:v>
      </s:c>
      <s:c r="E47" s="309">
        <s:v>2</s:v>
      </s:c>
      <s:c r="F47" s="308">
        <s:f>IF(AND(E47&lt;&gt;"",E47&lt;&gt;0),D47/E47,"")</s:f>
        <s:v>6043</s:v>
      </s:c>
      <s:c r="G47" s="309">
        <s:v>2</s:v>
      </s:c>
      <s:c r="H47" s="308">
        <s:f>IF(AND(G47&lt;&gt;"",G47&lt;&gt;0),D47/G47,"")</s:f>
        <s:v>6043</s:v>
      </s:c>
      <s:c r="I47" s="309">
        <s:v>52</s:v>
      </s:c>
      <s:c r="J47" s="375">
        <s:f>IF(AND(G47&lt;&gt;"",G47&lt;&gt;0),E47/G47,"")</s:f>
        <s:v>1</s:v>
      </s:c>
      <s:c r="K47" s="380"/>
      <s:c r="L47" s="309"/>
      <s:c r="M47" s="309"/>
      <s:c r="N47" s="309"/>
      <s:c r="O47" s="309"/>
      <s:c r="P47" s="307"/>
      <s:c r="Q47" s="307"/>
      <s:c r="R47" s="308"/>
      <s:c r="S47" s="383"/>
      <s:c r="T47" s="550">
        <s:f>IF(AND(I47&lt;&gt;"",I47&lt;&gt;0),G47/I47,"")</s:f>
        <s:v>3.8461538461538464E-2</s:v>
      </s:c>
      <s:c r="U47" s="554">
        <s:f>D47/V47</s:f>
        <s:v>0.215665952511919</s:v>
      </s:c>
      <s:c r="V47" s="489">
        <s:f>$I$8*AB47*AC47/SUMPRODUCT($AC$25:$AC$55,$AB$25:$AB$55)</s:f>
        <s:v>56040.371042489947</s:v>
      </s:c>
      <s:c r="W47" s="563">
        <s:f>$I$9*AB47*AC47/SUMPRODUCT($AC$25:$AC$55,$AB$25:$AB$55)</s:f>
        <s:v>8.1217929047086876</s:v>
      </s:c>
      <s:c r="X47" s="563">
        <s:f>IF($I$12="","",W47/$I$12)</s:f>
        <s:v>4.7775252380639337</s:v>
      </s:c>
      <s:c r="Y47" s="564">
        <s:f>IF(AB47&lt;&gt;"",IF(D47&lt;&gt;"",D47,($I$8-SUM($Y$25:Y46))*AA47*AB47/SUMPRODUCT($AB47:$AB$55,$AA47:$AA$55)),"")</s:f>
        <s:v>12086</s:v>
      </s:c>
      <s:c r="Z47" s="563">
        <s:f>IF(AC47&lt;&gt;"",IF(E47&lt;&gt;"",E47,($I$9-SUM($Z$25:Z46))*AB47*AC47/SUMPRODUCT($AC47:$AC$55,$AB47:$AB$55)),"")</s:f>
        <s:v>2</s:v>
      </s:c>
      <s:c r="AA47" s="563">
        <s:f>IF(AC47&lt;&gt;"",IF($I$12&lt;&gt;"",IF(G47&lt;&gt;"",G47,($I$9/$I$12-SUM($AA$25:AA46))*AB47*AC47/SUMPRODUCT($AC47:$AC$55,$AB47:$AB$55)),""),"")</s:f>
        <s:v>2</s:v>
      </s:c>
      <s:c r="AB47" s="565">
        <s:v>1</s:v>
      </s:c>
      <s:c r="AC47" s="566">
        <s:v>0.49125441869599379</s:v>
      </s:c>
      <s:c r="AD47" s="311"/>
      <s:c r="AE47" s="311"/>
      <s:c r="AF47" s="314"/>
      <s:c r="AG47" s="310"/>
      <s:c r="AH47" s="310"/>
      <s:c r="AI47" s="310"/>
      <s:c r="AJ47" s="310"/>
      <s:c r="AK47" s="310"/>
      <s:c r="AL47" s="310"/>
      <s:c r="AM47" s="310"/>
      <s:c r="AN47" s="310"/>
      <s:c r="AO47" s="310"/>
      <s:c r="AP47" s="310"/>
      <s:c r="AQ47" s="310"/>
      <s:c r="AR47" s="310"/>
      <s:c r="AS47" s="310"/>
      <s:c r="AT47" s="310"/>
      <s:c r="AU47" s="310"/>
      <s:c r="AV47" s="310"/>
      <s:c r="AW47" s="310"/>
      <s:c r="AX47" s="310"/>
      <s:c r="AY47" s="310"/>
      <s:c r="AZ47" s="310"/>
      <s:c r="BA47" s="310"/>
      <s:c r="BB47" s="310"/>
      <s:c r="BC47" s="310"/>
      <s:c r="BD47" s="310"/>
      <s:c r="BE47" s="310"/>
      <s:c r="BF47" s="310"/>
      <s:c r="BG47" s="310"/>
      <s:c r="BH47" s="310"/>
      <s:c r="BI47" s="310"/>
      <s:c r="BJ47" s="310"/>
      <s:c r="BK47" s="310"/>
      <s:c r="BL47" s="310"/>
      <s:c r="BM47" s="310"/>
      <s:c r="BN47" s="310"/>
      <s:c r="BO47" s="310"/>
      <s:c r="BP47" s="310"/>
      <s:c r="BQ47" s="310"/>
      <s:c r="BR47" s="310"/>
      <s:c r="BS47" s="310"/>
      <s:c r="BT47" s="310"/>
      <s:c r="BU47" s="310"/>
      <s:c r="BV47" s="310"/>
      <s:c r="BW47" s="310"/>
      <s:c r="BX47" s="310"/>
      <s:c r="BY47" s="310"/>
      <s:c r="BZ47" s="310"/>
      <s:c r="CA47" s="310"/>
      <s:c r="CB47" s="310"/>
      <s:c r="CC47" s="310"/>
      <s:c r="CD47" s="310"/>
      <s:c r="CE47" s="310"/>
      <s:c r="CF47" s="310"/>
      <s:c r="CG47" s="310"/>
      <s:c r="CH47" s="310"/>
      <s:c r="CI47" s="310"/>
      <s:c r="CJ47" s="310"/>
      <s:c r="CK47" s="310"/>
      <s:c r="CL47" s="310"/>
      <s:c r="CM47" s="310"/>
      <s:c r="CN47" s="310"/>
      <s:c r="CO47" s="310"/>
      <s:c r="CP47" s="310"/>
      <s:c r="CQ47" s="310"/>
      <s:c r="CR47" s="310"/>
      <s:c r="CS47" s="310"/>
      <s:c r="CT47" s="310"/>
      <s:c r="CU47" s="310"/>
      <s:c r="CV47" s="310"/>
      <s:c r="CW47" s="310"/>
      <s:c r="CX47" s="310"/>
      <s:c r="CY47" s="310"/>
      <s:c r="CZ47" s="310"/>
      <s:c r="DA47" s="310"/>
      <s:c r="DB47" s="310"/>
      <s:c r="DC47" s="310"/>
      <s:c r="DD47" s="310"/>
      <s:c r="DE47" s="310"/>
      <s:c r="DF47" s="310"/>
      <s:c r="DG47" s="310"/>
      <s:c r="DH47" s="310"/>
      <s:c r="DI47" s="310"/>
      <s:c r="DJ47" s="310"/>
      <s:c r="DK47" s="310"/>
      <s:c r="DL47" s="310"/>
      <s:c r="DM47" s="310"/>
      <s:c r="DN47" s="310"/>
      <s:c r="DO47" s="310"/>
      <s:c r="DP47" s="310"/>
      <s:c r="DQ47" s="310"/>
      <s:c r="DR47" s="310"/>
      <s:c r="DS47" s="310"/>
      <s:c r="DT47" s="310"/>
      <s:c r="DU47" s="310"/>
      <s:c r="DV47" s="310"/>
      <s:c r="DW47" s="310"/>
      <s:c r="DX47" s="310"/>
      <s:c r="DY47" s="310"/>
      <s:c r="DZ47" s="310"/>
      <s:c r="EA47" s="310"/>
      <s:c r="EB47" s="310"/>
      <s:c r="EC47" s="310"/>
      <s:c r="ED47" s="310"/>
      <s:c r="EE47" s="310"/>
      <s:c r="EF47" s="310"/>
      <s:c r="EG47" s="310"/>
      <s:c r="EH47" s="310"/>
      <s:c r="EI47" s="310"/>
      <s:c r="EJ47" s="310"/>
      <s:c r="EK47" s="310"/>
      <s:c r="EL47" s="310"/>
      <s:c r="EM47" s="310"/>
      <s:c r="EN47" s="310"/>
      <s:c r="EO47" s="310"/>
      <s:c r="EP47" s="310"/>
      <s:c r="EQ47" s="310"/>
      <s:c r="ER47" s="310"/>
      <s:c r="ES47" s="310"/>
      <s:c r="ET47" s="310"/>
      <s:c r="EU47" s="310"/>
      <s:c r="EV47" s="310"/>
      <s:c r="EW47" s="310"/>
      <s:c r="EX47" s="310"/>
      <s:c r="EY47" s="310"/>
      <s:c r="EZ47" s="310"/>
      <s:c r="FA47" s="310"/>
      <s:c r="FB47" s="310"/>
      <s:c r="FC47" s="310"/>
      <s:c r="FD47" s="310"/>
      <s:c r="FE47" s="310"/>
      <s:c r="FF47" s="310"/>
      <s:c r="FG47" s="310"/>
      <s:c r="FH47" s="310"/>
      <s:c r="FI47" s="310"/>
      <s:c r="FJ47" s="310"/>
      <s:c r="FK47" s="310"/>
      <s:c r="FL47" s="310"/>
      <s:c r="FM47" s="310"/>
      <s:c r="FN47" s="310"/>
      <s:c r="FO47" s="310"/>
      <s:c r="FP47" s="310"/>
      <s:c r="FQ47" s="310"/>
      <s:c r="FR47" s="310"/>
      <s:c r="FS47" s="310"/>
      <s:c r="FT47" s="310"/>
      <s:c r="FU47" s="310"/>
      <s:c r="FV47" s="310"/>
      <s:c r="FW47" s="310"/>
      <s:c r="FX47" s="310"/>
      <s:c r="FY47" s="310"/>
      <s:c r="FZ47" s="310"/>
      <s:c r="GA47" s="310"/>
      <s:c r="GB47" s="310"/>
      <s:c r="GC47" s="310"/>
      <s:c r="GD47" s="310"/>
      <s:c r="GE47" s="310"/>
      <s:c r="GF47" s="310"/>
      <s:c r="GG47" s="310"/>
      <s:c r="GH47" s="310"/>
      <s:c r="GI47" s="310"/>
      <s:c r="GJ47" s="310"/>
      <s:c r="GK47" s="310"/>
      <s:c r="GL47" s="310"/>
      <s:c r="GM47" s="310"/>
      <s:c r="GN47" s="310"/>
      <s:c r="GO47" s="310"/>
      <s:c r="GP47" s="310"/>
      <s:c r="GQ47" s="310"/>
      <s:c r="GR47" s="310"/>
      <s:c r="GS47" s="310"/>
      <s:c r="GT47" s="310"/>
      <s:c r="GU47" s="310"/>
      <s:c r="GV47" s="310"/>
      <s:c r="GW47" s="310"/>
      <s:c r="GX47" s="310"/>
      <s:c r="GY47" s="310"/>
      <s:c r="GZ47" s="310"/>
      <s:c r="HA47" s="310"/>
      <s:c r="HB47" s="310"/>
      <s:c r="HC47" s="310"/>
      <s:c r="HD47" s="310"/>
      <s:c r="HE47" s="310"/>
      <s:c r="HF47" s="310"/>
      <s:c r="HG47" s="310"/>
      <s:c r="HH47" s="310"/>
      <s:c r="HI47" s="310"/>
      <s:c r="HJ47" s="310"/>
      <s:c r="HK47" s="310"/>
      <s:c r="HL47" s="310"/>
      <s:c r="HM47" s="310"/>
      <s:c r="HN47" s="310"/>
      <s:c r="HO47" s="310"/>
      <s:c r="HP47" s="310"/>
      <s:c r="HQ47" s="310"/>
      <s:c r="HR47" s="310"/>
      <s:c r="HS47" s="310"/>
      <s:c r="HT47" s="310"/>
      <s:c r="HU47" s="310"/>
      <s:c r="HV47" s="310"/>
      <s:c r="HW47" s="310"/>
      <s:c r="HX47" s="310"/>
      <s:c r="HY47" s="310"/>
      <s:c r="HZ47" s="310"/>
      <s:c r="IA47" s="310"/>
      <s:c r="IB47" s="310"/>
      <s:c r="IC47" s="310"/>
      <s:c r="ID47" s="310"/>
      <s:c r="IE47" s="310"/>
      <s:c r="IF47" s="310"/>
      <s:c r="IG47" s="310"/>
      <s:c r="IH47" s="310"/>
      <s:c r="II47" s="310"/>
      <s:c r="IJ47" s="310"/>
      <s:c r="IK47" s="310"/>
      <s:c r="IL47" s="310"/>
      <s:c r="IM47" s="310"/>
      <s:c r="IN47" s="310"/>
      <s:c r="IO47" s="310"/>
      <s:c r="IP47" s="310"/>
      <s:c r="IQ47" s="310"/>
      <s:c r="IR47" s="310"/>
      <s:c r="IS47" s="310"/>
      <s:c r="IT47" s="310"/>
      <s:c r="IU47" s="310"/>
      <s:c r="IV47" s="310"/>
      <s:c r="IW47" s="310"/>
      <s:c r="IX47" s="310"/>
      <s:c r="IY47" s="310"/>
      <s:c r="IZ47" s="310"/>
    </s:row>
    <s:row r="48" spans="1:261" s="602" customFormat="1">
      <s:c r="A48" s="537" t="s">
        <s:v>133</s:v>
      </s:c>
      <s:c r="B48" s="584">
        <s:v>46136</s:v>
      </s:c>
      <s:c r="C48" s="585" t="s">
        <s:v>59</s:v>
      </s:c>
      <s:c r="D48" s="757">
        <s:v>27886</s:v>
      </s:c>
      <s:c r="E48" s="615">
        <s:v>4</s:v>
      </s:c>
      <s:c r="F48" s="616">
        <s:f>IF(AND(E48&lt;&gt;"",E48&lt;&gt;0),D48/E48,"")</s:f>
        <s:v>6971.5</s:v>
      </s:c>
      <s:c r="G48" s="615">
        <s:v>3</s:v>
      </s:c>
      <s:c r="H48" s="616">
        <s:f>IF(AND(G48&lt;&gt;"",G48&lt;&gt;0),D48/G48,"")</s:f>
        <s:v>9295.3333333333339</s:v>
      </s:c>
      <s:c r="I48" s="615">
        <s:v>44</s:v>
      </s:c>
      <s:c r="J48" s="617">
        <s:f>IF(AND(G48&lt;&gt;"",G48&lt;&gt;0),E48/G48,"")</s:f>
        <s:v>1.3333333333333299</s:v>
      </s:c>
      <s:c r="K48" s="618"/>
      <s:c r="L48" s="615"/>
      <s:c r="M48" s="615"/>
      <s:c r="N48" s="615"/>
      <s:c r="O48" s="615">
        <s:v>12593</s:v>
      </s:c>
      <s:c r="P48" s="619"/>
      <s:c r="Q48" s="619"/>
      <s:c r="R48" s="616"/>
      <s:c r="S48" s="620"/>
      <s:c r="T48" s="621">
        <s:f>IF(AND(I48&lt;&gt;"",I48&lt;&gt;0),G48/I48,"")</s:f>
        <s:v>6.8181818181818177E-2</s:v>
      </s:c>
      <s:c r="U48" s="622">
        <s:f>D48/V48</s:f>
        <s:v>0.83656516152768379</s:v>
      </s:c>
      <s:c r="V48" s="595">
        <s:f>$I$8*AB48*AC48/SUMPRODUCT($AC$25:$AC$55,$AB$25:$AB$55)</s:f>
        <s:v>33333.924579259678</s:v>
      </s:c>
      <s:c r="W48" s="596">
        <s:f>$I$9*AB48*AC48/SUMPRODUCT($AC$25:$AC$55,$AB$25:$AB$55)</s:f>
        <s:v>4.8310035622115475</s:v>
      </s:c>
      <s:c r="X48" s="596">
        <s:f>IF($I$12="","",W48/$I$12)</s:f>
        <s:v>2.8417668013009103</s:v>
      </s:c>
      <s:c r="Y48" s="597">
        <s:f>IF(AB48&lt;&gt;"",IF(D48&lt;&gt;"",D48,($I$8-SUM($Y$25:Y47))*AA48*AB48/SUMPRODUCT($AB48:$AB$55,$AA48:$AA$55)),"")</s:f>
        <s:v>27886</s:v>
      </s:c>
      <s:c r="Z48" s="623">
        <s:f>IF(AC48&lt;&gt;"",IF(E48&lt;&gt;"",E48,($I$9-SUM($Z$25:Z47))*AB48*AC48/SUMPRODUCT($AC48:$AC$55,$AB48:$AB$55)),"")</s:f>
        <s:v>4</s:v>
      </s:c>
      <s:c r="AA48" s="623">
        <s:f>IF(AC48&lt;&gt;"",IF($I$12&lt;&gt;"",IF(G48&lt;&gt;"",G48,($I$9/$I$12-SUM($AA$25:AA47))*AB48*AC48/SUMPRODUCT($AC48:$AC$55,$AB48:$AB$55)),""),"")</s:f>
        <s:v>3</s:v>
      </s:c>
      <s:c r="AB48" s="598">
        <s:v>1</s:v>
      </s:c>
      <s:c r="AC48" s="599">
        <s:v>0.29220787509819329</s:v>
      </s:c>
      <s:c r="AD48" s="624"/>
      <s:c r="AE48" s="624"/>
      <s:c r="AF48" s="625"/>
      <s:c r="AG48" s="626"/>
      <s:c r="AH48" s="626"/>
      <s:c r="AI48" s="626"/>
      <s:c r="AJ48" s="626"/>
      <s:c r="AK48" s="626"/>
      <s:c r="AL48" s="626"/>
      <s:c r="AM48" s="626"/>
      <s:c r="AN48" s="626"/>
      <s:c r="AO48" s="626"/>
      <s:c r="AP48" s="626"/>
      <s:c r="AQ48" s="626"/>
      <s:c r="AR48" s="626"/>
      <s:c r="AS48" s="626"/>
      <s:c r="AT48" s="626"/>
      <s:c r="AU48" s="626"/>
      <s:c r="AV48" s="626"/>
      <s:c r="AW48" s="626"/>
      <s:c r="AX48" s="626"/>
      <s:c r="AY48" s="626"/>
      <s:c r="AZ48" s="626"/>
      <s:c r="BA48" s="626"/>
      <s:c r="BB48" s="626"/>
      <s:c r="BC48" s="626"/>
      <s:c r="BD48" s="626"/>
      <s:c r="BE48" s="626"/>
      <s:c r="BF48" s="626"/>
      <s:c r="BG48" s="626"/>
      <s:c r="BH48" s="626"/>
      <s:c r="BI48" s="626"/>
      <s:c r="BJ48" s="626"/>
      <s:c r="BK48" s="626"/>
      <s:c r="BL48" s="626"/>
      <s:c r="BM48" s="626"/>
      <s:c r="BN48" s="626"/>
      <s:c r="BO48" s="626"/>
      <s:c r="BP48" s="626"/>
      <s:c r="BQ48" s="626"/>
      <s:c r="BR48" s="626"/>
      <s:c r="BS48" s="626"/>
      <s:c r="BT48" s="626"/>
      <s:c r="BU48" s="626"/>
      <s:c r="BV48" s="626"/>
      <s:c r="BW48" s="626"/>
      <s:c r="BX48" s="626"/>
      <s:c r="BY48" s="626"/>
      <s:c r="BZ48" s="626"/>
      <s:c r="CA48" s="626"/>
      <s:c r="CB48" s="626"/>
      <s:c r="CC48" s="626"/>
      <s:c r="CD48" s="626"/>
      <s:c r="CE48" s="626"/>
      <s:c r="CF48" s="626"/>
      <s:c r="CG48" s="626"/>
      <s:c r="CH48" s="626"/>
      <s:c r="CI48" s="626"/>
      <s:c r="CJ48" s="626"/>
      <s:c r="CK48" s="626"/>
      <s:c r="CL48" s="626"/>
      <s:c r="CM48" s="626"/>
      <s:c r="CN48" s="626"/>
      <s:c r="CO48" s="626"/>
      <s:c r="CP48" s="626"/>
      <s:c r="CQ48" s="626"/>
      <s:c r="CR48" s="626"/>
      <s:c r="CS48" s="626"/>
      <s:c r="CT48" s="626"/>
      <s:c r="CU48" s="626"/>
      <s:c r="CV48" s="626"/>
      <s:c r="CW48" s="626"/>
      <s:c r="CX48" s="626"/>
      <s:c r="CY48" s="626"/>
      <s:c r="CZ48" s="626"/>
      <s:c r="DA48" s="626"/>
      <s:c r="DB48" s="626"/>
      <s:c r="DC48" s="626"/>
      <s:c r="DD48" s="626"/>
      <s:c r="DE48" s="626"/>
      <s:c r="DF48" s="626"/>
      <s:c r="DG48" s="626"/>
      <s:c r="DH48" s="626"/>
      <s:c r="DI48" s="626"/>
      <s:c r="DJ48" s="626"/>
      <s:c r="DK48" s="626"/>
      <s:c r="DL48" s="626"/>
      <s:c r="DM48" s="626"/>
      <s:c r="DN48" s="626"/>
      <s:c r="DO48" s="626"/>
      <s:c r="DP48" s="626"/>
      <s:c r="DQ48" s="626"/>
      <s:c r="DR48" s="626"/>
      <s:c r="DS48" s="626"/>
      <s:c r="DT48" s="626"/>
      <s:c r="DU48" s="626"/>
      <s:c r="DV48" s="626"/>
      <s:c r="DW48" s="626"/>
      <s:c r="DX48" s="626"/>
      <s:c r="DY48" s="626"/>
      <s:c r="DZ48" s="626"/>
      <s:c r="EA48" s="626"/>
      <s:c r="EB48" s="626"/>
      <s:c r="EC48" s="626"/>
      <s:c r="ED48" s="626"/>
      <s:c r="EE48" s="626"/>
      <s:c r="EF48" s="626"/>
      <s:c r="EG48" s="626"/>
      <s:c r="EH48" s="626"/>
      <s:c r="EI48" s="626"/>
      <s:c r="EJ48" s="626"/>
      <s:c r="EK48" s="626"/>
      <s:c r="EL48" s="626"/>
      <s:c r="EM48" s="626"/>
      <s:c r="EN48" s="626"/>
      <s:c r="EO48" s="626"/>
      <s:c r="EP48" s="626"/>
      <s:c r="EQ48" s="626"/>
      <s:c r="ER48" s="626"/>
      <s:c r="ES48" s="626"/>
      <s:c r="ET48" s="626"/>
      <s:c r="EU48" s="626"/>
      <s:c r="EV48" s="626"/>
      <s:c r="EW48" s="626"/>
      <s:c r="EX48" s="626"/>
      <s:c r="EY48" s="626"/>
      <s:c r="EZ48" s="626"/>
      <s:c r="FA48" s="626"/>
      <s:c r="FB48" s="626"/>
      <s:c r="FC48" s="626"/>
      <s:c r="FD48" s="626"/>
      <s:c r="FE48" s="626"/>
      <s:c r="FF48" s="626"/>
      <s:c r="FG48" s="626"/>
      <s:c r="FH48" s="626"/>
      <s:c r="FI48" s="626"/>
      <s:c r="FJ48" s="626"/>
      <s:c r="FK48" s="626"/>
      <s:c r="FL48" s="626"/>
      <s:c r="FM48" s="626"/>
      <s:c r="FN48" s="626"/>
      <s:c r="FO48" s="626"/>
      <s:c r="FP48" s="626"/>
      <s:c r="FQ48" s="626"/>
      <s:c r="FR48" s="626"/>
      <s:c r="FS48" s="626"/>
      <s:c r="FT48" s="626"/>
      <s:c r="FU48" s="626"/>
      <s:c r="FV48" s="626"/>
      <s:c r="FW48" s="626"/>
      <s:c r="FX48" s="626"/>
      <s:c r="FY48" s="626"/>
      <s:c r="FZ48" s="626"/>
      <s:c r="GA48" s="626"/>
      <s:c r="GB48" s="626"/>
      <s:c r="GC48" s="626"/>
      <s:c r="GD48" s="626"/>
      <s:c r="GE48" s="626"/>
      <s:c r="GF48" s="626"/>
      <s:c r="GG48" s="626"/>
      <s:c r="GH48" s="626"/>
      <s:c r="GI48" s="626"/>
      <s:c r="GJ48" s="626"/>
      <s:c r="GK48" s="626"/>
      <s:c r="GL48" s="626"/>
      <s:c r="GM48" s="626"/>
      <s:c r="GN48" s="626"/>
      <s:c r="GO48" s="626"/>
      <s:c r="GP48" s="626"/>
      <s:c r="GQ48" s="626"/>
      <s:c r="GR48" s="626"/>
      <s:c r="GS48" s="626"/>
      <s:c r="GT48" s="626"/>
      <s:c r="GU48" s="626"/>
      <s:c r="GV48" s="626"/>
      <s:c r="GW48" s="626"/>
      <s:c r="GX48" s="626"/>
      <s:c r="GY48" s="626"/>
      <s:c r="GZ48" s="626"/>
      <s:c r="HA48" s="626"/>
      <s:c r="HB48" s="626"/>
      <s:c r="HC48" s="626"/>
      <s:c r="HD48" s="626"/>
      <s:c r="HE48" s="626"/>
      <s:c r="HF48" s="626"/>
      <s:c r="HG48" s="626"/>
      <s:c r="HH48" s="626"/>
      <s:c r="HI48" s="626"/>
      <s:c r="HJ48" s="626"/>
      <s:c r="HK48" s="626"/>
      <s:c r="HL48" s="626"/>
      <s:c r="HM48" s="626"/>
      <s:c r="HN48" s="626"/>
      <s:c r="HO48" s="626"/>
      <s:c r="HP48" s="626"/>
      <s:c r="HQ48" s="626"/>
      <s:c r="HR48" s="626"/>
      <s:c r="HS48" s="626"/>
      <s:c r="HT48" s="626"/>
      <s:c r="HU48" s="626"/>
      <s:c r="HV48" s="626"/>
      <s:c r="HW48" s="626"/>
      <s:c r="HX48" s="626"/>
      <s:c r="HY48" s="626"/>
      <s:c r="HZ48" s="626"/>
      <s:c r="IA48" s="626"/>
      <s:c r="IB48" s="626"/>
      <s:c r="IC48" s="626"/>
      <s:c r="ID48" s="626"/>
      <s:c r="IE48" s="626"/>
      <s:c r="IF48" s="626"/>
      <s:c r="IG48" s="626"/>
      <s:c r="IH48" s="626"/>
      <s:c r="II48" s="626"/>
      <s:c r="IJ48" s="626"/>
      <s:c r="IK48" s="626"/>
      <s:c r="IL48" s="626"/>
      <s:c r="IM48" s="626"/>
      <s:c r="IN48" s="626"/>
      <s:c r="IO48" s="626"/>
      <s:c r="IP48" s="626"/>
      <s:c r="IQ48" s="626"/>
      <s:c r="IR48" s="626"/>
      <s:c r="IS48" s="626"/>
      <s:c r="IT48" s="626"/>
      <s:c r="IU48" s="626"/>
      <s:c r="IV48" s="626"/>
      <s:c r="IW48" s="626"/>
      <s:c r="IX48" s="626"/>
      <s:c r="IY48" s="626"/>
      <s:c r="IZ48" s="626"/>
      <s:c r="JA48" s="626"/>
    </s:row>
    <s:row r="49" spans="1:261" s="602" customFormat="1">
      <s:c r="A49" s="536" t="s">
        <s:v>133</s:v>
      </s:c>
      <s:c r="B49" s="584">
        <s:v>46137</s:v>
      </s:c>
      <s:c r="C49" s="585" t="s">
        <s:v>60</s:v>
      </s:c>
      <s:c r="D49" s="755">
        <s:v>9920</s:v>
      </s:c>
      <s:c r="E49" s="586">
        <s:v>2</s:v>
      </s:c>
      <s:c r="F49" s="587">
        <s:f>IF(AND(E49&lt;&gt;"",E49&lt;&gt;0),D49/E49,"")</s:f>
        <s:v>4960</s:v>
      </s:c>
      <s:c r="G49" s="586">
        <s:v>2</s:v>
      </s:c>
      <s:c r="H49" s="587">
        <s:f>IF(AND(G49&lt;&gt;"",G49&lt;&gt;0),D49/G49,"")</s:f>
        <s:v>4960</s:v>
      </s:c>
      <s:c r="I49" s="586">
        <s:v>69</s:v>
      </s:c>
      <s:c r="J49" s="588">
        <s:f>IF(AND(G49&lt;&gt;"",G49&lt;&gt;0),E49/G49,"")</s:f>
        <s:v>1</s:v>
      </s:c>
      <s:c r="K49" s="589"/>
      <s:c r="L49" s="586"/>
      <s:c r="M49" s="586"/>
      <s:c r="N49" s="586"/>
      <s:c r="O49" s="586"/>
      <s:c r="P49" s="591"/>
      <s:c r="Q49" s="591"/>
      <s:c r="R49" s="587"/>
      <s:c r="S49" s="611"/>
      <s:c r="T49" s="593">
        <s:f>IF(AND(I49&lt;&gt;"",I49&lt;&gt;0),G49/I49,"")</s:f>
        <s:v>2.8985507246376812E-2</s:v>
      </s:c>
      <s:c r="U49" s="594">
        <s:f>D49/V49</s:f>
        <s:v>1.1486773335581999</s:v>
      </s:c>
      <s:c r="V49" s="595">
        <s:f>$I$8*AB49*AC49/SUMPRODUCT($AC$25:$AC$55,$AB$25:$AB$55)</s:f>
        <s:v>8636.019629003471</s:v>
      </s:c>
      <s:c r="W49" s="596">
        <s:f>$I$9*AB49*AC49/SUMPRODUCT($AC$25:$AC$55,$AB$25:$AB$55)</s:f>
        <s:v>1.2515970476816622</s:v>
      </s:c>
      <s:c r="X49" s="596">
        <s:f>IF($I$12="","",W49/$I$12)</s:f>
        <s:v>0.73623355745980135</s:v>
      </s:c>
      <s:c r="Y49" s="597">
        <s:f>IF(AB49&lt;&gt;"",IF(D49&lt;&gt;"",D49,($I$8-SUM($Y$25:Y48))*AA49*AB49/SUMPRODUCT($AB49:$AB$55,$AA49:$AA$55)),"")</s:f>
        <s:v>9920</s:v>
      </s:c>
      <s:c r="Z49" s="596">
        <s:f>IF(AC49&lt;&gt;"",IF(E49&lt;&gt;"",E49,($I$9-SUM($Z$25:Z48))*AB49*AC49/SUMPRODUCT($AC49:$AC$55,$AB49:$AB$55)),"")</s:f>
        <s:v>2</s:v>
      </s:c>
      <s:c r="AA49" s="596">
        <s:f>IF(AC49&lt;&gt;"",IF($I$12&lt;&gt;"",IF(G49&lt;&gt;"",G49,($I$9/$I$12-SUM($AA$25:AA48))*AB49*AC49/SUMPRODUCT($AC49:$AC$55,$AB49:$AB$55)),""),"")</s:f>
        <s:v>2</s:v>
      </s:c>
      <s:c r="AB49" s="598">
        <s:v>1</s:v>
      </s:c>
      <s:c r="AC49" s="599">
        <s:v>7.5704045561665365E-2</s:v>
      </s:c>
      <s:c r="AD49" s="600"/>
      <s:c r="AE49" s="600"/>
      <s:c r="AF49" s="614"/>
      <s:c r="AG49" s="601"/>
      <s:c r="AH49" s="601"/>
      <s:c r="AI49" s="601"/>
      <s:c r="AJ49" s="601"/>
      <s:c r="AK49" s="601"/>
      <s:c r="AL49" s="601"/>
      <s:c r="AM49" s="601"/>
      <s:c r="AN49" s="601"/>
      <s:c r="AO49" s="601"/>
      <s:c r="AP49" s="601"/>
      <s:c r="AQ49" s="601"/>
      <s:c r="AR49" s="601"/>
      <s:c r="AS49" s="601"/>
      <s:c r="AT49" s="601"/>
      <s:c r="AU49" s="601"/>
      <s:c r="AV49" s="601"/>
      <s:c r="AW49" s="601"/>
      <s:c r="AX49" s="601"/>
      <s:c r="AY49" s="601"/>
      <s:c r="AZ49" s="601"/>
      <s:c r="BA49" s="601"/>
      <s:c r="BB49" s="601"/>
      <s:c r="BC49" s="601"/>
      <s:c r="BD49" s="601"/>
      <s:c r="BE49" s="601"/>
      <s:c r="BF49" s="601"/>
      <s:c r="BG49" s="601"/>
      <s:c r="BH49" s="601"/>
      <s:c r="BI49" s="601"/>
      <s:c r="BJ49" s="601"/>
      <s:c r="BK49" s="601"/>
      <s:c r="BL49" s="601"/>
      <s:c r="BM49" s="601"/>
      <s:c r="BN49" s="601"/>
      <s:c r="BO49" s="601"/>
      <s:c r="BP49" s="601"/>
      <s:c r="BQ49" s="601"/>
      <s:c r="BR49" s="601"/>
      <s:c r="BS49" s="601"/>
      <s:c r="BT49" s="601"/>
      <s:c r="BU49" s="601"/>
      <s:c r="BV49" s="601"/>
      <s:c r="BW49" s="601"/>
      <s:c r="BX49" s="601"/>
      <s:c r="BY49" s="601"/>
      <s:c r="BZ49" s="601"/>
      <s:c r="CA49" s="601"/>
      <s:c r="CB49" s="601"/>
      <s:c r="CC49" s="601"/>
      <s:c r="CD49" s="601"/>
      <s:c r="CE49" s="601"/>
      <s:c r="CF49" s="601"/>
      <s:c r="CG49" s="601"/>
      <s:c r="CH49" s="601"/>
      <s:c r="CI49" s="601"/>
      <s:c r="CJ49" s="601"/>
      <s:c r="CK49" s="601"/>
      <s:c r="CL49" s="601"/>
      <s:c r="CM49" s="601"/>
      <s:c r="CN49" s="601"/>
      <s:c r="CO49" s="601"/>
      <s:c r="CP49" s="601"/>
      <s:c r="CQ49" s="601"/>
      <s:c r="CR49" s="601"/>
      <s:c r="CS49" s="601"/>
      <s:c r="CT49" s="601"/>
      <s:c r="CU49" s="601"/>
      <s:c r="CV49" s="601"/>
      <s:c r="CW49" s="601"/>
      <s:c r="CX49" s="601"/>
      <s:c r="CY49" s="601"/>
      <s:c r="CZ49" s="601"/>
      <s:c r="DA49" s="601"/>
      <s:c r="DB49" s="601"/>
      <s:c r="DC49" s="601"/>
      <s:c r="DD49" s="601"/>
      <s:c r="DE49" s="601"/>
      <s:c r="DF49" s="601"/>
      <s:c r="DG49" s="601"/>
      <s:c r="DH49" s="601"/>
      <s:c r="DI49" s="601"/>
      <s:c r="DJ49" s="601"/>
      <s:c r="DK49" s="601"/>
      <s:c r="DL49" s="601"/>
      <s:c r="DM49" s="601"/>
      <s:c r="DN49" s="601"/>
      <s:c r="DO49" s="601"/>
      <s:c r="DP49" s="601"/>
      <s:c r="DQ49" s="601"/>
      <s:c r="DR49" s="601"/>
      <s:c r="DS49" s="601"/>
      <s:c r="DT49" s="601"/>
      <s:c r="DU49" s="601"/>
      <s:c r="DV49" s="601"/>
      <s:c r="DW49" s="601"/>
      <s:c r="DX49" s="601"/>
      <s:c r="DY49" s="601"/>
      <s:c r="DZ49" s="601"/>
      <s:c r="EA49" s="601"/>
      <s:c r="EB49" s="601"/>
      <s:c r="EC49" s="601"/>
      <s:c r="ED49" s="601"/>
      <s:c r="EE49" s="601"/>
      <s:c r="EF49" s="601"/>
      <s:c r="EG49" s="601"/>
      <s:c r="EH49" s="601"/>
      <s:c r="EI49" s="601"/>
      <s:c r="EJ49" s="601"/>
      <s:c r="EK49" s="601"/>
      <s:c r="EL49" s="601"/>
      <s:c r="EM49" s="601"/>
      <s:c r="EN49" s="601"/>
      <s:c r="EO49" s="601"/>
      <s:c r="EP49" s="601"/>
      <s:c r="EQ49" s="601"/>
      <s:c r="ER49" s="601"/>
      <s:c r="ES49" s="601"/>
      <s:c r="ET49" s="601"/>
      <s:c r="EU49" s="601"/>
      <s:c r="EV49" s="601"/>
      <s:c r="EW49" s="601"/>
      <s:c r="EX49" s="601"/>
      <s:c r="EY49" s="601"/>
      <s:c r="EZ49" s="601"/>
      <s:c r="FA49" s="601"/>
      <s:c r="FB49" s="601"/>
      <s:c r="FC49" s="601"/>
      <s:c r="FD49" s="601"/>
      <s:c r="FE49" s="601"/>
      <s:c r="FF49" s="601"/>
      <s:c r="FG49" s="601"/>
      <s:c r="FH49" s="601"/>
      <s:c r="FI49" s="601"/>
      <s:c r="FJ49" s="601"/>
      <s:c r="FK49" s="601"/>
      <s:c r="FL49" s="601"/>
      <s:c r="FM49" s="601"/>
      <s:c r="FN49" s="601"/>
      <s:c r="FO49" s="601"/>
      <s:c r="FP49" s="601"/>
      <s:c r="FQ49" s="601"/>
      <s:c r="FR49" s="601"/>
      <s:c r="FS49" s="601"/>
      <s:c r="FT49" s="601"/>
      <s:c r="FU49" s="601"/>
      <s:c r="FV49" s="601"/>
      <s:c r="FW49" s="601"/>
      <s:c r="FX49" s="601"/>
      <s:c r="FY49" s="601"/>
      <s:c r="FZ49" s="601"/>
      <s:c r="GA49" s="601"/>
      <s:c r="GB49" s="601"/>
      <s:c r="GC49" s="601"/>
      <s:c r="GD49" s="601"/>
      <s:c r="GE49" s="601"/>
      <s:c r="GF49" s="601"/>
      <s:c r="GG49" s="601"/>
      <s:c r="GH49" s="601"/>
      <s:c r="GI49" s="601"/>
      <s:c r="GJ49" s="601"/>
      <s:c r="GK49" s="601"/>
      <s:c r="GL49" s="601"/>
      <s:c r="GM49" s="601"/>
      <s:c r="GN49" s="601"/>
      <s:c r="GO49" s="601"/>
      <s:c r="GP49" s="601"/>
      <s:c r="GQ49" s="601"/>
      <s:c r="GR49" s="601"/>
      <s:c r="GS49" s="601"/>
      <s:c r="GT49" s="601"/>
      <s:c r="GU49" s="601"/>
      <s:c r="GV49" s="601"/>
      <s:c r="GW49" s="601"/>
      <s:c r="GX49" s="601"/>
      <s:c r="GY49" s="601"/>
      <s:c r="GZ49" s="601"/>
      <s:c r="HA49" s="601"/>
      <s:c r="HB49" s="601"/>
      <s:c r="HC49" s="601"/>
      <s:c r="HD49" s="601"/>
      <s:c r="HE49" s="601"/>
      <s:c r="HF49" s="601"/>
      <s:c r="HG49" s="601"/>
      <s:c r="HH49" s="601"/>
      <s:c r="HI49" s="601"/>
      <s:c r="HJ49" s="601"/>
      <s:c r="HK49" s="601"/>
      <s:c r="HL49" s="601"/>
      <s:c r="HM49" s="601"/>
      <s:c r="HN49" s="601"/>
      <s:c r="HO49" s="601"/>
      <s:c r="HP49" s="601"/>
      <s:c r="HQ49" s="601"/>
      <s:c r="HR49" s="601"/>
      <s:c r="HS49" s="601"/>
      <s:c r="HT49" s="601"/>
      <s:c r="HU49" s="601"/>
      <s:c r="HV49" s="601"/>
      <s:c r="HW49" s="601"/>
      <s:c r="HX49" s="601"/>
      <s:c r="HY49" s="601"/>
      <s:c r="HZ49" s="601"/>
      <s:c r="IA49" s="601"/>
      <s:c r="IB49" s="601"/>
      <s:c r="IC49" s="601"/>
      <s:c r="ID49" s="601"/>
      <s:c r="IE49" s="601"/>
      <s:c r="IF49" s="601"/>
      <s:c r="IG49" s="601"/>
      <s:c r="IH49" s="601"/>
      <s:c r="II49" s="601"/>
      <s:c r="IJ49" s="601"/>
      <s:c r="IK49" s="601"/>
      <s:c r="IL49" s="601"/>
      <s:c r="IM49" s="601"/>
      <s:c r="IN49" s="601"/>
      <s:c r="IO49" s="601"/>
      <s:c r="IP49" s="601"/>
      <s:c r="IQ49" s="601"/>
      <s:c r="IR49" s="601"/>
      <s:c r="IS49" s="601"/>
      <s:c r="IT49" s="601"/>
      <s:c r="IU49" s="601"/>
      <s:c r="IV49" s="601"/>
      <s:c r="IW49" s="601"/>
      <s:c r="IX49" s="601"/>
      <s:c r="IY49" s="601"/>
      <s:c r="IZ49" s="601"/>
    </s:row>
    <s:row r="50" spans="1:261" s="602" customFormat="1">
      <s:c r="A50" s="536" t="s">
        <s:v>131</s:v>
      </s:c>
      <s:c r="B50" s="584">
        <s:v>46138</s:v>
      </s:c>
      <s:c r="C50" s="585" t="s">
        <s:v>54</s:v>
      </s:c>
      <s:c r="D50" s="755">
        <s:v>27559</s:v>
      </s:c>
      <s:c r="E50" s="586">
        <s:v>5</s:v>
      </s:c>
      <s:c r="F50" s="627">
        <s:f>IF(AND(E50&lt;&gt;"",E50&lt;&gt;0),D50/E50,"")</s:f>
        <s:v>5511.8</s:v>
      </s:c>
      <s:c r="G50" s="590">
        <s:v>2</s:v>
      </s:c>
      <s:c r="H50" s="587">
        <s:f>IF(AND(G50&lt;&gt;"",G50&lt;&gt;0),D50/G50,"")</s:f>
        <s:v>13779.5</s:v>
      </s:c>
      <s:c r="I50" s="586">
        <s:v>58</s:v>
      </s:c>
      <s:c r="J50" s="588">
        <s:f>IF(AND(G50&lt;&gt;"",G50&lt;&gt;0),E50/G50,"")</s:f>
        <s:v>2.5</s:v>
      </s:c>
      <s:c r="K50" s="589"/>
      <s:c r="L50" s="586"/>
      <s:c r="M50" s="586"/>
      <s:c r="N50" s="586"/>
      <s:c r="O50" s="586"/>
      <s:c r="P50" s="591"/>
      <s:c r="Q50" s="591"/>
      <s:c r="R50" s="587"/>
      <s:c r="S50" s="611"/>
      <s:c r="T50" s="593">
        <s:f>IF(AND(I50&lt;&gt;"",I50&lt;&gt;0),G50/I50,"")</s:f>
        <s:v>3.4482758620689655E-2</s:v>
      </s:c>
      <s:c r="U50" s="594">
        <s:f>D50/V50</s:f>
        <s:v>2.44876206214244</s:v>
      </s:c>
      <s:c r="V50" s="595">
        <s:f>$I$8*AB50*AC50/SUMPRODUCT($AC$25:$AC$55,$AB$25:$AB$55)</s:f>
        <s:v>11254.257988580717</s:v>
      </s:c>
      <s:c r="W50" s="596">
        <s:f>$I$9*AB50*AC50/SUMPRODUCT($AC$25:$AC$55,$AB$25:$AB$55)</s:f>
        <s:v>1.6310518824030027</s:v>
      </s:c>
      <s:c r="X50" s="596">
        <s:f>IF($I$12="","",W50/$I$12)</s:f>
        <s:v>0.95944228376647223</s:v>
      </s:c>
      <s:c r="Y50" s="597">
        <s:f>IF(AB50&lt;&gt;"",IF(D50&lt;&gt;"",D50,($I$8-SUM($Y$25:Y49))*AA50*AB50/SUMPRODUCT($AB50:$AB$55,$AA50:$AA$55)),"")</s:f>
        <s:v>27559</s:v>
      </s:c>
      <s:c r="Z50" s="596">
        <s:f>IF(AC50&lt;&gt;"",IF(E50&lt;&gt;"",E50,($I$9-SUM($Z$25:Z49))*AB50*AC50/SUMPRODUCT($AC50:$AC$55,$AB50:$AB$55)),"")</s:f>
        <s:v>5</s:v>
      </s:c>
      <s:c r="AA50" s="596">
        <s:f>IF(AC50&lt;&gt;"",IF($I$12&lt;&gt;"",IF(G50&lt;&gt;"",G50,($I$9/$I$12-SUM($AA$25:AA49))*AB50*AC50/SUMPRODUCT($AC50:$AC$55,$AB50:$AB$55)),""),"")</s:f>
        <s:v>2</s:v>
      </s:c>
      <s:c r="AB50" s="598">
        <s:v>1</s:v>
      </s:c>
      <s:c r="AC50" s="599">
        <s:v>9.8655734485467411E-2</s:v>
      </s:c>
      <s:c r="AD50" s="600"/>
      <s:c r="AE50" s="600"/>
      <s:c r="AF50" s="614"/>
      <s:c r="AG50" s="601"/>
      <s:c r="AH50" s="601"/>
      <s:c r="AI50" s="601"/>
      <s:c r="AJ50" s="601"/>
      <s:c r="AK50" s="601"/>
      <s:c r="AL50" s="601"/>
      <s:c r="AM50" s="601"/>
      <s:c r="AN50" s="601"/>
      <s:c r="AO50" s="601"/>
      <s:c r="AP50" s="601"/>
      <s:c r="AQ50" s="601"/>
      <s:c r="AR50" s="601"/>
      <s:c r="AS50" s="601"/>
      <s:c r="AT50" s="601"/>
      <s:c r="AU50" s="601"/>
      <s:c r="AV50" s="601"/>
      <s:c r="AW50" s="601"/>
      <s:c r="AX50" s="601"/>
      <s:c r="AY50" s="601"/>
      <s:c r="AZ50" s="601"/>
      <s:c r="BA50" s="601"/>
      <s:c r="BB50" s="601"/>
      <s:c r="BC50" s="601"/>
      <s:c r="BD50" s="601"/>
      <s:c r="BE50" s="601"/>
      <s:c r="BF50" s="601"/>
      <s:c r="BG50" s="601"/>
      <s:c r="BH50" s="601"/>
      <s:c r="BI50" s="601"/>
      <s:c r="BJ50" s="601"/>
      <s:c r="BK50" s="601"/>
      <s:c r="BL50" s="601"/>
      <s:c r="BM50" s="601"/>
      <s:c r="BN50" s="601"/>
      <s:c r="BO50" s="601"/>
      <s:c r="BP50" s="601"/>
      <s:c r="BQ50" s="601"/>
      <s:c r="BR50" s="601"/>
      <s:c r="BS50" s="601"/>
      <s:c r="BT50" s="601"/>
      <s:c r="BU50" s="601"/>
      <s:c r="BV50" s="601"/>
      <s:c r="BW50" s="601"/>
      <s:c r="BX50" s="601"/>
      <s:c r="BY50" s="601"/>
      <s:c r="BZ50" s="601"/>
      <s:c r="CA50" s="601"/>
      <s:c r="CB50" s="601"/>
      <s:c r="CC50" s="601"/>
      <s:c r="CD50" s="601"/>
      <s:c r="CE50" s="601"/>
      <s:c r="CF50" s="601"/>
      <s:c r="CG50" s="601"/>
      <s:c r="CH50" s="601"/>
      <s:c r="CI50" s="601"/>
      <s:c r="CJ50" s="601"/>
      <s:c r="CK50" s="601"/>
      <s:c r="CL50" s="601"/>
      <s:c r="CM50" s="601"/>
      <s:c r="CN50" s="601"/>
      <s:c r="CO50" s="601"/>
      <s:c r="CP50" s="601"/>
      <s:c r="CQ50" s="601"/>
      <s:c r="CR50" s="601"/>
      <s:c r="CS50" s="601"/>
      <s:c r="CT50" s="601"/>
      <s:c r="CU50" s="601"/>
      <s:c r="CV50" s="601"/>
      <s:c r="CW50" s="601"/>
      <s:c r="CX50" s="601"/>
      <s:c r="CY50" s="601"/>
      <s:c r="CZ50" s="601"/>
      <s:c r="DA50" s="601"/>
      <s:c r="DB50" s="601"/>
      <s:c r="DC50" s="601"/>
      <s:c r="DD50" s="601"/>
      <s:c r="DE50" s="601"/>
      <s:c r="DF50" s="601"/>
      <s:c r="DG50" s="601"/>
      <s:c r="DH50" s="601"/>
      <s:c r="DI50" s="601"/>
      <s:c r="DJ50" s="601"/>
      <s:c r="DK50" s="601"/>
      <s:c r="DL50" s="601"/>
      <s:c r="DM50" s="601"/>
      <s:c r="DN50" s="601"/>
      <s:c r="DO50" s="601"/>
      <s:c r="DP50" s="601"/>
      <s:c r="DQ50" s="601"/>
      <s:c r="DR50" s="601"/>
      <s:c r="DS50" s="601"/>
      <s:c r="DT50" s="601"/>
      <s:c r="DU50" s="601"/>
      <s:c r="DV50" s="601"/>
      <s:c r="DW50" s="601"/>
      <s:c r="DX50" s="601"/>
      <s:c r="DY50" s="601"/>
      <s:c r="DZ50" s="601"/>
      <s:c r="EA50" s="601"/>
      <s:c r="EB50" s="601"/>
      <s:c r="EC50" s="601"/>
      <s:c r="ED50" s="601"/>
      <s:c r="EE50" s="601"/>
      <s:c r="EF50" s="601"/>
      <s:c r="EG50" s="601"/>
      <s:c r="EH50" s="601"/>
      <s:c r="EI50" s="601"/>
      <s:c r="EJ50" s="601"/>
      <s:c r="EK50" s="601"/>
      <s:c r="EL50" s="601"/>
      <s:c r="EM50" s="601"/>
      <s:c r="EN50" s="601"/>
      <s:c r="EO50" s="601"/>
      <s:c r="EP50" s="601"/>
      <s:c r="EQ50" s="601"/>
      <s:c r="ER50" s="601"/>
      <s:c r="ES50" s="601"/>
      <s:c r="ET50" s="601"/>
      <s:c r="EU50" s="601"/>
      <s:c r="EV50" s="601"/>
      <s:c r="EW50" s="601"/>
      <s:c r="EX50" s="601"/>
      <s:c r="EY50" s="601"/>
      <s:c r="EZ50" s="601"/>
      <s:c r="FA50" s="601"/>
      <s:c r="FB50" s="601"/>
      <s:c r="FC50" s="601"/>
      <s:c r="FD50" s="601"/>
      <s:c r="FE50" s="601"/>
      <s:c r="FF50" s="601"/>
      <s:c r="FG50" s="601"/>
      <s:c r="FH50" s="601"/>
      <s:c r="FI50" s="601"/>
      <s:c r="FJ50" s="601"/>
      <s:c r="FK50" s="601"/>
      <s:c r="FL50" s="601"/>
      <s:c r="FM50" s="601"/>
      <s:c r="FN50" s="601"/>
      <s:c r="FO50" s="601"/>
      <s:c r="FP50" s="601"/>
      <s:c r="FQ50" s="601"/>
      <s:c r="FR50" s="601"/>
      <s:c r="FS50" s="601"/>
      <s:c r="FT50" s="601"/>
      <s:c r="FU50" s="601"/>
      <s:c r="FV50" s="601"/>
      <s:c r="FW50" s="601"/>
      <s:c r="FX50" s="601"/>
      <s:c r="FY50" s="601"/>
      <s:c r="FZ50" s="601"/>
      <s:c r="GA50" s="601"/>
      <s:c r="GB50" s="601"/>
      <s:c r="GC50" s="601"/>
      <s:c r="GD50" s="601"/>
      <s:c r="GE50" s="601"/>
      <s:c r="GF50" s="601"/>
      <s:c r="GG50" s="601"/>
      <s:c r="GH50" s="601"/>
      <s:c r="GI50" s="601"/>
      <s:c r="GJ50" s="601"/>
      <s:c r="GK50" s="601"/>
      <s:c r="GL50" s="601"/>
      <s:c r="GM50" s="601"/>
      <s:c r="GN50" s="601"/>
      <s:c r="GO50" s="601"/>
      <s:c r="GP50" s="601"/>
      <s:c r="GQ50" s="601"/>
      <s:c r="GR50" s="601"/>
      <s:c r="GS50" s="601"/>
      <s:c r="GT50" s="601"/>
      <s:c r="GU50" s="601"/>
      <s:c r="GV50" s="601"/>
      <s:c r="GW50" s="601"/>
      <s:c r="GX50" s="601"/>
      <s:c r="GY50" s="601"/>
      <s:c r="GZ50" s="601"/>
      <s:c r="HA50" s="601"/>
      <s:c r="HB50" s="601"/>
      <s:c r="HC50" s="601"/>
      <s:c r="HD50" s="601"/>
      <s:c r="HE50" s="601"/>
      <s:c r="HF50" s="601"/>
      <s:c r="HG50" s="601"/>
      <s:c r="HH50" s="601"/>
      <s:c r="HI50" s="601"/>
      <s:c r="HJ50" s="601"/>
      <s:c r="HK50" s="601"/>
      <s:c r="HL50" s="601"/>
      <s:c r="HM50" s="601"/>
      <s:c r="HN50" s="601"/>
      <s:c r="HO50" s="601"/>
      <s:c r="HP50" s="601"/>
      <s:c r="HQ50" s="601"/>
      <s:c r="HR50" s="601"/>
      <s:c r="HS50" s="601"/>
      <s:c r="HT50" s="601"/>
      <s:c r="HU50" s="601"/>
      <s:c r="HV50" s="601"/>
      <s:c r="HW50" s="601"/>
      <s:c r="HX50" s="601"/>
      <s:c r="HY50" s="601"/>
      <s:c r="HZ50" s="601"/>
      <s:c r="IA50" s="601"/>
      <s:c r="IB50" s="601"/>
      <s:c r="IC50" s="601"/>
      <s:c r="ID50" s="601"/>
      <s:c r="IE50" s="601"/>
      <s:c r="IF50" s="601"/>
      <s:c r="IG50" s="601"/>
      <s:c r="IH50" s="601"/>
      <s:c r="II50" s="601"/>
      <s:c r="IJ50" s="601"/>
      <s:c r="IK50" s="601"/>
      <s:c r="IL50" s="601"/>
      <s:c r="IM50" s="601"/>
      <s:c r="IN50" s="601"/>
      <s:c r="IO50" s="601"/>
      <s:c r="IP50" s="601"/>
      <s:c r="IQ50" s="601"/>
      <s:c r="IR50" s="601"/>
      <s:c r="IS50" s="601"/>
      <s:c r="IT50" s="601"/>
      <s:c r="IU50" s="601"/>
      <s:c r="IV50" s="601"/>
      <s:c r="IW50" s="601"/>
      <s:c r="IX50" s="601"/>
      <s:c r="IY50" s="601"/>
      <s:c r="IZ50" s="601"/>
    </s:row>
    <s:row r="51">
      <s:c r="A51" s="536" t="s">
        <s:v>133</s:v>
      </s:c>
      <s:c r="B51" s="543">
        <s:v>46139</s:v>
      </s:c>
      <s:c r="C51" s="544" t="s">
        <s:v>55</s:v>
      </s:c>
      <s:c r="D51" s="749">
        <s:v>48248</s:v>
      </s:c>
      <s:c r="E51" s="309">
        <s:v>7</s:v>
      </s:c>
      <s:c r="F51" s="308">
        <s:f>IF(AND(E51&lt;&gt;"",E51&lt;&gt;0),D51/E51,"")</s:f>
        <s:v>6892.5714285714203</s:v>
      </s:c>
      <s:c r="G51" s="309">
        <s:v>2</s:v>
      </s:c>
      <s:c r="H51" s="308">
        <s:f>IF(AND(G51&lt;&gt;"",G51&lt;&gt;0),D51/G51,"")</s:f>
        <s:v>24124</s:v>
      </s:c>
      <s:c r="I51" s="309">
        <s:v>41</s:v>
      </s:c>
      <s:c r="J51" s="375">
        <s:f>IF(AND(G51&lt;&gt;"",G51&lt;&gt;0),E51/G51,"")</s:f>
        <s:v>3.5</s:v>
      </s:c>
      <s:c r="K51" s="380"/>
      <s:c r="L51" s="309"/>
      <s:c r="M51" s="309"/>
      <s:c r="N51" s="309"/>
      <s:c r="O51" s="309"/>
      <s:c r="P51" s="307"/>
      <s:c r="Q51" s="307"/>
      <s:c r="R51" s="308"/>
      <s:c r="S51" s="383"/>
      <s:c r="T51" s="550">
        <s:f>IF(AND(I51&lt;&gt;"",I51&lt;&gt;0),G51/I51,"")</s:f>
        <s:v>4.878048780487805E-2</s:v>
      </s:c>
      <s:c r="U51" s="554">
        <s:f>D51/V51</s:f>
        <s:v>3.09453314673123</s:v>
      </s:c>
      <s:c r="V51" s="489">
        <s:f>$I$8*AB51*AC51/SUMPRODUCT($AC$25:$AC$55,$AB$25:$AB$55)</s:f>
        <s:v>15591.366358755764</s:v>
      </s:c>
      <s:c r="W51" s="563">
        <s:f>$I$9*AB51*AC51/SUMPRODUCT($AC$25:$AC$55,$AB$25:$AB$55)</s:f>
        <s:v>2.2596183128631542</s:v>
      </s:c>
      <s:c r="X51" s="563">
        <s:f>IF($I$12="","",W51/$I$12)</s:f>
        <s:v>1.329187242860679</s:v>
      </s:c>
      <s:c r="Y51" s="564">
        <s:f>IF(AB51&lt;&gt;"",IF(D51&lt;&gt;"",D51,($I$8-SUM($Y$25:Y50))*AA51*AB51/SUMPRODUCT($AB51:$AB$55,$AA51:$AA$55)),"")</s:f>
        <s:v>48248</s:v>
      </s:c>
      <s:c r="Z51" s="563">
        <s:f>IF(AC51&lt;&gt;"",IF(E51&lt;&gt;"",E51,($I$9-SUM($Z$25:Z50))*AB51*AC51/SUMPRODUCT($AC51:$AC$55,$AB51:$AB$55)),"")</s:f>
        <s:v>7</s:v>
      </s:c>
      <s:c r="AA51" s="563">
        <s:f>IF(AC51&lt;&gt;"",IF($I$12&lt;&gt;"",IF(G51&lt;&gt;"",G51,($I$9/$I$12-SUM($AA$25:AA50))*AB51*AC51/SUMPRODUCT($AC51:$AC$55,$AB51:$AB$55)),""),"")</s:f>
        <s:v>2</s:v>
      </s:c>
      <s:c r="AB51" s="565">
        <s:v>1</s:v>
      </s:c>
      <s:c r="AC51" s="566">
        <s:v>0.13667517674783977</s:v>
      </s:c>
      <s:c r="AD51" s="311"/>
      <s:c r="AE51" s="311"/>
      <s:c r="AF51" s="314"/>
      <s:c r="AG51" s="310"/>
      <s:c r="AH51" s="310"/>
      <s:c r="AI51" s="310"/>
      <s:c r="AJ51" s="310"/>
      <s:c r="AK51" s="310"/>
      <s:c r="AL51" s="310"/>
      <s:c r="AM51" s="310"/>
      <s:c r="AN51" s="310"/>
      <s:c r="AO51" s="310"/>
      <s:c r="AP51" s="310"/>
      <s:c r="AQ51" s="310"/>
      <s:c r="AR51" s="310"/>
      <s:c r="AS51" s="310"/>
      <s:c r="AT51" s="310"/>
      <s:c r="AU51" s="310"/>
      <s:c r="AV51" s="310"/>
      <s:c r="AW51" s="310"/>
      <s:c r="AX51" s="310"/>
      <s:c r="AY51" s="310"/>
      <s:c r="AZ51" s="310"/>
      <s:c r="BA51" s="310"/>
      <s:c r="BB51" s="310"/>
      <s:c r="BC51" s="310"/>
      <s:c r="BD51" s="310"/>
      <s:c r="BE51" s="310"/>
      <s:c r="BF51" s="310"/>
      <s:c r="BG51" s="310"/>
      <s:c r="BH51" s="310"/>
      <s:c r="BI51" s="310"/>
      <s:c r="BJ51" s="310"/>
      <s:c r="BK51" s="310"/>
      <s:c r="BL51" s="310"/>
      <s:c r="BM51" s="310"/>
      <s:c r="BN51" s="310"/>
      <s:c r="BO51" s="310"/>
      <s:c r="BP51" s="310"/>
      <s:c r="BQ51" s="310"/>
      <s:c r="BR51" s="310"/>
      <s:c r="BS51" s="310"/>
      <s:c r="BT51" s="310"/>
      <s:c r="BU51" s="310"/>
      <s:c r="BV51" s="310"/>
      <s:c r="BW51" s="310"/>
      <s:c r="BX51" s="310"/>
      <s:c r="BY51" s="310"/>
      <s:c r="BZ51" s="310"/>
      <s:c r="CA51" s="310"/>
      <s:c r="CB51" s="310"/>
      <s:c r="CC51" s="310"/>
      <s:c r="CD51" s="310"/>
      <s:c r="CE51" s="310"/>
      <s:c r="CF51" s="310"/>
      <s:c r="CG51" s="310"/>
      <s:c r="CH51" s="310"/>
      <s:c r="CI51" s="310"/>
      <s:c r="CJ51" s="310"/>
      <s:c r="CK51" s="310"/>
      <s:c r="CL51" s="310"/>
      <s:c r="CM51" s="310"/>
      <s:c r="CN51" s="310"/>
      <s:c r="CO51" s="310"/>
      <s:c r="CP51" s="310"/>
      <s:c r="CQ51" s="310"/>
      <s:c r="CR51" s="310"/>
      <s:c r="CS51" s="310"/>
      <s:c r="CT51" s="310"/>
      <s:c r="CU51" s="310"/>
      <s:c r="CV51" s="310"/>
      <s:c r="CW51" s="310"/>
      <s:c r="CX51" s="310"/>
      <s:c r="CY51" s="310"/>
      <s:c r="CZ51" s="310"/>
      <s:c r="DA51" s="310"/>
      <s:c r="DB51" s="310"/>
      <s:c r="DC51" s="310"/>
      <s:c r="DD51" s="310"/>
      <s:c r="DE51" s="310"/>
      <s:c r="DF51" s="310"/>
      <s:c r="DG51" s="310"/>
      <s:c r="DH51" s="310"/>
      <s:c r="DI51" s="310"/>
      <s:c r="DJ51" s="310"/>
      <s:c r="DK51" s="310"/>
      <s:c r="DL51" s="310"/>
      <s:c r="DM51" s="310"/>
      <s:c r="DN51" s="310"/>
      <s:c r="DO51" s="310"/>
      <s:c r="DP51" s="310"/>
      <s:c r="DQ51" s="310"/>
      <s:c r="DR51" s="310"/>
      <s:c r="DS51" s="310"/>
      <s:c r="DT51" s="310"/>
      <s:c r="DU51" s="310"/>
      <s:c r="DV51" s="310"/>
      <s:c r="DW51" s="310"/>
      <s:c r="DX51" s="310"/>
      <s:c r="DY51" s="310"/>
      <s:c r="DZ51" s="310"/>
      <s:c r="EA51" s="310"/>
      <s:c r="EB51" s="310"/>
      <s:c r="EC51" s="310"/>
      <s:c r="ED51" s="310"/>
      <s:c r="EE51" s="310"/>
      <s:c r="EF51" s="310"/>
      <s:c r="EG51" s="310"/>
      <s:c r="EH51" s="310"/>
      <s:c r="EI51" s="310"/>
      <s:c r="EJ51" s="310"/>
      <s:c r="EK51" s="310"/>
      <s:c r="EL51" s="310"/>
      <s:c r="EM51" s="310"/>
      <s:c r="EN51" s="310"/>
      <s:c r="EO51" s="310"/>
      <s:c r="EP51" s="310"/>
      <s:c r="EQ51" s="310"/>
      <s:c r="ER51" s="310"/>
      <s:c r="ES51" s="310"/>
      <s:c r="ET51" s="310"/>
      <s:c r="EU51" s="310"/>
      <s:c r="EV51" s="310"/>
      <s:c r="EW51" s="310"/>
      <s:c r="EX51" s="310"/>
      <s:c r="EY51" s="310"/>
      <s:c r="EZ51" s="310"/>
      <s:c r="FA51" s="310"/>
      <s:c r="FB51" s="310"/>
      <s:c r="FC51" s="310"/>
      <s:c r="FD51" s="310"/>
      <s:c r="FE51" s="310"/>
      <s:c r="FF51" s="310"/>
      <s:c r="FG51" s="310"/>
      <s:c r="FH51" s="310"/>
      <s:c r="FI51" s="310"/>
      <s:c r="FJ51" s="310"/>
      <s:c r="FK51" s="310"/>
      <s:c r="FL51" s="310"/>
      <s:c r="FM51" s="310"/>
      <s:c r="FN51" s="310"/>
      <s:c r="FO51" s="310"/>
      <s:c r="FP51" s="310"/>
      <s:c r="FQ51" s="310"/>
      <s:c r="FR51" s="310"/>
      <s:c r="FS51" s="310"/>
      <s:c r="FT51" s="310"/>
      <s:c r="FU51" s="310"/>
      <s:c r="FV51" s="310"/>
      <s:c r="FW51" s="310"/>
      <s:c r="FX51" s="310"/>
      <s:c r="FY51" s="310"/>
      <s:c r="FZ51" s="310"/>
      <s:c r="GA51" s="310"/>
      <s:c r="GB51" s="310"/>
      <s:c r="GC51" s="310"/>
      <s:c r="GD51" s="310"/>
      <s:c r="GE51" s="310"/>
      <s:c r="GF51" s="310"/>
      <s:c r="GG51" s="310"/>
      <s:c r="GH51" s="310"/>
      <s:c r="GI51" s="310"/>
      <s:c r="GJ51" s="310"/>
      <s:c r="GK51" s="310"/>
      <s:c r="GL51" s="310"/>
      <s:c r="GM51" s="310"/>
      <s:c r="GN51" s="310"/>
      <s:c r="GO51" s="310"/>
      <s:c r="GP51" s="310"/>
      <s:c r="GQ51" s="310"/>
      <s:c r="GR51" s="310"/>
      <s:c r="GS51" s="310"/>
      <s:c r="GT51" s="310"/>
      <s:c r="GU51" s="310"/>
      <s:c r="GV51" s="310"/>
      <s:c r="GW51" s="310"/>
      <s:c r="GX51" s="310"/>
      <s:c r="GY51" s="310"/>
      <s:c r="GZ51" s="310"/>
      <s:c r="HA51" s="310"/>
      <s:c r="HB51" s="310"/>
      <s:c r="HC51" s="310"/>
      <s:c r="HD51" s="310"/>
      <s:c r="HE51" s="310"/>
      <s:c r="HF51" s="310"/>
      <s:c r="HG51" s="310"/>
      <s:c r="HH51" s="310"/>
      <s:c r="HI51" s="310"/>
      <s:c r="HJ51" s="310"/>
      <s:c r="HK51" s="310"/>
      <s:c r="HL51" s="310"/>
      <s:c r="HM51" s="310"/>
      <s:c r="HN51" s="310"/>
      <s:c r="HO51" s="310"/>
      <s:c r="HP51" s="310"/>
      <s:c r="HQ51" s="310"/>
      <s:c r="HR51" s="310"/>
      <s:c r="HS51" s="310"/>
      <s:c r="HT51" s="310"/>
      <s:c r="HU51" s="310"/>
      <s:c r="HV51" s="310"/>
      <s:c r="HW51" s="310"/>
      <s:c r="HX51" s="310"/>
      <s:c r="HY51" s="310"/>
      <s:c r="HZ51" s="310"/>
      <s:c r="IA51" s="310"/>
      <s:c r="IB51" s="310"/>
      <s:c r="IC51" s="310"/>
      <s:c r="ID51" s="310"/>
      <s:c r="IE51" s="310"/>
      <s:c r="IF51" s="310"/>
      <s:c r="IG51" s="310"/>
      <s:c r="IH51" s="310"/>
      <s:c r="II51" s="310"/>
      <s:c r="IJ51" s="310"/>
      <s:c r="IK51" s="310"/>
      <s:c r="IL51" s="310"/>
      <s:c r="IM51" s="310"/>
      <s:c r="IN51" s="310"/>
      <s:c r="IO51" s="310"/>
      <s:c r="IP51" s="310"/>
      <s:c r="IQ51" s="310"/>
      <s:c r="IR51" s="310"/>
      <s:c r="IS51" s="310"/>
      <s:c r="IT51" s="310"/>
      <s:c r="IU51" s="310"/>
      <s:c r="IV51" s="310"/>
      <s:c r="IW51" s="310"/>
      <s:c r="IX51" s="310"/>
      <s:c r="IY51" s="310"/>
      <s:c r="IZ51" s="310"/>
      <s:c r="JA51" s="310"/>
    </s:row>
    <s:row r="52">
      <s:c r="A52" s="536" t="s">
        <s:v>133</s:v>
      </s:c>
      <s:c r="B52" s="543">
        <s:v>46140</s:v>
      </s:c>
      <s:c r="C52" s="544" t="s">
        <s:v>56</s:v>
      </s:c>
      <s:c r="D52" s="749">
        <s:v>63080</s:v>
      </s:c>
      <s:c r="E52" s="309">
        <s:v>13</s:v>
      </s:c>
      <s:c r="F52" s="308">
        <s:f>IF(AND(E52&lt;&gt;"",E52&lt;&gt;0),D52/E52,"")</s:f>
        <s:v>4852.3076923076896</s:v>
      </s:c>
      <s:c r="G52" s="309">
        <s:v>7</s:v>
      </s:c>
      <s:c r="H52" s="308">
        <s:f>IF(AND(G52&lt;&gt;"",G52&lt;&gt;0),D52/G52,"")</s:f>
        <s:v>9011.4285714285706</s:v>
      </s:c>
      <s:c r="I52" s="309">
        <s:v>37</s:v>
      </s:c>
      <s:c r="J52" s="375">
        <s:f>IF(AND(G52&lt;&gt;"",G52&lt;&gt;0),E52/G52,"")</s:f>
        <s:v>1.8571428571428501</s:v>
      </s:c>
      <s:c r="K52" s="380"/>
      <s:c r="L52" s="309"/>
      <s:c r="M52" s="309"/>
      <s:c r="N52" s="309"/>
      <s:c r="O52" s="309"/>
      <s:c r="P52" s="307"/>
      <s:c r="Q52" s="307"/>
      <s:c r="R52" s="308"/>
      <s:c r="S52" s="760">
        <s:v>25135</s:v>
      </s:c>
      <s:c r="T52" s="550">
        <s:f>IF(AND(I52&lt;&gt;"",I52&lt;&gt;0),G52/I52,"")</s:f>
        <s:v>0.1891891891891892</s:v>
      </s:c>
      <s:c r="U52" s="554">
        <s:f>D52/V52</s:f>
        <s:v>1.3824109367445001</s:v>
      </s:c>
      <s:c r="V52" s="489">
        <s:f>$I$8*AB52*AC52/SUMPRODUCT($AC$25:$AC$55,$AB$25:$AB$55)</s:f>
        <s:v>45630.426035654476</s:v>
      </s:c>
      <s:c r="W52" s="563">
        <s:f>$I$9*AB52*AC52/SUMPRODUCT($AC$25:$AC$55,$AB$25:$AB$55)</s:f>
        <s:v>6.6131052225586204</s:v>
      </s:c>
      <s:c r="X52" s="563">
        <s:f>IF($I$12="","",W52/$I$12)</s:f>
        <s:v>3.890061895622718</s:v>
      </s:c>
      <s:c r="Y52" s="564">
        <s:f>IF(AB52&lt;&gt;"",IF(D52&lt;&gt;"",D52,($I$8-SUM($Y$25:Y51))*AA52*AB52/SUMPRODUCT($AB52:$AB$55,$AA52:$AA$55)),"")</s:f>
        <s:v>63080</s:v>
      </s:c>
      <s:c r="Z52" s="563">
        <s:f>IF(AC52&lt;&gt;"",IF(E52&lt;&gt;"",E52,($I$9-SUM($Z$25:Z51))*AB52*AC52/SUMPRODUCT($AC52:$AC$55,$AB52:$AB$55)),"")</s:f>
        <s:v>13</s:v>
      </s:c>
      <s:c r="AA52" s="563">
        <s:f>IF(AC52&lt;&gt;"",IF($I$12&lt;&gt;"",IF(G52&lt;&gt;"",G52,($I$9/$I$12-SUM($AA$25:AA51))*AB52*AC52/SUMPRODUCT($AC52:$AC$55,$AB52:$AB$55)),""),"")</s:f>
        <s:v>7</s:v>
      </s:c>
      <s:c r="AB52" s="565">
        <s:v>1</s:v>
      </s:c>
      <s:c r="AC52" s="566">
        <s:v>0.4</s:v>
      </s:c>
      <s:c r="AD52" s="311"/>
      <s:c r="AE52" s="311"/>
      <s:c r="AF52" s="314"/>
      <s:c r="AG52" s="310"/>
      <s:c r="AH52" s="310"/>
      <s:c r="AI52" s="310"/>
      <s:c r="AJ52" s="310"/>
      <s:c r="AK52" s="310"/>
      <s:c r="AL52" s="310"/>
      <s:c r="AM52" s="310"/>
      <s:c r="AN52" s="310"/>
      <s:c r="AO52" s="310"/>
      <s:c r="AP52" s="310"/>
      <s:c r="AQ52" s="310"/>
      <s:c r="AR52" s="310"/>
      <s:c r="AS52" s="310"/>
      <s:c r="AT52" s="310"/>
      <s:c r="AU52" s="310"/>
      <s:c r="AV52" s="310"/>
      <s:c r="AW52" s="310"/>
      <s:c r="AX52" s="310"/>
      <s:c r="AY52" s="310"/>
      <s:c r="AZ52" s="310"/>
      <s:c r="BA52" s="310"/>
      <s:c r="BB52" s="310"/>
      <s:c r="BC52" s="310"/>
      <s:c r="BD52" s="310"/>
      <s:c r="BE52" s="310"/>
      <s:c r="BF52" s="310"/>
      <s:c r="BG52" s="310"/>
      <s:c r="BH52" s="310"/>
      <s:c r="BI52" s="310"/>
      <s:c r="BJ52" s="310"/>
      <s:c r="BK52" s="310"/>
      <s:c r="BL52" s="310"/>
      <s:c r="BM52" s="310"/>
      <s:c r="BN52" s="310"/>
      <s:c r="BO52" s="310"/>
      <s:c r="BP52" s="310"/>
      <s:c r="BQ52" s="310"/>
      <s:c r="BR52" s="310"/>
      <s:c r="BS52" s="310"/>
      <s:c r="BT52" s="310"/>
      <s:c r="BU52" s="310"/>
      <s:c r="BV52" s="310"/>
      <s:c r="BW52" s="310"/>
      <s:c r="BX52" s="310"/>
      <s:c r="BY52" s="310"/>
      <s:c r="BZ52" s="310"/>
      <s:c r="CA52" s="310"/>
      <s:c r="CB52" s="310"/>
      <s:c r="CC52" s="310"/>
      <s:c r="CD52" s="310"/>
      <s:c r="CE52" s="310"/>
      <s:c r="CF52" s="310"/>
      <s:c r="CG52" s="310"/>
      <s:c r="CH52" s="310"/>
      <s:c r="CI52" s="310"/>
      <s:c r="CJ52" s="310"/>
      <s:c r="CK52" s="310"/>
      <s:c r="CL52" s="310"/>
      <s:c r="CM52" s="310"/>
      <s:c r="CN52" s="310"/>
      <s:c r="CO52" s="310"/>
      <s:c r="CP52" s="310"/>
      <s:c r="CQ52" s="310"/>
      <s:c r="CR52" s="310"/>
      <s:c r="CS52" s="310"/>
      <s:c r="CT52" s="310"/>
      <s:c r="CU52" s="310"/>
      <s:c r="CV52" s="310"/>
      <s:c r="CW52" s="310"/>
      <s:c r="CX52" s="310"/>
      <s:c r="CY52" s="310"/>
      <s:c r="CZ52" s="310"/>
      <s:c r="DA52" s="310"/>
      <s:c r="DB52" s="310"/>
      <s:c r="DC52" s="310"/>
      <s:c r="DD52" s="310"/>
      <s:c r="DE52" s="310"/>
      <s:c r="DF52" s="310"/>
      <s:c r="DG52" s="310"/>
      <s:c r="DH52" s="310"/>
      <s:c r="DI52" s="310"/>
      <s:c r="DJ52" s="310"/>
      <s:c r="DK52" s="310"/>
      <s:c r="DL52" s="310"/>
      <s:c r="DM52" s="310"/>
      <s:c r="DN52" s="310"/>
      <s:c r="DO52" s="310"/>
      <s:c r="DP52" s="310"/>
      <s:c r="DQ52" s="310"/>
      <s:c r="DR52" s="310"/>
      <s:c r="DS52" s="310"/>
      <s:c r="DT52" s="310"/>
      <s:c r="DU52" s="310"/>
      <s:c r="DV52" s="310"/>
      <s:c r="DW52" s="310"/>
      <s:c r="DX52" s="310"/>
      <s:c r="DY52" s="310"/>
      <s:c r="DZ52" s="310"/>
      <s:c r="EA52" s="310"/>
      <s:c r="EB52" s="310"/>
      <s:c r="EC52" s="310"/>
      <s:c r="ED52" s="310"/>
      <s:c r="EE52" s="310"/>
      <s:c r="EF52" s="310"/>
      <s:c r="EG52" s="310"/>
      <s:c r="EH52" s="310"/>
      <s:c r="EI52" s="310"/>
      <s:c r="EJ52" s="310"/>
      <s:c r="EK52" s="310"/>
      <s:c r="EL52" s="310"/>
      <s:c r="EM52" s="310"/>
      <s:c r="EN52" s="310"/>
      <s:c r="EO52" s="310"/>
      <s:c r="EP52" s="310"/>
      <s:c r="EQ52" s="310"/>
      <s:c r="ER52" s="310"/>
      <s:c r="ES52" s="310"/>
      <s:c r="ET52" s="310"/>
      <s:c r="EU52" s="310"/>
      <s:c r="EV52" s="310"/>
      <s:c r="EW52" s="310"/>
      <s:c r="EX52" s="310"/>
      <s:c r="EY52" s="310"/>
      <s:c r="EZ52" s="310"/>
      <s:c r="FA52" s="310"/>
      <s:c r="FB52" s="310"/>
      <s:c r="FC52" s="310"/>
      <s:c r="FD52" s="310"/>
      <s:c r="FE52" s="310"/>
      <s:c r="FF52" s="310"/>
      <s:c r="FG52" s="310"/>
      <s:c r="FH52" s="310"/>
      <s:c r="FI52" s="310"/>
      <s:c r="FJ52" s="310"/>
      <s:c r="FK52" s="310"/>
      <s:c r="FL52" s="310"/>
      <s:c r="FM52" s="310"/>
      <s:c r="FN52" s="310"/>
      <s:c r="FO52" s="310"/>
      <s:c r="FP52" s="310"/>
      <s:c r="FQ52" s="310"/>
      <s:c r="FR52" s="310"/>
      <s:c r="FS52" s="310"/>
      <s:c r="FT52" s="310"/>
      <s:c r="FU52" s="310"/>
      <s:c r="FV52" s="310"/>
      <s:c r="FW52" s="310"/>
      <s:c r="FX52" s="310"/>
      <s:c r="FY52" s="310"/>
      <s:c r="FZ52" s="310"/>
      <s:c r="GA52" s="310"/>
      <s:c r="GB52" s="310"/>
      <s:c r="GC52" s="310"/>
      <s:c r="GD52" s="310"/>
      <s:c r="GE52" s="310"/>
      <s:c r="GF52" s="310"/>
      <s:c r="GG52" s="310"/>
      <s:c r="GH52" s="310"/>
      <s:c r="GI52" s="310"/>
      <s:c r="GJ52" s="310"/>
      <s:c r="GK52" s="310"/>
      <s:c r="GL52" s="310"/>
      <s:c r="GM52" s="310"/>
      <s:c r="GN52" s="310"/>
      <s:c r="GO52" s="310"/>
      <s:c r="GP52" s="310"/>
      <s:c r="GQ52" s="310"/>
      <s:c r="GR52" s="310"/>
      <s:c r="GS52" s="310"/>
      <s:c r="GT52" s="310"/>
      <s:c r="GU52" s="310"/>
      <s:c r="GV52" s="310"/>
      <s:c r="GW52" s="310"/>
      <s:c r="GX52" s="310"/>
      <s:c r="GY52" s="310"/>
      <s:c r="GZ52" s="310"/>
      <s:c r="HA52" s="310"/>
      <s:c r="HB52" s="310"/>
      <s:c r="HC52" s="310"/>
      <s:c r="HD52" s="310"/>
      <s:c r="HE52" s="310"/>
      <s:c r="HF52" s="310"/>
      <s:c r="HG52" s="310"/>
      <s:c r="HH52" s="310"/>
      <s:c r="HI52" s="310"/>
      <s:c r="HJ52" s="310"/>
      <s:c r="HK52" s="310"/>
      <s:c r="HL52" s="310"/>
      <s:c r="HM52" s="310"/>
      <s:c r="HN52" s="310"/>
      <s:c r="HO52" s="310"/>
      <s:c r="HP52" s="310"/>
      <s:c r="HQ52" s="310"/>
      <s:c r="HR52" s="310"/>
      <s:c r="HS52" s="310"/>
      <s:c r="HT52" s="310"/>
      <s:c r="HU52" s="310"/>
      <s:c r="HV52" s="310"/>
      <s:c r="HW52" s="310"/>
      <s:c r="HX52" s="310"/>
      <s:c r="HY52" s="310"/>
      <s:c r="HZ52" s="310"/>
      <s:c r="IA52" s="310"/>
      <s:c r="IB52" s="310"/>
      <s:c r="IC52" s="310"/>
      <s:c r="ID52" s="310"/>
      <s:c r="IE52" s="310"/>
      <s:c r="IF52" s="310"/>
      <s:c r="IG52" s="310"/>
      <s:c r="IH52" s="310"/>
      <s:c r="II52" s="310"/>
      <s:c r="IJ52" s="310"/>
      <s:c r="IK52" s="310"/>
      <s:c r="IL52" s="310"/>
      <s:c r="IM52" s="310"/>
      <s:c r="IN52" s="310"/>
      <s:c r="IO52" s="310"/>
      <s:c r="IP52" s="310"/>
      <s:c r="IQ52" s="310"/>
      <s:c r="IR52" s="310"/>
      <s:c r="IS52" s="310"/>
      <s:c r="IT52" s="310"/>
      <s:c r="IU52" s="310"/>
      <s:c r="IV52" s="310"/>
      <s:c r="IW52" s="310"/>
      <s:c r="IX52" s="310"/>
      <s:c r="IY52" s="310"/>
      <s:c r="IZ52" s="310"/>
      <s:c r="JA52" s="310"/>
    </s:row>
    <s:row r="53">
      <s:c r="A53" s="536" t="s">
        <s:v>133</s:v>
      </s:c>
      <s:c r="B53" s="543">
        <s:v>46141</s:v>
      </s:c>
      <s:c r="C53" s="544" t="s">
        <s:v>57</s:v>
      </s:c>
      <s:c r="D53" s="749">
        <s:v>0</s:v>
      </s:c>
      <s:c r="E53" s="309">
        <s:v>0</s:v>
      </s:c>
      <s:c r="F53" s="308">
        <s:v>0</s:v>
      </s:c>
      <s:c r="G53" s="309">
        <s:v>0</s:v>
      </s:c>
      <s:c r="H53" s="308">
        <s:v>0</s:v>
      </s:c>
      <s:c r="I53" s="309">
        <s:v>41</s:v>
      </s:c>
      <s:c r="J53" s="375" t="str">
        <s:f>IF(AND(G53&lt;&gt;"",G53&lt;&gt;0),E53/G53,"")</s:f>
        <s:v/>
      </s:c>
      <s:c r="K53" s="380"/>
      <s:c r="L53" s="309"/>
      <s:c r="M53" s="309"/>
      <s:c r="N53" s="309"/>
      <s:c r="O53" s="309"/>
      <s:c r="P53" s="307"/>
      <s:c r="Q53" s="307"/>
      <s:c r="R53" s="308"/>
      <s:c r="S53" s="383"/>
      <s:c r="T53" s="550">
        <s:f>IF(AND(I53&lt;&gt;"",I53&lt;&gt;0),G53/I53,"")</s:f>
        <s:v>0</s:v>
      </s:c>
      <s:c r="U53" s="554">
        <s:f>D53/V53</s:f>
        <s:v>0</s:v>
      </s:c>
      <s:c r="V53" s="489">
        <s:f>$I$8*AB53*AC53/SUMPRODUCT($AC$25:$AC$55,$AB$25:$AB$55)</s:f>
        <s:v>45630.426035654476</s:v>
      </s:c>
      <s:c r="W53" s="563">
        <s:f>$I$9*AB53*AC53/SUMPRODUCT($AC$25:$AC$55,$AB$25:$AB$55)</s:f>
        <s:v>6.6131052225586204</s:v>
      </s:c>
      <s:c r="X53" s="563">
        <s:f>IF($I$12="","",W53/$I$12)</s:f>
        <s:v>3.890061895622718</s:v>
      </s:c>
      <s:c r="Y53" s="564">
        <s:f>IF(AB53&lt;&gt;"",IF(D53&lt;&gt;"",D53,($I$8-SUM($Y$25:Y52))*AA53*AB53/SUMPRODUCT($AB53:$AB$55,$AA53:$AA$55)),"")</s:f>
        <s:v>0</s:v>
      </s:c>
      <s:c r="Z53" s="563">
        <s:f>IF(AC53&lt;&gt;"",IF(E53&lt;&gt;"",E53,($I$9-SUM($Z$25:Z52))*AB53*AC53/SUMPRODUCT($AC53:$AC$55,$AB53:$AB$55)),"")</s:f>
        <s:v>0</s:v>
      </s:c>
      <s:c r="AA53" s="563">
        <s:f>IF(AC53&lt;&gt;"",IF($I$12&lt;&gt;"",IF(G53&lt;&gt;"",G53,($I$9/$I$12-SUM($AA$25:AA52))*AB53*AC53/SUMPRODUCT($AC53:$AC$55,$AB53:$AB$55)),""),"")</s:f>
        <s:v>0</s:v>
      </s:c>
      <s:c r="AB53" s="565">
        <s:v>1</s:v>
      </s:c>
      <s:c r="AC53" s="566">
        <s:v>0.4</s:v>
      </s:c>
      <s:c r="AD53" s="311"/>
      <s:c r="AE53" s="311"/>
      <s:c r="AF53" s="314"/>
      <s:c r="AG53" s="310"/>
      <s:c r="AH53" s="310"/>
      <s:c r="AI53" s="310"/>
      <s:c r="AJ53" s="310"/>
      <s:c r="AK53" s="310"/>
      <s:c r="AL53" s="310"/>
      <s:c r="AM53" s="310"/>
      <s:c r="AN53" s="310"/>
      <s:c r="AO53" s="310"/>
      <s:c r="AP53" s="310"/>
      <s:c r="AQ53" s="310"/>
      <s:c r="AR53" s="310"/>
      <s:c r="AS53" s="310"/>
      <s:c r="AT53" s="310"/>
      <s:c r="AU53" s="310"/>
      <s:c r="AV53" s="310"/>
      <s:c r="AW53" s="310"/>
      <s:c r="AX53" s="310"/>
      <s:c r="AY53" s="310"/>
      <s:c r="AZ53" s="310"/>
      <s:c r="BA53" s="310"/>
      <s:c r="BB53" s="310"/>
      <s:c r="BC53" s="310"/>
      <s:c r="BD53" s="310"/>
      <s:c r="BE53" s="310"/>
      <s:c r="BF53" s="310"/>
      <s:c r="BG53" s="310"/>
      <s:c r="BH53" s="310"/>
      <s:c r="BI53" s="310"/>
      <s:c r="BJ53" s="310"/>
      <s:c r="BK53" s="310"/>
      <s:c r="BL53" s="310"/>
      <s:c r="BM53" s="310"/>
      <s:c r="BN53" s="310"/>
      <s:c r="BO53" s="310"/>
      <s:c r="BP53" s="310"/>
      <s:c r="BQ53" s="310"/>
      <s:c r="BR53" s="310"/>
      <s:c r="BS53" s="310"/>
      <s:c r="BT53" s="310"/>
      <s:c r="BU53" s="310"/>
      <s:c r="BV53" s="310"/>
      <s:c r="BW53" s="310"/>
      <s:c r="BX53" s="310"/>
      <s:c r="BY53" s="310"/>
      <s:c r="BZ53" s="310"/>
      <s:c r="CA53" s="310"/>
      <s:c r="CB53" s="310"/>
      <s:c r="CC53" s="310"/>
      <s:c r="CD53" s="310"/>
      <s:c r="CE53" s="310"/>
      <s:c r="CF53" s="310"/>
      <s:c r="CG53" s="310"/>
      <s:c r="CH53" s="310"/>
      <s:c r="CI53" s="310"/>
      <s:c r="CJ53" s="310"/>
      <s:c r="CK53" s="310"/>
      <s:c r="CL53" s="310"/>
      <s:c r="CM53" s="310"/>
      <s:c r="CN53" s="310"/>
      <s:c r="CO53" s="310"/>
      <s:c r="CP53" s="310"/>
      <s:c r="CQ53" s="310"/>
      <s:c r="CR53" s="310"/>
      <s:c r="CS53" s="310"/>
      <s:c r="CT53" s="310"/>
      <s:c r="CU53" s="310"/>
      <s:c r="CV53" s="310"/>
      <s:c r="CW53" s="310"/>
      <s:c r="CX53" s="310"/>
      <s:c r="CY53" s="310"/>
      <s:c r="CZ53" s="310"/>
      <s:c r="DA53" s="310"/>
      <s:c r="DB53" s="310"/>
      <s:c r="DC53" s="310"/>
      <s:c r="DD53" s="310"/>
      <s:c r="DE53" s="310"/>
      <s:c r="DF53" s="310"/>
      <s:c r="DG53" s="310"/>
      <s:c r="DH53" s="310"/>
      <s:c r="DI53" s="310"/>
      <s:c r="DJ53" s="310"/>
      <s:c r="DK53" s="310"/>
      <s:c r="DL53" s="310"/>
      <s:c r="DM53" s="310"/>
      <s:c r="DN53" s="310"/>
      <s:c r="DO53" s="310"/>
      <s:c r="DP53" s="310"/>
      <s:c r="DQ53" s="310"/>
      <s:c r="DR53" s="310"/>
      <s:c r="DS53" s="310"/>
      <s:c r="DT53" s="310"/>
      <s:c r="DU53" s="310"/>
      <s:c r="DV53" s="310"/>
      <s:c r="DW53" s="310"/>
      <s:c r="DX53" s="310"/>
      <s:c r="DY53" s="310"/>
      <s:c r="DZ53" s="310"/>
      <s:c r="EA53" s="310"/>
      <s:c r="EB53" s="310"/>
      <s:c r="EC53" s="310"/>
      <s:c r="ED53" s="310"/>
      <s:c r="EE53" s="310"/>
      <s:c r="EF53" s="310"/>
      <s:c r="EG53" s="310"/>
      <s:c r="EH53" s="310"/>
      <s:c r="EI53" s="310"/>
      <s:c r="EJ53" s="310"/>
      <s:c r="EK53" s="310"/>
      <s:c r="EL53" s="310"/>
      <s:c r="EM53" s="310"/>
      <s:c r="EN53" s="310"/>
      <s:c r="EO53" s="310"/>
      <s:c r="EP53" s="310"/>
      <s:c r="EQ53" s="310"/>
      <s:c r="ER53" s="310"/>
      <s:c r="ES53" s="310"/>
      <s:c r="ET53" s="310"/>
      <s:c r="EU53" s="310"/>
      <s:c r="EV53" s="310"/>
      <s:c r="EW53" s="310"/>
      <s:c r="EX53" s="310"/>
      <s:c r="EY53" s="310"/>
      <s:c r="EZ53" s="310"/>
      <s:c r="FA53" s="310"/>
      <s:c r="FB53" s="310"/>
      <s:c r="FC53" s="310"/>
      <s:c r="FD53" s="310"/>
      <s:c r="FE53" s="310"/>
      <s:c r="FF53" s="310"/>
      <s:c r="FG53" s="310"/>
      <s:c r="FH53" s="310"/>
      <s:c r="FI53" s="310"/>
      <s:c r="FJ53" s="310"/>
      <s:c r="FK53" s="310"/>
      <s:c r="FL53" s="310"/>
      <s:c r="FM53" s="310"/>
      <s:c r="FN53" s="310"/>
      <s:c r="FO53" s="310"/>
      <s:c r="FP53" s="310"/>
      <s:c r="FQ53" s="310"/>
      <s:c r="FR53" s="310"/>
      <s:c r="FS53" s="310"/>
      <s:c r="FT53" s="310"/>
      <s:c r="FU53" s="310"/>
      <s:c r="FV53" s="310"/>
      <s:c r="FW53" s="310"/>
      <s:c r="FX53" s="310"/>
      <s:c r="FY53" s="310"/>
      <s:c r="FZ53" s="310"/>
      <s:c r="GA53" s="310"/>
      <s:c r="GB53" s="310"/>
      <s:c r="GC53" s="310"/>
      <s:c r="GD53" s="310"/>
      <s:c r="GE53" s="310"/>
      <s:c r="GF53" s="310"/>
      <s:c r="GG53" s="310"/>
      <s:c r="GH53" s="310"/>
      <s:c r="GI53" s="310"/>
      <s:c r="GJ53" s="310"/>
      <s:c r="GK53" s="310"/>
      <s:c r="GL53" s="310"/>
      <s:c r="GM53" s="310"/>
      <s:c r="GN53" s="310"/>
      <s:c r="GO53" s="310"/>
      <s:c r="GP53" s="310"/>
      <s:c r="GQ53" s="310"/>
      <s:c r="GR53" s="310"/>
      <s:c r="GS53" s="310"/>
      <s:c r="GT53" s="310"/>
      <s:c r="GU53" s="310"/>
      <s:c r="GV53" s="310"/>
      <s:c r="GW53" s="310"/>
      <s:c r="GX53" s="310"/>
      <s:c r="GY53" s="310"/>
      <s:c r="GZ53" s="310"/>
      <s:c r="HA53" s="310"/>
      <s:c r="HB53" s="310"/>
      <s:c r="HC53" s="310"/>
      <s:c r="HD53" s="310"/>
      <s:c r="HE53" s="310"/>
      <s:c r="HF53" s="310"/>
      <s:c r="HG53" s="310"/>
      <s:c r="HH53" s="310"/>
      <s:c r="HI53" s="310"/>
      <s:c r="HJ53" s="310"/>
      <s:c r="HK53" s="310"/>
      <s:c r="HL53" s="310"/>
      <s:c r="HM53" s="310"/>
      <s:c r="HN53" s="310"/>
      <s:c r="HO53" s="310"/>
      <s:c r="HP53" s="310"/>
      <s:c r="HQ53" s="310"/>
      <s:c r="HR53" s="310"/>
      <s:c r="HS53" s="310"/>
      <s:c r="HT53" s="310"/>
      <s:c r="HU53" s="310"/>
      <s:c r="HV53" s="310"/>
      <s:c r="HW53" s="310"/>
      <s:c r="HX53" s="310"/>
      <s:c r="HY53" s="310"/>
      <s:c r="HZ53" s="310"/>
      <s:c r="IA53" s="310"/>
      <s:c r="IB53" s="310"/>
      <s:c r="IC53" s="310"/>
      <s:c r="ID53" s="310"/>
      <s:c r="IE53" s="310"/>
      <s:c r="IF53" s="310"/>
      <s:c r="IG53" s="310"/>
      <s:c r="IH53" s="310"/>
      <s:c r="II53" s="310"/>
      <s:c r="IJ53" s="310"/>
      <s:c r="IK53" s="310"/>
      <s:c r="IL53" s="310"/>
      <s:c r="IM53" s="310"/>
      <s:c r="IN53" s="310"/>
      <s:c r="IO53" s="310"/>
      <s:c r="IP53" s="310"/>
      <s:c r="IQ53" s="310"/>
      <s:c r="IR53" s="310"/>
      <s:c r="IS53" s="310"/>
      <s:c r="IT53" s="310"/>
      <s:c r="IU53" s="310"/>
      <s:c r="IV53" s="310"/>
      <s:c r="IW53" s="310"/>
      <s:c r="IX53" s="310"/>
      <s:c r="IY53" s="310"/>
      <s:c r="IZ53" s="310"/>
    </s:row>
    <s:row r="54" spans="1:261" s="602" customFormat="1">
      <s:c r="A54" s="536" t="s">
        <s:v>144</s:v>
      </s:c>
      <s:c r="B54" s="584">
        <s:v>46142</s:v>
      </s:c>
      <s:c r="C54" s="585" t="s">
        <s:v>58</s:v>
      </s:c>
      <s:c r="D54" s="755">
        <s:v>454031</s:v>
      </s:c>
      <s:c r="E54" s="586">
        <s:v>37</s:v>
      </s:c>
      <s:c r="F54" s="587">
        <s:f>IF(AND(E54&lt;&gt;"",E54&lt;&gt;0),D54/E54,"")</s:f>
        <s:v>12271.108108108099</s:v>
      </s:c>
      <s:c r="G54" s="586">
        <s:v>3</s:v>
      </s:c>
      <s:c r="H54" s="587">
        <s:f>IF(AND(G54&lt;&gt;"",G54&lt;&gt;0),D54/G54,"")</s:f>
        <s:v>151343.66666666599</s:v>
      </s:c>
      <s:c r="I54" s="586">
        <s:v>35</s:v>
      </s:c>
      <s:c r="J54" s="588">
        <s:f>IF(AND(G54&lt;&gt;"",G54&lt;&gt;0),E54/G54,"")</s:f>
        <s:v>12.3333333333333</s:v>
      </s:c>
      <s:c r="K54" s="589"/>
      <s:c r="L54" s="586"/>
      <s:c r="M54" s="586"/>
      <s:c r="N54" s="586">
        <s:v>227591</s:v>
      </s:c>
      <s:c r="O54" s="586">
        <s:v>190704</s:v>
      </s:c>
      <s:c r="P54" s="591">
        <s:v>26543</s:v>
      </s:c>
      <s:c r="Q54" s="591"/>
      <s:c r="R54" s="587"/>
      <s:c r="S54" s="611"/>
      <s:c r="T54" s="593">
        <s:f>IF(AND(I54&lt;&gt;"",I54&lt;&gt;0),G54/I54,"")</s:f>
        <s:v>8.5714285714285715E-2</s:v>
      </s:c>
      <s:c r="U54" s="594">
        <s:f>D54/V54</s:f>
        <s:v>9.9501810402828905</s:v>
      </s:c>
      <s:c r="V54" s="595">
        <s:f>$I$8*AB54*AC54/SUMPRODUCT($AC$25:$AC$55,$AB$25:$AB$55)</s:f>
        <s:v>45630.426035654476</s:v>
      </s:c>
      <s:c r="W54" s="596">
        <s:f>$I$9*AB54*AC54/SUMPRODUCT($AC$25:$AC$55,$AB$25:$AB$55)</s:f>
        <s:v>6.6131052225586204</s:v>
      </s:c>
      <s:c r="X54" s="596">
        <s:f>IF($I$12="","",W54/$I$12)</s:f>
        <s:v>3.890061895622718</s:v>
      </s:c>
      <s:c r="Y54" s="597">
        <s:f>IF(AB54&lt;&gt;"",IF(D54&lt;&gt;"",D54,($I$8-SUM($Y$25:Y53))*AA54*AB54/SUMPRODUCT($AB54:$AB$55,$AA54:$AA$55)),"")</s:f>
        <s:v>454031</s:v>
      </s:c>
      <s:c r="Z54" s="596">
        <s:f>IF(AC54&lt;&gt;"",IF(E54&lt;&gt;"",E54,($I$9-SUM($Z$25:Z53))*AB54*AC54/SUMPRODUCT($AC54:$AC$55,$AB54:$AB$55)),"")</s:f>
        <s:v>37</s:v>
      </s:c>
      <s:c r="AA54" s="596">
        <s:f>IF(AC54&lt;&gt;"",IF($I$12&lt;&gt;"",IF(G54&lt;&gt;"",G54,($I$9/$I$12-SUM($AA$25:AA53))*AB54*AC54/SUMPRODUCT($AC54:$AC$55,$AB54:$AB$55)),""),"")</s:f>
        <s:v>3</s:v>
      </s:c>
      <s:c r="AB54" s="598">
        <s:v>1</s:v>
      </s:c>
      <s:c r="AC54" s="599">
        <s:v>0.4</s:v>
      </s:c>
      <s:c r="AD54" s="600"/>
      <s:c r="AE54" s="600"/>
      <s:c r="AF54" s="614"/>
      <s:c r="AG54" s="601"/>
      <s:c r="AH54" s="601"/>
      <s:c r="AI54" s="601"/>
      <s:c r="AJ54" s="601"/>
      <s:c r="AK54" s="601"/>
      <s:c r="AL54" s="601"/>
      <s:c r="AM54" s="601"/>
      <s:c r="AN54" s="601"/>
      <s:c r="AO54" s="601"/>
      <s:c r="AP54" s="601"/>
      <s:c r="AQ54" s="601"/>
      <s:c r="AR54" s="601"/>
      <s:c r="AS54" s="601"/>
      <s:c r="AT54" s="601"/>
      <s:c r="AU54" s="601"/>
      <s:c r="AV54" s="601"/>
      <s:c r="AW54" s="601"/>
      <s:c r="AX54" s="601"/>
      <s:c r="AY54" s="601"/>
      <s:c r="AZ54" s="601"/>
      <s:c r="BA54" s="601"/>
      <s:c r="BB54" s="601"/>
      <s:c r="BC54" s="601"/>
      <s:c r="BD54" s="601"/>
      <s:c r="BE54" s="601"/>
      <s:c r="BF54" s="601"/>
      <s:c r="BG54" s="601"/>
      <s:c r="BH54" s="601"/>
      <s:c r="BI54" s="601"/>
      <s:c r="BJ54" s="601"/>
      <s:c r="BK54" s="601"/>
      <s:c r="BL54" s="601"/>
      <s:c r="BM54" s="601"/>
      <s:c r="BN54" s="601"/>
      <s:c r="BO54" s="601"/>
      <s:c r="BP54" s="601"/>
      <s:c r="BQ54" s="601"/>
      <s:c r="BR54" s="601"/>
      <s:c r="BS54" s="601"/>
      <s:c r="BT54" s="601"/>
      <s:c r="BU54" s="601"/>
      <s:c r="BV54" s="601"/>
      <s:c r="BW54" s="601"/>
      <s:c r="BX54" s="601"/>
      <s:c r="BY54" s="601"/>
      <s:c r="BZ54" s="601"/>
      <s:c r="CA54" s="601"/>
      <s:c r="CB54" s="601"/>
      <s:c r="CC54" s="601"/>
      <s:c r="CD54" s="601"/>
      <s:c r="CE54" s="601"/>
      <s:c r="CF54" s="601"/>
      <s:c r="CG54" s="601"/>
      <s:c r="CH54" s="601"/>
      <s:c r="CI54" s="601"/>
      <s:c r="CJ54" s="601"/>
      <s:c r="CK54" s="601"/>
      <s:c r="CL54" s="601"/>
      <s:c r="CM54" s="601"/>
      <s:c r="CN54" s="601"/>
      <s:c r="CO54" s="601"/>
      <s:c r="CP54" s="601"/>
      <s:c r="CQ54" s="601"/>
      <s:c r="CR54" s="601"/>
      <s:c r="CS54" s="601"/>
      <s:c r="CT54" s="601"/>
      <s:c r="CU54" s="601"/>
      <s:c r="CV54" s="601"/>
      <s:c r="CW54" s="601"/>
      <s:c r="CX54" s="601"/>
      <s:c r="CY54" s="601"/>
      <s:c r="CZ54" s="601"/>
      <s:c r="DA54" s="601"/>
      <s:c r="DB54" s="601"/>
      <s:c r="DC54" s="601"/>
      <s:c r="DD54" s="601"/>
      <s:c r="DE54" s="601"/>
      <s:c r="DF54" s="601"/>
      <s:c r="DG54" s="601"/>
      <s:c r="DH54" s="601"/>
      <s:c r="DI54" s="601"/>
      <s:c r="DJ54" s="601"/>
      <s:c r="DK54" s="601"/>
      <s:c r="DL54" s="601"/>
      <s:c r="DM54" s="601"/>
      <s:c r="DN54" s="601"/>
      <s:c r="DO54" s="601"/>
      <s:c r="DP54" s="601"/>
      <s:c r="DQ54" s="601"/>
      <s:c r="DR54" s="601"/>
      <s:c r="DS54" s="601"/>
      <s:c r="DT54" s="601"/>
      <s:c r="DU54" s="601"/>
      <s:c r="DV54" s="601"/>
      <s:c r="DW54" s="601"/>
      <s:c r="DX54" s="601"/>
      <s:c r="DY54" s="601"/>
      <s:c r="DZ54" s="601"/>
      <s:c r="EA54" s="601"/>
      <s:c r="EB54" s="601"/>
      <s:c r="EC54" s="601"/>
      <s:c r="ED54" s="601"/>
      <s:c r="EE54" s="601"/>
      <s:c r="EF54" s="601"/>
      <s:c r="EG54" s="601"/>
      <s:c r="EH54" s="601"/>
      <s:c r="EI54" s="601"/>
      <s:c r="EJ54" s="601"/>
      <s:c r="EK54" s="601"/>
      <s:c r="EL54" s="601"/>
      <s:c r="EM54" s="601"/>
      <s:c r="EN54" s="601"/>
      <s:c r="EO54" s="601"/>
      <s:c r="EP54" s="601"/>
      <s:c r="EQ54" s="601"/>
      <s:c r="ER54" s="601"/>
      <s:c r="ES54" s="601"/>
      <s:c r="ET54" s="601"/>
      <s:c r="EU54" s="601"/>
      <s:c r="EV54" s="601"/>
      <s:c r="EW54" s="601"/>
      <s:c r="EX54" s="601"/>
      <s:c r="EY54" s="601"/>
      <s:c r="EZ54" s="601"/>
      <s:c r="FA54" s="601"/>
      <s:c r="FB54" s="601"/>
      <s:c r="FC54" s="601"/>
      <s:c r="FD54" s="601"/>
      <s:c r="FE54" s="601"/>
      <s:c r="FF54" s="601"/>
      <s:c r="FG54" s="601"/>
      <s:c r="FH54" s="601"/>
      <s:c r="FI54" s="601"/>
      <s:c r="FJ54" s="601"/>
      <s:c r="FK54" s="601"/>
      <s:c r="FL54" s="601"/>
      <s:c r="FM54" s="601"/>
      <s:c r="FN54" s="601"/>
      <s:c r="FO54" s="601"/>
      <s:c r="FP54" s="601"/>
      <s:c r="FQ54" s="601"/>
      <s:c r="FR54" s="601"/>
      <s:c r="FS54" s="601"/>
      <s:c r="FT54" s="601"/>
      <s:c r="FU54" s="601"/>
      <s:c r="FV54" s="601"/>
      <s:c r="FW54" s="601"/>
      <s:c r="FX54" s="601"/>
      <s:c r="FY54" s="601"/>
      <s:c r="FZ54" s="601"/>
      <s:c r="GA54" s="601"/>
      <s:c r="GB54" s="601"/>
      <s:c r="GC54" s="601"/>
      <s:c r="GD54" s="601"/>
      <s:c r="GE54" s="601"/>
      <s:c r="GF54" s="601"/>
      <s:c r="GG54" s="601"/>
      <s:c r="GH54" s="601"/>
      <s:c r="GI54" s="601"/>
      <s:c r="GJ54" s="601"/>
      <s:c r="GK54" s="601"/>
      <s:c r="GL54" s="601"/>
      <s:c r="GM54" s="601"/>
      <s:c r="GN54" s="601"/>
      <s:c r="GO54" s="601"/>
      <s:c r="GP54" s="601"/>
      <s:c r="GQ54" s="601"/>
      <s:c r="GR54" s="601"/>
      <s:c r="GS54" s="601"/>
      <s:c r="GT54" s="601"/>
      <s:c r="GU54" s="601"/>
      <s:c r="GV54" s="601"/>
      <s:c r="GW54" s="601"/>
      <s:c r="GX54" s="601"/>
      <s:c r="GY54" s="601"/>
      <s:c r="GZ54" s="601"/>
      <s:c r="HA54" s="601"/>
      <s:c r="HB54" s="601"/>
      <s:c r="HC54" s="601"/>
      <s:c r="HD54" s="601"/>
      <s:c r="HE54" s="601"/>
      <s:c r="HF54" s="601"/>
      <s:c r="HG54" s="601"/>
      <s:c r="HH54" s="601"/>
      <s:c r="HI54" s="601"/>
      <s:c r="HJ54" s="601"/>
      <s:c r="HK54" s="601"/>
      <s:c r="HL54" s="601"/>
      <s:c r="HM54" s="601"/>
      <s:c r="HN54" s="601"/>
      <s:c r="HO54" s="601"/>
      <s:c r="HP54" s="601"/>
      <s:c r="HQ54" s="601"/>
      <s:c r="HR54" s="601"/>
      <s:c r="HS54" s="601"/>
      <s:c r="HT54" s="601"/>
      <s:c r="HU54" s="601"/>
      <s:c r="HV54" s="601"/>
      <s:c r="HW54" s="601"/>
      <s:c r="HX54" s="601"/>
      <s:c r="HY54" s="601"/>
      <s:c r="HZ54" s="601"/>
      <s:c r="IA54" s="601"/>
      <s:c r="IB54" s="601"/>
      <s:c r="IC54" s="601"/>
      <s:c r="ID54" s="601"/>
      <s:c r="IE54" s="601"/>
      <s:c r="IF54" s="601"/>
      <s:c r="IG54" s="601"/>
      <s:c r="IH54" s="601"/>
      <s:c r="II54" s="601"/>
      <s:c r="IJ54" s="601"/>
      <s:c r="IK54" s="601"/>
      <s:c r="IL54" s="601"/>
      <s:c r="IM54" s="601"/>
      <s:c r="IN54" s="601"/>
      <s:c r="IO54" s="601"/>
      <s:c r="IP54" s="601"/>
      <s:c r="IQ54" s="601"/>
      <s:c r="IR54" s="601"/>
      <s:c r="IS54" s="601"/>
      <s:c r="IT54" s="601"/>
      <s:c r="IU54" s="601"/>
      <s:c r="IV54" s="601"/>
      <s:c r="IW54" s="601"/>
      <s:c r="IX54" s="601"/>
      <s:c r="IY54" s="601"/>
      <s:c r="IZ54" s="601"/>
    </s:row>
    <s:row r="55">
      <s:c r="A55" s="535"/>
      <s:c r="B55" s="545"/>
      <s:c r="C55" s="546"/>
      <s:c r="D55" s="606"/>
      <s:c r="E55" s="454"/>
      <s:c r="F55" s="308" t="str">
        <s:f>IF(AND(E55&lt;&gt;"",E55&lt;&gt;0),D55/E55,"")</s:f>
        <s:v/>
      </s:c>
      <s:c r="G55" s="454"/>
      <s:c r="H55" s="308" t="str">
        <s:f>IF(AND(G55&lt;&gt;"",G55&lt;&gt;0),D55/G55,"")</s:f>
        <s:v/>
      </s:c>
      <s:c r="I55" s="454"/>
      <s:c r="J55" s="455" t="str">
        <s:f>IF(AND(G55&lt;&gt;"",G55&lt;&gt;0),E55/G55,"")</s:f>
        <s:v/>
      </s:c>
      <s:c r="K55" s="456"/>
      <s:c r="L55" s="454"/>
      <s:c r="M55" s="454"/>
      <s:c r="N55" s="454"/>
      <s:c r="O55" s="454"/>
      <s:c r="P55" s="457"/>
      <s:c r="Q55" s="457"/>
      <s:c r="R55" s="312"/>
      <s:c r="S55" s="458"/>
      <s:c r="T55" s="551" t="str">
        <s:f>IF(AND(I55&lt;&gt;"",I55&lt;&gt;0),G55/I55,"")</s:f>
        <s:v/>
      </s:c>
      <s:c r="U55" s="555" t="e">
        <s:f>D55/V55</s:f>
        <s:v>#DIV/0!</s:v>
      </s:c>
      <s:c r="V55" s="489">
        <s:f>$I$8*AB55*AC55/SUMPRODUCT($AC$25:$AC$55,$AB$25:$AB$55)</s:f>
        <s:v>0</s:v>
      </s:c>
      <s:c r="W55" s="563">
        <s:f>$I$9*AB55*AC55/SUMPRODUCT($AC$25:$AC$55,$AB$25:$AB$55)</s:f>
        <s:v>0</s:v>
      </s:c>
      <s:c r="X55" s="563">
        <s:f>IF($I$12="","",W55/$I$12)</s:f>
        <s:v>0</s:v>
      </s:c>
      <s:c r="Y55" s="564" t="str">
        <s:f>IF(AB55&lt;&gt;"",IF(D55&lt;&gt;"",D55,($I$8-SUM($Y$25:Y54))*AA55*AB55/SUMPRODUCT($AB55:$AB$55,$AA55:$AA$55)),"")</s:f>
        <s:v/>
      </s:c>
      <s:c r="Z55" s="464" t="str">
        <s:f>IF(AC55&lt;&gt;"",IF(E55&lt;&gt;"",E55,($I$9-SUM($Z$25:Z54))*AB55*AC55/SUMPRODUCT($AC55:$AC$55,$AB55:$AB$55)),"")</s:f>
        <s:v/>
      </s:c>
      <s:c r="AA55" s="464" t="str">
        <s:f>IF(AC55&lt;&gt;"",IF($I$12&lt;&gt;"",IF(G55&lt;&gt;"",G55,($I$9/$I$12-SUM($AA$25:AA54))*AB55*AC55/SUMPRODUCT($AC55:$AC$55,$AB55:$AB$55)),""),"")</s:f>
        <s:v/>
      </s:c>
      <s:c r="AB55" s="565"/>
      <s:c r="AC55" s="566"/>
      <s:c r="AD55" s="311"/>
      <s:c r="AE55" s="311"/>
      <s:c r="AF55" s="310"/>
      <s:c r="AG55" s="310"/>
      <s:c r="AH55" s="310"/>
      <s:c r="AI55" s="310"/>
      <s:c r="AJ55" s="310"/>
      <s:c r="AK55" s="310"/>
      <s:c r="AL55" s="310"/>
      <s:c r="AM55" s="310"/>
      <s:c r="AN55" s="310"/>
      <s:c r="AO55" s="310"/>
      <s:c r="AP55" s="310"/>
      <s:c r="AQ55" s="310"/>
      <s:c r="AR55" s="310"/>
      <s:c r="AS55" s="310"/>
      <s:c r="AT55" s="310"/>
      <s:c r="AU55" s="310"/>
      <s:c r="AV55" s="310"/>
      <s:c r="AW55" s="310"/>
      <s:c r="AX55" s="310"/>
      <s:c r="AY55" s="310"/>
      <s:c r="AZ55" s="310"/>
      <s:c r="BA55" s="310"/>
      <s:c r="BB55" s="310"/>
      <s:c r="BC55" s="310"/>
      <s:c r="BD55" s="310"/>
      <s:c r="BE55" s="310"/>
      <s:c r="BF55" s="310"/>
      <s:c r="BG55" s="310"/>
      <s:c r="BH55" s="310"/>
      <s:c r="BI55" s="310"/>
      <s:c r="BJ55" s="310"/>
      <s:c r="BK55" s="310"/>
      <s:c r="BL55" s="310"/>
      <s:c r="BM55" s="310"/>
      <s:c r="BN55" s="310"/>
      <s:c r="BO55" s="310"/>
      <s:c r="BP55" s="310"/>
      <s:c r="BQ55" s="310"/>
      <s:c r="BR55" s="310"/>
      <s:c r="BS55" s="310"/>
      <s:c r="BT55" s="310"/>
      <s:c r="BU55" s="310"/>
      <s:c r="BV55" s="310"/>
      <s:c r="BW55" s="310"/>
      <s:c r="BX55" s="310"/>
      <s:c r="BY55" s="310"/>
      <s:c r="BZ55" s="310"/>
      <s:c r="CA55" s="310"/>
      <s:c r="CB55" s="310"/>
      <s:c r="CC55" s="310"/>
      <s:c r="CD55" s="310"/>
      <s:c r="CE55" s="310"/>
      <s:c r="CF55" s="310"/>
      <s:c r="CG55" s="310"/>
      <s:c r="CH55" s="310"/>
      <s:c r="CI55" s="310"/>
      <s:c r="CJ55" s="310"/>
      <s:c r="CK55" s="310"/>
      <s:c r="CL55" s="310"/>
      <s:c r="CM55" s="310"/>
      <s:c r="CN55" s="310"/>
      <s:c r="CO55" s="310"/>
      <s:c r="CP55" s="310"/>
      <s:c r="CQ55" s="310"/>
      <s:c r="CR55" s="310"/>
      <s:c r="CS55" s="310"/>
      <s:c r="CT55" s="310"/>
      <s:c r="CU55" s="310"/>
      <s:c r="CV55" s="310"/>
      <s:c r="CW55" s="310"/>
      <s:c r="CX55" s="310"/>
      <s:c r="CY55" s="310"/>
      <s:c r="CZ55" s="310"/>
      <s:c r="DA55" s="310"/>
      <s:c r="DB55" s="310"/>
      <s:c r="DC55" s="310"/>
      <s:c r="DD55" s="310"/>
      <s:c r="DE55" s="310"/>
      <s:c r="DF55" s="310"/>
      <s:c r="DG55" s="310"/>
      <s:c r="DH55" s="310"/>
      <s:c r="DI55" s="310"/>
      <s:c r="DJ55" s="310"/>
      <s:c r="DK55" s="310"/>
      <s:c r="DL55" s="310"/>
      <s:c r="DM55" s="310"/>
      <s:c r="DN55" s="310"/>
      <s:c r="DO55" s="310"/>
      <s:c r="DP55" s="310"/>
      <s:c r="DQ55" s="310"/>
      <s:c r="DR55" s="310"/>
      <s:c r="DS55" s="310"/>
      <s:c r="DT55" s="310"/>
      <s:c r="DU55" s="310"/>
      <s:c r="DV55" s="310"/>
      <s:c r="DW55" s="310"/>
      <s:c r="DX55" s="310"/>
      <s:c r="DY55" s="310"/>
      <s:c r="DZ55" s="310"/>
      <s:c r="EA55" s="310"/>
      <s:c r="EB55" s="310"/>
      <s:c r="EC55" s="310"/>
      <s:c r="ED55" s="310"/>
      <s:c r="EE55" s="310"/>
      <s:c r="EF55" s="310"/>
      <s:c r="EG55" s="310"/>
      <s:c r="EH55" s="310"/>
      <s:c r="EI55" s="310"/>
      <s:c r="EJ55" s="310"/>
      <s:c r="EK55" s="310"/>
      <s:c r="EL55" s="310"/>
      <s:c r="EM55" s="310"/>
      <s:c r="EN55" s="310"/>
      <s:c r="EO55" s="310"/>
      <s:c r="EP55" s="310"/>
      <s:c r="EQ55" s="310"/>
      <s:c r="ER55" s="310"/>
      <s:c r="ES55" s="310"/>
      <s:c r="ET55" s="310"/>
      <s:c r="EU55" s="310"/>
      <s:c r="EV55" s="310"/>
      <s:c r="EW55" s="310"/>
      <s:c r="EX55" s="310"/>
      <s:c r="EY55" s="310"/>
      <s:c r="EZ55" s="310"/>
      <s:c r="FA55" s="310"/>
      <s:c r="FB55" s="310"/>
      <s:c r="FC55" s="310"/>
      <s:c r="FD55" s="310"/>
      <s:c r="FE55" s="310"/>
      <s:c r="FF55" s="310"/>
      <s:c r="FG55" s="310"/>
      <s:c r="FH55" s="310"/>
      <s:c r="FI55" s="310"/>
      <s:c r="FJ55" s="310"/>
      <s:c r="FK55" s="310"/>
      <s:c r="FL55" s="310"/>
      <s:c r="FM55" s="310"/>
      <s:c r="FN55" s="310"/>
      <s:c r="FO55" s="310"/>
      <s:c r="FP55" s="310"/>
      <s:c r="FQ55" s="310"/>
      <s:c r="FR55" s="310"/>
      <s:c r="FS55" s="310"/>
      <s:c r="FT55" s="310"/>
      <s:c r="FU55" s="310"/>
      <s:c r="FV55" s="310"/>
      <s:c r="FW55" s="310"/>
      <s:c r="FX55" s="310"/>
      <s:c r="FY55" s="310"/>
      <s:c r="FZ55" s="310"/>
      <s:c r="GA55" s="310"/>
      <s:c r="GB55" s="310"/>
      <s:c r="GC55" s="310"/>
      <s:c r="GD55" s="310"/>
      <s:c r="GE55" s="310"/>
      <s:c r="GF55" s="310"/>
      <s:c r="GG55" s="310"/>
      <s:c r="GH55" s="310"/>
      <s:c r="GI55" s="310"/>
      <s:c r="GJ55" s="310"/>
      <s:c r="GK55" s="310"/>
      <s:c r="GL55" s="310"/>
      <s:c r="GM55" s="310"/>
      <s:c r="GN55" s="310"/>
      <s:c r="GO55" s="310"/>
      <s:c r="GP55" s="310"/>
      <s:c r="GQ55" s="310"/>
      <s:c r="GR55" s="310"/>
      <s:c r="GS55" s="310"/>
      <s:c r="GT55" s="310"/>
      <s:c r="GU55" s="310"/>
      <s:c r="GV55" s="310"/>
      <s:c r="GW55" s="310"/>
      <s:c r="GX55" s="310"/>
      <s:c r="GY55" s="310"/>
      <s:c r="GZ55" s="310"/>
      <s:c r="HA55" s="310"/>
      <s:c r="HB55" s="310"/>
      <s:c r="HC55" s="310"/>
      <s:c r="HD55" s="310"/>
      <s:c r="HE55" s="310"/>
      <s:c r="HF55" s="310"/>
      <s:c r="HG55" s="310"/>
      <s:c r="HH55" s="310"/>
      <s:c r="HI55" s="310"/>
      <s:c r="HJ55" s="310"/>
      <s:c r="HK55" s="310"/>
      <s:c r="HL55" s="310"/>
      <s:c r="HM55" s="310"/>
      <s:c r="HN55" s="310"/>
      <s:c r="HO55" s="310"/>
      <s:c r="HP55" s="310"/>
      <s:c r="HQ55" s="310"/>
      <s:c r="HR55" s="310"/>
      <s:c r="HS55" s="310"/>
      <s:c r="HT55" s="310"/>
      <s:c r="HU55" s="310"/>
      <s:c r="HV55" s="310"/>
      <s:c r="HW55" s="310"/>
      <s:c r="HX55" s="310"/>
      <s:c r="HY55" s="310"/>
      <s:c r="HZ55" s="310"/>
      <s:c r="IA55" s="310"/>
      <s:c r="IB55" s="310"/>
      <s:c r="IC55" s="310"/>
      <s:c r="ID55" s="310"/>
      <s:c r="IE55" s="310"/>
      <s:c r="IF55" s="310"/>
      <s:c r="IG55" s="310"/>
      <s:c r="IH55" s="310"/>
      <s:c r="II55" s="310"/>
      <s:c r="IJ55" s="310"/>
      <s:c r="IK55" s="310"/>
      <s:c r="IL55" s="310"/>
      <s:c r="IM55" s="310"/>
      <s:c r="IN55" s="310"/>
      <s:c r="IO55" s="310"/>
      <s:c r="IP55" s="310"/>
      <s:c r="IQ55" s="310"/>
      <s:c r="IR55" s="310"/>
      <s:c r="IS55" s="310"/>
      <s:c r="IT55" s="310"/>
      <s:c r="IU55" s="310"/>
      <s:c r="IV55" s="310"/>
      <s:c r="IW55" s="310"/>
      <s:c r="IX55" s="310"/>
      <s:c r="IY55" s="310"/>
      <s:c r="IZ55" s="310"/>
    </s:row>
    <s:row r="56">
      <s:c r="A56" s="538"/>
      <s:c r="B56" s="547"/>
      <s:c r="C56" s="548"/>
      <s:c r="D56" s="539">
        <s:f>SUM(D25:D55)</s:f>
        <s:v>1254183</s:v>
      </s:c>
      <s:c r="E56" s="459">
        <s:f>SUM(E25:E55)</s:f>
        <s:v>159</s:v>
      </s:c>
      <s:c r="F56" s="459">
        <s:f>IF(AND(E56&lt;&gt;"", E56&lt;&gt;0), D56/E56, "")</s:f>
        <s:v>7887.9433962264102</s:v>
      </s:c>
      <s:c r="G56" s="459">
        <s:f>SUM(G25:G55)</s:f>
        <s:v>80</s:v>
      </s:c>
      <s:c r="H56" s="459">
        <s:f>IF(AND(G56&lt;&gt;"", G56&lt;&gt;0), D56/G56, "")</s:f>
        <s:v>15677.2875</s:v>
      </s:c>
      <s:c r="I56" s="459">
        <s:f>SUM(I25:I55)*0.85</s:f>
        <s:v>1041.25</s:v>
      </s:c>
      <s:c r="J56" s="460">
        <s:f>E56/G56</s:f>
        <s:v>1.9875</s:v>
      </s:c>
      <s:c r="K56" s="461">
        <s:f>SUM(K25:K55)</s:f>
        <s:v>62408</s:v>
      </s:c>
      <s:c r="L56" s="463">
        <s:f>SUM(L25:L55)</s:f>
        <s:v>0</s:v>
      </s:c>
      <s:c r="M56" s="459">
        <s:f>SUM(M25:M55)</s:f>
        <s:v>30878</s:v>
      </s:c>
      <s:c r="N56" s="459">
        <s:f>SUM(N25:N55)</s:f>
        <s:v>227591</s:v>
      </s:c>
      <s:c r="O56" s="459">
        <s:f>SUM(O25:O55)</s:f>
        <s:v>220637</s:v>
      </s:c>
      <s:c r="P56" s="459">
        <s:f>SUM(P25:P55)</s:f>
        <s:v>38934</s:v>
      </s:c>
      <s:c r="Q56" s="459">
        <s:f>SUM(Q25:Q55)</s:f>
        <s:v>0</s:v>
      </s:c>
      <s:c r="R56" s="459">
        <s:f>SUM(R25:R55)</s:f>
        <s:v>31953</s:v>
      </s:c>
      <s:c r="S56" s="462">
        <s:f>SUM(S25:S55)</s:f>
        <s:v>53655.17</s:v>
      </s:c>
      <s:c r="T56" s="552">
        <s:f>IF(AND(I56&lt;&gt;"",I56&lt;&gt;0),G56/I56,"")</s:f>
        <s:v>7.6830732292917162E-2</s:v>
      </s:c>
      <s:c r="U56" s="556">
        <s:f>D56/V56</s:f>
        <s:v>0.66825607416879695</s:v>
      </s:c>
      <s:c r="V56" s="567">
        <s:f>SUM(V25:V55)</s:f>
        <s:v>1876800.0000000012</s:v>
      </s:c>
      <s:c r="W56" s="568">
        <s:f>SUM(W25:W55)</s:f>
        <s:v>272.00000000000006</s:v>
      </s:c>
      <s:c r="X56" s="568">
        <s:f>SUM(X25:X55)</s:f>
        <s:v>160.00000000000009</s:v>
      </s:c>
      <s:c r="Y56" s="568">
        <s:f>SUM(Y25:Y55)</s:f>
        <s:v>1254183</s:v>
      </s:c>
      <s:c r="Z56" s="568">
        <s:f>SUM(Z25:Z55)</s:f>
        <s:v>157</s:v>
      </s:c>
      <s:c r="AA56" s="568">
        <s:f>SUM(AA25:AA55)</s:f>
        <s:v>76</s:v>
      </s:c>
      <s:c r="AB56" s="569"/>
      <s:c r="AC56" s="570"/>
      <s:c r="AD56" s="2"/>
      <s:c r="AE56" s="2"/>
      <s:c r="AF56" s="2"/>
      <s:c r="AG56" s="2"/>
      <s:c r="AH56" s="2"/>
      <s:c r="AI56" s="2"/>
      <s:c r="AJ56" s="2"/>
      <s:c r="AK56" s="2"/>
      <s:c r="AL56" s="2"/>
      <s:c r="AM56" s="2"/>
      <s:c r="AN56" s="2"/>
      <s:c r="AO56" s="2"/>
    </s:row>
    <s:row r="57">
      <s:c r="B57" s="80"/>
      <s:c r="C57" s="81"/>
      <s:c r="D57" s="82">
        <s:f>SUMIF(D25:D55,"",V25:V55)+D56</s:f>
        <s:v>1254183</s:v>
      </s:c>
      <s:c r="E57" s="83"/>
      <s:c r="F57" s="81"/>
      <s:c r="G57" s="81"/>
      <s:c r="H57" s="84"/>
      <s:c r="I57" s="85"/>
      <s:c r="J57" s="84"/>
      <s:c r="L57" s="86"/>
      <s:c r="M57" s="83"/>
      <s:c r="N57" s="83"/>
      <s:c r="O57" s="83"/>
      <s:c r="P57" s="86"/>
      <s:c r="Q57" s="86"/>
      <s:c r="S57" s="86"/>
      <s:c r="T57" s="86"/>
      <s:c r="U57" s="86"/>
      <s:c r="V57" s="87"/>
    </s:row>
    <s:row r="58">
      <s:c r="D58" s="88">
        <s:f>Рогалевич!D48+Маркова!D48+Бешлиева!D48</s:f>
        <s:v>1254183</s:v>
      </s:c>
      <s:c r="E58" s="88"/>
      <s:c r="F58" s="88"/>
      <s:c r="G58" s="88"/>
      <s:c r="H58" s="88"/>
      <s:c r="I58" s="89">
        <s:f>Рогалевич!I48+Маркова!I48+Бешлиева!I48</s:f>
        <s:v>709.6</s:v>
      </s:c>
      <s:c r="J58" s="88"/>
      <s:c r="K58" s="89">
        <s:f>Рогалевич!K48+Маркова!K48+Бешлиева!K48</s:f>
        <s:v>62408</s:v>
      </s:c>
      <s:c r="L58" s="89">
        <s:f>Рогалевич!L48+Маркова!L48+Бешлиева!L48</s:f>
        <s:v>0</s:v>
      </s:c>
      <s:c r="M58" s="89">
        <s:f>Рогалевич!M48+Маркова!M48+Бешлиева!M48</s:f>
        <s:v>30878</s:v>
      </s:c>
      <s:c r="N58" s="89">
        <s:f>Рогалевич!N48+Маркова!N48+Бешлиева!N48</s:f>
        <s:v>227591</s:v>
      </s:c>
      <s:c r="O58" s="89">
        <s:f>Рогалевич!O48+Маркова!O48+Бешлиева!O48</s:f>
        <s:v>220637</s:v>
      </s:c>
      <s:c r="P58" s="89">
        <s:f>Рогалевич!P48+Маркова!P48+Бешлиева!P48</s:f>
        <s:v>38934</s:v>
      </s:c>
      <s:c r="Q58" s="89">
        <s:f>Рогалевич!Q48+Маркова!Q48+Бешлиева!Q48</s:f>
        <s:v>0</s:v>
      </s:c>
      <s:c r="R58" s="89">
        <s:f>Рогалевич!R48+Маркова!R48+Бешлиева!R48</s:f>
        <s:v>31953</s:v>
      </s:c>
      <s:c r="S58" s="89">
        <s:f>Рогалевич!S48+Маркова!S48+Бешлиева!S48</s:f>
        <s:v>53655.17</s:v>
      </s:c>
    </s:row>
    <s:row r="59">
      <s:c r="C59" s="88"/>
      <s:c r="D59" s="88"/>
      <s:c r="K59" s="90">
        <s:f>K58/$J$8</s:f>
        <s:v>4.9759883525769301E-2</s:v>
      </s:c>
      <s:c r="L59" s="90">
        <s:f>L58/$J$8</s:f>
        <s:v>0</s:v>
      </s:c>
      <s:c r="M59" s="90">
        <s:f>M58/$J$8</s:f>
        <s:v>2.46200115932045E-2</s:v>
      </s:c>
      <s:c r="N59" s="90">
        <s:f>N58/$J$8</s:f>
        <s:v>0.18146554370454701</s:v>
      </s:c>
      <s:c r="O59" s="90">
        <s:f>O58/$J$8</s:f>
        <s:v>0.17592089830590901</s:v>
      </s:c>
      <s:c r="P59" s="90">
        <s:f>P58/$J$8</s:f>
        <s:v>3.1043316645178499E-2</s:v>
      </s:c>
      <s:c r="Q59" s="90">
        <s:f>Q58/$J$8</s:f>
        <s:v>0</s:v>
      </s:c>
      <s:c r="R59" s="90">
        <s:f>R58/$J$8</s:f>
        <s:v>2.5477143287701998E-2</s:v>
      </s:c>
      <s:c r="S59" s="90">
        <s:f>S58/$J$8</s:f>
        <s:v>4.2780973749444798E-2</s:v>
      </s:c>
    </s:row>
    <s:row r="60">
      <s:c r="D60" s="89">
        <s:f>SUM(D45:D49)</s:f>
        <s:v>107796</s:v>
      </s:c>
      <s:c r="E60" s="91"/>
    </s:row>
    <s:row r="61">
      <s:c r="D61" s="89">
        <s:f>SUM(D51:D54)</s:f>
        <s:v>565359</s:v>
      </s:c>
    </s:row>
    <s:row r="62">
      <s:c r="D62" s="88">
        <s:f>D60+D61</s:f>
        <s:v>673155</s:v>
      </s:c>
      <s:c r="E62" s="88"/>
    </s:row>
    <s:row r="64">
      <s:c r="H64" s="92"/>
    </s:row>
  </s:sheetData>
  <s:mergeCells count="23">
    <s:mergeCell ref="C4:D4"/>
    <s:mergeCell ref="F15:H15"/>
    <s:mergeCell ref="F16:H16"/>
    <s:mergeCell ref="I2:O2"/>
    <s:mergeCell ref="I3:O4"/>
    <s:mergeCell ref="F6:Q6"/>
    <s:mergeCell ref="F8:H8"/>
    <s:mergeCell ref="V22:AC22"/>
    <s:mergeCell ref="P7:Q7"/>
    <s:mergeCell ref="S16:S17"/>
    <s:mergeCell ref="F18:H18"/>
    <s:mergeCell ref="F19:H19"/>
    <s:mergeCell ref="F20:H20"/>
    <s:mergeCell ref="A22:T22"/>
    <s:mergeCell ref="U22:U23"/>
    <s:mergeCell ref="F17:H17"/>
    <s:mergeCell ref="F7:H7"/>
    <s:mergeCell ref="F9:H9"/>
    <s:mergeCell ref="F10:H10"/>
    <s:mergeCell ref="F11:H11"/>
    <s:mergeCell ref="F12:H12"/>
    <s:mergeCell ref="F13:H13"/>
    <s:mergeCell ref="F14:H14"/>
  </s:mergeCells>
  <s:phoneticPr fontId="47" type="noConversion"/>
  <s:pageMargins left="0.7" right="0.7" top="0.75" bottom="0.75" header="0.3" footer="0.3"/>
</s:worksheet>
</file>

<file path=xl/worksheets/sheet2.xml><?xml version="1.0" encoding="utf-8"?>
<s:worksheet xmlns:x14ac="http://schemas.microsoft.com/office/spreadsheetml/2009/9/ac" xmlns:mc="http://schemas.openxmlformats.org/markup-compatibility/2006" xmlns:xr3="http://schemas.microsoft.com/office/spreadsheetml/2016/revision3" xmlns:xr2="http://schemas.microsoft.com/office/spreadsheetml/2015/revision2" xmlns:s="http://schemas.openxmlformats.org/spreadsheetml/2006/main" xmlns:xr="http://schemas.microsoft.com/office/spreadsheetml/2014/revision" mc:Ignorable="x14ac xr xr2 xr3" xr:uid="{15A76D95-4577-1943-83D8-BDB1CF0B9DC6}">
  <s:sheetPr>
    <s:tabColor rgb="FFDBDBDB"/>
    <s:pageSetUpPr fitToPage="1"/>
  </s:sheetPr>
  <s:dimension ref="A1:A3"/>
  <s:sheetViews>
    <s:sheetView showGridLines="0" showZeros="0" tabSelected="0" workbookViewId="0">
      <s:selection activeCell="A3" sqref="A3"/>
    </s:sheetView>
  </s:sheetViews>
  <s:sheetFormatPr baseColWidth="10" defaultColWidth="8.664" defaultRowHeight="15"/>
  <s:sheetData>
    <s:row r="1" spans="1:1">
      <s:c r="A1" t="s">
        <s:v>66</s:v>
      </s:c>
    </s:row>
    <s:row r="2" spans="1:1">
      <s:c r="A2" t="s">
        <s:v>67</s:v>
      </s:c>
    </s:row>
    <s:row r="3" spans="1:1">
      <s:c r="A3" t="s">
        <s:v>68</s:v>
      </s:c>
    </s:row>
  </s:sheetData>
  <s:printOptions gridLines="1"/>
  <s:pageMargins left="0.7" right="0.7" top="0.75" bottom="0.75" header="0.512" footer="0.512"/>
  <s:pageSetup paperSize="9" firstPageNumber="0" fitToHeight="0" orientation="landscape" horizontalDpi="300" verticalDpi="300"/>
</s:worksheet>
</file>

<file path=xl/worksheets/sheet3.xml><?xml version="1.0" encoding="utf-8"?>
<s:worksheet xmlns:xr3="http://schemas.microsoft.com/office/spreadsheetml/2016/revision3" xmlns:s="http://schemas.openxmlformats.org/spreadsheetml/2006/main" xmlns:xr2="http://schemas.microsoft.com/office/spreadsheetml/2015/revision2" xmlns:x14ac="http://schemas.microsoft.com/office/spreadsheetml/2009/9/ac" xmlns:vyd="http://volga.yandex.com/schemas/document/model" xmlns:xr="http://schemas.microsoft.com/office/spreadsheetml/2014/revision" xmlns:mc="http://schemas.openxmlformats.org/markup-compatibility/2006" mc:Ignorable="x14ac xr xr2 xr3" xr:uid="{2856778E-824A-6148-B9DF-C5714F35BE12}">
  <s:dimension ref="A1:O15"/>
  <s:sheetViews>
    <s:sheetView tabSelected="0" workbookViewId="0">
      <s:selection activeCell="J23" sqref="J23"/>
    </s:sheetView>
  </s:sheetViews>
  <s:sheetFormatPr baseColWidth="10" defaultColWidth="10" defaultRowHeight="15"/>
  <s:sheetData>
    <s:row r="1" spans="1:15" ht="17" thickBot="1">
      <s:c r="A1" s="814"/>
      <s:c r="B1" s="815"/>
      <s:c r="C1" s="815"/>
      <s:c r="D1" s="815"/>
      <s:c r="E1" s="815"/>
      <s:c r="F1" s="815"/>
      <s:c r="G1" s="815"/>
      <s:c r="H1" s="815"/>
      <s:c r="I1" s="815"/>
      <s:c r="J1" s="815"/>
      <s:c r="K1" s="815"/>
      <s:c r="L1" s="815"/>
      <s:c r="M1" s="815"/>
      <s:c r="N1" s="815"/>
      <s:c r="O1" s="816"/>
    </s:row>
    <s:row r="2" spans="1:15">
      <s:c r="A2" s="817" t="s">
        <s:v>3</s:v>
      </s:c>
      <s:c r="B2" s="818"/>
      <s:c r="C2" s="819"/>
      <s:c r="D2" s="823" t="str">
        <s:f>Центрум!I3</s:f>
        <s:v>ТРК Центрум</s:v>
      </s:c>
      <s:c r="E2" s="824"/>
      <s:c r="F2" s="825"/>
      <s:c r="G2" s="826" t="str">
        <s:f>[1]График!B28</s:f>
        <s:v>Рогалевич Ирина</s:v>
      </s:c>
      <s:c r="H2" s="827"/>
      <s:c r="I2" s="828"/>
      <s:c r="J2" s="826" t="str">
        <s:f>График!B27</s:f>
        <s:v>Маркова Диана</s:v>
      </s:c>
      <s:c r="K2" s="827"/>
      <s:c r="L2" s="828"/>
      <s:c r="M2" s="826" t="str">
        <s:f>График!B26</s:f>
        <s:v>Бешлиева Аджере</s:v>
      </s:c>
      <s:c r="N2" s="827"/>
      <s:c r="O2" s="828"/>
    </s:row>
    <s:row r="3" spans="1:15" ht="16" thickBot="1">
      <s:c r="A3" s="820"/>
      <s:c r="B3" s="821"/>
      <s:c r="C3" s="822"/>
      <s:c r="D3" s="829" t="s">
        <s:v>63</s:v>
      </s:c>
      <s:c r="E3" s="830"/>
      <s:c r="F3" s="628" t="s">
        <s:v>64</s:v>
      </s:c>
      <s:c r="G3" s="831" t="s">
        <s:v>5</s:v>
      </s:c>
      <s:c r="H3" s="832"/>
      <s:c r="I3" s="629" t="s">
        <s:v>64</s:v>
      </s:c>
      <s:c r="J3" s="831" t="s">
        <s:v>5</s:v>
      </s:c>
      <s:c r="K3" s="832"/>
      <s:c r="L3" s="630" t="s">
        <s:v>64</s:v>
      </s:c>
      <s:c r="M3" s="831" t="s">
        <s:v>5</s:v>
      </s:c>
      <s:c r="N3" s="832"/>
      <s:c r="O3" s="631" t="s">
        <s:v>64</s:v>
      </s:c>
    </s:row>
    <s:row r="4" spans="1:15">
      <s:c r="A4" s="796" t="s">
        <s:v>12</s:v>
      </s:c>
      <s:c r="B4" s="797"/>
      <s:c r="C4" s="798"/>
      <s:c r="D4" s="632">
        <s:f>Центрум!K8</s:f>
        <s:v>0.66825607416879795</s:v>
      </s:c>
      <s:c r="E4" s="633">
        <s:f>Центрум!J8</s:f>
        <s:v>1254183</s:v>
      </s:c>
      <s:c r="F4" s="634">
        <s:f>Центрум!M8</s:f>
        <s:v>0.66825607416879695</s:v>
      </s:c>
      <s:c r="G4" s="635" t="e">
        <s:f>Рогалевич!N8</s:f>
        <s:v>#DIV/0!</s:v>
      </s:c>
      <s:c r="H4" s="636" t="e">
        <s:f>Рогалевич!M8</s:f>
        <s:v>#DIV/0!</s:v>
      </s:c>
      <s:c r="I4" s="637" t="e">
        <s:f>Рогалевич!P8</s:f>
        <s:v>#DIV/0!</s:v>
      </s:c>
      <s:c r="J4" s="638">
        <s:f>Маркова!N8</s:f>
        <s:v>0.34306653491436101</s:v>
      </s:c>
      <s:c r="K4" s="636">
        <s:f>Маркова!M8</s:f>
        <s:v>191420</s:v>
      </s:c>
      <s:c r="L4" s="639">
        <s:f>Маркова!P8</s:f>
        <s:v>0.34306653491436101</s:v>
      </s:c>
      <s:c r="M4" s="635">
        <s:f>Бешлиева!N8</s:f>
        <s:v>0.59231937340153396</s:v>
      </s:c>
      <s:c r="N4" s="636">
        <s:f>Бешлиева!M8</s:f>
        <s:v>540810</s:v>
      </s:c>
      <s:c r="O4" s="640">
        <s:f>Бешлиева!P8</s:f>
        <s:v>0.59231937340153396</s:v>
      </s:c>
    </s:row>
    <s:row r="5" spans="1:15">
      <s:c r="A5" s="785" t="s">
        <s:v>13</s:v>
      </s:c>
      <s:c r="B5" s="786"/>
      <s:c r="C5" s="787"/>
      <s:c r="D5" s="641">
        <s:f>Центрум!K9</s:f>
        <s:v>0.58455882352941102</s:v>
      </s:c>
      <s:c r="E5" s="93">
        <s:f>Центрум!J9</s:f>
        <s:v>159</s:v>
      </s:c>
      <s:c r="F5" s="94">
        <s:f>Центрум!M9</s:f>
        <s:v>0.58455882352941102</s:v>
      </s:c>
      <s:c r="G5" s="642" t="e">
        <s:f>Рогалевич!N9</s:f>
        <s:v>#DIV/0!</s:v>
      </s:c>
      <s:c r="H5" s="643" t="e">
        <s:f>Рогалевич!M9</s:f>
        <s:v>#DIV/0!</s:v>
      </s:c>
      <s:c r="I5" s="644" t="e">
        <s:f>Рогалевич!P9</s:f>
        <s:v>#DIV/0!</s:v>
      </s:c>
      <s:c r="J5" s="645">
        <s:f>Маркова!N9</s:f>
        <s:v>0.38335561497326198</s:v>
      </s:c>
      <s:c r="K5" s="643">
        <s:f>Маркова!M9</s:f>
        <s:v>31</s:v>
      </s:c>
      <s:c r="L5" s="646">
        <s:f>Маркова!P9</s:f>
        <s:v>0.38335561497326193</s:v>
      </s:c>
      <s:c r="M5" s="642">
        <s:f>Бешлиева!N9</s:f>
        <s:v>0.60457516339869277</s:v>
      </s:c>
      <s:c r="N5" s="643">
        <s:f>Бешлиева!M9</s:f>
        <s:v>80</s:v>
      </s:c>
      <s:c r="O5" s="647">
        <s:f>Бешлиева!P9</s:f>
        <s:v>0.60457516339869299</s:v>
      </s:c>
    </s:row>
    <s:row r="6" spans="1:15">
      <s:c r="A6" s="796" t="s">
        <s:v>14</s:v>
      </s:c>
      <s:c r="B6" s="797"/>
      <s:c r="C6" s="798"/>
      <s:c r="D6" s="641">
        <s:f>Центрум!K10</s:f>
        <s:v>1.3365121483375899</s:v>
      </s:c>
      <s:c r="E6" s="648">
        <s:f>Центрум!J10</s:f>
        <s:v>15677.2875</s:v>
      </s:c>
      <s:c r="F6" s="94">
        <s:f>Центрум!M10</s:f>
        <s:v>1.3365121483375899</s:v>
      </s:c>
      <s:c r="G6" s="642">
        <s:f>Рогалевич!N10</s:f>
        <s:v>53514.125</s:v>
      </s:c>
      <s:c r="H6" s="649">
        <s:f>Рогалевич!M10</s:f>
        <s:v>5.5621589940323899</s:v>
      </s:c>
      <s:c r="I6" s="644" t="str">
        <s:f>Рогалевич!P10</s:f>
        <s:v/>
      </s:c>
      <s:c r="J6" s="645">
        <s:f>Маркова!N10</s:f>
        <s:v>0.74176548089591565</s:v>
      </s:c>
      <s:c r="K6" s="649">
        <s:f>Маркова!M10</s:f>
        <s:v>8700.9090909090901</s:v>
      </s:c>
      <s:c r="L6" s="646">
        <s:f>Маркова!P10</s:f>
        <s:v>0.74176548089591565</s:v>
      </s:c>
      <s:c r="M6" s="642">
        <s:f>Бешлиева!N10</s:f>
        <s:v>0.92209718670076701</s:v>
      </s:c>
      <s:c r="N6" s="649">
        <s:f>Бешлиева!M10</s:f>
        <s:v>10816.2</s:v>
      </s:c>
      <s:c r="O6" s="647">
        <s:f>Бешлиева!P10</s:f>
        <s:v>0.92209718670076701</s:v>
      </s:c>
    </s:row>
    <s:row r="7" spans="1:15">
      <s:c r="A7" s="785" t="s">
        <s:v>15</s:v>
      </s:c>
      <s:c r="B7" s="786"/>
      <s:c r="C7" s="787"/>
      <s:c r="D7" s="641">
        <s:f>Центрум!K11</s:f>
        <s:v>1.14318020235165</s:v>
      </s:c>
      <s:c r="E7" s="648">
        <s:f>Центрум!J11</s:f>
        <s:v>7887.9433962264102</s:v>
      </s:c>
      <s:c r="F7" s="94">
        <s:f>Центрум!M11</s:f>
        <s:v>1.14318020235166</s:v>
      </s:c>
      <s:c r="G7" s="642" t="e">
        <s:f>Рогалевич!N11</s:f>
        <s:v>#DIV/0!</s:v>
      </s:c>
      <s:c r="H7" s="649" t="e">
        <s:f>Рогалевич!M11</s:f>
        <s:v>#DIV/0!</s:v>
      </s:c>
      <s:c r="I7" s="644" t="e">
        <s:f>Рогалевич!P11</s:f>
        <s:v>#DIV/0!</s:v>
      </s:c>
      <s:c r="J7" s="645">
        <s:f>Маркова!N11</s:f>
        <s:v>0.89490416082281443</s:v>
      </s:c>
      <s:c r="K7" s="649">
        <s:f>Маркова!M11</s:f>
        <s:v>6174.8387096774195</s:v>
      </s:c>
      <s:c r="L7" s="646">
        <s:f>Маркова!P11</s:f>
        <s:v>0.89490416082281443</s:v>
      </s:c>
      <s:c r="M7" s="642">
        <s:f>Бешлиева!N11</s:f>
        <s:v>0.97972826086956499</s:v>
      </s:c>
      <s:c r="N7" s="649">
        <s:f>Бешлиева!M11</s:f>
        <s:v>6760.125</s:v>
      </s:c>
      <s:c r="O7" s="647">
        <s:f>Бешлиева!P11</s:f>
        <s:v>0.97972826086956499</s:v>
      </s:c>
    </s:row>
    <s:row r="8" spans="1:15">
      <s:c r="A8" s="785" t="s">
        <s:v>16</s:v>
      </s:c>
      <s:c r="B8" s="786"/>
      <s:c r="C8" s="787"/>
      <s:c r="D8" s="641">
        <s:f>Центрум!K12</s:f>
        <s:v>1.16911764705882</s:v>
      </s:c>
      <s:c r="E8" s="95">
        <s:f>Центрум!J12</s:f>
        <s:v>1.9875</s:v>
      </s:c>
      <s:c r="F8" s="94">
        <s:f>Центрум!M12</s:f>
        <s:v>1.16911764705882</s:v>
      </s:c>
      <s:c r="G8" s="642">
        <s:f>Рогалевич!N12</s:f>
        <s:v>4.3</s:v>
      </s:c>
      <s:c r="H8" s="650">
        <s:f>Рогалевич!M12</s:f>
        <s:v>3.52941176470588</s:v>
      </s:c>
      <s:c r="I8" s="644" t="str">
        <s:f>Рогалевич!P12</s:f>
        <s:v/>
      </s:c>
      <s:c r="J8" s="645">
        <s:f>Маркова!N12</s:f>
        <s:v>0.82887700534759301</s:v>
      </s:c>
      <s:c r="K8" s="650">
        <s:f>Маркова!M12</s:f>
        <s:v>1.4090909090909001</s:v>
      </s:c>
      <s:c r="L8" s="646">
        <s:f>Маркова!P12</s:f>
        <s:v>0.82887700534759301</s:v>
      </s:c>
      <s:c r="M8" s="642">
        <s:f>Бешлиева!N12</s:f>
        <s:v>0.94117647058823495</s:v>
      </s:c>
      <s:c r="N8" s="650">
        <s:f>Бешлиева!M12</s:f>
        <s:v>1.6</s:v>
      </s:c>
      <s:c r="O8" s="647">
        <s:f>Бешлиева!P12</s:f>
        <s:v>0.94117647058823495</s:v>
      </s:c>
    </s:row>
    <s:row r="9" spans="1:15">
      <s:c r="A9" s="785" t="s">
        <s:v>17</s:v>
      </s:c>
      <s:c r="B9" s="786"/>
      <s:c r="C9" s="787"/>
      <s:c r="D9" s="641">
        <s:f>Центрум!K13</s:f>
        <s:v>0.5</s:v>
      </s:c>
      <s:c r="E9" s="93">
        <s:f>Центрум!J13</s:f>
        <s:v>80</s:v>
      </s:c>
      <s:c r="F9" s="94">
        <s:f>Центрум!M13</s:f>
        <s:v>0.499999999999999</s:v>
      </s:c>
      <s:c r="G9" s="642" t="e">
        <s:f>Рогалевич!N13</s:f>
        <s:v>#DIV/0!</s:v>
      </s:c>
      <s:c r="H9" s="643" t="e">
        <s:f>Рогалевич!M13</s:f>
        <s:v>#DIV/0!</s:v>
      </s:c>
      <s:c r="I9" s="644" t="e">
        <s:f>Рогалевич!P13</s:f>
        <s:v>#DIV/0!</s:v>
      </s:c>
      <s:c r="J9" s="645">
        <s:f>Маркова!N13</s:f>
        <s:v>0.46249999999999997</s:v>
      </s:c>
      <s:c r="K9" s="643">
        <s:f>Маркова!M13</s:f>
        <s:v>22</s:v>
      </s:c>
      <s:c r="L9" s="646">
        <s:f>Маркова!P13</s:f>
        <s:v>0.46250000000000002</s:v>
      </s:c>
      <s:c r="M9" s="642">
        <s:f>Бешлиева!N13</s:f>
        <s:v>0.64236111111111105</s:v>
      </s:c>
      <s:c r="N9" s="643">
        <s:f>Бешлиева!M13</s:f>
        <s:v>50</s:v>
      </s:c>
      <s:c r="O9" s="647">
        <s:f>Бешлиева!P13</s:f>
        <s:v>0.64236111111111094</s:v>
      </s:c>
    </s:row>
    <s:row r="10" spans="1:15">
      <s:c r="A10" s="785" t="s">
        <s:v>65</s:v>
      </s:c>
      <s:c r="B10" s="786"/>
      <s:c r="C10" s="787"/>
      <s:c r="D10" s="641">
        <s:f>Центрум!K14</s:f>
        <s:v>1</s:v>
      </s:c>
      <s:c r="E10" s="651">
        <s:f>Центрум!J14</s:f>
        <s:v>30</s:v>
      </s:c>
      <s:c r="F10" s="94"/>
      <s:c r="G10" s="642" t="e">
        <s:f>Рогалевич!N14</s:f>
        <s:v>#DIV/0!</s:v>
      </s:c>
      <s:c r="H10" s="643" t="e">
        <s:f>Рогалевич!M14</s:f>
        <s:v>#DIV/0!</s:v>
      </s:c>
      <s:c r="I10" s="644" t="e">
        <s:f>Рогалевич!P14</s:f>
        <s:v>#DIV/0!</s:v>
      </s:c>
      <s:c r="J10" s="645">
        <s:f>Маркова!N14</s:f>
        <s:v>1</s:v>
      </s:c>
      <s:c r="K10" s="652">
        <s:f>Маркова!M14</s:f>
        <s:v>11</s:v>
      </s:c>
      <s:c r="L10" s="646"/>
      <s:c r="M10" s="642">
        <s:f>Бешлиева!N14</s:f>
        <s:v>1</s:v>
      </s:c>
      <s:c r="N10" s="643">
        <s:f>Бешлиева!M14</s:f>
        <s:v>18</s:v>
      </s:c>
      <s:c r="O10" s="647">
        <s:f>Бешлиева!P14</s:f>
        <s:v>0</s:v>
      </s:c>
    </s:row>
    <s:row r="11" spans="1:15">
      <s:c r="A11" s="785" t="s">
        <s:v>19</s:v>
      </s:c>
      <s:c r="B11" s="786"/>
      <s:c r="C11" s="787"/>
      <s:c r="D11" s="641">
        <s:f>Центрум!K15</s:f>
        <s:v>0.66825607416879795</s:v>
      </s:c>
      <s:c r="E11" s="653">
        <s:f>Центрум!J15</s:f>
        <s:v>41806.1</s:v>
      </s:c>
      <s:c r="F11" s="94">
        <s:f>Центрум!M15</s:f>
        <s:v>0.66825607416879795</s:v>
      </s:c>
      <s:c r="G11" s="642">
        <s:f>Рогалевич!N15</s:f>
        <s:v>-10364.699999999901</s:v>
      </s:c>
      <s:c r="H11" s="649">
        <s:f>Рогалевич!M15</s:f>
        <s:v>0.83432384910485902</s:v>
      </s:c>
      <s:c r="I11" s="644" t="str">
        <s:f>Рогалевич!P15</s:f>
        <s:v/>
      </s:c>
      <s:c r="J11" s="645">
        <s:f>Маркова!N15</s:f>
        <s:v>0.55632411067193666</s:v>
      </s:c>
      <s:c r="K11" s="649">
        <s:f>Маркова!M15</s:f>
        <s:v>17401.81818181818</s:v>
      </s:c>
      <s:c r="L11" s="646">
        <s:f>Маркова!P15</s:f>
        <s:v>0.55632411067193666</s:v>
      </s:c>
      <s:c r="M11" s="642">
        <s:f>Бешлиева!N15</s:f>
        <s:v>0.96051790281329896</s:v>
      </s:c>
      <s:c r="N11" s="649">
        <s:f>Бешлиева!M15</s:f>
        <s:v>30045</s:v>
      </s:c>
      <s:c r="O11" s="647">
        <s:f>Бешлиева!P15</s:f>
        <s:v>0.96051790281329896</s:v>
      </s:c>
    </s:row>
    <s:row r="12" spans="1:15">
      <s:c r="A12" s="785" t="s">
        <s:v>22</s:v>
      </s:c>
      <s:c r="B12" s="786"/>
      <s:c r="C12" s="787"/>
      <s:c r="D12" s="641">
        <s:f>Центрум!K17</s:f>
        <s:v>0.65078124999999998</s:v>
      </s:c>
      <s:c r="E12" s="651">
        <s:f>Центрум!J17</s:f>
        <s:v>1041.25</s:v>
      </s:c>
      <s:c r="F12" s="94">
        <s:f>Центрум!M17</s:f>
        <s:v>0.65078124999999998</s:v>
      </s:c>
      <s:c r="G12" s="642" t="str">
        <s:f>Рогалевич!N17</s:f>
        <s:v/>
      </s:c>
      <s:c r="H12" s="643" t="str">
        <s:f>Рогалевич!M17</s:f>
        <s:v/>
      </s:c>
      <s:c r="I12" s="644" t="str">
        <s:f>Рогалевич!P17</s:f>
        <s:v/>
      </s:c>
      <s:c r="J12" s="645">
        <s:f>Маркова!N17</s:f>
        <s:v>0.42381818181818182</s:v>
      </s:c>
      <s:c r="K12" s="652">
        <s:f>Маркова!M17</s:f>
        <s:v>201.6</s:v>
      </s:c>
      <s:c r="L12" s="646">
        <s:f>Маркова!P17</s:f>
        <s:v>0.42381818181818187</s:v>
      </s:c>
      <s:c r="M12" s="642">
        <s:f>Бешлиева!N17</s:f>
        <s:v>0.54472222222222222</s:v>
      </s:c>
      <s:c r="N12" s="643">
        <s:f>Бешлиева!M17</s:f>
        <s:v>424</s:v>
      </s:c>
      <s:c r="O12" s="647">
        <s:f>Бешлиева!P17</s:f>
        <s:v>0.54472222222222222</s:v>
      </s:c>
    </s:row>
    <s:row r="13" spans="1:15">
      <s:c r="A13" s="785" t="str">
        <s:f>'[1]Ялта, Ленина, 18'!F18</s:f>
        <s:v>Выручка на  вошедшего</s:v>
      </s:c>
      <s:c r="B13" s="786"/>
      <s:c r="C13" s="787"/>
      <s:c r="D13" s="641">
        <s:f>Центрум!K18</s:f>
        <s:v>1.02685207075157</s:v>
      </s:c>
      <s:c r="E13" s="651">
        <s:f>Центрум!J18</s:f>
        <s:v>1204.49747899159</s:v>
      </s:c>
      <s:c r="F13" s="94">
        <s:f>'[1]Ялта, Ленина, 18'!M18</s:f>
        <s:v>0.75390060871555187</s:v>
      </s:c>
      <s:c r="G13" s="642" t="e">
        <s:f>Рогалевич!N18</s:f>
        <s:v>#DIV/0!</s:v>
      </s:c>
      <s:c r="H13" s="649" t="e">
        <s:f>Рогалевич!M18</s:f>
        <s:v>#DIV/0!</s:v>
      </s:c>
      <s:c r="I13" s="644" t="str">
        <s:f>Рогалевич!P18</s:f>
        <s:v/>
      </s:c>
      <s:c r="J13" s="645">
        <s:f>Маркова!N18</s:f>
        <s:v>0.80946629859673347</s:v>
      </s:c>
      <s:c r="K13" s="652">
        <s:f>Маркова!M18</s:f>
        <s:v>949.50396825396831</s:v>
      </s:c>
      <s:c r="L13" s="646">
        <s:f>Маркова!P18</s:f>
        <s:v>0.80946629859673347</s:v>
      </s:c>
      <s:c r="M13" s="642">
        <s:f>Бешлиева!N18</s:f>
        <s:v>1.0873787579018399</s:v>
      </s:c>
      <s:c r="N13" s="649">
        <s:f>Бешлиева!M18</s:f>
        <s:v>1275.4952830188599</s:v>
      </s:c>
      <s:c r="O13" s="647">
        <s:f>Бешлиева!P18</s:f>
        <s:v>1.0873787579018399</s:v>
      </s:c>
    </s:row>
    <s:row r="14" spans="1:15" ht="16" thickBot="1">
      <s:c r="A14" s="839" t="str">
        <s:f>'[1]Ялта, Ленина, 18'!F20</s:f>
        <s:v>Конверсия план/факт</s:v>
      </s:c>
      <s:c r="B14" s="840"/>
      <s:c r="C14" s="841"/>
      <s:c r="D14" s="654">
        <s:f>Центрум!K20</s:f>
        <s:v>0.76830732292917159</s:v>
      </s:c>
      <s:c r="E14" s="655">
        <s:f>Центрум!J20</s:f>
        <s:v>7.6830732292917162E-2</s:v>
      </s:c>
      <s:c r="F14" s="656"/>
      <s:c r="G14" s="657">
        <s:f>Рогалевич!N20</s:f>
        <s:v>-6.1249965112857296E-3</s:v>
      </s:c>
      <s:c r="H14" s="658">
        <s:f>Рогалевич!M20</s:f>
        <s:v>0.9387500348871427</s:v>
      </s:c>
      <s:c r="I14" s="659"/>
      <s:c r="J14" s="657">
        <s:f>Маркова!N20</s:f>
        <s:v>1.0912698412698401</s:v>
      </s:c>
      <s:c r="K14" s="660">
        <s:f>Маркова!M20</s:f>
        <s:v>0.109126984126984</s:v>
      </s:c>
      <s:c r="L14" s="661" t="str">
        <s:f>Маркова!T13</s:f>
        <s:v/>
      </s:c>
      <s:c r="M14" s="657">
        <s:f>Бешлиева!N20</s:f>
        <s:v>1.17924528301886</s:v>
      </s:c>
      <s:c r="N14" s="658">
        <s:f>Бешлиева!M20</s:f>
        <s:v>0.117924528301886</s:v>
      </s:c>
      <s:c r="O14" s="662"/>
    </s:row>
    <s:row r="15" spans="1:15" ht="16" thickBot="1">
      <s:c r="A15" s="842" t="s">
        <s:v>135</s:v>
      </s:c>
      <s:c r="B15" s="843"/>
      <s:c r="C15" s="844"/>
      <s:c r="D15" s="833">
        <s:f>Центрум!L56+Центрум!S56</s:f>
        <s:v>53655.17</s:v>
      </s:c>
      <s:c r="E15" s="834"/>
      <s:c r="F15" s="835"/>
      <s:c r="G15" s="836">
        <s:f>[1]Рогалевич!R57</s:f>
        <s:v>0</s:v>
      </s:c>
      <s:c r="H15" s="837"/>
      <s:c r="I15" s="838"/>
      <s:c r="J15" s="836">
        <s:f>[1]Уразгильдеева!R57</s:f>
        <s:v>0</s:v>
      </s:c>
      <s:c r="K15" s="837"/>
      <s:c r="L15" s="838"/>
      <s:c r="M15" s="836">
        <s:f>Бешлиева!L48+Бешлиева!S48</s:f>
        <s:v>37218</s:v>
      </s:c>
      <s:c r="N15" s="837"/>
      <s:c r="O15" s="838"/>
    </s:row>
  </s:sheetData>
  <s:mergeCells count="26">
    <s:mergeCell ref="D15:F15"/>
    <s:mergeCell ref="G15:I15"/>
    <s:mergeCell ref="J15:L15"/>
    <s:mergeCell ref="M15:O15"/>
    <s:mergeCell ref="A10:C10"/>
    <s:mergeCell ref="A11:C11"/>
    <s:mergeCell ref="A12:C12"/>
    <s:mergeCell ref="A13:C13"/>
    <s:mergeCell ref="A14:C14"/>
    <s:mergeCell ref="A15:C15"/>
    <s:mergeCell ref="A9:C9"/>
    <s:mergeCell ref="A1:O1"/>
    <s:mergeCell ref="A2:C3"/>
    <s:mergeCell ref="D2:F2"/>
    <s:mergeCell ref="G2:I2"/>
    <s:mergeCell ref="J2:L2"/>
    <s:mergeCell ref="M2:O2"/>
    <s:mergeCell ref="D3:E3"/>
    <s:mergeCell ref="G3:H3"/>
    <s:mergeCell ref="J3:K3"/>
    <s:mergeCell ref="M3:N3"/>
    <s:mergeCell ref="A4:C4"/>
    <s:mergeCell ref="A5:C5"/>
    <s:mergeCell ref="A6:C6"/>
    <s:mergeCell ref="A7:C7"/>
    <s:mergeCell ref="A8:C8"/>
  </s:mergeCells>
  <s:conditionalFormatting sqref="D4">
    <s:cfRule type="cellIs" dxfId="29" priority="29" operator="lessThan">
      <s:formula>$D$10</s:formula>
    </s:cfRule>
    <s:cfRule type="cellIs" dxfId="28" priority="29" operator="greaterThanOrEqual">
      <s:formula>$D$10</s:formula>
    </s:cfRule>
  </s:conditionalFormatting>
  <s:conditionalFormatting sqref="D6:D8 D11 D14">
    <s:cfRule type="cellIs" dxfId="27" priority="27" operator="lessThan">
      <s:formula>1</s:formula>
    </s:cfRule>
    <s:cfRule type="cellIs" dxfId="26" priority="27" operator="greaterThanOrEqual">
      <s:formula>1</s:formula>
    </s:cfRule>
  </s:conditionalFormatting>
  <s:conditionalFormatting sqref="D13 F13:G13 I13:J13 L13:M13 O13">
    <s:cfRule type="cellIs" dxfId="25" priority="25" operator="lessThan">
      <s:formula>1</s:formula>
    </s:cfRule>
    <s:cfRule type="cellIs" dxfId="24" priority="25" operator="greaterThan">
      <s:formula>1</s:formula>
    </s:cfRule>
  </s:conditionalFormatting>
  <s:conditionalFormatting sqref="D15:O15">
    <s:cfRule type="cellIs" dxfId="23" priority="24" operator="lessThan">
      <s:formula>0</s:formula>
    </s:cfRule>
  </s:conditionalFormatting>
  <s:conditionalFormatting sqref="F4:F9 I4:I12 F11">
    <s:cfRule type="cellIs" dxfId="22" priority="30" operator="greaterThan">
      <s:formula>1</s:formula>
    </s:cfRule>
    <s:cfRule type="cellIs" dxfId="21" priority="26" operator="lessThan">
      <s:formula>1</s:formula>
    </s:cfRule>
  </s:conditionalFormatting>
  <s:conditionalFormatting sqref="G4:G12 G14">
    <s:cfRule type="cellIs" dxfId="20" priority="31" operator="greaterThanOrEqual">
      <s:formula>$G$10</s:formula>
    </s:cfRule>
    <s:cfRule type="cellIs" dxfId="19" priority="21" operator="lessThan">
      <s:formula>$G$10</s:formula>
    </s:cfRule>
  </s:conditionalFormatting>
  <s:conditionalFormatting sqref="G15:O15">
    <s:cfRule type="cellIs" dxfId="18" priority="32" operator="greaterThan">
      <s:formula>0</s:formula>
    </s:cfRule>
  </s:conditionalFormatting>
  <s:conditionalFormatting sqref="J4:J5">
    <s:cfRule type="cellIs" dxfId="17" priority="20" operator="lessThan">
      <s:formula>$J$10</s:formula>
    </s:cfRule>
    <s:cfRule type="cellIs" dxfId="16" priority="23" operator="greaterThanOrEqual">
      <s:formula>$J$10</s:formula>
    </s:cfRule>
  </s:conditionalFormatting>
  <s:conditionalFormatting sqref="J6:J9 J11">
    <s:cfRule type="cellIs" dxfId="15" priority="16" operator="lessThan">
      <s:formula>1</s:formula>
    </s:cfRule>
    <s:cfRule type="cellIs" dxfId="14" priority="17" operator="greaterThanOrEqual">
      <s:formula>1</s:formula>
    </s:cfRule>
  </s:conditionalFormatting>
  <s:conditionalFormatting sqref="J14">
    <s:cfRule type="cellIs" dxfId="13" priority="12" operator="between">
      <s:formula>0.9</s:formula>
      <s:formula>0.9999</s:formula>
    </s:cfRule>
    <s:cfRule type="cellIs" dxfId="12" priority="12" operator="lessThan">
      <s:formula>$G$10</s:formula>
    </s:cfRule>
    <s:cfRule type="cellIs" dxfId="11" priority="12" operator="greaterThanOrEqual">
      <s:formula>$G$10</s:formula>
    </s:cfRule>
  </s:conditionalFormatting>
  <s:conditionalFormatting sqref="L4:L9 L11">
    <s:cfRule type="cellIs" dxfId="10" priority="33" operator="greaterThan">
      <s:formula>1</s:formula>
    </s:cfRule>
    <s:cfRule type="cellIs" dxfId="9" priority="28" operator="lessThan">
      <s:formula>1</s:formula>
    </s:cfRule>
  </s:conditionalFormatting>
  <s:conditionalFormatting sqref="M4:M5 M8:M12 M14">
    <s:cfRule type="cellIs" dxfId="8" priority="34" operator="lessThan">
      <s:formula>$J$10</s:formula>
    </s:cfRule>
    <s:cfRule type="cellIs" dxfId="7" priority="13" operator="greaterThanOrEqual">
      <s:formula>$J$10</s:formula>
    </s:cfRule>
  </s:conditionalFormatting>
  <s:conditionalFormatting sqref="M6:M7">
    <s:cfRule type="cellIs" dxfId="6" priority="7" operator="lessThan">
      <s:formula>1</s:formula>
    </s:cfRule>
    <s:cfRule type="cellIs" dxfId="5" priority="6" operator="greaterThan">
      <s:formula>1</s:formula>
    </s:cfRule>
  </s:conditionalFormatting>
  <s:conditionalFormatting sqref="M14 F4:G4 I4:J4 L4:M4 D4:D9 O4:O11 M5 F5:F9 J5:J9 L5:L9 G5:G12 I5:I12 M8:M12 D11 F11 J11 L11 D14 G14">
    <s:cfRule type="cellIs" dxfId="4" priority="11" operator="between">
      <s:formula>0.9</s:formula>
      <s:formula>0.9999</s:formula>
    </s:cfRule>
  </s:conditionalFormatting>
  <s:conditionalFormatting sqref="M14">
    <s:cfRule type="cellIs" dxfId="3" priority="3" operator="lessThan">
      <s:formula>$G$10</s:formula>
    </s:cfRule>
    <s:cfRule type="cellIs" dxfId="2" priority="3" operator="greaterThanOrEqual">
      <s:formula>$G$10</s:formula>
    </s:cfRule>
  </s:conditionalFormatting>
  <s:conditionalFormatting sqref="O4:O11">
    <s:cfRule type="cellIs" dxfId="1" priority="15" operator="greaterThan">
      <s:formula>1</s:formula>
    </s:cfRule>
    <s:cfRule type="cellIs" dxfId="0" priority="14" operator="lessThan">
      <s:formula>1</s:formula>
    </s:cfRule>
  </s:conditionalFormatting>
  <s:dataValidations count="1">
    <s:dataValidation xr:uid="{2E28C047-577C-8F41-9CA5-B9E2C19A2498}" type="decimal" allowBlank="1" showErrorMessage="1" sqref="D4:F14" vyd:viewType="arrow" mc:Ignorable="vyd">
      <s:formula1>0</s:formula1>
      <s:formula2>1000000000000000</s:formula2>
    </s:dataValidation>
  </s:dataValidations>
  <s:pageMargins left="0.7" right="0.7" top="0.75" bottom="0.75" header="0.3" footer="0.3"/>
</s:worksheet>
</file>

<file path=xl/worksheets/sheet4.xml><?xml version="1.0" encoding="utf-8"?>
<s:worksheet xmlns:x14ac="http://schemas.microsoft.com/office/spreadsheetml/2009/9/ac" xmlns:mc="http://schemas.openxmlformats.org/markup-compatibility/2006" xmlns:xr3="http://schemas.microsoft.com/office/spreadsheetml/2016/revision3" xmlns:xr2="http://schemas.microsoft.com/office/spreadsheetml/2015/revision2" xmlns:s="http://schemas.openxmlformats.org/spreadsheetml/2006/main" xmlns:xr="http://schemas.microsoft.com/office/spreadsheetml/2014/revision" mc:Ignorable="x14ac xr xr2 xr3" xr:uid="{63F7F903-D42C-7148-91B9-590FF83957C0}">
  <s:dimension ref="A1:D7"/>
  <s:sheetViews>
    <s:sheetView tabSelected="0" workbookViewId="0"/>
  </s:sheetViews>
  <s:sheetFormatPr baseColWidth="10" defaultColWidth="10" defaultRowHeight="15"/>
  <s:sheetData>
    <s:row r="1" spans="1:4">
      <s:c r="A1" s="35" t="s">
        <s:v>12</s:v>
      </s:c>
      <s:c r="B1" s="35"/>
      <s:c r="C1" s="35"/>
      <s:c r="D1" s="96">
        <s:f>86000</s:f>
        <s:v>86000</s:v>
      </s:c>
    </s:row>
    <s:row r="2" spans="1:4">
      <s:c r="A2" s="27" t="s">
        <s:v>13</s:v>
      </s:c>
      <s:c r="B2" s="27"/>
      <s:c r="C2" s="27"/>
      <s:c r="D2" s="28">
        <s:f>D1/D4</s:f>
        <s:v>12.463768115942029</s:v>
      </s:c>
    </s:row>
    <s:row r="3" spans="1:4">
      <s:c r="A3" s="35" t="s">
        <s:v>14</s:v>
      </s:c>
      <s:c r="B3" s="35"/>
      <s:c r="C3" s="35"/>
      <s:c r="D3" s="36">
        <s:f>D4*D5</s:f>
        <s:v>11730</s:v>
      </s:c>
    </s:row>
    <s:row r="4" spans="1:4">
      <s:c r="A4" s="27" t="s">
        <s:v>15</s:v>
      </s:c>
      <s:c r="B4" s="27"/>
      <s:c r="C4" s="27"/>
      <s:c r="D4" s="42">
        <s:f>Центрум!I11</s:f>
        <s:v>6900</s:v>
      </s:c>
    </s:row>
    <s:row r="5" spans="1:4">
      <s:c r="A5" s="27" t="s">
        <s:v>16</s:v>
      </s:c>
      <s:c r="B5" s="27"/>
      <s:c r="C5" s="27"/>
      <s:c r="D5" s="44">
        <s:f>Центрум!I12</s:f>
        <s:v>1.7</s:v>
      </s:c>
    </s:row>
    <s:row r="6" spans="1:4">
      <s:c r="A6" s="27" t="s">
        <s:v>17</s:v>
      </s:c>
      <s:c r="B6" s="27"/>
      <s:c r="C6" s="27"/>
      <s:c r="D6" s="28">
        <s:f>IF(D5&lt;&gt;0,D2/D5,"")</s:f>
        <s:v>7.3316283034953118</s:v>
      </s:c>
    </s:row>
    <s:row r="7" spans="1:4">
      <s:c r="A7" s="27" t="s">
        <s:v>23</s:v>
      </s:c>
      <s:c r="B7" s="27"/>
      <s:c r="C7" s="27"/>
      <s:c r="D7" s="97">
        <s:f>Центрум!I20</s:f>
        <s:v>0.1</s:v>
      </s:c>
    </s:row>
  </s:sheetData>
  <s:pageMargins left="0.7" right="0.7" top="0.75" bottom="0.75" header="0.3" footer="0.3"/>
</s:worksheet>
</file>

<file path=xl/worksheets/sheet5.xml><?xml version="1.0" encoding="utf-8"?>
<s:worksheet xmlns:x14ac="http://schemas.microsoft.com/office/spreadsheetml/2009/9/ac" xmlns:mc="http://schemas.openxmlformats.org/markup-compatibility/2006" xmlns:xr3="http://schemas.microsoft.com/office/spreadsheetml/2016/revision3" xmlns:xr2="http://schemas.microsoft.com/office/spreadsheetml/2015/revision2" xmlns:s="http://schemas.openxmlformats.org/spreadsheetml/2006/main" xmlns:xr="http://schemas.microsoft.com/office/spreadsheetml/2014/revision" mc:Ignorable="x14ac xr xr2 xr3" xr:uid="{0818C608-902E-8B48-88DA-B43C963CC351}">
  <s:dimension ref="A1:JA53"/>
  <s:sheetViews>
    <s:sheetView tabSelected="0" topLeftCell="A19" workbookViewId="0">
      <s:selection activeCell="D51" sqref="D51"/>
    </s:sheetView>
  </s:sheetViews>
  <s:sheetFormatPr baseColWidth="10" defaultColWidth="10" defaultRowHeight="15"/>
  <s:cols>
    <s:col min="1" max="1" width="3" customWidth="1"/>
    <s:col min="2" max="2" width="9.5" customWidth="1"/>
    <s:col min="3" max="3" width="10" customWidth="1"/>
  </s:cols>
  <s:sheetData>
    <s:row r="1" ht="36">
      <s:c r="A1" s="3"/>
      <s:c r="B1" s="3"/>
      <s:c r="C1" s="847">
        <s:f ca="1">TODAY()-1</s:f>
        <s:v>46151</s:v>
      </s:c>
      <s:c r="D1" s="847"/>
      <s:c r="E1" s="4"/>
      <s:c r="F1" s="5"/>
      <s:c r="G1" s="5"/>
      <s:c r="H1" s="5"/>
      <s:c r="I1" s="5"/>
      <s:c r="J1" s="6"/>
      <s:c r="K1" s="6"/>
      <s:c r="L1" s="6"/>
      <s:c r="M1" s="6"/>
      <s:c r="N1" s="6"/>
      <s:c r="O1" s="6"/>
      <s:c r="P1" s="6"/>
      <s:c r="Q1" s="6"/>
      <s:c r="R1" s="6"/>
      <s:c r="S1" s="6"/>
      <s:c r="T1" s="6"/>
      <s:c r="U1" s="6"/>
      <s:c r="V1" s="6"/>
      <s:c r="W1" s="7"/>
      <s:c r="X1" s="7"/>
      <s:c r="Y1" s="7"/>
      <s:c r="Z1" s="7"/>
      <s:c r="AA1" s="5"/>
      <s:c r="AB1" s="5"/>
      <s:c r="AC1" s="5"/>
    </s:row>
    <s:row r="2" ht="36">
      <s:c r="A2" s="8"/>
      <s:c r="B2" s="8"/>
      <s:c r="C2" s="848" t="s">
        <s:v>69</s:v>
      </s:c>
      <s:c r="D2" s="848"/>
      <s:c r="E2" s="4"/>
      <s:c r="F2" s="5"/>
      <s:c r="G2" s="5"/>
      <s:c r="H2" s="5"/>
      <s:c r="I2" s="5"/>
      <s:c r="J2" s="845" t="s">
        <s:v>129</s:v>
      </s:c>
      <s:c r="K2" s="845"/>
      <s:c r="L2" s="845"/>
      <s:c r="M2" s="845"/>
      <s:c r="N2" s="845"/>
      <s:c r="O2" s="9"/>
      <s:c r="P2" s="9"/>
      <s:c r="Q2" s="9"/>
      <s:c r="R2" s="9"/>
      <s:c r="S2" s="9"/>
      <s:c r="T2" s="9"/>
      <s:c r="U2" s="9"/>
      <s:c r="V2" s="9"/>
      <s:c r="W2" s="7"/>
      <s:c r="X2" s="7"/>
      <s:c r="Y2" s="7"/>
      <s:c r="Z2" s="7"/>
      <s:c r="AA2" s="5"/>
      <s:c r="AB2" s="5"/>
      <s:c r="AC2" s="5"/>
    </s:row>
    <s:row r="3" spans="1:29" ht="17" customHeight="1" thickBot="1">
      <s:c r="A3" s="10"/>
      <s:c r="B3" s="10"/>
      <s:c r="C3" s="854" t="s">
        <s:v>0</s:v>
      </s:c>
      <s:c r="D3" s="854"/>
      <s:c r="E3" s="854"/>
      <s:c r="F3" s="5"/>
      <s:c r="G3" s="5"/>
      <s:c r="H3" s="5"/>
      <s:c r="I3" s="5"/>
      <s:c r="J3" s="855" t="str">
        <s:f>График!B28</s:f>
        <s:v>Рогалевич Ирина</s:v>
      </s:c>
      <s:c r="K3" s="855"/>
      <s:c r="L3" s="855"/>
      <s:c r="M3" s="855"/>
      <s:c r="N3" s="855"/>
      <s:c r="O3" s="9"/>
      <s:c r="P3" s="9"/>
      <s:c r="Q3" s="9"/>
      <s:c r="R3" s="9"/>
      <s:c r="S3" s="9"/>
      <s:c r="T3" s="9"/>
      <s:c r="U3" s="6"/>
      <s:c r="V3" s="11"/>
      <s:c r="W3" s="7"/>
      <s:c r="X3" s="7"/>
      <s:c r="Y3" s="7"/>
      <s:c r="Z3" s="7"/>
      <s:c r="AA3" s="5"/>
      <s:c r="AB3" s="5"/>
      <s:c r="AC3" s="5"/>
    </s:row>
    <s:row r="4" spans="1:29" ht="16" customHeight="1" thickBot="1">
      <s:c r="A4" s="4"/>
      <s:c r="B4" s="4"/>
      <s:c r="C4" s="852">
        <s:f>I8-D48</s:f>
        <s:v>-116158.40540540538</s:v>
      </s:c>
      <s:c r="D4" s="853"/>
      <s:c r="E4" s="481">
        <s:f>IF(I8&lt;&gt;0,C4/I8,0)</s:f>
        <s:v>-0.2862492673699914</s:v>
      </s:c>
      <s:c r="F4" s="5"/>
      <s:c r="G4" s="5"/>
      <s:c r="H4" s="5"/>
      <s:c r="I4" s="5"/>
      <s:c r="J4" s="855"/>
      <s:c r="K4" s="855"/>
      <s:c r="L4" s="855"/>
      <s:c r="M4" s="855"/>
      <s:c r="N4" s="855"/>
      <s:c r="O4" s="9"/>
      <s:c r="P4" s="9"/>
      <s:c r="Q4" s="9"/>
      <s:c r="R4" s="9"/>
      <s:c r="S4" s="9"/>
      <s:c r="T4" s="9"/>
      <s:c r="U4" s="5"/>
      <s:c r="V4" s="5"/>
      <s:c r="W4" s="7"/>
      <s:c r="X4" s="7"/>
      <s:c r="Y4" s="7"/>
      <s:c r="Z4" s="7"/>
      <s:c r="AA4" s="5"/>
      <s:c r="AB4" s="5"/>
      <s:c r="AC4" s="5"/>
    </s:row>
    <s:row r="5">
      <s:c r="A5" s="5"/>
      <s:c r="B5" s="5"/>
      <s:c r="C5" s="5"/>
      <s:c r="D5" s="5"/>
      <s:c r="E5" s="5"/>
      <s:c r="F5" s="5"/>
      <s:c r="G5" s="5"/>
      <s:c r="H5" s="5"/>
      <s:c r="I5" s="5"/>
      <s:c r="J5" s="14"/>
      <s:c r="K5" s="14"/>
      <s:c r="L5" s="14"/>
      <s:c r="M5" s="14"/>
      <s:c r="N5" s="14"/>
      <s:c r="O5" s="14"/>
      <s:c r="P5" s="14"/>
      <s:c r="Q5" s="14"/>
      <s:c r="R5" s="14"/>
      <s:c r="S5" s="14"/>
      <s:c r="T5" s="14"/>
      <s:c r="U5" s="5"/>
      <s:c r="V5" s="5"/>
      <s:c r="W5" s="5"/>
      <s:c r="X5" s="5"/>
      <s:c r="Y5" s="5"/>
      <s:c r="Z5" s="5"/>
      <s:c r="AA5" s="5"/>
      <s:c r="AB5" s="5"/>
      <s:c r="AC5" s="5"/>
    </s:row>
    <s:row r="6" spans="1:29" ht="23" customHeight="1" thickBot="1">
      <s:c r="A6" s="15"/>
      <s:c r="B6" s="15"/>
      <s:c r="C6" s="5"/>
      <s:c r="D6" s="5"/>
      <s:c r="E6" s="5"/>
      <s:c r="F6" s="849" t="s">
        <s:v>2</s:v>
      </s:c>
      <s:c r="G6" s="850"/>
      <s:c r="H6" s="850"/>
      <s:c r="I6" s="850"/>
      <s:c r="J6" s="850"/>
      <s:c r="K6" s="850"/>
      <s:c r="L6" s="850"/>
      <s:c r="M6" s="850"/>
      <s:c r="N6" s="850"/>
      <s:c r="O6" s="850"/>
      <s:c r="P6" s="850"/>
      <s:c r="Q6" s="851"/>
      <s:c r="R6" s="9"/>
      <s:c r="S6" s="9"/>
      <s:c r="T6" s="14"/>
      <s:c r="U6" s="5"/>
      <s:c r="V6" s="5"/>
      <s:c r="W6" s="5"/>
      <s:c r="X6" s="17"/>
      <s:c r="Y6" s="17"/>
      <s:c r="Z6" s="5"/>
      <s:c r="AA6" s="5"/>
      <s:c r="AB6" s="5"/>
      <s:c r="AC6" s="5"/>
    </s:row>
    <s:row r="7" ht="60">
      <s:c r="A7" s="15"/>
      <s:c r="B7" s="15"/>
      <s:c r="C7" s="5"/>
      <s:c r="D7" s="5"/>
      <s:c r="E7" s="5"/>
      <s:c r="F7" s="793" t="s">
        <s:v>3</s:v>
      </s:c>
      <s:c r="G7" s="794"/>
      <s:c r="H7" s="795"/>
      <s:c r="I7" s="670" t="s">
        <s:v>4</s:v>
      </s:c>
      <s:c r="J7" s="671" t="s">
        <s:v>5</s:v>
      </s:c>
      <s:c r="K7" s="672" t="s">
        <s:v>6</s:v>
      </s:c>
      <s:c r="L7" s="737" t="s">
        <s:v>7</s:v>
      </s:c>
      <s:c r="M7" s="130" t="s">
        <s:v>8</s:v>
      </s:c>
      <s:c r="N7" s="131" t="s">
        <s:v>9</s:v>
      </s:c>
      <s:c r="O7" s="574" t="s">
        <s:v>10</s:v>
      </s:c>
      <s:c r="P7" s="859" t="s">
        <s:v>11</s:v>
      </s:c>
      <s:c r="Q7" s="860"/>
      <s:c r="R7" s="14"/>
      <s:c r="S7" s="14"/>
      <s:c r="T7" s="14"/>
      <s:c r="U7" s="17"/>
      <s:c r="V7" s="5"/>
      <s:c r="W7" s="5"/>
      <s:c r="X7" s="5"/>
      <s:c r="Y7" s="5"/>
    </s:row>
    <s:row r="8">
      <s:c r="A8" s="15"/>
      <s:c r="B8" s="15"/>
      <s:c r="C8" s="5"/>
      <s:c r="D8" s="5"/>
      <s:c r="E8" s="5"/>
      <s:c r="F8" s="811" t="s">
        <s:v>12</s:v>
      </s:c>
      <s:c r="G8" s="812"/>
      <s:c r="H8" s="813"/>
      <s:c r="I8" s="739">
        <s:f>Центрум!I8/График!AJ29*График!AJ28</s:f>
        <s:v>405794.59459459462</s:v>
      </s:c>
      <s:c r="J8" s="674">
        <s:f>D48</s:f>
        <s:v>521953</s:v>
      </s:c>
      <s:c r="K8" s="693">
        <s:f>IF(AND(I8&lt;&gt;"",I8&lt;&gt;0,J8&lt;&gt;""),J8/I8,"")</s:f>
        <s:v>1.2862492673699915</s:v>
      </s:c>
      <s:c r="L8" s="664" t="e">
        <s:f>IF(SUMIF($D$25:$D$47,"&gt;=0",$V$25:$V$47)&lt;&gt;0,I8*D48/SUMIF($D$25:$D$47,"&gt;=0",$V$25:$V$47),0)</s:f>
        <s:v>#DIV/0!</s:v>
      </s:c>
      <s:c r="M8" s="99" t="e">
        <s:f>L8/I8</s:f>
        <s:v>#DIV/0!</s:v>
      </s:c>
      <s:c r="N8" s="23" t="e">
        <s:f>IF(AND(J8&lt;&gt;0,J8&lt;&gt;"",I8&lt;&gt;0,I8&lt;&gt;""),L8-I8,"")</s:f>
        <s:v>#DIV/0!</s:v>
      </s:c>
      <s:c r="O8" s="575"/>
      <s:c r="P8" s="25" t="e">
        <s:f>IF(AND(O8&lt;&gt;"",O8&lt;&gt;0,L8&lt;&gt;"",L8&lt;&gt;0),-O8+L8,"")</s:f>
        <s:v>#DIV/0!</s:v>
      </s:c>
      <s:c r="Q8" s="26" t="e">
        <s:f>IF(AND(P8&lt;&gt;"",P8&lt;&gt;0,O8&lt;&gt;0,O8&lt;&gt;""),P8/O8,"")</s:f>
        <s:v>#DIV/0!</s:v>
      </s:c>
      <s:c r="R8" s="14"/>
      <s:c r="S8" s="14"/>
      <s:c r="T8" s="17"/>
      <s:c r="U8" s="17"/>
      <s:c r="V8" s="5"/>
      <s:c r="W8" s="5"/>
      <s:c r="X8" s="5"/>
      <s:c r="Y8" s="5"/>
    </s:row>
    <s:row r="9">
      <s:c r="A9" s="15"/>
      <s:c r="B9" s="15"/>
      <s:c r="C9" s="5"/>
      <s:c r="D9" s="5"/>
      <s:c r="E9" s="5"/>
      <s:c r="F9" s="785" t="s">
        <s:v>13</s:v>
      </s:c>
      <s:c r="G9" s="786"/>
      <s:c r="H9" s="787"/>
      <s:c r="I9" s="676">
        <s:f>I8/I11</s:f>
        <s:v>58.810810810810814</s:v>
      </s:c>
      <s:c r="J9" s="677">
        <s:f>E48</s:f>
        <s:v>48</s:v>
      </s:c>
      <s:c r="K9" s="694">
        <s:f>IF(AND(I9&lt;&gt;"",I9&lt;&gt;0,J9&lt;&gt;""),J9/I9,"")</s:f>
        <s:v>0.81617647058823528</s:v>
      </s:c>
      <s:c r="L9" s="667" t="e">
        <s:f>IF(SUMIF($E$25:$E$47,"&gt;=0",$W$25:$W$47)&lt;&gt;0,I9*E48/SUMIF($E$25:$E$47,"&gt;=0",$W$25:$W$47),0)</s:f>
        <s:v>#DIV/0!</s:v>
      </s:c>
      <s:c r="M9" s="100" t="e">
        <s:f>IF(AND(I9&lt;&gt;"",I9&lt;&gt;0,L9&lt;&gt;"",L9&lt;&gt;0),L9/I9,"")</s:f>
        <s:v>#DIV/0!</s:v>
      </s:c>
      <s:c r="N9" s="31" t="e">
        <s:f>IF(AND(J9&lt;&gt;0,J9&lt;&gt;"",I9&lt;&gt;0,I9&lt;&gt;""),L9-I9,"")</s:f>
        <s:v>#DIV/0!</s:v>
      </s:c>
      <s:c r="O9" s="576"/>
      <s:c r="P9" s="33" t="e">
        <s:f>IF(AND(O9&lt;&gt;"",O9&lt;&gt;0,L9&lt;&gt;"",L9&lt;&gt;0),-O9+L9,"")</s:f>
        <s:v>#DIV/0!</s:v>
      </s:c>
      <s:c r="Q9" s="34" t="e">
        <s:f>IF(AND(P9&lt;&gt;"",P9&lt;&gt;0,O9&lt;&gt;0,O9&lt;&gt;""),P9/O9,"")</s:f>
        <s:v>#DIV/0!</s:v>
      </s:c>
      <s:c r="R9" s="14"/>
      <s:c r="S9" s="14"/>
      <s:c r="T9" s="17"/>
      <s:c r="U9" s="17"/>
      <s:c r="V9" s="5"/>
      <s:c r="W9" s="5"/>
      <s:c r="X9" s="5"/>
      <s:c r="Y9" s="5"/>
    </s:row>
    <s:row r="10">
      <s:c r="A10" s="15"/>
      <s:c r="B10" s="15"/>
      <s:c r="C10" s="5"/>
      <s:c r="D10" s="5"/>
      <s:c r="E10" s="5"/>
      <s:c r="F10" s="796" t="s">
        <s:v>14</s:v>
      </s:c>
      <s:c r="G10" s="797"/>
      <s:c r="H10" s="798"/>
      <s:c r="I10" s="577">
        <s:f>I11*I12</s:f>
        <s:v>11730</s:v>
      </s:c>
      <s:c r="J10" s="679">
        <s:f>H48</s:f>
        <s:v>65244.125</s:v>
      </s:c>
      <s:c r="K10" s="695">
        <s:f>IF(AND(I10&lt;&gt;"",I10&lt;&gt;0,J10&lt;&gt;""),J10/I10,"")</s:f>
        <s:v>5.5621589940323899</s:v>
      </s:c>
      <s:c r="L10" s="667">
        <s:f>J10</s:f>
        <s:v>65244.125</s:v>
      </s:c>
      <s:c r="M10" s="101">
        <s:f>IF(AND(I10&lt;&gt;"",I10&lt;&gt;0,L10&lt;&gt;"",L10&lt;&gt;0),L10/I10,"")</s:f>
        <s:v>5.5621589940323899</s:v>
      </s:c>
      <s:c r="N10" s="38">
        <s:f>IF(AND(J10&lt;&gt;0,J10&lt;&gt;"",I10&lt;&gt;0,I10&lt;&gt;""),L10-I10,"")</s:f>
        <s:v>53514.125</s:v>
      </s:c>
      <s:c r="O10" s="577">
        <s:f>O11*O12</s:f>
        <s:v>0</s:v>
      </s:c>
      <s:c r="P10" s="40" t="str">
        <s:f>IF(AND(O10&lt;&gt;"",O10&lt;&gt;0,L10&lt;&gt;"",L10&lt;&gt;0),-O10+L10,"")</s:f>
        <s:v/>
      </s:c>
      <s:c r="Q10" s="41" t="str">
        <s:f>IF(AND(P10&lt;&gt;"",P10&lt;&gt;0,O10&lt;&gt;0,O10&lt;&gt;""),P10/O10,"")</s:f>
        <s:v/>
      </s:c>
      <s:c r="R10" s="14"/>
      <s:c r="S10" s="14"/>
      <s:c r="T10" s="17"/>
      <s:c r="U10" s="17"/>
      <s:c r="V10" s="5"/>
      <s:c r="W10" s="5"/>
      <s:c r="X10" s="5"/>
      <s:c r="Y10" s="5"/>
    </s:row>
    <s:row r="11">
      <s:c r="A11" s="15"/>
      <s:c r="B11" s="15"/>
      <s:c r="C11" s="5"/>
      <s:c r="D11" s="5"/>
      <s:c r="E11" s="5"/>
      <s:c r="F11" s="785" t="s">
        <s:v>15</s:v>
      </s:c>
      <s:c r="G11" s="786"/>
      <s:c r="H11" s="787"/>
      <s:c r="I11" s="681">
        <s:f>Центрум!I11</s:f>
        <s:v>6900</s:v>
      </s:c>
      <s:c r="J11" s="677">
        <s:f>F48</s:f>
        <s:v>10874.020833333299</s:v>
      </s:c>
      <s:c r="K11" s="694">
        <s:f>IF(AND(I11&lt;&gt;"",I11&lt;&gt;0,J11&lt;&gt;""),J11/I11,"")</s:f>
        <s:v>1.5759450483091699</s:v>
      </s:c>
      <s:c r="L11" s="667" t="e">
        <s:f>IF(L9&gt;0,L8/L9,"")</s:f>
        <s:v>#DIV/0!</s:v>
      </s:c>
      <s:c r="M11" s="100" t="e">
        <s:f>IF(AND(I11&lt;&gt;"",I11&lt;&gt;0,L11&lt;&gt;"",L11&lt;&gt;0),L11/I11,"")</s:f>
        <s:v>#DIV/0!</s:v>
      </s:c>
      <s:c r="N11" s="31" t="e">
        <s:f>IF(AND(J11&lt;&gt;0,J11&lt;&gt;"",I11&lt;&gt;0,I11&lt;&gt;""),L11-I11,"")</s:f>
        <s:v>#DIV/0!</s:v>
      </s:c>
      <s:c r="O11" s="578"/>
      <s:c r="P11" s="33" t="e">
        <s:f>IF(AND(O11&lt;&gt;"",O11&lt;&gt;0,L11&lt;&gt;"",L11&lt;&gt;0),-O11+L11,"")</s:f>
        <s:v>#DIV/0!</s:v>
      </s:c>
      <s:c r="Q11" s="34" t="e">
        <s:f>IF(AND(P11&lt;&gt;"",P11&lt;&gt;0,O11&lt;&gt;0,O11&lt;&gt;""),P11/O11,"")</s:f>
        <s:v>#DIV/0!</s:v>
      </s:c>
      <s:c r="R11" s="14"/>
      <s:c r="S11" s="14"/>
      <s:c r="T11" s="17"/>
      <s:c r="U11" s="5"/>
      <s:c r="V11" s="5"/>
      <s:c r="W11" s="5"/>
      <s:c r="X11" s="5"/>
      <s:c r="Y11" s="5"/>
    </s:row>
    <s:row r="12">
      <s:c r="A12" s="15"/>
      <s:c r="B12" s="15"/>
      <s:c r="C12" s="5"/>
      <s:c r="D12" s="5"/>
      <s:c r="E12" s="5"/>
      <s:c r="F12" s="785" t="s">
        <s:v>16</s:v>
      </s:c>
      <s:c r="G12" s="786"/>
      <s:c r="H12" s="787"/>
      <s:c r="I12" s="682">
        <s:f>Центрум!I12</s:f>
        <s:v>1.7</s:v>
      </s:c>
      <s:c r="J12" s="683">
        <s:f>J48</s:f>
        <s:v>6</s:v>
      </s:c>
      <s:c r="K12" s="694">
        <s:f>IF(AND(I12&lt;&gt;"",I12&lt;&gt;0,J12&lt;&gt;""),J12/I12,"")</s:f>
        <s:v>3.52941176470588</s:v>
      </s:c>
      <s:c r="L12" s="738">
        <s:f>J12</s:f>
        <s:v>6</s:v>
      </s:c>
      <s:c r="M12" s="100">
        <s:f>IF(AND(I12&lt;&gt;"",I12&lt;&gt;0,L12&lt;&gt;"",L12&lt;&gt;0),L12/I12,"")</s:f>
        <s:v>3.52941176470588</s:v>
      </s:c>
      <s:c r="N12" s="45">
        <s:f>IF(AND(J12&lt;&gt;0,J12&lt;&gt;"",I12&lt;&gt;0,I12&lt;&gt;""),L12-I12,"")</s:f>
        <s:v>4.3</s:v>
      </s:c>
      <s:c r="O12" s="579"/>
      <s:c r="P12" s="33" t="str">
        <s:f>IF(AND(O12&lt;&gt;"",O12&lt;&gt;0,L12&lt;&gt;"",L12&lt;&gt;0),-O12+L12,"")</s:f>
        <s:v/>
      </s:c>
      <s:c r="Q12" s="34" t="str">
        <s:f>IF(AND(P12&lt;&gt;"",P12&lt;&gt;0,O12&lt;&gt;0,O12&lt;&gt;""),P12/O12,"")</s:f>
        <s:v/>
      </s:c>
      <s:c r="R12" s="14"/>
      <s:c r="S12" s="14"/>
      <s:c r="T12" s="17"/>
      <s:c r="U12" s="5"/>
      <s:c r="V12" s="5"/>
      <s:c r="W12" s="5"/>
      <s:c r="X12" s="5"/>
      <s:c r="Y12" s="5"/>
    </s:row>
    <s:row r="13">
      <s:c r="A13" s="15"/>
      <s:c r="B13" s="15"/>
      <s:c r="C13" s="5"/>
      <s:c r="D13" s="5"/>
      <s:c r="E13" s="5"/>
      <s:c r="F13" s="785" t="s">
        <s:v>17</s:v>
      </s:c>
      <s:c r="G13" s="786"/>
      <s:c r="H13" s="787"/>
      <s:c r="I13" s="676">
        <s:f>IF(I12&lt;&gt;0,I9/I12,"")</s:f>
        <s:v>34.594594594594597</s:v>
      </s:c>
      <s:c r="J13" s="677">
        <s:f>G48</s:f>
        <s:v>8</s:v>
      </s:c>
      <s:c r="K13" s="694">
        <s:f>IF(AND(I13&lt;&gt;"",I13&lt;&gt;0,J13&lt;&gt;""),J13/I13,"")</s:f>
        <s:v>0.23124999999999998</s:v>
      </s:c>
      <s:c r="L13" s="667" t="e">
        <s:f>IF(SUMIF($G$25:$G$47,"&gt;=0",$X$25:$X$47)&lt;&gt;0,I13*G48/SUMIF($G$25:$G$47,"&gt;=0",$X$25:$X$47),"")</s:f>
        <s:v>#DIV/0!</s:v>
      </s:c>
      <s:c r="M13" s="100" t="e">
        <s:f>IF(AND(I13&lt;&gt;"",I13&lt;&gt;0,L13&lt;&gt;"",L13&lt;&gt;0),L13/I13,"")</s:f>
        <s:v>#DIV/0!</s:v>
      </s:c>
      <s:c r="N13" s="45" t="e">
        <s:f>IF(AND(J13&lt;&gt;0,J13&lt;&gt;"",I13&lt;&gt;0,I13&lt;&gt;""),L13-I13,"")</s:f>
        <s:v>#DIV/0!</s:v>
      </s:c>
      <s:c r="O13" s="580"/>
      <s:c r="P13" s="33" t="e">
        <s:f>IF(AND(O13&lt;&gt;"",O13&lt;&gt;0,L13&lt;&gt;"",L13&lt;&gt;0),-O13+L13,"")</s:f>
        <s:v>#DIV/0!</s:v>
      </s:c>
      <s:c r="Q13" s="34" t="e">
        <s:f>IF(AND(P13&lt;&gt;"",P13&lt;&gt;0,O13&lt;&gt;0,O13&lt;&gt;""),P13/O13,"")</s:f>
        <s:v>#DIV/0!</s:v>
      </s:c>
      <s:c r="R13" s="14"/>
      <s:c r="S13" s="14"/>
      <s:c r="T13" s="17"/>
      <s:c r="U13" s="5"/>
      <s:c r="V13" s="5"/>
      <s:c r="W13" s="5"/>
      <s:c r="X13" s="5"/>
      <s:c r="Y13" s="5"/>
    </s:row>
    <s:row r="14">
      <s:c r="A14" s="15"/>
      <s:c r="B14" s="15"/>
      <s:c r="C14" s="5"/>
      <s:c r="D14" s="5"/>
      <s:c r="E14" s="5"/>
      <s:c r="F14" s="785" t="s">
        <s:v>18</s:v>
      </s:c>
      <s:c r="G14" s="786"/>
      <s:c r="H14" s="787"/>
      <s:c r="I14" s="681">
        <s:f>График!AI28</s:f>
        <s:v>10</s:v>
      </s:c>
      <s:c r="J14" s="684">
        <s:v>10</s:v>
      </s:c>
      <s:c r="K14" s="694">
        <s:f>IF(AND(I14&lt;&gt;"",I14&lt;&gt;0,J14&lt;&gt;""),J14/I14,"")</s:f>
        <s:v>1</s:v>
      </s:c>
      <s:c r="L14" s="667" t="e">
        <s:f>IF(SUMIF($D$25:$D$47,"&gt;=0",$V$25:$V$47),I48*I8/SUMIF($D$25:$D$47,"&gt;=0",$V$25:$V$47),"")</s:f>
        <s:v>#DIV/0!</s:v>
      </s:c>
      <s:c r="M14" s="100" t="e">
        <s:f>IF(AND(I14&lt;&gt;"",I14&lt;&gt;0,L14&lt;&gt;"",L14&lt;&gt;0),L14/I14,"")</s:f>
        <s:v>#DIV/0!</s:v>
      </s:c>
      <s:c r="N14" s="31" t="e">
        <s:f>IF(AND(J14&lt;&gt;0,J14&lt;&gt;"",I14&lt;&gt;0,I14&lt;&gt;""),L14-I14,"")</s:f>
        <s:v>#DIV/0!</s:v>
      </s:c>
      <s:c r="O14" s="580"/>
      <s:c r="P14" s="33" t="e">
        <s:f>IF(AND(O14&lt;&gt;"",O14&lt;&gt;0,L14&lt;&gt;"",L14&lt;&gt;0),-O14+L14,"")</s:f>
        <s:v>#DIV/0!</s:v>
      </s:c>
      <s:c r="Q14" s="34" t="e">
        <s:f>IF(AND(P14&lt;&gt;"",P14&lt;&gt;0,O14&lt;&gt;0,O14&lt;&gt;""),P14/O14,"")</s:f>
        <s:v>#DIV/0!</s:v>
      </s:c>
      <s:c r="R14" s="14"/>
      <s:c r="S14" s="14"/>
      <s:c r="T14" s="17"/>
      <s:c r="U14" s="48"/>
      <s:c r="V14" s="5"/>
      <s:c r="W14" s="5"/>
      <s:c r="X14" s="5"/>
      <s:c r="Y14" s="5"/>
    </s:row>
    <s:row r="15">
      <s:c r="A15" s="15"/>
      <s:c r="B15" s="15"/>
      <s:c r="C15" s="5"/>
      <s:c r="D15" s="5"/>
      <s:c r="E15" s="5"/>
      <s:c r="F15" s="785" t="s">
        <s:v>19</s:v>
      </s:c>
      <s:c r="G15" s="786"/>
      <s:c r="H15" s="787"/>
      <s:c r="I15" s="696">
        <s:f>Центрум!I15</s:f>
        <s:v>62560</s:v>
      </s:c>
      <s:c r="J15" s="52">
        <s:f>J8/J14</s:f>
        <s:v>52195.3</s:v>
      </s:c>
      <s:c r="K15" s="697">
        <s:f>IF(AND(I15&lt;&gt;"",I15&lt;&gt;0,J15&lt;&gt;""),J15/I15,"")</s:f>
        <s:v>0.83432384910485902</s:v>
      </s:c>
      <s:c r="L15" s="668">
        <s:f>J15</s:f>
        <s:v>52195.3</s:v>
      </s:c>
      <s:c r="M15" s="165">
        <s:f>IF(AND(I15&lt;&gt;"",I15&lt;&gt;0,L15&lt;&gt;"",L15&lt;&gt;0),L15/I15,"")</s:f>
        <s:v>0.83432384910485902</s:v>
      </s:c>
      <s:c r="N15" s="31">
        <s:f>IF(AND(J15&lt;&gt;0,J15&lt;&gt;"",I15&lt;&gt;0,I15&lt;&gt;""),L15-I15,"")</s:f>
        <s:v>-10364.699999999901</s:v>
      </s:c>
      <s:c r="O15" s="581"/>
      <s:c r="P15" s="33" t="str">
        <s:f>IF(AND(O15&lt;&gt;"",O15&lt;&gt;0,L15&lt;&gt;"",L15&lt;&gt;0),-O15+L15,"")</s:f>
        <s:v/>
      </s:c>
      <s:c r="Q15" s="34" t="str">
        <s:f>IF(AND(P15&lt;&gt;"",P15&lt;&gt;0,O15&lt;&gt;0,O15&lt;&gt;""),P15/O15,"")</s:f>
        <s:v/>
      </s:c>
      <s:c r="R15" s="14"/>
      <s:c r="S15" s="14"/>
      <s:c r="T15" s="14"/>
      <s:c r="U15" s="17"/>
      <s:c r="V15" s="5"/>
      <s:c r="W15" s="5"/>
      <s:c r="X15" s="5"/>
      <s:c r="Y15" s="5"/>
    </s:row>
    <s:row r="16" spans="1:29" ht="24" customHeight="1">
      <s:c r="A16" s="15"/>
      <s:c r="B16" s="15"/>
      <s:c r="C16" s="5"/>
      <s:c r="D16" s="5"/>
      <s:c r="E16" s="5"/>
      <s:c r="F16" s="785" t="s">
        <s:v>20</s:v>
      </s:c>
      <s:c r="G16" s="786"/>
      <s:c r="H16" s="787"/>
      <s:c r="I16" s="696"/>
      <s:c r="J16" s="52">
        <s:f>J8-I15*J14</s:f>
        <s:v>-103647</s:v>
      </s:c>
      <s:c r="K16" s="697" t="str">
        <s:f>IF(AND(I16&lt;&gt;"",I16&lt;&gt;0,J16&lt;&gt;""),J16/I16,"")</s:f>
        <s:v/>
      </s:c>
      <s:c r="L16" s="668">
        <s:f>J16</s:f>
        <s:v>-103647</s:v>
      </s:c>
      <s:c r="M16" s="102" t="str">
        <s:f>IF(AND(I16&lt;&gt;"",I16&lt;&gt;0,L16&lt;&gt;"",L16&lt;&gt;0),L16/I16,"")</s:f>
        <s:v/>
      </s:c>
      <s:c r="N16" s="31" t="str">
        <s:f>IF(AND(J16&lt;&gt;0,J16&lt;&gt;"",I16&lt;&gt;0,I16&lt;&gt;""),L16-I16,"")</s:f>
        <s:v/>
      </s:c>
      <s:c r="O16" s="581"/>
      <s:c r="P16" s="33" t="str">
        <s:f>IF(AND(O16&lt;&gt;"",O16&lt;&gt;0,L16&lt;&gt;"",L16&lt;&gt;0),-O16+L16,"")</s:f>
        <s:v/>
      </s:c>
      <s:c r="Q16" s="34" t="str">
        <s:f>IF(AND(P16&lt;&gt;"",P16&lt;&gt;0,O16&lt;&gt;0,O16&lt;&gt;""),P16/O16,"")</s:f>
        <s:v/>
      </s:c>
      <s:c r="R16" s="14"/>
      <s:c r="S16" s="783" t="s">
        <s:v>21</s:v>
      </s:c>
      <s:c r="T16" s="17"/>
      <s:c r="U16" s="17"/>
      <s:c r="V16" s="5"/>
      <s:c r="W16" s="5"/>
      <s:c r="X16" s="5"/>
      <s:c r="Y16" s="5"/>
    </s:row>
    <s:row r="17">
      <s:c r="A17" s="15"/>
      <s:c r="B17" s="15"/>
      <s:c r="C17" s="5"/>
      <s:c r="D17" s="5"/>
      <s:c r="E17" s="5"/>
      <s:c r="F17" s="785" t="s">
        <s:v>22</s:v>
      </s:c>
      <s:c r="G17" s="786"/>
      <s:c r="H17" s="787"/>
      <s:c r="I17" s="696">
        <s:f>Центрум!I17/График!AJ29*График!AJ25</s:f>
        <s:v>0</s:v>
      </s:c>
      <s:c r="J17" s="52">
        <s:f>I48</s:f>
        <s:v>84</s:v>
      </s:c>
      <s:c r="K17" s="697" t="str">
        <s:f>IF(AND(I17&lt;&gt;"",I17&lt;&gt;0,J17&lt;&gt;""),J17/I17,"")</s:f>
        <s:v/>
      </s:c>
      <s:c r="L17" s="668">
        <s:f>J17/J14*I14</s:f>
        <s:v>84</s:v>
      </s:c>
      <s:c r="M17" s="102" t="str">
        <s:f>IF(AND(I17&lt;&gt;"",I17&lt;&gt;0,L17&lt;&gt;"",L17&lt;&gt;0),L17/I17,"")</s:f>
        <s:v/>
      </s:c>
      <s:c r="N17" s="31" t="str">
        <s:f>IF(AND(J17&lt;&gt;0,J17&lt;&gt;"",I17&lt;&gt;0,I17&lt;&gt;""),L17-I17,"")</s:f>
        <s:v/>
      </s:c>
      <s:c r="O17" s="581"/>
      <s:c r="P17" s="33" t="str">
        <s:f>IF(AND(O17&lt;&gt;"",O17&lt;&gt;0,L17&lt;&gt;"",L17&lt;&gt;0),-O17+L17,"")</s:f>
        <s:v/>
      </s:c>
      <s:c r="Q17" s="34" t="str">
        <s:f>IF(AND(P17&lt;&gt;"",P17&lt;&gt;0,O17&lt;&gt;0,O17&lt;&gt;""),P17/O17,"")</s:f>
        <s:v/>
      </s:c>
      <s:c r="R17" s="14"/>
      <s:c r="S17" s="846"/>
      <s:c r="T17" s="17"/>
      <s:c r="U17" s="17"/>
      <s:c r="V17" s="5"/>
      <s:c r="W17" s="5"/>
      <s:c r="X17" s="5"/>
      <s:c r="Y17" s="5"/>
    </s:row>
    <s:row r="18">
      <s:c r="A18" s="15"/>
      <s:c r="B18" s="15"/>
      <s:c r="C18" s="5"/>
      <s:c r="D18" s="5"/>
      <s:c r="E18" s="5"/>
      <s:c r="F18" s="785" t="s">
        <s:v>122</s:v>
      </s:c>
      <s:c r="G18" s="786"/>
      <s:c r="H18" s="787"/>
      <s:c r="I18" s="676" t="e">
        <s:f>I8/I17</s:f>
        <s:v>#DIV/0!</s:v>
      </s:c>
      <s:c r="J18" s="677">
        <s:f>J8/J17</s:f>
        <s:v>6213.7261904761899</s:v>
      </s:c>
      <s:c r="K18" s="697" t="e">
        <s:f>IF(AND(I18&lt;&gt;"",I18&lt;&gt;0,J18&lt;&gt;""),J18/I18,"")</s:f>
        <s:v>#DIV/0!</s:v>
      </s:c>
      <s:c r="L18" s="668">
        <s:f>J18</s:f>
        <s:v>6213.7261904761899</s:v>
      </s:c>
      <s:c r="M18" s="102" t="e">
        <s:f>IF(AND(I18&lt;&gt;"",I18&lt;&gt;0,L18&lt;&gt;"",L18&lt;&gt;0),L18/I18,"")</s:f>
        <s:v>#DIV/0!</s:v>
      </s:c>
      <s:c r="N18" s="31" t="e">
        <s:f>IF(AND(J18&lt;&gt;0,J18&lt;&gt;"",I18&lt;&gt;0,I18&lt;&gt;""),L18-I18,"")</s:f>
        <s:v>#DIV/0!</s:v>
      </s:c>
      <s:c r="O18" s="582">
        <s:v>0</s:v>
      </s:c>
      <s:c r="P18" s="33" t="str">
        <s:f>IF(AND(O18&lt;&gt;"",O18&lt;&gt;0,L18&lt;&gt;"",L18&lt;&gt;0),-O18+L18,"")</s:f>
        <s:v/>
      </s:c>
      <s:c r="Q18" s="34" t="str">
        <s:f>IF(AND(P18&lt;&gt;"",P18&lt;&gt;0,O18&lt;&gt;0,O18&lt;&gt;""),P18/O18,"")</s:f>
        <s:v/>
      </s:c>
      <s:c r="R18" s="14"/>
      <s:c r="S18" s="51"/>
      <s:c r="T18" s="17"/>
      <s:c r="U18" s="17"/>
      <s:c r="V18" s="5"/>
      <s:c r="W18" s="5"/>
      <s:c r="X18" s="5"/>
      <s:c r="Y18" s="5"/>
    </s:row>
    <s:row r="19">
      <s:c r="A19" s="15"/>
      <s:c r="B19" s="15"/>
      <s:c r="C19" s="5"/>
      <s:c r="D19" s="5"/>
      <s:c r="E19" s="5"/>
      <s:c r="F19" s="785"/>
      <s:c r="G19" s="786"/>
      <s:c r="H19" s="787"/>
      <s:c r="I19" s="685"/>
      <s:c r="J19" s="52">
        <s:f>Q48</s:f>
        <s:v>0</s:v>
      </s:c>
      <s:c r="K19" s="697" t="str">
        <s:f>IF(AND(I19&lt;&gt;"",I19&lt;&gt;0,J19&lt;&gt;""),J19/I19,"")</s:f>
        <s:v/>
      </s:c>
      <s:c r="L19" s="668">
        <s:f>J19</s:f>
        <s:v>0</s:v>
      </s:c>
      <s:c r="M19" s="102" t="str">
        <s:f>IF(AND(I19&lt;&gt;"",I19&lt;&gt;0,L19&lt;&gt;"",L19&lt;&gt;0),L19/I19,"")</s:f>
        <s:v/>
      </s:c>
      <s:c r="N19" s="31" t="str">
        <s:f>IF(AND(J19&lt;&gt;0,J19&lt;&gt;"",I19&lt;&gt;0,I19&lt;&gt;""),L19-I19,"")</s:f>
        <s:v/>
      </s:c>
      <s:c r="O19" s="581">
        <s:v>0</s:v>
      </s:c>
      <s:c r="P19" s="33" t="str">
        <s:f>IF(AND(O19&lt;&gt;"",O19&lt;&gt;0,L19&lt;&gt;"",L19&lt;&gt;0),-O19+L19,"")</s:f>
        <s:v/>
      </s:c>
      <s:c r="Q19" s="34" t="str">
        <s:f>IF(AND(P19&lt;&gt;"",P19&lt;&gt;0,O19&lt;&gt;0,O19&lt;&gt;""),P19/O19,"")</s:f>
        <s:v/>
      </s:c>
      <s:c r="R19" s="14"/>
      <s:c r="S19" s="29" t="e">
        <s:f>S18/I16</s:f>
        <s:v>#DIV/0!</s:v>
      </s:c>
      <s:c r="T19" s="17"/>
      <s:c r="U19" s="17"/>
      <s:c r="V19" s="5"/>
      <s:c r="W19" s="5"/>
      <s:c r="X19" s="5"/>
      <s:c r="Y19" s="5"/>
    </s:row>
    <s:row r="20">
      <s:c r="A20" s="15"/>
      <s:c r="B20" s="15"/>
      <s:c r="C20" s="5"/>
      <s:c r="D20" s="5"/>
      <s:c r="E20" s="5"/>
      <s:c r="F20" s="788" t="s">
        <s:v>23</s:v>
      </s:c>
      <s:c r="G20" s="789"/>
      <s:c r="H20" s="790"/>
      <s:c r="I20" s="698">
        <s:f>Центрум!I20</s:f>
        <s:v>0.1</s:v>
      </s:c>
      <s:c r="J20" s="699">
        <s:f>T48</s:f>
        <s:v>9.5238095238095205E-2</s:v>
      </s:c>
      <s:c r="K20" s="688">
        <s:f>J20/I20</s:f>
        <s:v>0.952380952380952</s:v>
      </s:c>
      <s:c r="L20" s="669">
        <s:f>IF(AND(K8&lt;&gt;0,I14&lt;&gt;0,I48&lt;&gt;0),(I48*T48+(I48/K8-I48)*I20)/(I48/K8),0)</s:f>
        <s:v>9.3875003488714276E-2</s:v>
      </s:c>
      <s:c r="M20" s="104">
        <s:f>IF(AND(I20&lt;&gt;"",I20&lt;&gt;0,L20&lt;&gt;"",L20&lt;&gt;0),L20/I20,"")</s:f>
        <s:v>0.9387500348871427</s:v>
      </s:c>
      <s:c r="N20" s="56">
        <s:f>IF(AND(J20&lt;&gt;0,J20&lt;&gt;"",I20&lt;&gt;0,I20&lt;&gt;""),L20-I20,"")</s:f>
        <s:v>-6.1249965112857296E-3</s:v>
      </s:c>
      <s:c r="O20" s="583"/>
      <s:c r="P20" s="58" t="str">
        <s:f>IF(AND(O20&lt;&gt;"",O20&lt;&gt;0,L20&lt;&gt;"",L20&lt;&gt;0),-O20+L20,"")</s:f>
        <s:v/>
      </s:c>
      <s:c r="Q20" s="59" t="str">
        <s:f>IF(AND(P20&lt;&gt;"",P20&lt;&gt;0,O20&lt;&gt;0,O20&lt;&gt;""),P20/O20,"")</s:f>
        <s:v/>
      </s:c>
      <s:c r="R20" s="14"/>
      <s:c r="S20" s="14"/>
      <s:c r="T20" s="17"/>
      <s:c r="U20" s="17"/>
      <s:c r="V20" s="5"/>
      <s:c r="W20" s="5"/>
      <s:c r="X20" s="5"/>
      <s:c r="Y20" s="5"/>
    </s:row>
    <s:row r="21">
      <s:c r="A21" s="15"/>
      <s:c r="B21" s="15"/>
      <s:c r="C21" s="5"/>
      <s:c r="D21" s="5"/>
      <s:c r="E21" s="5"/>
      <s:c r="F21" s="5"/>
      <s:c r="G21" s="5"/>
      <s:c r="H21" s="5"/>
      <s:c r="I21" s="5"/>
      <s:c r="J21" s="5"/>
      <s:c r="K21" s="5"/>
      <s:c r="L21" s="5"/>
      <s:c r="M21" s="5"/>
      <s:c r="N21" s="5"/>
      <s:c r="O21" s="5"/>
      <s:c r="P21" s="5"/>
      <s:c r="Q21" s="5"/>
      <s:c r="R21" s="5"/>
      <s:c r="S21" s="5"/>
      <s:c r="T21" s="5"/>
      <s:c r="U21" s="5"/>
      <s:c r="V21" s="5"/>
      <s:c r="W21" s="5"/>
      <s:c r="X21" s="17"/>
      <s:c r="Y21" s="17"/>
      <s:c r="Z21" s="5"/>
      <s:c r="AA21" s="5"/>
      <s:c r="AB21" s="5"/>
      <s:c r="AC21" s="5"/>
    </s:row>
    <s:row r="22" spans="1:261" ht="20" customHeight="1">
      <s:c r="A22" s="856" t="s">
        <s:v>24</s:v>
      </s:c>
      <s:c r="B22" s="857"/>
      <s:c r="C22" s="857"/>
      <s:c r="D22" s="857"/>
      <s:c r="E22" s="857"/>
      <s:c r="F22" s="857"/>
      <s:c r="G22" s="857"/>
      <s:c r="H22" s="857"/>
      <s:c r="I22" s="857"/>
      <s:c r="J22" s="857"/>
      <s:c r="K22" s="857"/>
      <s:c r="L22" s="857"/>
      <s:c r="M22" s="857"/>
      <s:c r="N22" s="857"/>
      <s:c r="O22" s="857"/>
      <s:c r="P22" s="857"/>
      <s:c r="Q22" s="857"/>
      <s:c r="R22" s="857"/>
      <s:c r="S22" s="857"/>
      <s:c r="T22" s="857"/>
      <s:c r="U22" s="857"/>
      <s:c r="V22" s="856" t="s">
        <s:v>25</s:v>
      </s:c>
      <s:c r="W22" s="857"/>
      <s:c r="X22" s="857"/>
      <s:c r="Y22" s="857"/>
      <s:c r="Z22" s="857"/>
      <s:c r="AA22" s="857"/>
      <s:c r="AB22" s="857"/>
      <s:c r="AC22" s="858"/>
    </s:row>
    <s:row r="23" ht="48">
      <s:c r="B23" s="404" t="s">
        <s:v>27</s:v>
      </s:c>
      <s:c r="C23" s="404" t="s">
        <s:v>28</s:v>
      </s:c>
      <s:c r="D23" s="404" t="s">
        <s:v>29</s:v>
      </s:c>
      <s:c r="E23" s="404" t="s">
        <s:v>30</s:v>
      </s:c>
      <s:c r="F23" s="404" t="s">
        <s:v>31</s:v>
      </s:c>
      <s:c r="G23" s="404" t="s">
        <s:v>32</s:v>
      </s:c>
      <s:c r="H23" s="404" t="s">
        <s:v>33</s:v>
      </s:c>
      <s:c r="I23" s="404" t="s">
        <s:v>22</s:v>
      </s:c>
      <s:c r="J23" s="427" t="s">
        <s:v>34</s:v>
      </s:c>
      <s:c r="K23" s="473" t="s">
        <s:v>35</s:v>
      </s:c>
      <s:c r="L23" s="405" t="s">
        <s:v>36</s:v>
      </s:c>
      <s:c r="M23" s="105" t="s">
        <s:v>37</s:v>
      </s:c>
      <s:c r="N23" s="405" t="s">
        <s:v>38</s:v>
      </s:c>
      <s:c r="O23" s="409" t="s">
        <s:v>39</s:v>
      </s:c>
      <s:c r="P23" s="465" t="s">
        <s:v>40</s:v>
      </s:c>
      <s:c r="Q23" s="405" t="s">
        <s:v>41</s:v>
      </s:c>
      <s:c r="R23" s="405" t="s">
        <s:v>42</s:v>
      </s:c>
      <s:c r="S23" s="429" t="s">
        <s:v>43</s:v>
      </s:c>
      <s:c r="T23" s="438" t="s">
        <s:v>44</s:v>
      </s:c>
      <s:c r="U23" s="490" t="s">
        <s:v>45</s:v>
      </s:c>
      <s:c r="V23" s="479" t="s">
        <s:v>46</s:v>
      </s:c>
      <s:c r="W23" s="404" t="s">
        <s:v>47</s:v>
      </s:c>
      <s:c r="X23" s="404" t="s">
        <s:v>48</s:v>
      </s:c>
      <s:c r="Y23" s="404" t="s">
        <s:v>49</s:v>
      </s:c>
      <s:c r="Z23" s="404" t="s">
        <s:v>50</s:v>
      </s:c>
      <s:c r="AA23" s="404" t="s">
        <s:v>51</s:v>
      </s:c>
      <s:c r="AB23" s="434" t="s">
        <s:v>52</s:v>
      </s:c>
      <s:c r="AC23" s="480" t="s">
        <s:v>53</s:v>
      </s:c>
      <s:c r="AD23" s="89"/>
    </s:row>
    <s:row r="24">
      <s:c r="A24" s="106"/>
      <s:c r="B24" s="107">
        <s:v>1</s:v>
      </s:c>
      <s:c r="C24" s="109">
        <s:v>2</s:v>
      </s:c>
      <s:c r="D24" s="109">
        <s:v>3</s:v>
      </s:c>
      <s:c r="E24" s="109" t="s">
        <s:v>71</s:v>
      </s:c>
      <s:c r="F24" s="108">
        <s:v>5</s:v>
      </s:c>
      <s:c r="G24" s="109">
        <s:v>6</s:v>
      </s:c>
      <s:c r="H24" s="108">
        <s:v>7</s:v>
      </s:c>
      <s:c r="I24" s="109">
        <s:v>8</s:v>
      </s:c>
      <s:c r="J24" s="406">
        <s:v>9</s:v>
      </s:c>
      <s:c r="K24" s="376">
        <s:v>10</s:v>
      </s:c>
      <s:c r="L24" s="61">
        <s:v>11</s:v>
      </s:c>
      <s:c r="M24" s="61">
        <s:v>12</s:v>
      </s:c>
      <s:c r="N24" s="61">
        <s:v>13</s:v>
      </s:c>
      <s:c r="O24" s="62">
        <s:v>14</s:v>
      </s:c>
      <s:c r="P24" s="468">
        <s:v>15</s:v>
      </s:c>
      <s:c r="Q24" s="166">
        <s:v>16</s:v>
      </s:c>
      <s:c r="R24" s="62">
        <s:v>17</s:v>
      </s:c>
      <s:c r="S24" s="412">
        <s:v>18</s:v>
      </s:c>
      <s:c r="T24" s="491">
        <s:v>19</s:v>
      </s:c>
      <s:c r="U24" s="492"/>
      <s:c r="V24" s="442">
        <s:v>1</s:v>
      </s:c>
      <s:c r="W24" s="110">
        <s:v>2</s:v>
      </s:c>
      <s:c r="X24" s="110">
        <s:v>3</s:v>
      </s:c>
      <s:c r="Y24" s="110">
        <s:v>4</s:v>
      </s:c>
      <s:c r="Z24" s="110">
        <s:v>5</s:v>
      </s:c>
      <s:c r="AA24" s="110">
        <s:v>6</s:v>
      </s:c>
      <s:c r="AB24" s="110">
        <s:v>10</s:v>
      </s:c>
      <s:c r="AC24" s="443">
        <s:v>11</s:v>
      </s:c>
    </s:row>
    <s:row r="25">
      <s:c r="A25" s="111">
        <s:v>1</s:v>
      </s:c>
      <s:c r="B25" s="64">
        <s:v>46118</s:v>
      </s:c>
      <s:c r="C25" s="80" t="s">
        <s:v>55</s:v>
      </s:c>
      <s:c r="D25" s="114">
        <s:v>0</s:v>
      </s:c>
      <s:c r="E25" s="74">
        <s:v>0</s:v>
      </s:c>
      <s:c r="F25" s="67">
        <s:v>0</s:v>
      </s:c>
      <s:c r="G25" s="74">
        <s:v>0</s:v>
      </s:c>
      <s:c r="H25" s="67">
        <s:v>0</s:v>
      </s:c>
      <s:c r="I25" s="74"/>
      <s:c r="J25" s="136" t="str">
        <s:f>IF(AND(G25&lt;&gt;"",G25&lt;&gt;0),E25/G25,"")</s:f>
        <s:v/>
      </s:c>
      <s:c r="K25" s="413"/>
      <s:c r="L25" s="66"/>
      <s:c r="M25" s="66"/>
      <s:c r="N25" s="66"/>
      <s:c r="O25" s="167"/>
      <s:c r="P25" s="469"/>
      <s:c r="Q25" s="66"/>
      <s:c r="R25" s="66"/>
      <s:c r="S25" s="414"/>
      <s:c r="T25" s="493" t="str">
        <s:f>IF(AND(I25&lt;&gt;"",I25&lt;&gt;0),G25/I25,"")</s:f>
        <s:v/>
      </s:c>
      <s:c r="U25" s="494" t="e">
        <s:f>D25/V25</s:f>
        <s:v>#DIV/0!</s:v>
      </s:c>
      <s:c r="V25" s="444" t="e">
        <s:f>$I$8*AB25*AC25/SUMPRODUCT($AC$25:$AC$55,$AB$25:$AB$55)</s:f>
        <s:v>#DIV/0!</s:v>
      </s:c>
      <s:c r="W25" s="71" t="e">
        <s:f>$I$9*AB25*AC25/SUMPRODUCT($AC$25:$AC$55,$AB$25:$AB$55)</s:f>
        <s:v>#DIV/0!</s:v>
      </s:c>
      <s:c r="X25" s="71" t="e">
        <s:f>IF($I$12="","",W25/$I$12)</s:f>
        <s:v>#DIV/0!</s:v>
      </s:c>
      <s:c r="Y25" s="70" t="str">
        <s:f>IF(AC25&lt;&gt;"",IF(D25&lt;&gt;"",D25,($I$8-SUM($Y24:Y$25))*AB25*AC25/SUMPRODUCT($AC25:$AC$55,$AB25:$AB$55)),"")</s:f>
        <s:v/>
      </s:c>
      <s:c r="Z25" s="71" t="str">
        <s:f>IF(AC25&lt;&gt;"",IF(E25&lt;&gt;"",E25,($I$9-SUM($Z24:Z$25))*AB25*AC25/SUMPRODUCT($AC25:$AC$55,$AB25:$AB$55)),"")</s:f>
        <s:v/>
      </s:c>
      <s:c r="AA25" s="71" t="str">
        <s:f>IF(AC25&lt;&gt;"",IF($I$12&lt;&gt;"",IF(G25&lt;&gt;"",G25,($I$9/$I$12-SUM($AA24:AA$25))*AB25*AC25/SUMPRODUCT($AC25:$AC$55,$AB25:$AB$55)),""),"")</s:f>
        <s:v/>
      </s:c>
      <s:c r="AB25" s="132"/>
      <s:c r="AC25" s="445"/>
      <s:c r="AD25" s="72"/>
      <s:c r="AE25" s="72"/>
      <s:c r="AF25" s="77"/>
      <s:c r="AG25" s="2"/>
      <s:c r="AH25" s="2"/>
      <s:c r="AI25" s="2"/>
      <s:c r="AJ25" s="2"/>
      <s:c r="AK25" s="2"/>
      <s:c r="AL25" s="2"/>
      <s:c r="AM25" s="2"/>
    </s:row>
    <s:row r="26">
      <s:c r="A26" s="111">
        <s:v>2</s:v>
      </s:c>
      <s:c r="B26" s="64">
        <s:v>46119</s:v>
      </s:c>
      <s:c r="C26" s="65" t="s">
        <s:v>56</s:v>
      </s:c>
      <s:c r="D26" s="114">
        <s:v>0</s:v>
      </s:c>
      <s:c r="E26" s="74">
        <s:v>0</s:v>
      </s:c>
      <s:c r="F26" s="67">
        <s:v>0</s:v>
      </s:c>
      <s:c r="G26" s="74">
        <s:v>0</s:v>
      </s:c>
      <s:c r="H26" s="67">
        <s:v>0</s:v>
      </s:c>
      <s:c r="I26" s="74">
        <s:v>8</s:v>
      </s:c>
      <s:c r="J26" s="136" t="str">
        <s:f>IF(AND(G26&lt;&gt;"",G26&lt;&gt;0),E26/G26,"")</s:f>
        <s:v/>
      </s:c>
      <s:c r="K26" s="413"/>
      <s:c r="L26" s="66"/>
      <s:c r="M26" s="66"/>
      <s:c r="N26" s="66"/>
      <s:c r="O26" s="167"/>
      <s:c r="P26" s="469"/>
      <s:c r="Q26" s="66"/>
      <s:c r="R26" s="66"/>
      <s:c r="S26" s="414"/>
      <s:c r="T26" s="493">
        <s:f>IF(AND(I26&lt;&gt;"",I26&lt;&gt;0),G26/I26,"")</s:f>
        <s:v>0</s:v>
      </s:c>
      <s:c r="U26" s="494" t="e">
        <s:f>D26/V26</s:f>
        <s:v>#DIV/0!</s:v>
      </s:c>
      <s:c r="V26" s="444" t="e">
        <s:f>$I$8*AB26*AC26/SUMPRODUCT($AC$25:$AC$55,$AB$25:$AB$55)</s:f>
        <s:v>#DIV/0!</s:v>
      </s:c>
      <s:c r="W26" s="71" t="e">
        <s:f>$I$9*AB26*AC26/SUMPRODUCT($AC$25:$AC$55,$AB$25:$AB$55)</s:f>
        <s:v>#DIV/0!</s:v>
      </s:c>
      <s:c r="X26" s="71" t="e">
        <s:f>IF($I$12="","",W26/$I$12)</s:f>
        <s:v>#DIV/0!</s:v>
      </s:c>
      <s:c r="Y26" s="70" t="str">
        <s:f>IF(AC26&lt;&gt;"",IF(D26&lt;&gt;"",D26,($I$8-SUM($Y$25:Y25))*AB26*AC26/SUMPRODUCT($AC26:$AC$55,$AB26:$AB$55)),"")</s:f>
        <s:v/>
      </s:c>
      <s:c r="Z26" s="71" t="str">
        <s:f>IF(AC26&lt;&gt;"",IF(E26&lt;&gt;"",E26,($I$9-SUM($Z$25:Z25))*AB26*AC26/SUMPRODUCT($AC26:$AC$55,$AB26:$AB$55)),"")</s:f>
        <s:v/>
      </s:c>
      <s:c r="AA26" s="71" t="str">
        <s:f>IF(AC26&lt;&gt;"",IF($I$12&lt;&gt;"",IF(G26&lt;&gt;"",G26,($I$9/$I$12-SUM($AA$25:AA25))*AB26*AC26/SUMPRODUCT($AC26:$AC$55,$AB26:$AB$55)),""),"")</s:f>
        <s:v/>
      </s:c>
      <s:c r="AB26" s="132"/>
      <s:c r="AC26" s="445"/>
      <s:c r="AD26" s="72"/>
      <s:c r="AE26" s="72"/>
      <s:c r="AF26" s="2"/>
      <s:c r="AG26" s="2"/>
      <s:c r="AH26" s="2"/>
      <s:c r="AI26" s="2"/>
      <s:c r="AJ26" s="2"/>
      <s:c r="AK26" s="2"/>
      <s:c r="AL26" s="2"/>
      <s:c r="AM26" s="2"/>
      <s:c r="AN26" s="2"/>
      <s:c r="AO26" s="2"/>
      <s:c r="AP26" s="2"/>
      <s:c r="AQ26" s="2"/>
      <s:c r="AR26" s="2"/>
      <s:c r="AS26" s="2"/>
      <s:c r="AT26" s="2"/>
      <s:c r="AU26" s="2"/>
      <s:c r="AV26" s="2"/>
      <s:c r="AW26" s="2"/>
      <s:c r="AX26" s="2"/>
      <s:c r="AY26" s="2"/>
      <s:c r="AZ26" s="2"/>
      <s:c r="BA26" s="2"/>
      <s:c r="BB26" s="2"/>
      <s:c r="BC26" s="2"/>
      <s:c r="BD26" s="2"/>
      <s:c r="BE26" s="2"/>
      <s:c r="BF26" s="2"/>
      <s:c r="BG26" s="2"/>
      <s:c r="BH26" s="2"/>
      <s:c r="BI26" s="2"/>
      <s:c r="BJ26" s="2"/>
      <s:c r="BK26" s="2"/>
      <s:c r="BL26" s="2"/>
      <s:c r="BM26" s="2"/>
      <s:c r="BN26" s="2"/>
      <s:c r="BO26" s="2"/>
      <s:c r="BP26" s="2"/>
      <s:c r="BQ26" s="2"/>
      <s:c r="BR26" s="2"/>
      <s:c r="BS26" s="2"/>
      <s:c r="BT26" s="2"/>
      <s:c r="BU26" s="2"/>
      <s:c r="BV26" s="2"/>
      <s:c r="BW26" s="2"/>
      <s:c r="BX26" s="2"/>
      <s:c r="BY26" s="2"/>
      <s:c r="BZ26" s="2"/>
      <s:c r="CA26" s="2"/>
      <s:c r="CB26" s="2"/>
      <s:c r="CC26" s="2"/>
      <s:c r="CD26" s="2"/>
      <s:c r="CE26" s="2"/>
      <s:c r="CF26" s="2"/>
      <s:c r="CG26" s="2"/>
      <s:c r="CH26" s="2"/>
      <s:c r="CI26" s="2"/>
      <s:c r="CJ26" s="2"/>
      <s:c r="CK26" s="2"/>
      <s:c r="CL26" s="2"/>
      <s:c r="CM26" s="2"/>
      <s:c r="CN26" s="2"/>
      <s:c r="CO26" s="2"/>
      <s:c r="CP26" s="2"/>
      <s:c r="CQ26" s="2"/>
      <s:c r="CR26" s="2"/>
      <s:c r="CS26" s="2"/>
      <s:c r="CT26" s="2"/>
      <s:c r="CU26" s="2"/>
      <s:c r="CV26" s="2"/>
      <s:c r="CW26" s="2"/>
      <s:c r="CX26" s="2"/>
      <s:c r="CY26" s="2"/>
      <s:c r="CZ26" s="2"/>
      <s:c r="DA26" s="2"/>
      <s:c r="DB26" s="2"/>
      <s:c r="DC26" s="2"/>
      <s:c r="DD26" s="2"/>
      <s:c r="DE26" s="2"/>
      <s:c r="DF26" s="2"/>
      <s:c r="DG26" s="2"/>
      <s:c r="DH26" s="2"/>
      <s:c r="DI26" s="2"/>
      <s:c r="DJ26" s="2"/>
      <s:c r="DK26" s="2"/>
      <s:c r="DL26" s="2"/>
      <s:c r="DM26" s="2"/>
      <s:c r="DN26" s="2"/>
      <s:c r="DO26" s="2"/>
      <s:c r="DP26" s="2"/>
      <s:c r="DQ26" s="2"/>
      <s:c r="DR26" s="2"/>
      <s:c r="DS26" s="2"/>
      <s:c r="DT26" s="2"/>
      <s:c r="DU26" s="2"/>
      <s:c r="DV26" s="2"/>
      <s:c r="DW26" s="2"/>
      <s:c r="DX26" s="2"/>
      <s:c r="DY26" s="2"/>
      <s:c r="DZ26" s="2"/>
      <s:c r="EA26" s="2"/>
      <s:c r="EB26" s="2"/>
      <s:c r="EC26" s="2"/>
      <s:c r="ED26" s="2"/>
      <s:c r="EE26" s="2"/>
      <s:c r="EF26" s="2"/>
      <s:c r="EG26" s="2"/>
      <s:c r="EH26" s="2"/>
      <s:c r="EI26" s="2"/>
      <s:c r="EJ26" s="2"/>
      <s:c r="EK26" s="2"/>
      <s:c r="EL26" s="2"/>
      <s:c r="EM26" s="2"/>
      <s:c r="EN26" s="2"/>
      <s:c r="EO26" s="2"/>
      <s:c r="EP26" s="2"/>
      <s:c r="EQ26" s="2"/>
      <s:c r="ER26" s="2"/>
      <s:c r="ES26" s="2"/>
      <s:c r="ET26" s="2"/>
      <s:c r="EU26" s="2"/>
      <s:c r="EV26" s="2"/>
      <s:c r="EW26" s="2"/>
      <s:c r="EX26" s="2"/>
      <s:c r="EY26" s="2"/>
      <s:c r="EZ26" s="2"/>
      <s:c r="FA26" s="2"/>
      <s:c r="FB26" s="2"/>
      <s:c r="FC26" s="2"/>
      <s:c r="FD26" s="2"/>
      <s:c r="FE26" s="2"/>
      <s:c r="FF26" s="2"/>
      <s:c r="FG26" s="2"/>
      <s:c r="FH26" s="2"/>
      <s:c r="FI26" s="2"/>
      <s:c r="FJ26" s="2"/>
      <s:c r="FK26" s="2"/>
      <s:c r="FL26" s="2"/>
      <s:c r="FM26" s="2"/>
      <s:c r="FN26" s="2"/>
      <s:c r="FO26" s="2"/>
      <s:c r="FP26" s="2"/>
      <s:c r="FQ26" s="2"/>
      <s:c r="FR26" s="2"/>
      <s:c r="FS26" s="2"/>
      <s:c r="FT26" s="2"/>
      <s:c r="FU26" s="2"/>
      <s:c r="FV26" s="2"/>
      <s:c r="FW26" s="2"/>
      <s:c r="FX26" s="2"/>
      <s:c r="FY26" s="2"/>
      <s:c r="FZ26" s="2"/>
      <s:c r="GA26" s="2"/>
      <s:c r="GB26" s="2"/>
      <s:c r="GC26" s="2"/>
      <s:c r="GD26" s="2"/>
      <s:c r="GE26" s="2"/>
      <s:c r="GF26" s="2"/>
      <s:c r="GG26" s="2"/>
      <s:c r="GH26" s="2"/>
      <s:c r="GI26" s="2"/>
      <s:c r="GJ26" s="2"/>
      <s:c r="GK26" s="2"/>
      <s:c r="GL26" s="2"/>
      <s:c r="GM26" s="2"/>
      <s:c r="GN26" s="2"/>
      <s:c r="GO26" s="2"/>
      <s:c r="GP26" s="2"/>
      <s:c r="GQ26" s="2"/>
      <s:c r="GR26" s="2"/>
      <s:c r="GS26" s="2"/>
      <s:c r="GT26" s="2"/>
      <s:c r="GU26" s="2"/>
      <s:c r="GV26" s="2"/>
      <s:c r="GW26" s="2"/>
      <s:c r="GX26" s="2"/>
      <s:c r="GY26" s="2"/>
      <s:c r="GZ26" s="2"/>
      <s:c r="HA26" s="2"/>
      <s:c r="HB26" s="2"/>
      <s:c r="HC26" s="2"/>
      <s:c r="HD26" s="2"/>
      <s:c r="HE26" s="2"/>
      <s:c r="HF26" s="2"/>
      <s:c r="HG26" s="2"/>
      <s:c r="HH26" s="2"/>
      <s:c r="HI26" s="2"/>
      <s:c r="HJ26" s="2"/>
      <s:c r="HK26" s="2"/>
      <s:c r="HL26" s="2"/>
      <s:c r="HM26" s="2"/>
      <s:c r="HN26" s="2"/>
      <s:c r="HO26" s="2"/>
      <s:c r="HP26" s="2"/>
      <s:c r="HQ26" s="2"/>
      <s:c r="HR26" s="2"/>
      <s:c r="HS26" s="2"/>
      <s:c r="HT26" s="2"/>
      <s:c r="HU26" s="2"/>
      <s:c r="HV26" s="2"/>
      <s:c r="HW26" s="2"/>
      <s:c r="HX26" s="2"/>
      <s:c r="HY26" s="2"/>
      <s:c r="HZ26" s="2"/>
      <s:c r="IA26" s="2"/>
      <s:c r="IB26" s="2"/>
      <s:c r="IC26" s="2"/>
      <s:c r="ID26" s="2"/>
      <s:c r="IE26" s="2"/>
      <s:c r="IF26" s="2"/>
      <s:c r="IG26" s="2"/>
      <s:c r="IH26" s="2"/>
      <s:c r="II26" s="2"/>
      <s:c r="IJ26" s="2"/>
      <s:c r="IK26" s="2"/>
      <s:c r="IL26" s="2"/>
      <s:c r="IM26" s="2"/>
      <s:c r="IN26" s="2"/>
      <s:c r="IO26" s="2"/>
      <s:c r="IP26" s="2"/>
      <s:c r="IQ26" s="2"/>
      <s:c r="IR26" s="2"/>
      <s:c r="IS26" s="2"/>
      <s:c r="IT26" s="2"/>
      <s:c r="IU26" s="2"/>
      <s:c r="IV26" s="2"/>
      <s:c r="IW26" s="2"/>
      <s:c r="IX26" s="2"/>
      <s:c r="IY26" s="2"/>
      <s:c r="IZ26" s="2"/>
      <s:c r="JA26" s="2"/>
    </s:row>
    <s:row r="27">
      <s:c r="A27" s="111">
        <s:v>3</s:v>
      </s:c>
      <s:c r="B27" s="64">
        <s:v>46120</s:v>
      </s:c>
      <s:c r="C27" s="65" t="s">
        <s:v>57</s:v>
      </s:c>
      <s:c r="D27" s="114">
        <s:v>21072</s:v>
      </s:c>
      <s:c r="E27" s="74">
        <s:v>3</s:v>
      </s:c>
      <s:c r="F27" s="67">
        <s:f>IF(AND(E27&lt;&gt;"",E27&lt;&gt;0),D27/E27,"")</s:f>
        <s:v>7024</s:v>
      </s:c>
      <s:c r="G27" s="74">
        <s:v>2</s:v>
      </s:c>
      <s:c r="H27" s="67">
        <s:f>IF(AND(G27&lt;&gt;"",G27&lt;&gt;0),D27/G27,"")</s:f>
        <s:v>10536</s:v>
      </s:c>
      <s:c r="I27" s="74">
        <s:v>20</s:v>
      </s:c>
      <s:c r="J27" s="136">
        <s:f>IF(AND(G27&lt;&gt;"",G27&lt;&gt;0),E27/G27,"")</s:f>
        <s:v>1.5</s:v>
      </s:c>
      <s:c r="K27" s="413"/>
      <s:c r="L27" s="66"/>
      <s:c r="M27" s="66"/>
      <s:c r="N27" s="66"/>
      <s:c r="O27" s="167"/>
      <s:c r="P27" s="469"/>
      <s:c r="Q27" s="66"/>
      <s:c r="R27" s="66"/>
      <s:c r="S27" s="414"/>
      <s:c r="T27" s="493">
        <s:f>IF(AND(I27&lt;&gt;"",I27&lt;&gt;0),G27/I27,"")</s:f>
        <s:v>0.1</s:v>
      </s:c>
      <s:c r="U27" s="494" t="e">
        <s:f>D27/V27</s:f>
        <s:v>#DIV/0!</s:v>
      </s:c>
      <s:c r="V27" s="444" t="e">
        <s:f>$I$8*AB27*AC27/SUMPRODUCT($AC$25:$AC$55,$AB$25:$AB$55)</s:f>
        <s:v>#DIV/0!</s:v>
      </s:c>
      <s:c r="W27" s="71" t="e">
        <s:f>$I$9*AB27*AC27/SUMPRODUCT($AC$25:$AC$55,$AB$25:$AB$55)</s:f>
        <s:v>#DIV/0!</s:v>
      </s:c>
      <s:c r="X27" s="71" t="e">
        <s:f>IF($I$12="","",W27/$I$12)</s:f>
        <s:v>#DIV/0!</s:v>
      </s:c>
      <s:c r="Y27" s="70" t="str">
        <s:f>IF(AC27&lt;&gt;"",IF(D27&lt;&gt;"",D27,($I$8-SUM($Y$25:Y26))*AB27*AC27/SUMPRODUCT($AC27:$AC$55,$AB27:$AB$55)),"")</s:f>
        <s:v/>
      </s:c>
      <s:c r="Z27" s="71" t="str">
        <s:f>IF(AC27&lt;&gt;"",IF(E27&lt;&gt;"",E27,($I$9-SUM($Z$25:Z26))*AB27*AC27/SUMPRODUCT($AC27:$AC$55,$AB27:$AB$55)),"")</s:f>
        <s:v/>
      </s:c>
      <s:c r="AA27" s="71" t="str">
        <s:f>IF(AC27&lt;&gt;"",IF($I$12&lt;&gt;"",IF(G27&lt;&gt;"",G27,($I$9/$I$12-SUM($AA$25:AA26))*AB27*AC27/SUMPRODUCT($AC27:$AC$55,$AB27:$AB$55)),""),"")</s:f>
        <s:v/>
      </s:c>
      <s:c r="AB27" s="132"/>
      <s:c r="AC27" s="445"/>
      <s:c r="AD27" s="72"/>
      <s:c r="AE27" s="72"/>
      <s:c r="AF27" s="2"/>
      <s:c r="AG27" s="2"/>
      <s:c r="AH27" s="2"/>
      <s:c r="AI27" s="2"/>
      <s:c r="AJ27" s="2"/>
      <s:c r="AK27" s="2"/>
      <s:c r="AL27" s="2"/>
      <s:c r="AM27" s="2"/>
    </s:row>
    <s:row r="28">
      <s:c r="A28" s="112">
        <s:v>4</s:v>
      </s:c>
      <s:c r="B28" s="64">
        <s:v>46121</s:v>
      </s:c>
      <s:c r="C28" s="80" t="s">
        <s:v>58</s:v>
      </s:c>
      <s:c r="D28" s="114">
        <s:v>12200</s:v>
      </s:c>
      <s:c r="E28" s="74">
        <s:v>2</s:v>
      </s:c>
      <s:c r="F28" s="67">
        <s:f>IF(AND(E28&lt;&gt;"",E28&lt;&gt;0),D28/E28,"")</s:f>
        <s:v>6100</s:v>
      </s:c>
      <s:c r="G28" s="74">
        <s:v>1</s:v>
      </s:c>
      <s:c r="H28" s="67">
        <s:f>IF(AND(G28&lt;&gt;"",G28&lt;&gt;0),D28/G28,"")</s:f>
        <s:v>12200</s:v>
      </s:c>
      <s:c r="I28" s="74">
        <s:v>15</s:v>
      </s:c>
      <s:c r="J28" s="136">
        <s:f>IF(AND(G28&lt;&gt;"",G28&lt;&gt;0),E28/G28,"")</s:f>
        <s:v>2</s:v>
      </s:c>
      <s:c r="K28" s="422"/>
      <s:c r="L28" s="67"/>
      <s:c r="M28" s="67"/>
      <s:c r="N28" s="67"/>
      <s:c r="O28" s="168"/>
      <s:c r="P28" s="470"/>
      <s:c r="Q28" s="69"/>
      <s:c r="R28" s="66"/>
      <s:c r="S28" s="414"/>
      <s:c r="T28" s="493">
        <s:f>IF(AND(I28&lt;&gt;"",I28&lt;&gt;0),G28/I28,"")</s:f>
        <s:v>6.6666666666666596E-2</s:v>
      </s:c>
      <s:c r="U28" s="494" t="e">
        <s:f>D28/V28</s:f>
        <s:v>#DIV/0!</s:v>
      </s:c>
      <s:c r="V28" s="444" t="e">
        <s:f>$I$8*AB28*AC28/SUMPRODUCT($AC$25:$AC$55,$AB$25:$AB$55)</s:f>
        <s:v>#DIV/0!</s:v>
      </s:c>
      <s:c r="W28" s="71" t="e">
        <s:f>$I$9*AB28*AC28/SUMPRODUCT($AC$25:$AC$55,$AB$25:$AB$55)</s:f>
        <s:v>#DIV/0!</s:v>
      </s:c>
      <s:c r="X28" s="71" t="e">
        <s:f>IF($I$12="","",W28/$I$12)</s:f>
        <s:v>#DIV/0!</s:v>
      </s:c>
      <s:c r="Y28" s="70" t="str">
        <s:f>IF(AC28&lt;&gt;"",IF(D28&lt;&gt;"",D28,($I$8-SUM($Y$25:Y27))*AB28*AC28/SUMPRODUCT($AC28:$AC$55,$AB28:$AB$55)),"")</s:f>
        <s:v/>
      </s:c>
      <s:c r="Z28" s="71" t="str">
        <s:f>IF(AC28&lt;&gt;"",IF(E27&lt;&gt;"",E27,($I$9-SUM($Z$25:Z27))*AB28*AC28/SUMPRODUCT($AC28:$AC$55,$AB28:$AB$55)),"")</s:f>
        <s:v/>
      </s:c>
      <s:c r="AA28" s="71" t="str">
        <s:f>IF(AC28&lt;&gt;"",IF($I$12&lt;&gt;"",IF(G28&lt;&gt;"",G28,($I$9/$I$12-SUM($AA$25:AA27))*AB28*AC28/SUMPRODUCT($AC28:$AC$55,$AB28:$AB$55)),""),"")</s:f>
        <s:v/>
      </s:c>
      <s:c r="AB28" s="132"/>
      <s:c r="AC28" s="445"/>
      <s:c r="AD28" s="72"/>
      <s:c r="AE28" s="72"/>
      <s:c r="AF28" s="2"/>
      <s:c r="AG28" s="2"/>
      <s:c r="AH28" s="2"/>
      <s:c r="AI28" s="2"/>
      <s:c r="AJ28" s="2"/>
      <s:c r="AK28" s="2"/>
      <s:c r="AL28" s="2"/>
      <s:c r="AM28" s="2"/>
    </s:row>
    <s:row r="29">
      <s:c r="A29" s="111">
        <s:v>5</s:v>
      </s:c>
      <s:c r="B29" s="64">
        <s:v>46122</s:v>
      </s:c>
      <s:c r="C29" s="65" t="s">
        <s:v>59</s:v>
      </s:c>
      <s:c r="D29" s="114">
        <s:v>0</s:v>
      </s:c>
      <s:c r="E29" s="74">
        <s:v>0</s:v>
      </s:c>
      <s:c r="F29" s="67">
        <s:v>0</s:v>
      </s:c>
      <s:c r="G29" s="74">
        <s:v>0</s:v>
      </s:c>
      <s:c r="H29" s="67" t="str">
        <s:f>IF(AND(G29&lt;&gt;"",G29&lt;&gt;0),D29/G29,"")</s:f>
        <s:v/>
      </s:c>
      <s:c r="I29" s="74">
        <s:v>15</s:v>
      </s:c>
      <s:c r="J29" s="136" t="str">
        <s:f>IF(AND(G29&lt;&gt;"",G29&lt;&gt;0),E29/G29,"")</s:f>
        <s:v/>
      </s:c>
      <s:c r="K29" s="413"/>
      <s:c r="L29" s="66"/>
      <s:c r="M29" s="66"/>
      <s:c r="N29" s="66"/>
      <s:c r="O29" s="167"/>
      <s:c r="P29" s="469"/>
      <s:c r="Q29" s="66"/>
      <s:c r="R29" s="66"/>
      <s:c r="S29" s="414"/>
      <s:c r="T29" s="493">
        <s:f>IF(AND(I29&lt;&gt;"",I29&lt;&gt;0),G29/I29,"")</s:f>
        <s:v>0</s:v>
      </s:c>
      <s:c r="U29" s="494" t="e">
        <s:f>D29/V29</s:f>
        <s:v>#DIV/0!</s:v>
      </s:c>
      <s:c r="V29" s="444" t="e">
        <s:f>$I$8*AB29*AC29/SUMPRODUCT($AC$25:$AC$55,$AB$25:$AB$55)</s:f>
        <s:v>#DIV/0!</s:v>
      </s:c>
      <s:c r="W29" s="71" t="e">
        <s:f>$I$9*AB29*AC29/SUMPRODUCT($AC$25:$AC$55,$AB$25:$AB$55)</s:f>
        <s:v>#DIV/0!</s:v>
      </s:c>
      <s:c r="X29" s="71" t="e">
        <s:f>IF($I$12="","",W29/$I$12)</s:f>
        <s:v>#DIV/0!</s:v>
      </s:c>
      <s:c r="Y29" s="70" t="str">
        <s:f>IF(AC29&lt;&gt;"",IF(D29&lt;&gt;"",D29,($I$8-SUM($Y$25:Y28))*AB29*AC29/SUMPRODUCT($AC29:$AC$55,$AB29:$AB$55)),"")</s:f>
        <s:v/>
      </s:c>
      <s:c r="Z29" s="71" t="str">
        <s:f>IF(AC29&lt;&gt;"",IF(E29&lt;&gt;"",E29,($I$9-SUM($Z$25:Z28))*AB29*AC29/SUMPRODUCT($AC29:$AC$55,$AB29:$AB$55)),"")</s:f>
        <s:v/>
      </s:c>
      <s:c r="AA29" s="71" t="str">
        <s:f>IF(AC29&lt;&gt;"",IF($I$12&lt;&gt;"",IF(G29&lt;&gt;"",G29,($I$9/$I$12-SUM($AA$25:AA28))*AB29*AC29/SUMPRODUCT($AC29:$AC$55,$AB29:$AB$55)),""),"")</s:f>
        <s:v/>
      </s:c>
      <s:c r="AB29" s="132"/>
      <s:c r="AC29" s="445"/>
      <s:c r="AD29" s="72"/>
      <s:c r="AE29" s="72"/>
      <s:c r="AF29" s="2"/>
      <s:c r="AG29" s="2"/>
      <s:c r="AH29" s="2"/>
      <s:c r="AI29" s="2"/>
      <s:c r="AJ29" s="2"/>
      <s:c r="AK29" s="2"/>
      <s:c r="AL29" s="2"/>
      <s:c r="AM29" s="2"/>
    </s:row>
    <s:row r="30">
      <s:c r="A30" s="111">
        <s:v>6</s:v>
      </s:c>
      <s:c r="B30" s="64">
        <s:v>46132</s:v>
      </s:c>
      <s:c r="C30" s="80" t="s">
        <s:v>55</s:v>
      </s:c>
      <s:c r="D30" s="114">
        <s:v>0</s:v>
      </s:c>
      <s:c r="E30" s="74">
        <s:v>0</s:v>
      </s:c>
      <s:c r="F30" s="67">
        <s:v>0</s:v>
      </s:c>
      <s:c r="G30" s="74">
        <s:v>0</s:v>
      </s:c>
      <s:c r="H30" s="67">
        <s:v>0</s:v>
      </s:c>
      <s:c r="I30" s="74">
        <s:v>10</s:v>
      </s:c>
      <s:c r="J30" s="136" t="str">
        <s:f>IF(AND(G30&lt;&gt;"",G30&lt;&gt;0),E30/G30,"")</s:f>
        <s:v/>
      </s:c>
      <s:c r="K30" s="413"/>
      <s:c r="L30" s="66"/>
      <s:c r="M30" s="66"/>
      <s:c r="N30" s="66"/>
      <s:c r="O30" s="78"/>
      <s:c r="P30" s="169"/>
      <s:c r="Q30" s="66"/>
      <s:c r="R30" s="66"/>
      <s:c r="S30" s="414"/>
      <s:c r="T30" s="493">
        <s:f>IF(AND(I30&lt;&gt;"",I30&lt;&gt;0),G30/I30,"")</s:f>
        <s:v>0</s:v>
      </s:c>
      <s:c r="U30" s="494" t="e">
        <s:f>D30/V30</s:f>
        <s:v>#DIV/0!</s:v>
      </s:c>
      <s:c r="V30" s="444" t="e">
        <s:f>$I$8*AB30*AC30/SUMPRODUCT($AC$25:$AC$55,$AB$25:$AB$55)</s:f>
        <s:v>#DIV/0!</s:v>
      </s:c>
      <s:c r="W30" s="71" t="e">
        <s:f>$I$9*AB30*AC30/SUMPRODUCT($AC$25:$AC$55,$AB$25:$AB$55)</s:f>
        <s:v>#DIV/0!</s:v>
      </s:c>
      <s:c r="X30" s="71" t="e">
        <s:f>IF($I$12="","",W30/$I$12)</s:f>
        <s:v>#DIV/0!</s:v>
      </s:c>
      <s:c r="Y30" s="70" t="str">
        <s:f>IF(AC30&lt;&gt;"",IF(D30&lt;&gt;"",D30,($I$8-SUM($Y$25:Y29))*AB30*AC30/SUMPRODUCT($AC30:$AC$55,$AB30:$AB$55)),"")</s:f>
        <s:v/>
      </s:c>
      <s:c r="Z30" s="71" t="str">
        <s:f>IF(AC30&lt;&gt;"",IF(E30&lt;&gt;"",E30,($I$9-SUM($Z$25:Z29))*AB30*AC30/SUMPRODUCT($AC30:$AC$55,$AB30:$AB$55)),"")</s:f>
        <s:v/>
      </s:c>
      <s:c r="AA30" s="71" t="str">
        <s:f>IF(AC30&lt;&gt;"",IF($I$12&lt;&gt;"",IF(G30&lt;&gt;"",G30,($I$9/$I$12-SUM($AA$25:AA29))*AB30*AC30/SUMPRODUCT($AC30:$AC$55,$AB30:$AB$55)),""),"")</s:f>
        <s:v/>
      </s:c>
      <s:c r="AB30" s="132"/>
      <s:c r="AC30" s="445"/>
      <s:c r="AD30" s="72"/>
      <s:c r="AE30" s="72"/>
      <s:c r="AF30" s="77"/>
      <s:c r="AG30" s="2"/>
      <s:c r="AH30" s="2"/>
      <s:c r="AI30" s="2"/>
      <s:c r="AJ30" s="2"/>
      <s:c r="AK30" s="2"/>
      <s:c r="AL30" s="2"/>
      <s:c r="AM30" s="2"/>
    </s:row>
    <s:row r="31">
      <s:c r="A31" s="111">
        <s:v>7</s:v>
      </s:c>
      <s:c r="B31" s="170">
        <s:v>46133</s:v>
      </s:c>
      <s:c r="C31" s="137" t="s">
        <s:v>56</s:v>
      </s:c>
      <s:c r="D31" s="117">
        <s:v>0</s:v>
      </s:c>
      <s:c r="E31" s="116">
        <s:v>0</s:v>
      </s:c>
      <s:c r="F31" s="67">
        <s:v>0</s:v>
      </s:c>
      <s:c r="G31" s="116">
        <s:v>0</s:v>
      </s:c>
      <s:c r="H31" s="67">
        <s:v>0</s:v>
      </s:c>
      <s:c r="I31" s="116">
        <s:v>7</s:v>
      </s:c>
      <s:c r="J31" s="466" t="str">
        <s:f>IF(AND(G31&lt;&gt;"",G31&lt;&gt;0),E31/G31,"")</s:f>
        <s:v/>
      </s:c>
      <s:c r="K31" s="416"/>
      <s:c r="L31" s="135"/>
      <s:c r="M31" s="135"/>
      <s:c r="N31" s="78"/>
      <s:c r="O31" s="171"/>
      <s:c r="P31" s="171"/>
      <s:c r="Q31" s="135"/>
      <s:c r="R31" s="66"/>
      <s:c r="S31" s="414"/>
      <s:c r="T31" s="495">
        <s:f>IF(AND(I31&lt;&gt;"",I31&lt;&gt;0),G31/I31,"")</s:f>
        <s:v>0</s:v>
      </s:c>
      <s:c r="U31" s="496" t="e">
        <s:f>D31/V31</s:f>
        <s:v>#DIV/0!</s:v>
      </s:c>
      <s:c r="V31" s="474" t="e">
        <s:f>$I$8*AB31*AC31/SUMPRODUCT($AC$25:$AC$55,$AB$25:$AB$55)</s:f>
        <s:v>#DIV/0!</s:v>
      </s:c>
      <s:c r="W31" s="173" t="e">
        <s:f>$I$9*AB31*AC31/SUMPRODUCT($AC$25:$AC$55,$AB$25:$AB$55)</s:f>
        <s:v>#DIV/0!</s:v>
      </s:c>
      <s:c r="X31" s="173" t="e">
        <s:f>IF($I$12="","",W31/$I$12)</s:f>
        <s:v>#DIV/0!</s:v>
      </s:c>
      <s:c r="Y31" s="172" t="str">
        <s:f>IF(AC31&lt;&gt;"",IF(D31&lt;&gt;"",D31,($I$8-SUM($Y$25:Y30))*AB31*AC31/SUMPRODUCT($AC31:$AC$55,$AB31:$AB$55)),"")</s:f>
        <s:v/>
      </s:c>
      <s:c r="Z31" s="173" t="str">
        <s:f>IF(AC31&lt;&gt;"",IF(E31&lt;&gt;"",E31,($I$9-SUM($Z$25:Z30))*AB31*AC31/SUMPRODUCT($AC31:$AC$55,$AB31:$AB$55)),"")</s:f>
        <s:v/>
      </s:c>
      <s:c r="AA31" s="173" t="str">
        <s:f>IF(AC31&lt;&gt;"",IF($I$12&lt;&gt;"",IF(G31&lt;&gt;"",G31,($I$9/$I$12-SUM($AA$25:AA30))*AB31*AC31/SUMPRODUCT($AC31:$AC$55,$AB31:$AB$55)),""),"")</s:f>
        <s:v/>
      </s:c>
      <s:c r="AB31" s="132"/>
      <s:c r="AC31" s="445"/>
      <s:c r="AD31" s="72"/>
      <s:c r="AE31" s="72"/>
      <s:c r="AF31" s="77"/>
      <s:c r="AG31" s="2"/>
      <s:c r="AH31" s="2"/>
      <s:c r="AI31" s="2"/>
      <s:c r="AJ31" s="2"/>
      <s:c r="AK31" s="2"/>
      <s:c r="AL31" s="2"/>
      <s:c r="AM31" s="2"/>
    </s:row>
    <s:row r="32">
      <s:c r="A32" s="111">
        <s:v>8</s:v>
      </s:c>
      <s:c r="B32" s="64">
        <s:v>46134</s:v>
      </s:c>
      <s:c r="C32" s="65" t="s">
        <s:v>57</s:v>
      </s:c>
      <s:c r="D32" s="68">
        <s:v>34650</s:v>
      </s:c>
      <s:c r="E32" s="67">
        <s:v>6</s:v>
      </s:c>
      <s:c r="F32" s="67">
        <s:f>IF(AND(E32&lt;&gt;"",E32&lt;&gt;0),D32/E32,"")</s:f>
        <s:v>5775</s:v>
      </s:c>
      <s:c r="G32" s="67">
        <s:v>2</s:v>
      </s:c>
      <s:c r="H32" s="67">
        <s:f>IF(AND(G32&lt;&gt;"",G32&lt;&gt;0),D32/G32,"")</s:f>
        <s:v>17325</s:v>
      </s:c>
      <s:c r="I32" s="67">
        <s:v>13</s:v>
      </s:c>
      <s:c r="J32" s="136">
        <s:f>IF(AND(G32&lt;&gt;"",G32&lt;&gt;0),E32/G32,"")</s:f>
        <s:v>3</s:v>
      </s:c>
      <s:c r="K32" s="422"/>
      <s:c r="L32" s="67"/>
      <s:c r="M32" s="67"/>
      <s:c r="N32" s="67"/>
      <s:c r="O32" s="67"/>
      <s:c r="P32" s="67"/>
      <s:c r="Q32" s="67"/>
      <s:c r="R32" s="118"/>
      <s:c r="S32" s="418"/>
      <s:c r="T32" s="493">
        <s:f>IF(AND(I32&lt;&gt;"",I32&lt;&gt;0),G32/I32,"")</s:f>
        <s:v>0.15384615384615299</s:v>
      </s:c>
      <s:c r="U32" s="494" t="e">
        <s:f>D32/V32</s:f>
        <s:v>#DIV/0!</s:v>
      </s:c>
      <s:c r="V32" s="444" t="e">
        <s:f>$I$8*AB32*AC32/SUMPRODUCT($AC$25:$AC$55,$AB$25:$AB$55)</s:f>
        <s:v>#DIV/0!</s:v>
      </s:c>
      <s:c r="W32" s="71" t="e">
        <s:f>$I$9*AB32*AC32/SUMPRODUCT($AC$25:$AC$55,$AB$25:$AB$55)</s:f>
        <s:v>#DIV/0!</s:v>
      </s:c>
      <s:c r="X32" s="71" t="e">
        <s:f>IF($I$12="","",W32/$I$12)</s:f>
        <s:v>#DIV/0!</s:v>
      </s:c>
      <s:c r="Y32" s="70" t="str">
        <s:f>IF(AC32&lt;&gt;"",IF(D32&lt;&gt;"",D32,($I$8-SUM($Y$25:Y31))*AB32*AC32/SUMPRODUCT($AC32:$AC$55,$AB32:$AB$55)),"")</s:f>
        <s:v/>
      </s:c>
      <s:c r="Z32" s="71" t="str">
        <s:f>IF(AC32&lt;&gt;"",IF(E32&lt;&gt;"",E32,($I$9-SUM($Z$25:Z31))*AB32*AC32/SUMPRODUCT($AC32:$AC$55,$AB32:$AB$55)),"")</s:f>
        <s:v/>
      </s:c>
      <s:c r="AA32" s="71" t="str">
        <s:f>IF(AC32&lt;&gt;"",IF($I$12&lt;&gt;"",IF(G32&lt;&gt;"",G32,($I$9/$I$12-SUM($AA$25:AA31))*AB32*AC32/SUMPRODUCT($AC32:$AC$55,$AB32:$AB$55)),""),"")</s:f>
        <s:v/>
      </s:c>
      <s:c r="AB32" s="132"/>
      <s:c r="AC32" s="445"/>
      <s:c r="AD32" s="72"/>
      <s:c r="AE32" s="72"/>
      <s:c r="AF32" s="2"/>
      <s:c r="AG32" s="2"/>
      <s:c r="AH32" s="2"/>
      <s:c r="AI32" s="2"/>
      <s:c r="AJ32" s="2"/>
      <s:c r="AK32" s="2"/>
      <s:c r="AL32" s="2"/>
      <s:c r="AM32" s="2"/>
    </s:row>
    <s:row r="33">
      <s:c r="A33" s="112">
        <s:v>9</s:v>
      </s:c>
      <s:c r="B33" s="174">
        <s:v>46135</s:v>
      </s:c>
      <s:c r="C33" s="175" t="s">
        <s:v>58</s:v>
      </s:c>
      <s:c r="D33" s="114">
        <s:v>0</s:v>
      </s:c>
      <s:c r="E33" s="74">
        <s:v>0</s:v>
      </s:c>
      <s:c r="F33" s="67">
        <s:v>0</s:v>
      </s:c>
      <s:c r="G33" s="74">
        <s:v>0</s:v>
      </s:c>
      <s:c r="H33" s="67">
        <s:v>0</s:v>
      </s:c>
      <s:c r="I33" s="74">
        <s:v>0</s:v>
      </s:c>
      <s:c r="J33" s="467" t="str">
        <s:f>IF(AND(G33&lt;&gt;"",G33&lt;&gt;0),E33/G33,"")</s:f>
        <s:v/>
      </s:c>
      <s:c r="K33" s="471"/>
      <s:c r="L33" s="176"/>
      <s:c r="M33" s="176"/>
      <s:c r="N33" s="176"/>
      <s:c r="O33" s="176"/>
      <s:c r="P33" s="176"/>
      <s:c r="Q33" s="78"/>
      <s:c r="R33" s="67"/>
      <s:c r="S33" s="420"/>
      <s:c r="T33" s="497" t="str">
        <s:f>IF(AND(I33&lt;&gt;"",I33&lt;&gt;0),G33/I33,"")</s:f>
        <s:v/>
      </s:c>
      <s:c r="U33" s="498" t="e">
        <s:f>D33/V33</s:f>
        <s:v>#DIV/0!</s:v>
      </s:c>
      <s:c r="V33" s="475" t="e">
        <s:f>$I$8*AB33*AC33/SUMPRODUCT($AC$25:$AC$55,$AB$25:$AB$55)</s:f>
        <s:v>#DIV/0!</s:v>
      </s:c>
      <s:c r="W33" s="120" t="e">
        <s:f>$I$9*AB33*AC33/SUMPRODUCT($AC$25:$AC$55,$AB$25:$AB$55)</s:f>
        <s:v>#DIV/0!</s:v>
      </s:c>
      <s:c r="X33" s="476" t="e">
        <s:f>IF($I$12="","",W33/$I$12)</s:f>
        <s:v>#DIV/0!</s:v>
      </s:c>
      <s:c r="Y33" s="121" t="str">
        <s:f>IF(AC33&lt;&gt;"",IF(D33&lt;&gt;"",D33,($I$8-SUM($Y$25:Y32))*AB33*AC33/SUMPRODUCT($AC33:$AC$55,$AB33:$AB$55)),"")</s:f>
        <s:v/>
      </s:c>
      <s:c r="Z33" s="476" t="str">
        <s:f>IF(AC33&lt;&gt;"",IF(E33&lt;&gt;"",E33,($I$9-SUM($Z$25:Z32))*AB33*AC33/SUMPRODUCT($AC33:$AC$55,$AB33:$AB$55)),"")</s:f>
        <s:v/>
      </s:c>
      <s:c r="AA33" s="120" t="str">
        <s:f>IF(AC33&lt;&gt;"",IF($I$12&lt;&gt;"",IF(G33&lt;&gt;"",G33,($I$9/$I$12-SUM($AA$25:AA32))*AB33*AC33/SUMPRODUCT($AC33:$AC$55,$AB33:$AB$55)),""),"")</s:f>
        <s:v/>
      </s:c>
      <s:c r="AB33" s="132"/>
      <s:c r="AC33" s="445"/>
      <s:c r="AD33" s="72"/>
      <s:c r="AE33" s="72"/>
      <s:c r="AF33" s="2"/>
      <s:c r="AG33" s="2"/>
      <s:c r="AH33" s="2"/>
      <s:c r="AI33" s="2"/>
      <s:c r="AJ33" s="2"/>
      <s:c r="AK33" s="2"/>
      <s:c r="AL33" s="2"/>
      <s:c r="AM33" s="2"/>
    </s:row>
    <s:row r="34">
      <s:c r="A34" s="111">
        <s:v>10</s:v>
      </s:c>
      <s:c r="B34" s="64">
        <s:v>46142</s:v>
      </s:c>
      <s:c r="C34" s="65" t="s">
        <s:v>58</s:v>
      </s:c>
      <s:c r="D34" s="119">
        <s:v>454031</s:v>
      </s:c>
      <s:c r="E34" s="74">
        <s:v>37</s:v>
      </s:c>
      <s:c r="F34" s="67">
        <s:f>IF(AND(E34&lt;&gt;"",E34&lt;&gt;0),D34/E34,"")</s:f>
        <s:v>12271.108108108099</s:v>
      </s:c>
      <s:c r="G34" s="74">
        <s:v>3</s:v>
      </s:c>
      <s:c r="H34" s="67">
        <s:f>IF(AND(G34&lt;&gt;"",G34&lt;&gt;0),D34/G34,"")</s:f>
        <s:v>151343.66666666599</s:v>
      </s:c>
      <s:c r="I34" s="74">
        <s:v>17</s:v>
      </s:c>
      <s:c r="J34" s="119">
        <s:f>IF(AND(G34&lt;&gt;"",G34&lt;&gt;0),E34/G34,"")</s:f>
        <s:v>12.3333333333333</s:v>
      </s:c>
      <s:c r="K34" s="472"/>
      <s:c r="L34" s="124"/>
      <s:c r="M34" s="124"/>
      <s:c r="N34" s="124">
        <s:v>227591</s:v>
      </s:c>
      <s:c r="O34" s="124">
        <s:v>190704</s:v>
      </s:c>
      <s:c r="P34" s="124">
        <s:v>26543</s:v>
      </s:c>
      <s:c r="Q34" s="69"/>
      <s:c r="R34" s="67"/>
      <s:c r="S34" s="420"/>
      <s:c r="T34" s="495">
        <s:f>IF(AND(I34&lt;&gt;"",I34&lt;&gt;0),G34/I34,"")</s:f>
        <s:v>0.17647058823529399</s:v>
      </s:c>
      <s:c r="U34" s="494" t="e">
        <s:f>D34/V34</s:f>
        <s:v>#DIV/0!</s:v>
      </s:c>
      <s:c r="V34" s="446" t="e">
        <s:f>$I$8*AB34*AC34/SUMPRODUCT($AC$25:$AC$55,$AB$25:$AB$55)</s:f>
        <s:v>#DIV/0!</s:v>
      </s:c>
      <s:c r="W34" s="71" t="e">
        <s:f>$I$9*AB34*AC34/SUMPRODUCT($AC$25:$AC$55,$AB$25:$AB$55)</s:f>
        <s:v>#DIV/0!</s:v>
      </s:c>
      <s:c r="X34" s="120" t="e">
        <s:f>IF($I$12="","",W34/$I$12)</s:f>
        <s:v>#DIV/0!</s:v>
      </s:c>
      <s:c r="Y34" s="70" t="str">
        <s:f>IF(AC34&lt;&gt;"",IF(D34&lt;&gt;"",D34,($I$8-SUM($Y$25:Y33))*AB34*AC34/SUMPRODUCT($AC34:$AC$55,$AB34:$AB$55)),"")</s:f>
        <s:v/>
      </s:c>
      <s:c r="Z34" s="120" t="str">
        <s:f>IF(AC34&lt;&gt;"",IF(E34&lt;&gt;"",E34,($I$9-SUM($Z$25:Z33))*AB34*AC34/SUMPRODUCT($AC34:$AC$55,$AB34:$AB$55)),"")</s:f>
        <s:v/>
      </s:c>
      <s:c r="AA34" s="71" t="str">
        <s:f>IF(AC34&lt;&gt;"",IF($I$12&lt;&gt;"",IF(G34&lt;&gt;"",G34,($I$9/$I$12-SUM($AA$25:AA33))*AB34*AC34/SUMPRODUCT($AC34:$AC$55,$AB34:$AB$55)),""),"")</s:f>
        <s:v/>
      </s:c>
      <s:c r="AB34" s="132"/>
      <s:c r="AC34" s="445"/>
      <s:c r="AD34" s="72"/>
      <s:c r="AE34" s="72"/>
      <s:c r="AF34" s="77"/>
      <s:c r="AG34" s="2"/>
      <s:c r="AH34" s="2"/>
      <s:c r="AI34" s="2"/>
      <s:c r="AJ34" s="2"/>
      <s:c r="AK34" s="2"/>
      <s:c r="AL34" s="2"/>
      <s:c r="AM34" s="2"/>
    </s:row>
    <s:row r="35">
      <s:c r="A35" s="112">
        <s:v>11</s:v>
      </s:c>
      <s:c r="B35" s="64"/>
      <s:c r="C35" s="79"/>
      <s:c r="D35" s="68"/>
      <s:c r="E35" s="66"/>
      <s:c r="F35" s="67" t="str">
        <s:f>IF(AND(E35&lt;&gt;"",E35&lt;&gt;0),D35/E35,"")</s:f>
        <s:v/>
      </s:c>
      <s:c r="G35" s="66"/>
      <s:c r="H35" s="67" t="str">
        <s:f>IF(AND(G35&lt;&gt;"",G35&lt;&gt;0),D35/G35,"")</s:f>
        <s:v/>
      </s:c>
      <s:c r="I35" s="66"/>
      <s:c r="J35" s="136" t="str">
        <s:f>IF(AND(G35&lt;&gt;"",G35&lt;&gt;0),E35/G35,"")</s:f>
        <s:v/>
      </s:c>
      <s:c r="K35" s="413"/>
      <s:c r="L35" s="66"/>
      <s:c r="M35" s="66"/>
      <s:c r="N35" s="167"/>
      <s:c r="O35" s="124"/>
      <s:c r="P35" s="124"/>
      <s:c r="Q35" s="69"/>
      <s:c r="R35" s="67"/>
      <s:c r="S35" s="420"/>
      <s:c r="T35" s="495" t="str">
        <s:f>IF(AND(I35&lt;&gt;"",I35&lt;&gt;0),G35/I35,"")</s:f>
        <s:v/>
      </s:c>
      <s:c r="U35" s="494" t="e">
        <s:f>D35/V35</s:f>
        <s:v>#DIV/0!</s:v>
      </s:c>
      <s:c r="V35" s="444" t="e">
        <s:f>$I$8*AB35*AC35/SUMPRODUCT($AC$25:$AC$55,$AB$25:$AB$55)</s:f>
        <s:v>#DIV/0!</s:v>
      </s:c>
      <s:c r="W35" s="71" t="e">
        <s:f>$I$9*AB35*AC35/SUMPRODUCT($AC$25:$AC$55,$AB$25:$AB$55)</s:f>
        <s:v>#DIV/0!</s:v>
      </s:c>
      <s:c r="X35" s="71" t="e">
        <s:f>IF($I$12="","",W35/$I$12)</s:f>
        <s:v>#DIV/0!</s:v>
      </s:c>
      <s:c r="Y35" s="70" t="str">
        <s:f>IF(AC35&lt;&gt;"",IF(D35&lt;&gt;"",D35,($I$8-SUM($Y$25:Y34))*AB35*AC35/SUMPRODUCT($AC35:$AC$55,$AB35:$AB$55)),"")</s:f>
        <s:v/>
      </s:c>
      <s:c r="Z35" s="71" t="str">
        <s:f>IF(AC34&lt;&gt;"",IF(E34&lt;&gt;"",E34,($I$9-SUM($Z$25:Z33))*AB34*AC34/SUMPRODUCT($AC34:$AC$55,$AB34:$AB$55)),"")</s:f>
        <s:v/>
      </s:c>
      <s:c r="AA35" s="71" t="str">
        <s:f>IF(AC34&lt;&gt;"",IF($I$12&lt;&gt;"",IF(G34&lt;&gt;"",G34,($I$9/$I$12-SUM($AA$25:AA33))*AB34*AC34/SUMPRODUCT($AC34:$AC$55,$AB34:$AB$55)),""),"")</s:f>
        <s:v/>
      </s:c>
      <s:c r="AB35" s="132"/>
      <s:c r="AC35" s="445"/>
      <s:c r="AD35" s="72"/>
      <s:c r="AE35" s="72"/>
      <s:c r="AF35" s="77"/>
      <s:c r="AG35" s="2"/>
      <s:c r="AH35" s="2"/>
      <s:c r="AI35" s="2"/>
      <s:c r="AJ35" s="2"/>
      <s:c r="AK35" s="2"/>
      <s:c r="AL35" s="2"/>
      <s:c r="AM35" s="2"/>
    </s:row>
    <s:row r="36">
      <s:c r="A36" s="111">
        <s:v>12</s:v>
      </s:c>
      <s:c r="B36" s="64"/>
      <s:c r="C36" s="79"/>
      <s:c r="D36" s="68"/>
      <s:c r="E36" s="67"/>
      <s:c r="F36" s="67" t="str">
        <s:f>IF(AND(E36&lt;&gt;"",E36&lt;&gt;0),D36/E36,"")</s:f>
        <s:v/>
      </s:c>
      <s:c r="G36" s="67"/>
      <s:c r="H36" s="67" t="str">
        <s:f>IF(AND(G36&lt;&gt;"",G36&lt;&gt;0),D36/G36,"")</s:f>
        <s:v/>
      </s:c>
      <s:c r="I36" s="67"/>
      <s:c r="J36" s="136" t="str">
        <s:f>IF(AND(G36&lt;&gt;"",G36&lt;&gt;0),E36/G36,"")</s:f>
        <s:v/>
      </s:c>
      <s:c r="K36" s="472"/>
      <s:c r="L36" s="124"/>
      <s:c r="M36" s="124"/>
      <s:c r="N36" s="124"/>
      <s:c r="O36" s="124"/>
      <s:c r="P36" s="124"/>
      <s:c r="Q36" s="69"/>
      <s:c r="R36" s="67"/>
      <s:c r="S36" s="420"/>
      <s:c r="T36" s="495" t="str">
        <s:f>IF(AND(I36&lt;&gt;"",I36&lt;&gt;0),G36/I36,"")</s:f>
        <s:v/>
      </s:c>
      <s:c r="U36" s="494" t="e">
        <s:f>D36/V36</s:f>
        <s:v>#DIV/0!</s:v>
      </s:c>
      <s:c r="V36" s="444" t="e">
        <s:f>$I$8*AB36*AC36/SUMPRODUCT($AC$25:$AC$55,$AB$25:$AB$55)</s:f>
        <s:v>#DIV/0!</s:v>
      </s:c>
      <s:c r="W36" s="71" t="e">
        <s:f>$I$9*AB36*AC36/SUMPRODUCT($AC$25:$AC$55,$AB$25:$AB$55)</s:f>
        <s:v>#DIV/0!</s:v>
      </s:c>
      <s:c r="X36" s="71" t="e">
        <s:f>IF($I$12="","",W36/$I$12)</s:f>
        <s:v>#DIV/0!</s:v>
      </s:c>
      <s:c r="Y36" s="70" t="str">
        <s:f>IF(AC36&lt;&gt;"",IF(D36&lt;&gt;"",D36,($I$8-SUM($Y$25:Y35))*AB36*AC36/SUMPRODUCT($AC36:$AC$55,$AB36:$AB$55)),"")</s:f>
        <s:v/>
      </s:c>
      <s:c r="Z36" s="71" t="str">
        <s:f>IF(AC36&lt;&gt;"",IF(E36&lt;&gt;"",E36,($I$9-SUM($Z$25:Z35))*AB36*AC36/SUMPRODUCT($AC36:$AC$55,$AB36:$AB$55)),"")</s:f>
        <s:v/>
      </s:c>
      <s:c r="AA36" s="71" t="str">
        <s:f>IF(AC36&lt;&gt;"",IF($I$12&lt;&gt;"",IF(G36&lt;&gt;"",G36,($I$9/$I$12-SUM($AA$25:AA35))*AB36*AC36/SUMPRODUCT($AC36:$AC$55,$AB36:$AB$55)),""),"")</s:f>
        <s:v/>
      </s:c>
      <s:c r="AB36" s="132"/>
      <s:c r="AC36" s="445"/>
      <s:c r="AD36" s="72"/>
      <s:c r="AE36" s="72"/>
      <s:c r="AF36" s="77"/>
      <s:c r="AG36" s="2"/>
      <s:c r="AH36" s="2"/>
      <s:c r="AI36" s="2"/>
      <s:c r="AJ36" s="2"/>
      <s:c r="AK36" s="2"/>
      <s:c r="AL36" s="2"/>
      <s:c r="AM36" s="2"/>
    </s:row>
    <s:row r="37">
      <s:c r="A37" s="112">
        <s:v>13</s:v>
      </s:c>
      <s:c r="B37" s="64"/>
      <s:c r="C37" s="79"/>
      <s:c r="D37" s="68"/>
      <s:c r="E37" s="78"/>
      <s:c r="F37" s="67" t="str">
        <s:f>IF(AND(E37&lt;&gt;"",E37&lt;&gt;0),D37/E37,"")</s:f>
        <s:v/>
      </s:c>
      <s:c r="G37" s="78"/>
      <s:c r="H37" s="67" t="str">
        <s:f>IF(AND(G37&lt;&gt;"",G37&lt;&gt;0),D37/G37,"")</s:f>
        <s:v/>
      </s:c>
      <s:c r="I37" s="78"/>
      <s:c r="J37" s="136" t="str">
        <s:f>IF(AND(G37&lt;&gt;"",G37&lt;&gt;0),E37/G37,"")</s:f>
        <s:v/>
      </s:c>
      <s:c r="K37" s="471"/>
      <s:c r="L37" s="124"/>
      <s:c r="M37" s="124"/>
      <s:c r="N37" s="124"/>
      <s:c r="O37" s="124"/>
      <s:c r="P37" s="124"/>
      <s:c r="Q37" s="78"/>
      <s:c r="R37" s="67"/>
      <s:c r="S37" s="420"/>
      <s:c r="T37" s="495" t="str">
        <s:f>IF(AND(I37&lt;&gt;"",I37&lt;&gt;0),G37/I37,"")</s:f>
        <s:v/>
      </s:c>
      <s:c r="U37" s="498" t="e">
        <s:f>D37/V37</s:f>
        <s:v>#DIV/0!</s:v>
      </s:c>
      <s:c r="V37" s="444" t="e">
        <s:f>$I$8*AB37*AC37/SUMPRODUCT($AC$25:$AC$55,$AB$25:$AB$55)</s:f>
        <s:v>#DIV/0!</s:v>
      </s:c>
      <s:c r="W37" s="120" t="e">
        <s:f>$I$9*AB37*AC37/SUMPRODUCT($AC$25:$AC$55,$AB$25:$AB$55)</s:f>
        <s:v>#DIV/0!</s:v>
      </s:c>
      <s:c r="X37" s="71" t="e">
        <s:f>IF($I$12="","",W37/$I$12)</s:f>
        <s:v>#DIV/0!</s:v>
      </s:c>
      <s:c r="Y37" s="121" t="str">
        <s:f>IF(AC37&lt;&gt;"",IF(D37&lt;&gt;"",D37,($I$8-SUM($Y$25:Y36))*AB37*AC37/SUMPRODUCT($AC37:$AC$55,$AB37:$AB$55)),"")</s:f>
        <s:v/>
      </s:c>
      <s:c r="Z37" s="71" t="str">
        <s:f>IF(AC37&lt;&gt;"",IF(E37&lt;&gt;"",E37,($I$9-SUM($Z$25:Z36))*AB37*AC37/SUMPRODUCT($AC37:$AC$55,$AB37:$AB$55)),"")</s:f>
        <s:v/>
      </s:c>
      <s:c r="AA37" s="120" t="str">
        <s:f>IF(AC37&lt;&gt;"",IF($I$12&lt;&gt;"",IF(G37&lt;&gt;"",G37,($I$9/$I$12-SUM($AA$25:AA36))*AB37*AC37/SUMPRODUCT($AC37:$AC$55,$AB37:$AB$55)),""),"")</s:f>
        <s:v/>
      </s:c>
      <s:c r="AB37" s="132"/>
      <s:c r="AC37" s="445"/>
      <s:c r="AD37" s="72"/>
      <s:c r="AE37" s="72"/>
      <s:c r="AF37" s="77"/>
      <s:c r="AG37" s="2"/>
      <s:c r="AH37" s="2"/>
      <s:c r="AI37" s="2"/>
      <s:c r="AJ37" s="2"/>
      <s:c r="AK37" s="2"/>
      <s:c r="AL37" s="2"/>
      <s:c r="AM37" s="2"/>
    </s:row>
    <s:row r="38">
      <s:c r="A38" s="111">
        <s:v>14</s:v>
      </s:c>
      <s:c r="B38" s="64"/>
      <s:c r="C38" s="79"/>
      <s:c r="D38" s="126"/>
      <s:c r="E38" s="127"/>
      <s:c r="F38" s="67" t="str">
        <s:f>IF(AND(E38&lt;&gt;"",E38&lt;&gt;0),D38/E38,"")</s:f>
        <s:v/>
      </s:c>
      <s:c r="G38" s="127"/>
      <s:c r="H38" s="67" t="str">
        <s:f>IF(AND(G38&lt;&gt;"",G38&lt;&gt;0),D38/G38,"")</s:f>
        <s:v/>
      </s:c>
      <s:c r="I38" s="127"/>
      <s:c r="J38" s="136" t="str">
        <s:f>IF(AND(G38&lt;&gt;"",G38&lt;&gt;0),E38/G38,"")</s:f>
        <s:v/>
      </s:c>
      <s:c r="K38" s="472"/>
      <s:c r="L38" s="124"/>
      <s:c r="M38" s="124"/>
      <s:c r="N38" s="124"/>
      <s:c r="O38" s="124"/>
      <s:c r="P38" s="124"/>
      <s:c r="Q38" s="69"/>
      <s:c r="R38" s="67"/>
      <s:c r="S38" s="420"/>
      <s:c r="T38" s="495" t="str">
        <s:f>IF(AND(I38&lt;&gt;"",I38&lt;&gt;0),G38/I38,"")</s:f>
        <s:v/>
      </s:c>
      <s:c r="U38" s="499" t="e">
        <s:f>D38/V38</s:f>
        <s:v>#DIV/0!</s:v>
      </s:c>
      <s:c r="V38" s="444" t="e">
        <s:f>$I$8*AB38*AC38/SUMPRODUCT($AC$25:$AC$46,$AB$25:$AB$46)</s:f>
        <s:v>#DIV/0!</s:v>
      </s:c>
      <s:c r="W38" s="71" t="e">
        <s:f>$I$9*AB38*AC38/SUMPRODUCT($AC$25:$AC$46,$AB$25:$AB$46)</s:f>
        <s:v>#DIV/0!</s:v>
      </s:c>
      <s:c r="X38" s="71" t="e">
        <s:f>IF($I$12="","",W38/$I$12)</s:f>
        <s:v>#DIV/0!</s:v>
      </s:c>
      <s:c r="Y38" s="70" t="str">
        <s:f>IF(AC38&lt;&gt;"",IF(D38&lt;&gt;"",D38,($I$8-SUM($Y$25:Y37))*AB38*AC38/SUMPRODUCT($AC38:$AC$55,$AB38:$AB$55)),"")</s:f>
        <s:v/>
      </s:c>
      <s:c r="Z38" s="71" t="str">
        <s:f>IF(AC38&lt;&gt;"",IF(E38&lt;&gt;"",E38,($I$9-SUM($Z$25:Z37))*AB38*AC38/SUMPRODUCT($AC38:$AC$55,$AB38:$AB$55)),"")</s:f>
        <s:v/>
      </s:c>
      <s:c r="AA38" s="71" t="str">
        <s:f>IF(AC38&lt;&gt;"",IF($I$12&lt;&gt;"",IF(G38&lt;&gt;"",G38,($I$9/$I$12-SUM($AA$25:AA37))*AB38*AC38/SUMPRODUCT($AC38:$AC$55,$AB38:$AB$55)),""),"")</s:f>
        <s:v/>
      </s:c>
      <s:c r="AB38" s="132"/>
      <s:c r="AC38" s="445"/>
      <s:c r="AD38" s="122"/>
      <s:c r="AE38" s="122"/>
    </s:row>
    <s:row r="39">
      <s:c r="B39" s="64"/>
      <s:c r="C39" s="79"/>
      <s:c r="D39" s="126"/>
      <s:c r="E39" s="127"/>
      <s:c r="F39" s="67" t="str">
        <s:f>IF(AND(E39&lt;&gt;"",E39&lt;&gt;0),D39/E39,"")</s:f>
        <s:v/>
      </s:c>
      <s:c r="G39" s="127"/>
      <s:c r="H39" s="67" t="str">
        <s:f>IF(AND(G39&lt;&gt;"",G39&lt;&gt;0),D39/G39,"")</s:f>
        <s:v/>
      </s:c>
      <s:c r="I39" s="127"/>
      <s:c r="J39" s="136" t="str">
        <s:f>IF(AND(G39&lt;&gt;"",G39&lt;&gt;0),E39/G39,"")</s:f>
        <s:v/>
      </s:c>
      <s:c r="K39" s="422"/>
      <s:c r="L39" s="421"/>
      <s:c r="M39" s="421"/>
      <s:c r="N39" s="123"/>
      <s:c r="O39" s="124"/>
      <s:c r="P39" s="124"/>
      <s:c r="Q39" s="69"/>
      <s:c r="R39" s="67"/>
      <s:c r="S39" s="420"/>
      <s:c r="T39" s="495" t="str">
        <s:f>IF(AND(I39&lt;&gt;"",I39&lt;&gt;0),G39/I39,"")</s:f>
        <s:v/>
      </s:c>
      <s:c r="U39" s="499" t="e">
        <s:f>D39/V39</s:f>
        <s:v>#DIV/0!</s:v>
      </s:c>
      <s:c r="V39" s="444" t="e">
        <s:f>$I$8*AB39*AC39/SUMPRODUCT($AC$25:$AC$46,$AB$25:$AB$46)</s:f>
        <s:v>#DIV/0!</s:v>
      </s:c>
      <s:c r="W39" s="71" t="e">
        <s:f>$I$9*AB39*AC39/SUMPRODUCT($AC$25:$AC$46,$AB$25:$AB$46)</s:f>
        <s:v>#DIV/0!</s:v>
      </s:c>
      <s:c r="X39" s="71" t="e">
        <s:f>IF($I$12="","",W39/$I$12)</s:f>
        <s:v>#DIV/0!</s:v>
      </s:c>
      <s:c r="Y39" s="70" t="str">
        <s:f>IF(AC39&lt;&gt;"",IF(D39&lt;&gt;"",D39,($I$8-SUM($Y$25:Y38))*AB39*AC39/SUMPRODUCT($AC39:$AC$47,$AB39:$AB$47)),"")</s:f>
        <s:v/>
      </s:c>
      <s:c r="Z39" s="71" t="str">
        <s:f>IF(AC39&lt;&gt;"",IF(E39&lt;&gt;"",E39,($I$9-SUM($Z$25:Z38))*AB39*AC39/SUMPRODUCT($AC39:$AC$55,$AB39:$AB$55)),"")</s:f>
        <s:v/>
      </s:c>
      <s:c r="AA39" s="71" t="str">
        <s:f>IF(AC39&lt;&gt;"",IF($I$12&lt;&gt;"",IF(G39&lt;&gt;"",G39,($I$9/$I$12-SUM($AA$25:AA38))*AB39*AC39/SUMPRODUCT($AC39:$AC$55,$AB39:$AB$55)),""),"")</s:f>
        <s:v/>
      </s:c>
      <s:c r="AB39" s="76"/>
      <s:c r="AC39" s="477"/>
      <s:c r="AD39" s="122"/>
      <s:c r="AE39" s="122"/>
      <s:c r="AF39" s="125"/>
    </s:row>
    <s:row r="40">
      <s:c r="B40" s="64"/>
      <s:c r="C40" s="79"/>
      <s:c r="D40" s="126"/>
      <s:c r="E40" s="127"/>
      <s:c r="F40" s="67" t="str">
        <s:f>IF(AND(E40&lt;&gt;"",E40&lt;&gt;0),D40/E40,"")</s:f>
        <s:v/>
      </s:c>
      <s:c r="G40" s="127"/>
      <s:c r="H40" s="67" t="str">
        <s:f>IF(AND(G40&lt;&gt;"",G40&lt;&gt;0),D40/G40,"")</s:f>
        <s:v/>
      </s:c>
      <s:c r="I40" s="127"/>
      <s:c r="J40" s="136" t="str">
        <s:f>IF(AND(G40&lt;&gt;"",G40&lt;&gt;0),E40/G40,"")</s:f>
        <s:v/>
      </s:c>
      <s:c r="K40" s="422"/>
      <s:c r="L40" s="67"/>
      <s:c r="M40" s="67"/>
      <s:c r="N40" s="168"/>
      <s:c r="O40" s="124"/>
      <s:c r="P40" s="124"/>
      <s:c r="Q40" s="69"/>
      <s:c r="R40" s="67"/>
      <s:c r="S40" s="420"/>
      <s:c r="T40" s="495" t="str">
        <s:f>IF(AND(I40&lt;&gt;"",I40&lt;&gt;0),G40/I40,"")</s:f>
        <s:v/>
      </s:c>
      <s:c r="U40" s="499" t="e">
        <s:f>D40/V40</s:f>
        <s:v>#DIV/0!</s:v>
      </s:c>
      <s:c r="V40" s="444" t="e">
        <s:f>$I$8*AB40*AC40/SUMPRODUCT($AC$25:$AC$46,$AB$25:$AB$46)</s:f>
        <s:v>#DIV/0!</s:v>
      </s:c>
      <s:c r="W40" s="71" t="e">
        <s:f>$I$9*AB40*AC40/SUMPRODUCT($AC$25:$AC$46,$AB$25:$AB$46)</s:f>
        <s:v>#DIV/0!</s:v>
      </s:c>
      <s:c r="X40" s="71" t="e">
        <s:f>IF($I$12="","",W40/$I$12)</s:f>
        <s:v>#DIV/0!</s:v>
      </s:c>
      <s:c r="Y40" s="70" t="str">
        <s:f>IF(AC40&lt;&gt;"",IF(D40&lt;&gt;"",D40,($I$8-SUM($Y$25:Y39))*AB40*AC40/SUMPRODUCT($AC40:$AC$46,$AB40:$AB$46)),"")</s:f>
        <s:v/>
      </s:c>
      <s:c r="Z40" s="71" t="str">
        <s:f>IF(AC40&lt;&gt;"",IF(E40&lt;&gt;"",E40,($I$9-SUM($Z$25:Z39))*AB40*AC40/SUMPRODUCT($AC40:$AC$46,$AB40:$AB$46)),"")</s:f>
        <s:v/>
      </s:c>
      <s:c r="AA40" s="71" t="str">
        <s:f>IF(AC40&lt;&gt;"",IF($I$12&lt;&gt;"",IF(G40&lt;&gt;"",G40,($I$9/$I$12-SUM($AA$25:AA39))*AB40*AC40/SUMPRODUCT($AC40:$AC$55,$AB40:$AB$55)),""),"")</s:f>
        <s:v/>
      </s:c>
      <s:c r="AB40" s="76"/>
      <s:c r="AC40" s="477"/>
      <s:c r="AD40" s="122"/>
      <s:c r="AE40" s="122"/>
      <s:c r="AF40" s="125"/>
    </s:row>
    <s:row r="41">
      <s:c r="B41" s="177"/>
      <s:c r="C41" s="65"/>
      <s:c r="D41" s="126"/>
      <s:c r="E41" s="127"/>
      <s:c r="F41" s="67" t="str">
        <s:f>IF(AND(E41&lt;&gt;"",E41&lt;&gt;0),D41/E41,"")</s:f>
        <s:v/>
      </s:c>
      <s:c r="G41" s="127"/>
      <s:c r="H41" s="67" t="str">
        <s:f>IF(AND(G41&lt;&gt;"",G41&lt;&gt;0),D41/G41,"")</s:f>
        <s:v/>
      </s:c>
      <s:c r="I41" s="127"/>
      <s:c r="J41" s="136" t="str">
        <s:f>IF(AND(G41&lt;&gt;"",G41&lt;&gt;0),E41/G41,"")</s:f>
        <s:v/>
      </s:c>
      <s:c r="K41" s="422"/>
      <s:c r="L41" s="67"/>
      <s:c r="M41" s="67"/>
      <s:c r="N41" s="168"/>
      <s:c r="O41" s="124"/>
      <s:c r="P41" s="124"/>
      <s:c r="Q41" s="69"/>
      <s:c r="R41" s="67"/>
      <s:c r="S41" s="420"/>
      <s:c r="T41" s="495" t="str">
        <s:f>IF(AND(I41&lt;&gt;"",I41&lt;&gt;0),G41/I41,"")</s:f>
        <s:v/>
      </s:c>
      <s:c r="U41" s="499" t="e">
        <s:f>D41/V41</s:f>
        <s:v>#DIV/0!</s:v>
      </s:c>
      <s:c r="V41" s="444" t="e">
        <s:f>$I$8*AB41*AC41/SUMPRODUCT($AC$25:$AC$46,$AB$25:$AB$46)</s:f>
        <s:v>#DIV/0!</s:v>
      </s:c>
      <s:c r="W41" s="71" t="e">
        <s:f>$I$9*AB41*AC41/SUMPRODUCT($AC$25:$AC$46,$AB$25:$AB$46)</s:f>
        <s:v>#DIV/0!</s:v>
      </s:c>
      <s:c r="X41" s="71" t="e">
        <s:f>IF($I$12="","",W41/$I$12)</s:f>
        <s:v>#DIV/0!</s:v>
      </s:c>
      <s:c r="Y41" s="70" t="str">
        <s:f>IF(AC41&lt;&gt;"",IF(D41&lt;&gt;"",D41,($I$8-SUM($Y$25:Y40))*AB41*AC41/SUMPRODUCT($AC41:$AC$46,$AB41:$AB$46)),"")</s:f>
        <s:v/>
      </s:c>
      <s:c r="Z41" s="71" t="str">
        <s:f>IF(AC41&lt;&gt;"",IF(E41&lt;&gt;"",E41,($I$9-SUM($Z$25:Z40))*AB41*AC41/SUMPRODUCT($AC41:$AC$46,$AB41:$AB$46)),"")</s:f>
        <s:v/>
      </s:c>
      <s:c r="AA41" s="71" t="str">
        <s:f>IF(AC41&lt;&gt;"",IF($I$12&lt;&gt;"",IF(G41&lt;&gt;"",G41,($I$9/$I$12-SUM($AA$25:AA40))*AB41*AC41/SUMPRODUCT($AC41:$AC$55,$AB41:$AB$55)),""),"")</s:f>
        <s:v/>
      </s:c>
      <s:c r="AB41" s="133"/>
      <s:c r="AC41" s="478"/>
      <s:c r="AD41" s="122"/>
      <s:c r="AE41" s="122"/>
      <s:c r="AF41" s="125"/>
    </s:row>
    <s:row r="42">
      <s:c r="B42" s="64"/>
      <s:c r="C42" s="65"/>
      <s:c r="D42" s="126"/>
      <s:c r="E42" s="127"/>
      <s:c r="F42" s="67" t="str">
        <s:f>IF(AND(E42&lt;&gt;"",E42&lt;&gt;0),D42/E42,"")</s:f>
        <s:v/>
      </s:c>
      <s:c r="G42" s="127"/>
      <s:c r="H42" s="67" t="str">
        <s:f>IF(AND(G42&lt;&gt;"",G42&lt;&gt;0),D42/G42,"")</s:f>
        <s:v/>
      </s:c>
      <s:c r="I42" s="127"/>
      <s:c r="J42" s="136" t="str">
        <s:f>IF(AND(G42&lt;&gt;"",G42&lt;&gt;0),E42/G42,"")</s:f>
        <s:v/>
      </s:c>
      <s:c r="K42" s="422"/>
      <s:c r="L42" s="67"/>
      <s:c r="M42" s="67"/>
      <s:c r="N42" s="168"/>
      <s:c r="O42" s="124"/>
      <s:c r="P42" s="124"/>
      <s:c r="Q42" s="69"/>
      <s:c r="R42" s="67"/>
      <s:c r="S42" s="420"/>
      <s:c r="T42" s="495" t="str">
        <s:f>IF(AND(I42&lt;&gt;"",I42&lt;&gt;0),G42/I42,"")</s:f>
        <s:v/>
      </s:c>
      <s:c r="U42" s="499" t="e">
        <s:f>D42/V42</s:f>
        <s:v>#DIV/0!</s:v>
      </s:c>
      <s:c r="V42" s="444" t="e">
        <s:f>$I$8*AB42*AC42/SUMPRODUCT($AC$25:$AC$46,$AB$25:$AB$46)</s:f>
        <s:v>#DIV/0!</s:v>
      </s:c>
      <s:c r="W42" s="71" t="e">
        <s:f>$I$9*AB42*AC42/SUMPRODUCT($AC$25:$AC$46,$AB$25:$AB$46)</s:f>
        <s:v>#DIV/0!</s:v>
      </s:c>
      <s:c r="X42" s="71" t="e">
        <s:f>IF($I$12="","",W42/$I$12)</s:f>
        <s:v>#DIV/0!</s:v>
      </s:c>
      <s:c r="Y42" s="70" t="str">
        <s:f>IF(AC42&lt;&gt;"",IF(D42&lt;&gt;"",D42,($I$8-SUM($Y$25:Y41))*AB42*AC42/SUMPRODUCT($AC42:$AC$46,$AB42:$AB$46)),"")</s:f>
        <s:v/>
      </s:c>
      <s:c r="Z42" s="71" t="str">
        <s:f>IF(AC42&lt;&gt;"",IF(E42&lt;&gt;"",E42,($I$9-SUM($Z$25:Z41))*AB42*AC42/SUMPRODUCT($AC42:$AC$46,$AB42:$AB$46)),"")</s:f>
        <s:v/>
      </s:c>
      <s:c r="AA42" s="71" t="str">
        <s:f>IF(AC42&lt;&gt;"",IF($I$12&lt;&gt;"",IF(G42&lt;&gt;"",G42,($I$9/$I$12-SUM($AA$25:AA41))*AB42*AC42/SUMPRODUCT($AC42:$AC$46,$AB42:$AB$46)),""),"")</s:f>
        <s:v/>
      </s:c>
      <s:c r="AB42" s="133"/>
      <s:c r="AC42" s="478"/>
      <s:c r="AD42" s="122"/>
      <s:c r="AE42" s="122"/>
      <s:c r="AF42" s="125"/>
    </s:row>
    <s:row r="43">
      <s:c r="B43" s="64"/>
      <s:c r="C43" s="65"/>
      <s:c r="D43" s="126"/>
      <s:c r="E43" s="127"/>
      <s:c r="F43" s="67" t="str">
        <s:f>IF(AND(E43&lt;&gt;"",E43&lt;&gt;0),D43/E43,"")</s:f>
        <s:v/>
      </s:c>
      <s:c r="G43" s="127"/>
      <s:c r="H43" s="67" t="str">
        <s:f>IF(AND(G43&lt;&gt;"",G43&lt;&gt;0),D43/G43,"")</s:f>
        <s:v/>
      </s:c>
      <s:c r="I43" s="127"/>
      <s:c r="J43" s="136" t="str">
        <s:f>IF(AND(G43&lt;&gt;"",G43&lt;&gt;0),E43/G43,"")</s:f>
        <s:v/>
      </s:c>
      <s:c r="K43" s="422"/>
      <s:c r="L43" s="67"/>
      <s:c r="M43" s="67"/>
      <s:c r="N43" s="67"/>
      <s:c r="O43" s="123"/>
      <s:c r="P43" s="176"/>
      <s:c r="Q43" s="69"/>
      <s:c r="R43" s="67"/>
      <s:c r="S43" s="420"/>
      <s:c r="T43" s="495" t="str">
        <s:f>IF(AND(I43&lt;&gt;"",I43&lt;&gt;0),G43/I43,"")</s:f>
        <s:v/>
      </s:c>
      <s:c r="U43" s="499" t="e">
        <s:f>D43/V43</s:f>
        <s:v>#DIV/0!</s:v>
      </s:c>
      <s:c r="V43" s="444" t="e">
        <s:f>$I$8*AB43*AC43/SUMPRODUCT($AC$25:$AC$46,$AB$25:$AB$46)</s:f>
        <s:v>#DIV/0!</s:v>
      </s:c>
      <s:c r="W43" s="71" t="e">
        <s:f>$I$9*AB43*AC43/SUMPRODUCT($AC$25:$AC$46,$AB$25:$AB$46)</s:f>
        <s:v>#DIV/0!</s:v>
      </s:c>
      <s:c r="X43" s="71" t="e">
        <s:f>IF($I$12="","",W43/$I$12)</s:f>
        <s:v>#DIV/0!</s:v>
      </s:c>
      <s:c r="Y43" s="70" t="str">
        <s:f>IF(AC43&lt;&gt;"",IF(D43&lt;&gt;"",D43,($I$8-SUM($Y$25:Y42))*AB43*AC43/SUMPRODUCT($AC43:$AC$46,$AB43:$AB$46)),"")</s:f>
        <s:v/>
      </s:c>
      <s:c r="Z43" s="71" t="str">
        <s:f>IF(AC43&lt;&gt;"",IF(E43&lt;&gt;"",E43,($I$9-SUM($Z$25:Z42))*AB43*AC43/SUMPRODUCT($AC43:$AC$46,$AB43:$AB$46)),"")</s:f>
        <s:v/>
      </s:c>
      <s:c r="AA43" s="71" t="str">
        <s:f>IF(AC43&lt;&gt;"",IF($I$12&lt;&gt;"",IF(G43&lt;&gt;"",G43,($I$9/$I$12-SUM($AA$25:AA42))*AB43*AC43/SUMPRODUCT($AC43:$AC$46,$AB43:$AB$46)),""),"")</s:f>
        <s:v/>
      </s:c>
      <s:c r="AB43" s="133"/>
      <s:c r="AC43" s="478"/>
      <s:c r="AD43" s="122"/>
      <s:c r="AE43" s="122"/>
      <s:c r="AF43" s="125"/>
    </s:row>
    <s:row r="44">
      <s:c r="B44" s="64"/>
      <s:c r="C44" s="65"/>
      <s:c r="D44" s="126"/>
      <s:c r="E44" s="127"/>
      <s:c r="F44" s="67" t="str">
        <s:f>IF(AND(E44&lt;&gt;"",E44&lt;&gt;0),D44/E44,"")</s:f>
        <s:v/>
      </s:c>
      <s:c r="G44" s="127"/>
      <s:c r="H44" s="67" t="str">
        <s:f>IF(AND(G44&lt;&gt;"",G44&lt;&gt;0),D44/G44,"")</s:f>
        <s:v/>
      </s:c>
      <s:c r="I44" s="127"/>
      <s:c r="J44" s="136" t="str">
        <s:f>IF(AND(G44&lt;&gt;"",G44&lt;&gt;0),E44/G44,"")</s:f>
        <s:v/>
      </s:c>
      <s:c r="K44" s="422"/>
      <s:c r="L44" s="67"/>
      <s:c r="M44" s="67"/>
      <s:c r="N44" s="67"/>
      <s:c r="O44" s="67"/>
      <s:c r="P44" s="421"/>
      <s:c r="Q44" s="67"/>
      <s:c r="R44" s="67"/>
      <s:c r="S44" s="420"/>
      <s:c r="T44" s="495" t="str">
        <s:f>IF(AND(I44&lt;&gt;"",I44&lt;&gt;0),G44/I44,"")</s:f>
        <s:v/>
      </s:c>
      <s:c r="U44" s="499" t="e">
        <s:f>D44/V44</s:f>
        <s:v>#DIV/0!</s:v>
      </s:c>
      <s:c r="V44" s="444" t="e">
        <s:f>$I$8*AB44*AC44/SUMPRODUCT($AC$25:$AC$46,$AB$25:$AB$46)</s:f>
        <s:v>#DIV/0!</s:v>
      </s:c>
      <s:c r="W44" s="71" t="e">
        <s:f>$I$9*AB44*AC44/SUMPRODUCT($AC$25:$AC$46,$AB$25:$AB$46)</s:f>
        <s:v>#DIV/0!</s:v>
      </s:c>
      <s:c r="X44" s="71" t="e">
        <s:f>IF($I$12="","",W44/$I$12)</s:f>
        <s:v>#DIV/0!</s:v>
      </s:c>
      <s:c r="Y44" s="70" t="str">
        <s:f>IF(AC44&lt;&gt;"",IF(D44&lt;&gt;"",D44,($I$8-SUM($Y$25:Y43))*AB44*AC44/SUMPRODUCT($AC44:$AC$46,$AB44:$AB$46)),"")</s:f>
        <s:v/>
      </s:c>
      <s:c r="Z44" s="71" t="str">
        <s:f>IF(AC44&lt;&gt;"",IF(E44&lt;&gt;"",E44,($I$9-SUM($Z$25:Z43))*AB44*AC44/SUMPRODUCT($AC44:$AC$46,$AB44:$AB$46)),"")</s:f>
        <s:v/>
      </s:c>
      <s:c r="AA44" s="71" t="str">
        <s:f>IF(AC44&lt;&gt;"",IF($I$12&lt;&gt;"",IF(G44&lt;&gt;"",G44,($I$9/$I$12-SUM($AA$25:AA43))*AB44*AC44/SUMPRODUCT($AC44:$AC$46,$AB44:$AB$46)),""),"")</s:f>
        <s:v/>
      </s:c>
      <s:c r="AB44" s="133"/>
      <s:c r="AC44" s="478"/>
      <s:c r="AD44" s="122"/>
      <s:c r="AE44" s="122"/>
      <s:c r="AF44" s="125"/>
    </s:row>
    <s:row r="45">
      <s:c r="B45" s="64"/>
      <s:c r="C45" s="80"/>
      <s:c r="D45" s="126"/>
      <s:c r="E45" s="127"/>
      <s:c r="F45" s="67" t="str">
        <s:f>IF(AND(E45&lt;&gt;"",E45&lt;&gt;0),D45/E45,"")</s:f>
        <s:v/>
      </s:c>
      <s:c r="G45" s="127"/>
      <s:c r="H45" s="67" t="str">
        <s:f>IF(AND(G45&lt;&gt;"",G45&lt;&gt;0),D45/G45,"")</s:f>
        <s:v/>
      </s:c>
      <s:c r="I45" s="127"/>
      <s:c r="J45" s="136" t="str">
        <s:f>IF(AND(G45&lt;&gt;"",G45&lt;&gt;0),E45/G45,"")</s:f>
        <s:v/>
      </s:c>
      <s:c r="K45" s="422"/>
      <s:c r="L45" s="67"/>
      <s:c r="M45" s="67"/>
      <s:c r="N45" s="67"/>
      <s:c r="O45" s="67"/>
      <s:c r="P45" s="67"/>
      <s:c r="Q45" s="67"/>
      <s:c r="R45" s="67"/>
      <s:c r="S45" s="420"/>
      <s:c r="T45" s="495" t="str">
        <s:f>IF(AND(I45&lt;&gt;"",I45&lt;&gt;0),G45/I45,"")</s:f>
        <s:v/>
      </s:c>
      <s:c r="U45" s="499" t="e">
        <s:f>D45/V45</s:f>
        <s:v>#DIV/0!</s:v>
      </s:c>
      <s:c r="V45" s="444" t="e">
        <s:f>$I$8*AB45*AC45/SUMPRODUCT($AC$25:$AC$46,$AB$25:$AB$46)</s:f>
        <s:v>#DIV/0!</s:v>
      </s:c>
      <s:c r="W45" s="71" t="e">
        <s:f>$I$9*AB45*AC45/SUMPRODUCT($AC$25:$AC$46,$AB$25:$AB$46)</s:f>
        <s:v>#DIV/0!</s:v>
      </s:c>
      <s:c r="X45" s="71" t="e">
        <s:f>IF($I$12="","",W45/$I$12)</s:f>
        <s:v>#DIV/0!</s:v>
      </s:c>
      <s:c r="Y45" s="70" t="str">
        <s:f>IF(AC45&lt;&gt;"",IF(D45&lt;&gt;"",D45,($I$8-SUM($Y$25:Y44))*AB45*AC45/SUMPRODUCT($AC45:$AC$46,$AB45:$AB$46)),"")</s:f>
        <s:v/>
      </s:c>
      <s:c r="Z45" s="71" t="str">
        <s:f>IF(AC45&lt;&gt;"",IF(E45&lt;&gt;"",E45,($I$9-SUM($Z$25:Z44))*AB45*AC45/SUMPRODUCT($AC45:$AC$46,$AB45:$AB$46)),"")</s:f>
        <s:v/>
      </s:c>
      <s:c r="AA45" s="71" t="str">
        <s:f>IF(AC45&lt;&gt;"",IF($I$12&lt;&gt;"",IF(G45&lt;&gt;"",G45,($I$9/$I$12-SUM($AA$25:AA44))*AB45*AC45/SUMPRODUCT($AC45:$AC$46,$AB45:$AB$46)),""),"")</s:f>
        <s:v/>
      </s:c>
      <s:c r="AB45" s="133"/>
      <s:c r="AC45" s="478"/>
      <s:c r="AD45" s="122"/>
      <s:c r="AE45" s="122"/>
      <s:c r="AF45" s="125"/>
    </s:row>
    <s:row r="46">
      <s:c r="B46" s="64"/>
      <s:c r="C46" s="65"/>
      <s:c r="D46" s="114"/>
      <s:c r="E46" s="74"/>
      <s:c r="F46" s="67" t="str">
        <s:f>IF(AND(E46&lt;&gt;"",E46&lt;&gt;0),D46/E46,"")</s:f>
        <s:v/>
      </s:c>
      <s:c r="G46" s="74"/>
      <s:c r="H46" s="67" t="str">
        <s:f>IF(AND(G46&lt;&gt;"",G46&lt;&gt;0),D46/G46,"")</s:f>
        <s:v/>
      </s:c>
      <s:c r="I46" s="74"/>
      <s:c r="J46" s="136" t="str">
        <s:f>IF(AND(G46&lt;&gt;"",G46&lt;&gt;0),E46/G46,"")</s:f>
        <s:v/>
      </s:c>
      <s:c r="K46" s="422"/>
      <s:c r="L46" s="67"/>
      <s:c r="M46" s="67"/>
      <s:c r="N46" s="67"/>
      <s:c r="O46" s="67"/>
      <s:c r="P46" s="67"/>
      <s:c r="Q46" s="67"/>
      <s:c r="R46" s="67"/>
      <s:c r="S46" s="420"/>
      <s:c r="T46" s="495" t="str">
        <s:f>IF(AND(I46&lt;&gt;"",I46&lt;&gt;0),G46/I46,"")</s:f>
        <s:v/>
      </s:c>
      <s:c r="U46" s="499" t="e">
        <s:f>D46/V46</s:f>
        <s:v>#DIV/0!</s:v>
      </s:c>
      <s:c r="V46" s="444" t="e">
        <s:f>$I$8*AB46*AC46/SUMPRODUCT($AC$25:$AC$46,$AB$25:$AB$46)</s:f>
        <s:v>#DIV/0!</s:v>
      </s:c>
      <s:c r="W46" s="71" t="e">
        <s:f>$I$9*AB46*AC46/SUMPRODUCT($AC$25:$AC$46,$AB$25:$AB$46)</s:f>
        <s:v>#DIV/0!</s:v>
      </s:c>
      <s:c r="X46" s="71" t="e">
        <s:f>IF($I$12="","",W46/$I$12)</s:f>
        <s:v>#DIV/0!</s:v>
      </s:c>
      <s:c r="Y46" s="70" t="str">
        <s:f>IF(AC46&lt;&gt;"",IF(D46&lt;&gt;"",D46,($I$8-SUM($Y$25:Y45))*AB46*AC46/SUMPRODUCT($AC46:$AC$46,$AB46:$AB$46)),"")</s:f>
        <s:v/>
      </s:c>
      <s:c r="Z46" s="71" t="str">
        <s:f>IF(AC46&lt;&gt;"",IF(E46&lt;&gt;"",E46,($I$9-SUM($Z$25:Z39))*AB46*AC46/SUMPRODUCT($AC46:$AC$46,$AB46:$AB$46)),"")</s:f>
        <s:v/>
      </s:c>
      <s:c r="AA46" s="71" t="str">
        <s:f>IF(AC46&lt;&gt;"",IF($I$12&lt;&gt;"",IF(G46&lt;&gt;"",G46,($I$9/$I$12-SUM($AA$25:AA39))*AB46*AC46/SUMPRODUCT($AC46:$AC$46,$AB46:$AB$46)),""),"")</s:f>
        <s:v/>
      </s:c>
      <s:c r="AB46" s="133"/>
      <s:c r="AC46" s="478"/>
      <s:c r="AD46" s="122"/>
      <s:c r="AE46" s="128"/>
    </s:row>
    <s:row r="47">
      <s:c r="B47" s="64"/>
      <s:c r="C47" s="80"/>
      <s:c r="D47" s="114"/>
      <s:c r="E47" s="74"/>
      <s:c r="F47" s="67" t="str">
        <s:f>IF(AND(E47&lt;&gt;"",E47&lt;&gt;0),D47/E47,"")</s:f>
        <s:v/>
      </s:c>
      <s:c r="G47" s="74"/>
      <s:c r="H47" s="67" t="str">
        <s:f>IF(AND(G47&lt;&gt;"",G47&lt;&gt;0),D47/G47,"")</s:f>
        <s:v/>
      </s:c>
      <s:c r="I47" s="74"/>
      <s:c r="J47" s="136" t="str">
        <s:f>IF(AND(G47&lt;&gt;"",G47&lt;&gt;0),E47/G47,"")</s:f>
        <s:v/>
      </s:c>
      <s:c r="K47" s="422"/>
      <s:c r="L47" s="67"/>
      <s:c r="M47" s="67"/>
      <s:c r="N47" s="67"/>
      <s:c r="O47" s="67"/>
      <s:c r="P47" s="67"/>
      <s:c r="Q47" s="67"/>
      <s:c r="R47" s="67"/>
      <s:c r="S47" s="420"/>
      <s:c r="T47" s="495" t="str">
        <s:f>IF(AND(I47&lt;&gt;"",I47&lt;&gt;0),G47/I47,"")</s:f>
        <s:v/>
      </s:c>
      <s:c r="U47" s="499" t="e">
        <s:f>D47/V47</s:f>
        <s:v>#DIV/0!</s:v>
      </s:c>
      <s:c r="V47" s="444" t="e">
        <s:f>$I$8*AB47*AC47/SUMPRODUCT($AC$25:$AC$46,$AB$25:$AB$46)</s:f>
        <s:v>#DIV/0!</s:v>
      </s:c>
      <s:c r="W47" s="71" t="e">
        <s:f>$I$9*AB47*AC47/SUMPRODUCT($AC$25:$AC$46,$AB$25:$AB$46)</s:f>
        <s:v>#DIV/0!</s:v>
      </s:c>
      <s:c r="X47" s="71" t="e">
        <s:f>IF($I$12="","",W47/$I$12)</s:f>
        <s:v>#DIV/0!</s:v>
      </s:c>
      <s:c r="Y47" s="70" t="str">
        <s:f>IF(AC47&lt;&gt;"",IF(D47&lt;&gt;"",D47,($I$8-SUM($Y$25:Y46))*AB47*AC47/SUMPRODUCT($AC$47:$AC47,$AB$47:$AB47)),"")</s:f>
        <s:v/>
      </s:c>
      <s:c r="Z47" s="71" t="str">
        <s:f>IF(AC47&lt;&gt;"",IF(E47&lt;&gt;"",E47,($I$9-SUM(#REF!))*AB47*AC47/SUMPRODUCT($AC$47:$AC47,$AB$47:$AB47)),"")</s:f>
        <s:v/>
      </s:c>
      <s:c r="AA47" s="71" t="str">
        <s:f>IF(AC47&lt;&gt;"",IF($I$12&lt;&gt;"",IF(G47&lt;&gt;"",G47,($I$9/$I$12-SUM(#REF!))*AB47*AC47/SUMPRODUCT($AC$47:$AC47,$AB$47:$AB47)),""),"")</s:f>
        <s:v/>
      </s:c>
      <s:c r="AB47" s="133"/>
      <s:c r="AC47" s="478"/>
      <s:c r="AD47" s="122"/>
      <s:c r="AE47" s="122"/>
    </s:row>
    <s:row r="48">
      <s:c r="B48" s="134" t="s">
        <s:v>61</s:v>
      </s:c>
      <s:c r="C48" s="134"/>
      <s:c r="D48" s="129">
        <s:f>SUM(D25:D47)</s:f>
        <s:v>521953</s:v>
      </s:c>
      <s:c r="E48" s="129">
        <s:f>SUM(E25:E47)</s:f>
        <s:v>48</s:v>
      </s:c>
      <s:c r="F48" s="178">
        <s:f>IF(AND(E48&lt;&gt;"",E48&lt;&gt;0),D48/E48,"")</s:f>
        <s:v>10874.020833333299</s:v>
      </s:c>
      <s:c r="G48" s="129">
        <s:f>SUM(G25:G47)</s:f>
        <s:v>8</s:v>
      </s:c>
      <s:c r="H48" s="178">
        <s:f>IF(AND(G48&lt;&gt;"",G48&lt;&gt;0),D48/G48,"")</s:f>
        <s:v>65244.125</s:v>
      </s:c>
      <s:c r="I48" s="129">
        <s:f>SUM(I25:I47)*0.8</s:f>
        <s:v>84</s:v>
      </s:c>
      <s:c r="J48" s="408">
        <s:f>IF(AND(G48&lt;&gt;"",G48&lt;&gt;0),E48/G48,"")</s:f>
        <s:v>6</s:v>
      </s:c>
      <s:c r="K48" s="424">
        <s:f>SUM(K25:K47)</s:f>
        <s:v>0</s:v>
      </s:c>
      <s:c r="L48" s="425">
        <s:f>SUM(L25:L47)</s:f>
        <s:v>0</s:v>
      </s:c>
      <s:c r="M48" s="425">
        <s:f>SUM(M25:M47)</s:f>
        <s:v>0</s:v>
      </s:c>
      <s:c r="N48" s="425">
        <s:f>SUM(N25:N47)</s:f>
        <s:v>227591</s:v>
      </s:c>
      <s:c r="O48" s="425">
        <s:f>SUM(O25:O47)</s:f>
        <s:v>190704</s:v>
      </s:c>
      <s:c r="P48" s="425">
        <s:f>SUM(P25:P47)</s:f>
        <s:v>26543</s:v>
      </s:c>
      <s:c r="Q48" s="425">
        <s:f>SUM(Q25:Q47)</s:f>
        <s:v>0</s:v>
      </s:c>
      <s:c r="R48" s="425">
        <s:f>SUM(R25:R47)</s:f>
        <s:v>0</s:v>
      </s:c>
      <s:c r="S48" s="426">
        <s:f>SUM(S25:S47)</s:f>
        <s:v>0</s:v>
      </s:c>
      <s:c r="T48" s="500">
        <s:f>IF(AND(I48&lt;&gt;"",I48&lt;&gt;0),G48/I48,"")</s:f>
        <s:v>9.5238095238095205E-2</s:v>
      </s:c>
      <s:c r="U48" s="501" t="e">
        <s:f>D48/V48</s:f>
        <s:v>#DIV/0!</s:v>
      </s:c>
      <s:c r="V48" s="449" t="e">
        <s:f>SUM(V25:V47)</s:f>
        <s:v>#DIV/0!</s:v>
      </s:c>
      <s:c r="W48" s="450" t="e">
        <s:f>SUM(W25:W47)</s:f>
        <s:v>#DIV/0!</s:v>
      </s:c>
      <s:c r="X48" s="450" t="e">
        <s:f>SUM(X25:X47)</s:f>
        <s:v>#DIV/0!</s:v>
      </s:c>
      <s:c r="Y48" s="450">
        <s:f>SUM(Y25:Y47)</s:f>
        <s:v>0</s:v>
      </s:c>
      <s:c r="Z48" s="450">
        <s:f>SUM(Z25:Z47)</s:f>
        <s:v>0</s:v>
      </s:c>
      <s:c r="AA48" s="450">
        <s:f>SUM(AA25:AA47)</s:f>
        <s:v>0</s:v>
      </s:c>
      <s:c r="AB48" s="451"/>
      <s:c r="AC48" s="452"/>
    </s:row>
    <s:row r="49">
      <s:c r="B49" s="80"/>
      <s:c r="C49" s="81"/>
      <s:c r="D49" s="82" t="e">
        <s:f>SUMIF(D25:D47,"",V25:V47)+D48</s:f>
        <s:v>#DIV/0!</s:v>
      </s:c>
      <s:c r="E49" s="83"/>
      <s:c r="F49" s="81"/>
      <s:c r="G49" s="81"/>
      <s:c r="H49" s="84"/>
      <s:c r="I49" s="85"/>
      <s:c r="J49" s="84"/>
      <s:c r="O49" s="86"/>
      <s:c r="P49" s="86"/>
      <s:c r="Q49" s="83"/>
      <s:c r="R49" s="83"/>
      <s:c r="S49" s="83"/>
      <s:c r="T49" s="86"/>
      <s:c r="U49" s="86"/>
      <s:c r="V49" s="86"/>
      <s:c r="W49" s="87"/>
    </s:row>
    <s:row r="50">
      <s:c r="D50" s="89"/>
      <s:c r="R50" s="83"/>
      <s:c r="S50" s="83"/>
    </s:row>
    <s:row r="51">
      <s:c r="D51" s="758">
        <s:f>D26+D27+D29+D31+D32+D33</s:f>
        <s:v>55722</s:v>
      </s:c>
    </s:row>
    <s:row r="52">
      <s:c r="D52" s="89"/>
    </s:row>
    <s:row r="53">
      <s:c r="D53" s="89"/>
    </s:row>
  </s:sheetData>
  <s:mergeCells count="25">
    <s:mergeCell ref="V22:AC22"/>
    <s:mergeCell ref="A22:U22"/>
    <s:mergeCell ref="F7:H7"/>
    <s:mergeCell ref="F8:H8"/>
    <s:mergeCell ref="F9:H9"/>
    <s:mergeCell ref="F10:H10"/>
    <s:mergeCell ref="F11:H11"/>
    <s:mergeCell ref="F12:H12"/>
    <s:mergeCell ref="F20:H20"/>
    <s:mergeCell ref="F14:H14"/>
    <s:mergeCell ref="F15:H15"/>
    <s:mergeCell ref="F16:H16"/>
    <s:mergeCell ref="F17:H17"/>
    <s:mergeCell ref="F18:H18"/>
    <s:mergeCell ref="P7:Q7"/>
    <s:mergeCell ref="J2:N2"/>
    <s:mergeCell ref="S16:S17"/>
    <s:mergeCell ref="C1:D1"/>
    <s:mergeCell ref="C2:D2"/>
    <s:mergeCell ref="F19:H19"/>
    <s:mergeCell ref="F6:Q6"/>
    <s:mergeCell ref="C4:D4"/>
    <s:mergeCell ref="C3:E3"/>
    <s:mergeCell ref="J3:N4"/>
    <s:mergeCell ref="F13:H13"/>
  </s:mergeCells>
  <s:pageMargins left="0.7" right="0.7" top="0.75" bottom="0.75" header="0.3" footer="0.3"/>
</s:worksheet>
</file>

<file path=xl/worksheets/sheet6.xml><?xml version="1.0" encoding="utf-8"?>
<s:worksheet xmlns:x14ac="http://schemas.microsoft.com/office/spreadsheetml/2009/9/ac" xmlns:mc="http://schemas.openxmlformats.org/markup-compatibility/2006" xmlns:xr3="http://schemas.microsoft.com/office/spreadsheetml/2016/revision3" xmlns:xr2="http://schemas.microsoft.com/office/spreadsheetml/2015/revision2" xmlns:s="http://schemas.openxmlformats.org/spreadsheetml/2006/main" xmlns:xr="http://schemas.microsoft.com/office/spreadsheetml/2014/revision" mc:Ignorable="x14ac xr xr2 xr3" xr:uid="{A301F4A9-D0A5-9244-90EC-EC58F78AF175}">
  <s:dimension ref="A1:AM53"/>
  <s:sheetViews>
    <s:sheetView tabSelected="0" topLeftCell="A14" zoomScale="88" workbookViewId="0">
      <s:selection activeCell="S30" sqref="S30"/>
    </s:sheetView>
  </s:sheetViews>
  <s:sheetFormatPr baseColWidth="10" defaultColWidth="10" defaultRowHeight="15"/>
  <s:cols>
    <s:col min="1" max="1" width="3.5" customWidth="1"/>
    <s:col min="11" max="11" width="10" customWidth="1"/>
    <s:col min="14" max="14" width="12.164" customWidth="1"/>
    <s:col min="15" max="15" width="11.164" customWidth="1"/>
    <s:col min="17" max="17" width="11.5" customWidth="1"/>
  </s:cols>
  <s:sheetData>
    <s:row r="1" ht="36">
      <s:c r="A1" s="3"/>
      <s:c r="B1" s="3"/>
      <s:c r="C1" s="847">
        <s:f ca="1">TODAY()-1</s:f>
        <s:v>46151</s:v>
      </s:c>
      <s:c r="D1" s="847"/>
      <s:c r="E1" s="4"/>
      <s:c r="F1" s="5"/>
      <s:c r="G1" s="5"/>
      <s:c r="H1" s="5"/>
      <s:c r="I1" s="5"/>
      <s:c r="J1" s="6"/>
      <s:c r="K1" s="6"/>
      <s:c r="L1" s="6"/>
      <s:c r="M1" s="6"/>
      <s:c r="N1" s="6"/>
      <s:c r="O1" s="6"/>
      <s:c r="P1" s="6"/>
      <s:c r="Q1" s="6"/>
      <s:c r="R1" s="6"/>
      <s:c r="S1" s="6"/>
      <s:c r="T1" s="6"/>
      <s:c r="U1" s="6"/>
      <s:c r="V1" s="6"/>
      <s:c r="W1" s="7"/>
      <s:c r="X1" s="7"/>
      <s:c r="Y1" s="7"/>
      <s:c r="Z1" s="7"/>
      <s:c r="AA1" s="5"/>
      <s:c r="AB1" s="5"/>
      <s:c r="AC1" s="5"/>
    </s:row>
    <s:row r="2" ht="36">
      <s:c r="A2" s="8"/>
      <s:c r="B2" s="8"/>
      <s:c r="C2" s="848" t="s">
        <s:v>69</s:v>
      </s:c>
      <s:c r="D2" s="848"/>
      <s:c r="E2" s="4"/>
      <s:c r="F2" s="5"/>
      <s:c r="G2" s="5"/>
      <s:c r="H2" s="5"/>
      <s:c r="I2" s="5"/>
      <s:c r="J2" s="5"/>
      <s:c r="K2" s="5"/>
      <s:c r="L2" s="5"/>
      <s:c r="M2" s="869" t="s">
        <s:v>130</s:v>
      </s:c>
      <s:c r="N2" s="869"/>
      <s:c r="O2" s="869"/>
      <s:c r="P2" s="869"/>
      <s:c r="Q2" s="869"/>
      <s:c r="R2" s="9"/>
      <s:c r="S2" s="9"/>
      <s:c r="T2" s="9"/>
      <s:c r="U2" s="9"/>
      <s:c r="V2" s="9"/>
      <s:c r="W2" s="7"/>
      <s:c r="X2" s="7"/>
      <s:c r="Y2" s="7"/>
      <s:c r="Z2" s="7"/>
      <s:c r="AA2" s="5"/>
      <s:c r="AB2" s="5"/>
      <s:c r="AC2" s="5"/>
    </s:row>
    <s:row r="3" spans="1:29" ht="17" customHeight="1">
      <s:c r="A3" s="8"/>
      <s:c r="B3" s="8"/>
      <s:c r="C3" s="10" t="s">
        <s:v>0</s:v>
      </s:c>
      <s:c r="D3" s="4"/>
      <s:c r="E3" s="4"/>
      <s:c r="F3" s="5"/>
      <s:c r="G3" s="5"/>
      <s:c r="H3" s="5"/>
      <s:c r="I3" s="5"/>
      <s:c r="J3" s="5"/>
      <s:c r="K3" s="5"/>
      <s:c r="L3" s="5"/>
      <s:c r="M3" s="863" t="str">
        <s:f>График!B27</s:f>
        <s:v>Маркова Диана</s:v>
      </s:c>
      <s:c r="N3" s="864"/>
      <s:c r="O3" s="864"/>
      <s:c r="P3" s="864"/>
      <s:c r="Q3" s="865"/>
      <s:c r="R3" s="9"/>
      <s:c r="S3" s="9"/>
      <s:c r="T3" s="9"/>
      <s:c r="U3" s="9"/>
      <s:c r="V3" s="9"/>
      <s:c r="W3" s="7"/>
      <s:c r="X3" s="7"/>
      <s:c r="Y3" s="7"/>
      <s:c r="Z3" s="7"/>
      <s:c r="AA3" s="5"/>
      <s:c r="AB3" s="5"/>
      <s:c r="AC3" s="5"/>
    </s:row>
    <s:row r="4" spans="1:29" ht="17" customHeight="1">
      <s:c r="A4" s="4"/>
      <s:c r="B4" s="4"/>
      <s:c r="C4" s="861">
        <s:f>L8-D48</s:f>
        <s:v>366547.56756756757</s:v>
      </s:c>
      <s:c r="D4" s="862"/>
      <s:c r="E4" s="98">
        <s:f>IF(L8&lt;&gt;0,C4/L8,0)</s:f>
        <s:v>0.65693346508563899</s:v>
      </s:c>
      <s:c r="F4" s="5"/>
      <s:c r="G4" s="5"/>
      <s:c r="H4" s="5"/>
      <s:c r="I4" s="5"/>
      <s:c r="J4" s="5"/>
      <s:c r="K4" s="5"/>
      <s:c r="L4" s="5"/>
      <s:c r="M4" s="866"/>
      <s:c r="N4" s="867"/>
      <s:c r="O4" s="867"/>
      <s:c r="P4" s="867"/>
      <s:c r="Q4" s="868"/>
      <s:c r="R4" s="9"/>
      <s:c r="S4" s="9"/>
      <s:c r="T4" s="9"/>
      <s:c r="U4" s="9"/>
      <s:c r="V4" s="9"/>
      <s:c r="W4" s="7"/>
      <s:c r="X4" s="7"/>
      <s:c r="Y4" s="7"/>
      <s:c r="Z4" s="7"/>
      <s:c r="AA4" s="5"/>
      <s:c r="AB4" s="5"/>
      <s:c r="AC4" s="5"/>
    </s:row>
    <s:row r="5">
      <s:c r="A5" s="5"/>
      <s:c r="B5" s="5"/>
      <s:c r="C5" s="5"/>
      <s:c r="D5" s="5"/>
      <s:c r="E5" s="5"/>
      <s:c r="F5" s="5"/>
      <s:c r="G5" s="5"/>
      <s:c r="H5" s="5"/>
      <s:c r="I5" s="5"/>
      <s:c r="J5" s="5"/>
      <s:c r="K5" s="5"/>
      <s:c r="L5" s="5"/>
      <s:c r="M5" s="14"/>
      <s:c r="N5" s="14"/>
      <s:c r="O5" s="14"/>
      <s:c r="P5" s="14"/>
      <s:c r="Q5" s="14"/>
      <s:c r="R5" s="14"/>
      <s:c r="S5" s="14"/>
      <s:c r="T5" s="14"/>
      <s:c r="U5" s="14"/>
      <s:c r="V5" s="14"/>
      <s:c r="W5" s="5"/>
      <s:c r="X5" s="5"/>
      <s:c r="Y5" s="5"/>
      <s:c r="Z5" s="5"/>
      <s:c r="AA5" s="5"/>
      <s:c r="AB5" s="5"/>
      <s:c r="AC5" s="5"/>
    </s:row>
    <s:row r="6" ht="16">
      <s:c r="A6" s="15"/>
      <s:c r="B6" s="15"/>
      <s:c r="C6" s="5"/>
      <s:c r="D6" s="5"/>
      <s:c r="E6" s="5"/>
      <s:c r="F6" s="5"/>
      <s:c r="G6" s="5"/>
      <s:c r="H6" s="5"/>
      <s:c r="I6" s="870" t="s">
        <s:v>2</s:v>
      </s:c>
      <s:c r="J6" s="871"/>
      <s:c r="K6" s="871"/>
      <s:c r="L6" s="871"/>
      <s:c r="M6" s="871"/>
      <s:c r="N6" s="871"/>
      <s:c r="O6" s="871"/>
      <s:c r="P6" s="871"/>
      <s:c r="Q6" s="871"/>
      <s:c r="R6" s="871"/>
      <s:c r="S6" s="871"/>
      <s:c r="T6" s="872"/>
      <s:c r="U6" s="14"/>
      <s:c r="V6" s="14"/>
      <s:c r="W6" s="5"/>
      <s:c r="X6" s="17"/>
      <s:c r="Y6" s="17"/>
      <s:c r="Z6" s="5"/>
      <s:c r="AA6" s="5"/>
      <s:c r="AB6" s="5"/>
      <s:c r="AC6" s="5"/>
    </s:row>
    <s:row r="7" ht="60">
      <s:c r="A7" s="15"/>
      <s:c r="B7" s="15"/>
      <s:c r="C7" s="5"/>
      <s:c r="D7" s="5"/>
      <s:c r="E7" s="18"/>
      <s:c r="F7" s="5"/>
      <s:c r="G7" s="5"/>
      <s:c r="H7" s="5"/>
      <s:c r="I7" s="690" t="s">
        <s:v>3</s:v>
      </s:c>
      <s:c r="J7" s="691"/>
      <s:c r="K7" s="692"/>
      <s:c r="L7" s="670" t="s">
        <s:v>4</s:v>
      </s:c>
      <s:c r="M7" s="671" t="s">
        <s:v>5</s:v>
      </s:c>
      <s:c r="N7" s="672" t="s">
        <s:v>6</s:v>
      </s:c>
      <s:c r="O7" s="663" t="s">
        <s:v>7</s:v>
      </s:c>
      <s:c r="P7" s="19" t="s">
        <s:v>8</s:v>
      </s:c>
      <s:c r="Q7" s="20" t="s">
        <s:v>9</s:v>
      </s:c>
      <s:c r="R7" s="574" t="s">
        <s:v>10</s:v>
      </s:c>
      <s:c r="S7" s="859" t="s">
        <s:v>11</s:v>
      </s:c>
      <s:c r="T7" s="860"/>
      <s:c r="U7" s="14"/>
      <s:c r="V7" s="14"/>
      <s:c r="W7" s="5"/>
      <s:c r="X7" s="5"/>
      <s:c r="Y7" s="5"/>
      <s:c r="Z7" s="5"/>
      <s:c r="AA7" s="5"/>
      <s:c r="AB7" s="5"/>
      <s:c r="AC7" s="5"/>
    </s:row>
    <s:row r="8">
      <s:c r="A8" s="15"/>
      <s:c r="B8" s="15"/>
      <s:c r="C8" s="5"/>
      <s:c r="D8" s="5"/>
      <s:c r="E8" s="5"/>
      <s:c r="F8" s="5"/>
      <s:c r="G8" s="5"/>
      <s:c r="H8" s="5"/>
      <s:c r="I8" s="505" t="s">
        <s:v>12</s:v>
      </s:c>
      <s:c r="J8" s="506"/>
      <s:c r="K8" s="507"/>
      <s:c r="L8" s="673">
        <s:f>Центрум!I8/График!AJ29*График!AJ27</s:f>
        <s:v>557967.56756756757</s:v>
      </s:c>
      <s:c r="M8" s="674">
        <s:f>D48</s:f>
        <s:v>191420</s:v>
      </s:c>
      <s:c r="N8" s="693">
        <s:f>IF(AND(L8&lt;&gt;"",L8&lt;&gt;0,M8&lt;&gt;""),M8/L8,"")</s:f>
        <s:v>0.34306653491436101</s:v>
      </s:c>
      <s:c r="O8" s="664">
        <s:f>IF(SUMIF($D$25:$D$47,"&gt;=0",$V$25:$V$47)&lt;&gt;0,L8*D48/SUMIF($D$25:$D$47,"&gt;=0",$V$25:$V$47),0)</s:f>
        <s:v>191420</s:v>
      </s:c>
      <s:c r="P8" s="99">
        <s:f>O8/L8</s:f>
        <s:v>0.34306653491436101</s:v>
      </s:c>
      <s:c r="Q8" s="23">
        <s:f>IF(AND(M8&lt;&gt;0,M8&lt;&gt;"",L8&lt;&gt;0,L8&lt;&gt;""),O8-L8,"")</s:f>
        <s:v>-366547.56756756757</s:v>
      </s:c>
      <s:c r="R8" s="575"/>
      <s:c r="S8" s="25" t="str">
        <s:f>IF(AND(R8&lt;&gt;"",R8&lt;&gt;0,O8&lt;&gt;"",O8&lt;&gt;0),-R8+O8,"")</s:f>
        <s:v/>
      </s:c>
      <s:c r="T8" s="26" t="str">
        <s:f>IF(AND(S8&lt;&gt;"",S8&lt;&gt;0,R8&lt;&gt;0,R8&lt;&gt;""),S8/R8,"")</s:f>
        <s:v/>
      </s:c>
      <s:c r="U8" s="14"/>
      <s:c r="V8" s="14"/>
      <s:c r="W8" s="5"/>
      <s:c r="X8" s="5"/>
      <s:c r="Y8" s="5"/>
      <s:c r="Z8" s="5"/>
      <s:c r="AA8" s="5"/>
      <s:c r="AB8" s="5"/>
      <s:c r="AC8" s="5"/>
    </s:row>
    <s:row r="9">
      <s:c r="A9" s="15"/>
      <s:c r="B9" s="15"/>
      <s:c r="C9" s="5"/>
      <s:c r="D9" s="5"/>
      <s:c r="E9" s="5"/>
      <s:c r="F9" s="5"/>
      <s:c r="G9" s="5"/>
      <s:c r="H9" s="5"/>
      <s:c r="I9" s="502" t="s">
        <s:v>13</s:v>
      </s:c>
      <s:c r="J9" s="503"/>
      <s:c r="K9" s="504"/>
      <s:c r="L9" s="676">
        <s:f>L8/L11</s:f>
        <s:v>80.86486486486487</s:v>
      </s:c>
      <s:c r="M9" s="677">
        <s:f>E48</s:f>
        <s:v>31</s:v>
      </s:c>
      <s:c r="N9" s="694">
        <s:f>IF(AND(L9&lt;&gt;"",L9&lt;&gt;0,M9&lt;&gt;""),M9/L9,"")</s:f>
        <s:v>0.38335561497326198</s:v>
      </s:c>
      <s:c r="O9" s="667">
        <s:f>IF(SUMIF($E$25:$E$47,"&gt;=0",$W$25:$W$47)&lt;&gt;0,L9*E48/SUMIF($E$25:$E$47,"&gt;=0",$W$25:$W$47),0)</s:f>
        <s:v>30.999999999999993</s:v>
      </s:c>
      <s:c r="P9" s="100">
        <s:f>IF(AND(L9&lt;&gt;"",L9&lt;&gt;0,O9&lt;&gt;"",O9&lt;&gt;0),O9/L9,"")</s:f>
        <s:v>0.38335561497326193</s:v>
      </s:c>
      <s:c r="Q9" s="31">
        <s:f>IF(AND(M9&lt;&gt;0,M9&lt;&gt;"",L9&lt;&gt;0,L9&lt;&gt;""),O9-L9,"")</s:f>
        <s:v>-49.864864864864877</s:v>
      </s:c>
      <s:c r="R9" s="576" t="e">
        <s:f>R8/R11</s:f>
        <s:v>#DIV/0!</s:v>
      </s:c>
      <s:c r="S9" s="33" t="e">
        <s:f>IF(AND(R9&lt;&gt;"",R9&lt;&gt;0,O9&lt;&gt;"",O9&lt;&gt;0),-R9+O9,"")</s:f>
        <s:v>#DIV/0!</s:v>
      </s:c>
      <s:c r="T9" s="34" t="e">
        <s:f>IF(AND(S9&lt;&gt;"",S9&lt;&gt;0,R9&lt;&gt;0,R9&lt;&gt;""),S9/R9,"")</s:f>
        <s:v>#DIV/0!</s:v>
      </s:c>
      <s:c r="U9" s="14"/>
      <s:c r="V9" s="14"/>
      <s:c r="W9" s="5"/>
      <s:c r="X9" s="5"/>
      <s:c r="Y9" s="5"/>
      <s:c r="Z9" s="5"/>
      <s:c r="AA9" s="5"/>
      <s:c r="AB9" s="5"/>
      <s:c r="AC9" s="5"/>
    </s:row>
    <s:row r="10">
      <s:c r="A10" s="15"/>
      <s:c r="B10" s="15"/>
      <s:c r="C10" s="5"/>
      <s:c r="D10" s="5"/>
      <s:c r="E10" s="5"/>
      <s:c r="F10" s="5"/>
      <s:c r="G10" s="5"/>
      <s:c r="H10" s="5"/>
      <s:c r="I10" s="505" t="s">
        <s:v>14</s:v>
      </s:c>
      <s:c r="J10" s="506"/>
      <s:c r="K10" s="507"/>
      <s:c r="L10" s="577">
        <s:f>L11*L12</s:f>
        <s:v>11730</s:v>
      </s:c>
      <s:c r="M10" s="679">
        <s:f>H48</s:f>
        <s:v>8700.9090909090901</s:v>
      </s:c>
      <s:c r="N10" s="695">
        <s:f>IF(AND(L10&lt;&gt;"",L10&lt;&gt;0,M10&lt;&gt;""),M10/L10,"")</s:f>
        <s:v>0.74176548089591565</s:v>
      </s:c>
      <s:c r="O10" s="667">
        <s:f>M10</s:f>
        <s:v>8700.9090909090901</s:v>
      </s:c>
      <s:c r="P10" s="101">
        <s:f>IF(AND(L10&lt;&gt;"",L10&lt;&gt;0,O10&lt;&gt;"",O10&lt;&gt;0),O10/L10,"")</s:f>
        <s:v>0.74176548089591565</s:v>
      </s:c>
      <s:c r="Q10" s="38">
        <s:f>IF(AND(M10&lt;&gt;0,M10&lt;&gt;"",L10&lt;&gt;0,L10&lt;&gt;""),O10-L10,"")</s:f>
        <s:v>-3029.0909090909099</s:v>
      </s:c>
      <s:c r="R10" s="577">
        <s:f>R11*R12</s:f>
        <s:v>0</s:v>
      </s:c>
      <s:c r="S10" s="40" t="str">
        <s:f>IF(AND(R10&lt;&gt;"",R10&lt;&gt;0,O10&lt;&gt;"",O10&lt;&gt;0),-R10+O10,"")</s:f>
        <s:v/>
      </s:c>
      <s:c r="T10" s="41" t="str">
        <s:f>IF(AND(S10&lt;&gt;"",S10&lt;&gt;0,R10&lt;&gt;0,R10&lt;&gt;""),S10/R10,"")</s:f>
        <s:v/>
      </s:c>
      <s:c r="U10" s="14"/>
      <s:c r="V10" s="14"/>
      <s:c r="W10" s="5"/>
      <s:c r="X10" s="5"/>
      <s:c r="Y10" s="5"/>
      <s:c r="Z10" s="5"/>
      <s:c r="AA10" s="5"/>
      <s:c r="AB10" s="5"/>
      <s:c r="AC10" s="5"/>
    </s:row>
    <s:row r="11">
      <s:c r="A11" s="15"/>
      <s:c r="B11" s="15"/>
      <s:c r="C11" s="5"/>
      <s:c r="D11" s="5"/>
      <s:c r="E11" s="5"/>
      <s:c r="F11" s="5"/>
      <s:c r="G11" s="5"/>
      <s:c r="H11" s="5"/>
      <s:c r="I11" s="502" t="s">
        <s:v>15</s:v>
      </s:c>
      <s:c r="J11" s="503"/>
      <s:c r="K11" s="504"/>
      <s:c r="L11" s="681">
        <s:f>Центрум!I11</s:f>
        <s:v>6900</s:v>
      </s:c>
      <s:c r="M11" s="677">
        <s:f>F48</s:f>
        <s:v>6174.8387096774195</s:v>
      </s:c>
      <s:c r="N11" s="694">
        <s:f>IF(AND(L11&lt;&gt;"",L11&lt;&gt;0,M11&lt;&gt;""),M11/L11,"")</s:f>
        <s:v>0.89490416082281443</s:v>
      </s:c>
      <s:c r="O11" s="667">
        <s:f>M11</s:f>
        <s:v>6174.8387096774195</s:v>
      </s:c>
      <s:c r="P11" s="100">
        <s:f>IF(AND(L11&lt;&gt;"",L11&lt;&gt;0,O11&lt;&gt;"",O11&lt;&gt;0),O11/L11,"")</s:f>
        <s:v>0.89490416082281443</s:v>
      </s:c>
      <s:c r="Q11" s="31">
        <s:f>IF(AND(M11&lt;&gt;0,M11&lt;&gt;"",L11&lt;&gt;0,L11&lt;&gt;""),O11-L11,"")</s:f>
        <s:v>-725.1612903225805</s:v>
      </s:c>
      <s:c r="R11" s="578"/>
      <s:c r="S11" s="33" t="str">
        <s:f>IF(AND(R11&lt;&gt;"",R11&lt;&gt;0,O11&lt;&gt;"",O11&lt;&gt;0),-R11+O11,"")</s:f>
        <s:v/>
      </s:c>
      <s:c r="T11" s="34" t="str">
        <s:f>IF(AND(S11&lt;&gt;"",S11&lt;&gt;0,R11&lt;&gt;0,R11&lt;&gt;""),S11/R11,"")</s:f>
        <s:v/>
      </s:c>
      <s:c r="U11" s="14"/>
      <s:c r="V11" s="14"/>
      <s:c r="W11" s="5"/>
      <s:c r="X11" s="5"/>
      <s:c r="Y11" s="5"/>
      <s:c r="Z11" s="5"/>
      <s:c r="AA11" s="5"/>
      <s:c r="AB11" s="5"/>
      <s:c r="AC11" s="5"/>
    </s:row>
    <s:row r="12">
      <s:c r="A12" s="15"/>
      <s:c r="B12" s="15"/>
      <s:c r="C12" s="5"/>
      <s:c r="D12" s="5"/>
      <s:c r="E12" s="5"/>
      <s:c r="F12" s="5"/>
      <s:c r="G12" s="5"/>
      <s:c r="H12" s="5"/>
      <s:c r="I12" s="502" t="s">
        <s:v>16</s:v>
      </s:c>
      <s:c r="J12" s="503"/>
      <s:c r="K12" s="504"/>
      <s:c r="L12" s="682">
        <s:f>Центрум!I12</s:f>
        <s:v>1.7</s:v>
      </s:c>
      <s:c r="M12" s="683">
        <s:f>J48</s:f>
        <s:v>1.4090909090909001</s:v>
      </s:c>
      <s:c r="N12" s="694">
        <s:f>IF(AND(L12&lt;&gt;"",L12&lt;&gt;0,M12&lt;&gt;""),M12/L12,"")</s:f>
        <s:v>0.82887700534759301</s:v>
      </s:c>
      <s:c r="O12" s="667">
        <s:f>M12</s:f>
        <s:v>1.4090909090909001</s:v>
      </s:c>
      <s:c r="P12" s="100">
        <s:f>IF(AND(L12&lt;&gt;"",L12&lt;&gt;0,O12&lt;&gt;"",O12&lt;&gt;0),O12/L12,"")</s:f>
        <s:v>0.82887700534759301</s:v>
      </s:c>
      <s:c r="Q12" s="45">
        <s:f>IF(AND(M12&lt;&gt;0,M12&lt;&gt;"",L12&lt;&gt;0,L12&lt;&gt;""),O12-L12,"")</s:f>
        <s:v>-0.29090909090909001</s:v>
      </s:c>
      <s:c r="R12" s="579"/>
      <s:c r="S12" s="33" t="str">
        <s:f>IF(AND(R12&lt;&gt;"",R12&lt;&gt;0,O12&lt;&gt;"",O12&lt;&gt;0),-R12+O12,"")</s:f>
        <s:v/>
      </s:c>
      <s:c r="T12" s="34" t="str">
        <s:f>IF(AND(S12&lt;&gt;"",S12&lt;&gt;0,R12&lt;&gt;0,R12&lt;&gt;""),S12/R12,"")</s:f>
        <s:v/>
      </s:c>
      <s:c r="U12" s="14"/>
      <s:c r="V12" s="14"/>
      <s:c r="W12" s="5"/>
      <s:c r="X12" s="5"/>
      <s:c r="Y12" s="5"/>
      <s:c r="Z12" s="5"/>
      <s:c r="AA12" s="5"/>
      <s:c r="AB12" s="5"/>
      <s:c r="AC12" s="5"/>
    </s:row>
    <s:row r="13">
      <s:c r="A13" s="15"/>
      <s:c r="B13" s="15"/>
      <s:c r="C13" s="5"/>
      <s:c r="D13" s="5"/>
      <s:c r="E13" s="5"/>
      <s:c r="F13" s="5"/>
      <s:c r="G13" s="5"/>
      <s:c r="H13" s="5"/>
      <s:c r="I13" s="502" t="s">
        <s:v>17</s:v>
      </s:c>
      <s:c r="J13" s="503"/>
      <s:c r="K13" s="504"/>
      <s:c r="L13" s="676">
        <s:f>IF(L12&lt;&gt;0,L9/L12,"")</s:f>
        <s:v>47.567567567567572</s:v>
      </s:c>
      <s:c r="M13" s="677">
        <s:f>G48</s:f>
        <s:v>22</s:v>
      </s:c>
      <s:c r="N13" s="694">
        <s:f>IF(AND(L13&lt;&gt;"",L13&lt;&gt;0,M13&lt;&gt;""),M13/L13,"")</s:f>
        <s:v>0.46249999999999997</s:v>
      </s:c>
      <s:c r="O13" s="667">
        <s:f>IF(SUMIF($G$25:$G$47,"&gt;=0",$X$25:$X$47)&lt;&gt;0,L13*G48/SUMIF($G$25:$G$47,"&gt;=0",$X$25:$X$47),"")</s:f>
        <s:v>22.000000000000004</s:v>
      </s:c>
      <s:c r="P13" s="100">
        <s:f>IF(AND(L13&lt;&gt;"",L13&lt;&gt;0,O13&lt;&gt;"",O13&lt;&gt;0),O13/L13,"")</s:f>
        <s:v>0.46250000000000002</s:v>
      </s:c>
      <s:c r="Q13" s="45">
        <s:f>IF(AND(M13&lt;&gt;0,M13&lt;&gt;"",L13&lt;&gt;0,L13&lt;&gt;""),O13-L13,"")</s:f>
        <s:v>-25.567567567567568</s:v>
      </s:c>
      <s:c r="R13" s="580"/>
      <s:c r="S13" s="33" t="str">
        <s:f>IF(AND(R13&lt;&gt;"",R13&lt;&gt;0,O13&lt;&gt;"",O13&lt;&gt;0),-R13+O13,"")</s:f>
        <s:v/>
      </s:c>
      <s:c r="T13" s="34" t="str">
        <s:f>IF(AND(S13&lt;&gt;"",S13&lt;&gt;0,R13&lt;&gt;0,R13&lt;&gt;""),S13/R13,"")</s:f>
        <s:v/>
      </s:c>
      <s:c r="U13" s="14"/>
      <s:c r="V13" s="14"/>
      <s:c r="W13" s="5"/>
      <s:c r="X13" s="5"/>
      <s:c r="Y13" s="5"/>
      <s:c r="Z13" s="5"/>
      <s:c r="AA13" s="5"/>
      <s:c r="AB13" s="5"/>
      <s:c r="AC13" s="5"/>
    </s:row>
    <s:row r="14">
      <s:c r="A14" s="15"/>
      <s:c r="B14" s="15"/>
      <s:c r="C14" s="5"/>
      <s:c r="D14" s="5"/>
      <s:c r="E14" s="5"/>
      <s:c r="F14" s="5"/>
      <s:c r="G14" s="5"/>
      <s:c r="H14" s="5"/>
      <s:c r="I14" s="502" t="s">
        <s:v>65</s:v>
      </s:c>
      <s:c r="J14" s="503"/>
      <s:c r="K14" s="504"/>
      <s:c r="L14" s="681">
        <s:f>График!AI27</s:f>
        <s:v>11</s:v>
      </s:c>
      <s:c r="M14" s="684">
        <s:v>11</s:v>
      </s:c>
      <s:c r="N14" s="694">
        <s:f>IF(AND(L14&lt;&gt;"",L14&lt;&gt;0,M14&lt;&gt;""),M14/L14,"")</s:f>
        <s:v>1</s:v>
      </s:c>
      <s:c r="O14" s="667">
        <s:f>IF(SUMIF($D$25:$D$47,"&gt;=0",$V$25:$V$47),I48*L8/SUMIF($D$25:$D$47,"&gt;=0",$V$25:$V$47),"")</s:f>
        <s:v>201.6</s:v>
      </s:c>
      <s:c r="P14" s="100"/>
      <s:c r="Q14" s="31">
        <s:f>IF(AND(M14&lt;&gt;0,M14&lt;&gt;"",L14&lt;&gt;0,L14&lt;&gt;""),O14-L14,"")</s:f>
        <s:v>190.6</s:v>
      </s:c>
      <s:c r="R14" s="580"/>
      <s:c r="S14" s="33" t="str">
        <s:f>IF(AND(R14&lt;&gt;"",R14&lt;&gt;0,O14&lt;&gt;"",O14&lt;&gt;0),-R14+O14,"")</s:f>
        <s:v/>
      </s:c>
      <s:c r="T14" s="34" t="str">
        <s:f>IF(AND(S14&lt;&gt;"",S14&lt;&gt;0,R14&lt;&gt;0,R14&lt;&gt;""),S14/R14,"")</s:f>
        <s:v/>
      </s:c>
      <s:c r="U14" s="14"/>
      <s:c r="V14" s="14"/>
      <s:c r="W14" s="5"/>
      <s:c r="X14" s="5"/>
      <s:c r="Y14" s="5"/>
      <s:c r="Z14" s="5"/>
      <s:c r="AA14" s="5"/>
      <s:c r="AB14" s="5"/>
      <s:c r="AC14" s="5"/>
    </s:row>
    <s:row r="15">
      <s:c r="A15" s="15"/>
      <s:c r="B15" s="15"/>
      <s:c r="C15" s="5"/>
      <s:c r="D15" s="5"/>
      <s:c r="E15" s="5"/>
      <s:c r="F15" s="5"/>
      <s:c r="G15" s="5"/>
      <s:c r="H15" s="5"/>
      <s:c r="I15" s="502" t="s">
        <s:v>19</s:v>
      </s:c>
      <s:c r="J15" s="503"/>
      <s:c r="K15" s="504"/>
      <s:c r="L15" s="696">
        <s:f>Центрум!I15/2</s:f>
        <s:v>31280</s:v>
      </s:c>
      <s:c r="M15" s="52">
        <s:f>M8/M14</s:f>
        <s:v>17401.81818181818</s:v>
      </s:c>
      <s:c r="N15" s="697">
        <s:f>IF(AND(L15&lt;&gt;"",L15&lt;&gt;0,M15&lt;&gt;""),M15/L15,"")</s:f>
        <s:v>0.55632411067193666</s:v>
      </s:c>
      <s:c r="O15" s="668">
        <s:f>M15</s:f>
        <s:v>17401.81818181818</s:v>
      </s:c>
      <s:c r="P15" s="100">
        <s:f>IF(AND(L15&lt;&gt;"",L15&lt;&gt;0,O15&lt;&gt;"",O15&lt;&gt;0),O15/L15,"")</s:f>
        <s:v>0.55632411067193666</s:v>
      </s:c>
      <s:c r="Q15" s="31">
        <s:f>IF(AND(M15&lt;&gt;0,M15&lt;&gt;"",L15&lt;&gt;0,L15&lt;&gt;""),O15-L15,"")</s:f>
        <s:v>-13878.18181818182</s:v>
      </s:c>
      <s:c r="R15" s="581"/>
      <s:c r="S15" s="33" t="str">
        <s:f>IF(AND(R15&lt;&gt;"",R15&lt;&gt;0,O15&lt;&gt;"",O15&lt;&gt;0),-R15+O15,"")</s:f>
        <s:v/>
      </s:c>
      <s:c r="T15" s="34" t="str">
        <s:f>IF(AND(S15&lt;&gt;"",S15&lt;&gt;0,R15&lt;&gt;0,R15&lt;&gt;""),S15/R15,"")</s:f>
        <s:v/>
      </s:c>
      <s:c r="U15" s="14"/>
      <s:c r="V15" s="14"/>
      <s:c r="W15" s="5"/>
      <s:c r="X15" s="5"/>
      <s:c r="Y15" s="5"/>
      <s:c r="Z15" s="5"/>
      <s:c r="AA15" s="5"/>
      <s:c r="AB15" s="5"/>
      <s:c r="AC15" s="5"/>
    </s:row>
    <s:row r="16" spans="1:29" ht="16" customHeight="1">
      <s:c r="A16" s="15"/>
      <s:c r="B16" s="15"/>
      <s:c r="C16" s="5"/>
      <s:c r="D16" s="5"/>
      <s:c r="E16" s="5"/>
      <s:c r="F16" s="5"/>
      <s:c r="G16" s="5"/>
      <s:c r="H16" s="5"/>
      <s:c r="I16" s="502" t="s">
        <s:v>20</s:v>
      </s:c>
      <s:c r="J16" s="503"/>
      <s:c r="K16" s="504"/>
      <s:c r="L16" s="696"/>
      <s:c r="M16" s="52">
        <s:f>M8-L15*M14</s:f>
        <s:v>-152660</s:v>
      </s:c>
      <s:c r="N16" s="697" t="str">
        <s:f>IF(AND(L16&lt;&gt;"",L16&lt;&gt;0,M16&lt;&gt;""),M16/L16,"")</s:f>
        <s:v/>
      </s:c>
      <s:c r="O16" s="668">
        <s:f>M16</s:f>
        <s:v>-152660</s:v>
      </s:c>
      <s:c r="P16" s="102" t="str">
        <s:f>IF(AND(L16&lt;&gt;"",L16&lt;&gt;0,O16&lt;&gt;"",O16&lt;&gt;0),O16/L16,"")</s:f>
        <s:v/>
      </s:c>
      <s:c r="Q16" s="31" t="str">
        <s:f>IF(AND(M16&lt;&gt;0,M16&lt;&gt;"",L16&lt;&gt;0,L16&lt;&gt;""),O16-L16,"")</s:f>
        <s:v/>
      </s:c>
      <s:c r="R16" s="581"/>
      <s:c r="S16" s="33" t="str">
        <s:f>IF(AND(R16&lt;&gt;"",R16&lt;&gt;0,O16&lt;&gt;"",O16&lt;&gt;0),-R16+O16,"")</s:f>
        <s:v/>
      </s:c>
      <s:c r="T16" s="34" t="str">
        <s:f>IF(AND(S16&lt;&gt;"",S16&lt;&gt;0,R16&lt;&gt;0,R16&lt;&gt;""),S16/R16,"")</s:f>
        <s:v/>
      </s:c>
      <s:c r="U16" s="14"/>
      <s:c r="V16" s="783" t="s">
        <s:v>21</s:v>
      </s:c>
      <s:c r="W16" s="5"/>
      <s:c r="X16" s="5"/>
      <s:c r="Y16" s="5"/>
      <s:c r="Z16" s="5"/>
      <s:c r="AA16" s="5"/>
      <s:c r="AB16" s="5"/>
      <s:c r="AC16" s="5"/>
    </s:row>
    <s:row r="17">
      <s:c r="A17" s="15"/>
      <s:c r="B17" s="15"/>
      <s:c r="C17" s="5"/>
      <s:c r="D17" s="5"/>
      <s:c r="E17" s="5"/>
      <s:c r="F17" s="5"/>
      <s:c r="G17" s="5"/>
      <s:c r="H17" s="5"/>
      <s:c r="I17" s="502" t="s">
        <s:v>22</s:v>
      </s:c>
      <s:c r="J17" s="503"/>
      <s:c r="K17" s="504"/>
      <s:c r="L17" s="696">
        <s:f>Центрум!I17/График!AJ29*График!AJ27</s:f>
        <s:v>475.67567567567568</s:v>
      </s:c>
      <s:c r="M17" s="52">
        <s:f>I48</s:f>
        <s:v>201.6</s:v>
      </s:c>
      <s:c r="N17" s="697">
        <s:f>IF(AND(L17&lt;&gt;"",L17&lt;&gt;0,M17&lt;&gt;""),M17/L17,"")</s:f>
        <s:v>0.42381818181818182</s:v>
      </s:c>
      <s:c r="O17" s="668">
        <s:f>M17/M14*L14</s:f>
        <s:v>201.60000000000002</s:v>
      </s:c>
      <s:c r="P17" s="102">
        <s:f>IF(AND(L17&lt;&gt;"",L17&lt;&gt;0,O17&lt;&gt;"",O17&lt;&gt;0),O17/L17,"")</s:f>
        <s:v>0.42381818181818187</s:v>
      </s:c>
      <s:c r="Q17" s="31">
        <s:f>IF(AND(M17&lt;&gt;0,M17&lt;&gt;"",L17&lt;&gt;0,L17&lt;&gt;""),O17-L17,"")</s:f>
        <s:v>-274.07567567567565</s:v>
      </s:c>
      <s:c r="R17" s="581"/>
      <s:c r="S17" s="33" t="str">
        <s:f>IF(AND(R17&lt;&gt;"",R17&lt;&gt;0,O17&lt;&gt;"",O17&lt;&gt;0),-R17+O17,"")</s:f>
        <s:v/>
      </s:c>
      <s:c r="T17" s="34" t="str">
        <s:f>IF(AND(S17&lt;&gt;"",S17&lt;&gt;0,R17&lt;&gt;0,R17&lt;&gt;""),S17/R17,"")</s:f>
        <s:v/>
      </s:c>
      <s:c r="U17" s="14"/>
      <s:c r="V17" s="846"/>
      <s:c r="W17" s="5"/>
      <s:c r="X17" s="5"/>
      <s:c r="Y17" s="5"/>
      <s:c r="Z17" s="5"/>
      <s:c r="AA17" s="5"/>
      <s:c r="AB17" s="5"/>
      <s:c r="AC17" s="5"/>
    </s:row>
    <s:row r="18">
      <s:c r="A18" s="15"/>
      <s:c r="B18" s="15"/>
      <s:c r="C18" s="5"/>
      <s:c r="D18" s="5"/>
      <s:c r="E18" s="5"/>
      <s:c r="F18" s="5"/>
      <s:c r="G18" s="5"/>
      <s:c r="H18" s="5"/>
      <s:c r="I18" s="502" t="s">
        <s:v>122</s:v>
      </s:c>
      <s:c r="J18" s="503"/>
      <s:c r="K18" s="504"/>
      <s:c r="L18" s="676">
        <s:f>L8/L17</s:f>
        <s:v>1173</s:v>
      </s:c>
      <s:c r="M18" s="677">
        <s:f>M8/M17</s:f>
        <s:v>949.50396825396831</s:v>
      </s:c>
      <s:c r="N18" s="697">
        <s:f>IF(AND(L18&lt;&gt;"",L18&lt;&gt;0,M18&lt;&gt;""),M18/L18,"")</s:f>
        <s:v>0.80946629859673347</s:v>
      </s:c>
      <s:c r="O18" s="668">
        <s:f>M18</s:f>
        <s:v>949.50396825396831</s:v>
      </s:c>
      <s:c r="P18" s="102">
        <s:f>IF(AND(L18&lt;&gt;"",L18&lt;&gt;0,O18&lt;&gt;"",O18&lt;&gt;0),O18/L18,"")</s:f>
        <s:v>0.80946629859673347</s:v>
      </s:c>
      <s:c r="Q18" s="31">
        <s:f>IF(AND(M18&lt;&gt;0,M18&lt;&gt;"",L18&lt;&gt;0,L18&lt;&gt;""),O18-L18,"")</s:f>
        <s:v>-223.49603174603169</s:v>
      </s:c>
      <s:c r="R18" s="582">
        <s:v>0</s:v>
      </s:c>
      <s:c r="S18" s="33" t="str">
        <s:f>IF(AND(R18&lt;&gt;"",R18&lt;&gt;0,O18&lt;&gt;"",O18&lt;&gt;0),-R18+O18,"")</s:f>
        <s:v/>
      </s:c>
      <s:c r="T18" s="34" t="str">
        <s:f>IF(AND(S18&lt;&gt;"",S18&lt;&gt;0,R18&lt;&gt;0,R18&lt;&gt;""),S18/R18,"")</s:f>
        <s:v/>
      </s:c>
      <s:c r="U18" s="14"/>
      <s:c r="V18" s="51"/>
      <s:c r="W18" s="5"/>
      <s:c r="X18" s="5"/>
      <s:c r="Y18" s="5"/>
      <s:c r="Z18" s="5"/>
      <s:c r="AA18" s="5"/>
      <s:c r="AB18" s="5"/>
      <s:c r="AC18" s="5"/>
    </s:row>
    <s:row r="19">
      <s:c r="A19" s="15"/>
      <s:c r="B19" s="15"/>
      <s:c r="C19" s="5"/>
      <s:c r="D19" s="5"/>
      <s:c r="E19" s="5"/>
      <s:c r="F19" s="5"/>
      <s:c r="G19" s="5"/>
      <s:c r="H19" s="5"/>
      <s:c r="I19" s="502"/>
      <s:c r="J19" s="503"/>
      <s:c r="K19" s="504"/>
      <s:c r="L19" s="685"/>
      <s:c r="M19" s="52"/>
      <s:c r="N19" s="697" t="str">
        <s:f>IF(AND(L19&lt;&gt;"",L19&lt;&gt;0,M19&lt;&gt;""),M19/L19,"")</s:f>
        <s:v/>
      </s:c>
      <s:c r="O19" s="668">
        <s:f>M19</s:f>
        <s:v>0</s:v>
      </s:c>
      <s:c r="P19" s="102" t="str">
        <s:f>IF(AND(L19&lt;&gt;"",L19&lt;&gt;0,O19&lt;&gt;"",O19&lt;&gt;0),O19/L19,"")</s:f>
        <s:v/>
      </s:c>
      <s:c r="Q19" s="31" t="str">
        <s:f>IF(AND(M19&lt;&gt;0,M19&lt;&gt;"",L19&lt;&gt;0,L19&lt;&gt;""),O19-L19,"")</s:f>
        <s:v/>
      </s:c>
      <s:c r="R19" s="581">
        <s:v>0</s:v>
      </s:c>
      <s:c r="S19" s="33" t="str">
        <s:f>IF(AND(R19&lt;&gt;"",R19&lt;&gt;0,O19&lt;&gt;"",O19&lt;&gt;0),-R19+O19,"")</s:f>
        <s:v/>
      </s:c>
      <s:c r="T19" s="34" t="str">
        <s:f>IF(AND(S19&lt;&gt;"",S19&lt;&gt;0,R19&lt;&gt;0,R19&lt;&gt;""),S19/R19,"")</s:f>
        <s:v/>
      </s:c>
      <s:c r="U19" s="14"/>
      <s:c r="V19" s="29" t="e">
        <s:f>V18/L16</s:f>
        <s:v>#DIV/0!</s:v>
      </s:c>
      <s:c r="W19" s="5"/>
      <s:c r="X19" s="5"/>
      <s:c r="Y19" s="5"/>
      <s:c r="Z19" s="5"/>
      <s:c r="AA19" s="5"/>
      <s:c r="AB19" s="5"/>
      <s:c r="AC19" s="5"/>
    </s:row>
    <s:row r="20">
      <s:c r="A20" s="15"/>
      <s:c r="B20" s="15"/>
      <s:c r="C20" s="5"/>
      <s:c r="D20" s="5"/>
      <s:c r="E20" s="5"/>
      <s:c r="F20" s="5"/>
      <s:c r="G20" s="5"/>
      <s:c r="H20" s="5"/>
      <s:c r="I20" s="508" t="s">
        <s:v>70</s:v>
      </s:c>
      <s:c r="J20" s="509"/>
      <s:c r="K20" s="510"/>
      <s:c r="L20" s="698">
        <s:f>Центрум!I20</s:f>
        <s:v>0.1</s:v>
      </s:c>
      <s:c r="M20" s="699">
        <s:f>T48</s:f>
        <s:v>0.109126984126984</s:v>
      </s:c>
      <s:c r="N20" s="688">
        <s:f>M20/L20</s:f>
        <s:v>1.0912698412698401</s:v>
      </s:c>
      <s:c r="O20" s="669">
        <s:f>IF(AND(N8&lt;&gt;0,L14&lt;&gt;0,I48&lt;&gt;0),(I48*T48+(I48/N8-I48)*L20)/(I48/N8),0)</s:f>
        <s:v>0.10313116281866276</s:v>
      </s:c>
      <s:c r="P20" s="104">
        <s:f>IF(AND(L20&lt;&gt;"",L20&lt;&gt;0,O20&lt;&gt;"",O20&lt;&gt;0),O20/L20,"")</s:f>
        <s:v>1.0313116281866275</s:v>
      </s:c>
      <s:c r="Q20" s="56">
        <s:f>IF(AND(M20&lt;&gt;0,M20&lt;&gt;"",L20&lt;&gt;0,L20&lt;&gt;""),O20-L20,"")</s:f>
        <s:v>3.1311628186627555E-3</s:v>
      </s:c>
      <s:c r="R20" s="583"/>
      <s:c r="S20" s="573" t="str">
        <s:f>IF(AND(R20&lt;&gt;"",R20&lt;&gt;0,O20&lt;&gt;"",O20&lt;&gt;0),-R20+O20,"")</s:f>
        <s:v/>
      </s:c>
      <s:c r="T20" s="59" t="str">
        <s:f>IF(AND(S20&lt;&gt;"",S20&lt;&gt;0,R20&lt;&gt;0,R20&lt;&gt;""),S20/R20,"")</s:f>
        <s:v/>
      </s:c>
      <s:c r="U20" s="14"/>
      <s:c r="V20" s="14"/>
      <s:c r="W20" s="5"/>
      <s:c r="X20" s="5"/>
      <s:c r="Y20" s="5"/>
      <s:c r="Z20" s="5"/>
      <s:c r="AA20" s="5"/>
      <s:c r="AB20" s="5"/>
      <s:c r="AC20" s="5"/>
    </s:row>
    <s:row r="21">
      <s:c r="A21" s="15"/>
      <s:c r="B21" s="15"/>
      <s:c r="C21" s="5"/>
      <s:c r="D21" s="5"/>
      <s:c r="E21" s="5"/>
      <s:c r="F21" s="5"/>
      <s:c r="G21" s="5"/>
      <s:c r="H21" s="5"/>
      <s:c r="I21" s="5"/>
      <s:c r="J21" s="5"/>
      <s:c r="K21" s="5"/>
      <s:c r="L21" s="5"/>
      <s:c r="M21" s="5"/>
      <s:c r="N21" s="5"/>
      <s:c r="O21" s="5"/>
      <s:c r="P21" s="5"/>
      <s:c r="Q21" s="5"/>
      <s:c r="R21" s="5"/>
      <s:c r="S21" s="5"/>
      <s:c r="T21" s="5"/>
      <s:c r="U21" s="5"/>
      <s:c r="V21" s="5"/>
      <s:c r="W21" s="5"/>
      <s:c r="X21" s="17"/>
      <s:c r="Y21" s="17"/>
      <s:c r="Z21" s="5"/>
      <s:c r="AA21" s="5"/>
      <s:c r="AB21" s="5"/>
      <s:c r="AC21" s="5"/>
    </s:row>
    <s:row r="22" spans="1:39" ht="22" customHeight="1" thickBot="1">
      <s:c r="A22" s="856" t="s">
        <s:v>24</s:v>
      </s:c>
      <s:c r="B22" s="857"/>
      <s:c r="C22" s="857"/>
      <s:c r="D22" s="857"/>
      <s:c r="E22" s="857"/>
      <s:c r="F22" s="857"/>
      <s:c r="G22" s="857"/>
      <s:c r="H22" s="857"/>
      <s:c r="I22" s="857"/>
      <s:c r="J22" s="857"/>
      <s:c r="K22" s="857"/>
      <s:c r="L22" s="857"/>
      <s:c r="M22" s="857"/>
      <s:c r="N22" s="857"/>
      <s:c r="O22" s="857"/>
      <s:c r="P22" s="857"/>
      <s:c r="Q22" s="857"/>
      <s:c r="R22" s="857"/>
      <s:c r="S22" s="857"/>
      <s:c r="T22" s="857"/>
      <s:c r="U22" s="858"/>
      <s:c r="V22" s="857" t="s">
        <s:v>25</s:v>
      </s:c>
      <s:c r="W22" s="857"/>
      <s:c r="X22" s="857"/>
      <s:c r="Y22" s="857"/>
      <s:c r="Z22" s="857"/>
      <s:c r="AA22" s="857"/>
      <s:c r="AB22" s="857"/>
      <s:c r="AC22" s="858"/>
    </s:row>
    <s:row r="23" ht="48">
      <s:c r="B23" s="404" t="s">
        <s:v>27</s:v>
      </s:c>
      <s:c r="C23" s="404" t="s">
        <s:v>28</s:v>
      </s:c>
      <s:c r="D23" s="404" t="s">
        <s:v>29</s:v>
      </s:c>
      <s:c r="E23" s="404" t="s">
        <s:v>30</s:v>
      </s:c>
      <s:c r="F23" s="404" t="s">
        <s:v>31</s:v>
      </s:c>
      <s:c r="G23" s="404" t="s">
        <s:v>32</s:v>
      </s:c>
      <s:c r="H23" s="404" t="s">
        <s:v>33</s:v>
      </s:c>
      <s:c r="I23" s="404" t="s">
        <s:v>22</s:v>
      </s:c>
      <s:c r="J23" s="427" t="s">
        <s:v>34</s:v>
      </s:c>
      <s:c r="K23" s="428" t="s">
        <s:v>35</s:v>
      </s:c>
      <s:c r="L23" s="405" t="s">
        <s:v>36</s:v>
      </s:c>
      <s:c r="M23" s="405" t="s">
        <s:v>37</s:v>
      </s:c>
      <s:c r="N23" s="405" t="s">
        <s:v>38</s:v>
      </s:c>
      <s:c r="O23" s="405" t="s">
        <s:v>39</s:v>
      </s:c>
      <s:c r="P23" s="405" t="s">
        <s:v>40</s:v>
      </s:c>
      <s:c r="Q23" s="405" t="s">
        <s:v>41</s:v>
      </s:c>
      <s:c r="R23" s="405" t="s">
        <s:v>42</s:v>
      </s:c>
      <s:c r="S23" s="429" t="s">
        <s:v>43</s:v>
      </s:c>
      <s:c r="T23" s="430" t="s">
        <s:v>44</s:v>
      </s:c>
      <s:c r="U23" s="430" t="s">
        <s:v>45</s:v>
      </s:c>
      <s:c r="V23" s="438" t="s">
        <s:v>46</s:v>
      </s:c>
      <s:c r="W23" s="439" t="s">
        <s:v>47</s:v>
      </s:c>
      <s:c r="X23" s="439" t="s">
        <s:v>48</s:v>
      </s:c>
      <s:c r="Y23" s="439" t="s">
        <s:v>49</s:v>
      </s:c>
      <s:c r="Z23" s="439" t="s">
        <s:v>50</s:v>
      </s:c>
      <s:c r="AA23" s="439" t="s">
        <s:v>51</s:v>
      </s:c>
      <s:c r="AB23" s="440" t="s">
        <s:v>52</s:v>
      </s:c>
      <s:c r="AC23" s="441" t="s">
        <s:v>53</s:v>
      </s:c>
      <s:c r="AD23" s="89"/>
    </s:row>
    <s:row r="24">
      <s:c r="A24" s="106"/>
      <s:c r="B24" s="107">
        <s:v>1</s:v>
      </s:c>
      <s:c r="C24" s="108">
        <s:v>2</s:v>
      </s:c>
      <s:c r="D24" s="109">
        <s:v>3</s:v>
      </s:c>
      <s:c r="E24" s="109" t="s">
        <s:v>71</s:v>
      </s:c>
      <s:c r="F24" s="108">
        <s:v>5</s:v>
      </s:c>
      <s:c r="G24" s="109">
        <s:v>6</s:v>
      </s:c>
      <s:c r="H24" s="108">
        <s:v>7</s:v>
      </s:c>
      <s:c r="I24" s="109">
        <s:v>8</s:v>
      </s:c>
      <s:c r="J24" s="406">
        <s:v>9</s:v>
      </s:c>
      <s:c r="K24" s="410">
        <s:v>10</s:v>
      </s:c>
      <s:c r="L24" s="411">
        <s:v>11</s:v>
      </s:c>
      <s:c r="M24" s="411">
        <s:v>12</s:v>
      </s:c>
      <s:c r="N24" s="411">
        <s:v>13</s:v>
      </s:c>
      <s:c r="O24" s="109">
        <s:v>14</s:v>
      </s:c>
      <s:c r="P24" s="61">
        <s:v>15</s:v>
      </s:c>
      <s:c r="Q24" s="109">
        <s:v>16</s:v>
      </s:c>
      <s:c r="R24" s="61">
        <s:v>17</s:v>
      </s:c>
      <s:c r="S24" s="412"/>
      <s:c r="T24" s="431">
        <s:v>18</s:v>
      </s:c>
      <s:c r="U24" s="435"/>
      <s:c r="V24" s="442">
        <s:v>1</s:v>
      </s:c>
      <s:c r="W24" s="110">
        <s:v>2</s:v>
      </s:c>
      <s:c r="X24" s="110">
        <s:v>3</s:v>
      </s:c>
      <s:c r="Y24" s="110">
        <s:v>4</s:v>
      </s:c>
      <s:c r="Z24" s="110">
        <s:v>5</s:v>
      </s:c>
      <s:c r="AA24" s="110">
        <s:v>6</s:v>
      </s:c>
      <s:c r="AB24" s="110">
        <s:v>10</s:v>
      </s:c>
      <s:c r="AC24" s="443">
        <s:v>11</s:v>
      </s:c>
    </s:row>
    <s:row r="25">
      <s:c r="A25" s="111">
        <s:v>1</s:v>
      </s:c>
      <s:c r="B25" s="64">
        <s:v>46113</s:v>
      </s:c>
      <s:c r="C25" s="65" t="s">
        <s:v>57</s:v>
      </s:c>
      <s:c r="D25" s="725">
        <s:v>27636</s:v>
      </s:c>
      <s:c r="E25" s="74">
        <s:v>6</s:v>
      </s:c>
      <s:c r="F25" s="67">
        <s:f>IF(AND(E25&lt;&gt;"",E25&lt;&gt;0),D25/E25,"")</s:f>
        <s:v>4606</s:v>
      </s:c>
      <s:c r="G25" s="74">
        <s:v>4</s:v>
      </s:c>
      <s:c r="H25" s="67">
        <s:f>IF(AND(G25&lt;&gt;"",G25&lt;&gt;0),D25/G25,"")</s:f>
        <s:v>6909</s:v>
      </s:c>
      <s:c r="I25" s="571">
        <s:v>35</s:v>
      </s:c>
      <s:c r="J25" s="136">
        <s:f>IF(AND(G25&lt;&gt;"",G25&lt;&gt;0),E25/G25,"")</s:f>
        <s:v>1.5</s:v>
      </s:c>
      <s:c r="K25" s="413"/>
      <s:c r="L25" s="66"/>
      <s:c r="M25" s="66"/>
      <s:c r="N25" s="66"/>
      <s:c r="O25" s="66"/>
      <s:c r="P25" s="66"/>
      <s:c r="Q25" s="66"/>
      <s:c r="R25" s="66"/>
      <s:c r="S25" s="414"/>
      <s:c r="T25" s="432">
        <s:f>IF(AND(I25&lt;&gt;"",I25&lt;&gt;0),G25/I25,"")</s:f>
        <s:v>0.11428571428571428</s:v>
      </s:c>
      <s:c r="U25" s="436">
        <s:f>D25/V25</s:f>
        <s:v>0.49529760520809113</s:v>
      </s:c>
      <s:c r="V25" s="444">
        <s:f>$L$8*AB25*AC25/SUMPRODUCT($AC$25:$AC$55,$AB$25:$AB$55)</s:f>
        <s:v>55796.75675675676</s:v>
      </s:c>
      <s:c r="W25" s="71">
        <s:f>$L$9*AB25*AC25/SUMPRODUCT($AC$25:$AC$55,$AB$25:$AB$55)</s:f>
        <s:v>8.0864864864864874</s:v>
      </s:c>
      <s:c r="X25" s="71">
        <s:f>IF($L$12="","",W25/$L$12)</s:f>
        <s:v>4.756756756756757</s:v>
      </s:c>
      <s:c r="Y25" s="70">
        <s:f>IF(AC25&lt;&gt;"",IF(D25&lt;&gt;"",D25,($L$8-SUM($Y24:Y$25))*AB25*AC25/SUMPRODUCT($AC25:$AC$55,$AB25:$AB$55)),"")</s:f>
        <s:v>27636</s:v>
      </s:c>
      <s:c r="Z25" s="71">
        <s:f>IF(AC25&lt;&gt;"",IF(E25&lt;&gt;"",E25,($L$9-SUM($Z24:Z$25))*AB25*AC25/SUMPRODUCT($AC25:$AC$55,$AB25:$AB$55)),"")</s:f>
        <s:v>6</s:v>
      </s:c>
      <s:c r="AA25" s="71">
        <s:f>IF(AC25&lt;&gt;"",IF($L$12&lt;&gt;"",IF(G25&lt;&gt;"",G25,($L$9/$L$12-SUM($AA24:AA$25))*AB25*AC25/SUMPRODUCT($AC25:$AC$55,$AB25:$AB$55)),""),"")</s:f>
        <s:v>4</s:v>
      </s:c>
      <s:c r="AB25" s="132">
        <s:v>1</s:v>
      </s:c>
      <s:c r="AC25" s="445">
        <s:v>1</s:v>
      </s:c>
      <s:c r="AD25" s="72"/>
      <s:c r="AE25" s="72"/>
      <s:c r="AF25" s="77"/>
      <s:c r="AG25" s="2"/>
      <s:c r="AH25" s="2"/>
      <s:c r="AI25" s="2"/>
      <s:c r="AJ25" s="2"/>
      <s:c r="AK25" s="2"/>
      <s:c r="AL25" s="2"/>
      <s:c r="AM25" s="2"/>
    </s:row>
    <s:row r="26">
      <s:c r="A26" s="112">
        <s:v>2</s:v>
      </s:c>
      <s:c r="B26" s="113">
        <s:v>46116</s:v>
      </s:c>
      <s:c r="C26" s="65" t="s">
        <s:v>60</s:v>
      </s:c>
      <s:c r="D26" s="726">
        <s:v>30939</s:v>
      </s:c>
      <s:c r="E26" s="67">
        <s:v>5</s:v>
      </s:c>
      <s:c r="F26" s="67">
        <s:f>IF(AND(E26&lt;&gt;"",E26&lt;&gt;0),D26/E26,"")</s:f>
        <s:v>6187.8</s:v>
      </s:c>
      <s:c r="G26" s="67">
        <s:v>4</s:v>
      </s:c>
      <s:c r="H26" s="67">
        <s:f>IF(AND(G26&lt;&gt;"",G26&lt;&gt;0),D26/G26,"")</s:f>
        <s:v>7734.75</s:v>
      </s:c>
      <s:c r="I26" s="453">
        <s:v>30</s:v>
      </s:c>
      <s:c r="J26" s="136">
        <s:f>IF(AND(G26&lt;&gt;"",G26&lt;&gt;0),E26/G26,"")</s:f>
        <s:v>1.25</s:v>
      </s:c>
      <s:c r="K26" s="413"/>
      <s:c r="L26" s="66"/>
      <s:c r="M26" s="66"/>
      <s:c r="N26" s="66"/>
      <s:c r="O26" s="66"/>
      <s:c r="P26" s="66"/>
      <s:c r="Q26" s="66"/>
      <s:c r="R26" s="66"/>
      <s:c r="S26" s="759">
        <s:v>4263</s:v>
      </s:c>
      <s:c r="T26" s="432">
        <s:f>IF(AND(I26&lt;&gt;"",I26&lt;&gt;0),G26/I26,"")</s:f>
        <s:v>0.133333333333333</s:v>
      </s:c>
      <s:c r="U26" s="436">
        <s:f>D26/V26</s:f>
        <s:v>0.55449459428039982</s:v>
      </s:c>
      <s:c r="V26" s="444">
        <s:f>$L$8*AB26*AC26/SUMPRODUCT($AC$25:$AC$55,$AB$25:$AB$55)</s:f>
        <s:v>55796.75675675676</s:v>
      </s:c>
      <s:c r="W26" s="71">
        <s:f>$L$9*AB26*AC26/SUMPRODUCT($AC$25:$AC$55,$AB$25:$AB$55)</s:f>
        <s:v>8.0864864864864874</s:v>
      </s:c>
      <s:c r="X26" s="71">
        <s:f>IF($L$12="","",W26/$L$12)</s:f>
        <s:v>4.756756756756757</s:v>
      </s:c>
      <s:c r="Y26" s="70">
        <s:f>IF(AC26&lt;&gt;"",IF(D26&lt;&gt;"",D26,($L$8-SUM($Y$25:Y25))*AB26*AC26/SUMPRODUCT($AC26:$AC$55,$AB26:$AB$55)),"")</s:f>
        <s:v>30939</s:v>
      </s:c>
      <s:c r="Z26" s="71">
        <s:f>IF(AC26&lt;&gt;"",IF(E26&lt;&gt;"",E26,($L$9-SUM($Z$25:Z25))*AB26*AC26/SUMPRODUCT($AC26:$AC$55,$AB26:$AB$55)),"")</s:f>
        <s:v>5</s:v>
      </s:c>
      <s:c r="AA26" s="71">
        <s:f>IF(AC26&lt;&gt;"",IF($L$12&lt;&gt;"",IF(G26&lt;&gt;"",G26,($L$9/$L$12-SUM($AA$25:AA25))*AB26*AC26/SUMPRODUCT($AC26:$AC$55,$AB26:$AB$55)),""),"")</s:f>
        <s:v>4</s:v>
      </s:c>
      <s:c r="AB26" s="132">
        <s:v>1</s:v>
      </s:c>
      <s:c r="AC26" s="445">
        <s:v>1</s:v>
      </s:c>
      <s:c r="AD26" s="72"/>
      <s:c r="AE26" s="75"/>
      <s:c r="AF26" s="2"/>
      <s:c r="AG26" s="2"/>
      <s:c r="AH26" s="2"/>
      <s:c r="AI26" s="2"/>
      <s:c r="AJ26" s="2"/>
      <s:c r="AK26" s="2"/>
      <s:c r="AL26" s="2"/>
      <s:c r="AM26" s="2"/>
    </s:row>
    <s:row r="27">
      <s:c r="A27" s="112">
        <s:v>3</s:v>
      </s:c>
      <s:c r="B27" s="113">
        <s:v>46117</s:v>
      </s:c>
      <s:c r="C27" s="65" t="s">
        <s:v>54</s:v>
      </s:c>
      <s:c r="D27" s="726">
        <s:v>18674</s:v>
      </s:c>
      <s:c r="E27" s="67">
        <s:v>3</s:v>
      </s:c>
      <s:c r="F27" s="67">
        <s:f>IF(AND(E27&lt;&gt;"",E27&lt;&gt;0),D27/E27,"")</s:f>
        <s:v>6224.6666666666597</s:v>
      </s:c>
      <s:c r="G27" s="67">
        <s:v>3</s:v>
      </s:c>
      <s:c r="H27" s="67">
        <s:f>IF(AND(G27&lt;&gt;"",G27&lt;&gt;0),D27/G27,"")</s:f>
        <s:v>6224.6666666666597</s:v>
      </s:c>
      <s:c r="I27" s="453">
        <s:v>22</s:v>
      </s:c>
      <s:c r="J27" s="136">
        <s:f>IF(AND(G27&lt;&gt;"",G27&lt;&gt;0),E27/G27,"")</s:f>
        <s:v>1</s:v>
      </s:c>
      <s:c r="K27" s="413"/>
      <s:c r="L27" s="66"/>
      <s:c r="M27" s="66"/>
      <s:c r="N27" s="66"/>
      <s:c r="O27" s="66"/>
      <s:c r="P27" s="66"/>
      <s:c r="Q27" s="66"/>
      <s:c r="R27" s="66"/>
      <s:c r="S27" s="415"/>
      <s:c r="T27" s="432">
        <s:f>IF(AND(I27&lt;&gt;"",I27&lt;&gt;0),G27/I27,"")</s:f>
        <s:v>0.13636363636363599</s:v>
      </s:c>
      <s:c r="U27" s="436">
        <s:f>D27/V27</s:f>
        <s:v>0.33467895063163605</s:v>
      </s:c>
      <s:c r="V27" s="444">
        <s:f>$L$8*AB27*AC27/SUMPRODUCT($AC$25:$AC$55,$AB$25:$AB$55)</s:f>
        <s:v>55796.75675675676</s:v>
      </s:c>
      <s:c r="W27" s="71">
        <s:f>$L$9*AB27*AC27/SUMPRODUCT($AC$25:$AC$55,$AB$25:$AB$55)</s:f>
        <s:v>8.0864864864864874</s:v>
      </s:c>
      <s:c r="X27" s="71">
        <s:f>IF($L$12="","",W27/$L$12)</s:f>
        <s:v>4.756756756756757</s:v>
      </s:c>
      <s:c r="Y27" s="70">
        <s:f>IF(AC27&lt;&gt;"",IF(D27&lt;&gt;"",D27,($L$8-SUM($Y$25:Y26))*AB27*AC27/SUMPRODUCT($AC27:$AC$55,$AB27:$AB$55)),"")</s:f>
        <s:v>18674</s:v>
      </s:c>
      <s:c r="Z27" s="71">
        <s:f>IF(AC27&lt;&gt;"",IF(E27&lt;&gt;"",E27,($L$9-SUM($Z$25:Z26))*AB27*AC27/SUMPRODUCT($AC27:$AC$55,$AB27:$AB$55)),"")</s:f>
        <s:v>3</s:v>
      </s:c>
      <s:c r="AA27" s="71">
        <s:f>IF(AC27&lt;&gt;"",IF($L$12&lt;&gt;"",IF(G27&lt;&gt;"",G27,($L$9/$L$12-SUM($AA$25:AA26))*AB27*AC27/SUMPRODUCT($AC27:$AC$55,$AB27:$AB$55)),""),"")</s:f>
        <s:v>3</s:v>
      </s:c>
      <s:c r="AB27" s="132">
        <s:v>1</s:v>
      </s:c>
      <s:c r="AC27" s="445">
        <s:v>1</s:v>
      </s:c>
      <s:c r="AD27" s="72"/>
      <s:c r="AE27" s="75"/>
      <s:c r="AF27" s="2"/>
      <s:c r="AG27" s="2"/>
      <s:c r="AH27" s="2"/>
      <s:c r="AI27" s="2"/>
      <s:c r="AJ27" s="2"/>
      <s:c r="AK27" s="2"/>
      <s:c r="AL27" s="2"/>
      <s:c r="AM27" s="2"/>
    </s:row>
    <s:row r="28">
      <s:c r="A28" s="112">
        <s:v>4</s:v>
      </s:c>
      <s:c r="B28" s="113">
        <s:v>46118</s:v>
      </s:c>
      <s:c r="C28" s="65" t="s">
        <s:v>55</s:v>
      </s:c>
      <s:c r="D28" s="726">
        <s:v>8055</s:v>
      </s:c>
      <s:c r="E28" s="67">
        <s:v>2</s:v>
      </s:c>
      <s:c r="F28" s="67">
        <s:f>IF(AND(E28&lt;&gt;"",E28&lt;&gt;0),D28/E28,"")</s:f>
        <s:v>4027.5</s:v>
      </s:c>
      <s:c r="G28" s="67">
        <s:v>1</s:v>
      </s:c>
      <s:c r="H28" s="67">
        <s:f>IF(AND(G28&lt;&gt;"",G28&lt;&gt;0),D28/G28,"")</s:f>
        <s:v>8055</s:v>
      </s:c>
      <s:c r="I28" s="453">
        <s:v>8</s:v>
      </s:c>
      <s:c r="J28" s="136">
        <s:f>IF(AND(G28&lt;&gt;"",G28&lt;&gt;0),E28/G28,"")</s:f>
        <s:v>2</s:v>
      </s:c>
      <s:c r="K28" s="413"/>
      <s:c r="L28" s="66"/>
      <s:c r="M28" s="66"/>
      <s:c r="N28" s="66"/>
      <s:c r="O28" s="66"/>
      <s:c r="P28" s="66"/>
      <s:c r="Q28" s="66"/>
      <s:c r="R28" s="66"/>
      <s:c r="S28" s="759">
        <s:v>8051.17</s:v>
      </s:c>
      <s:c r="T28" s="432">
        <s:f>IF(AND(I28&lt;&gt;"",I28&lt;&gt;0),G28/I28,"")</s:f>
        <s:v>0.125</s:v>
      </s:c>
      <s:c r="U28" s="436">
        <s:f>D28/V28</s:f>
        <s:v>0.14436322948151592</s:v>
      </s:c>
      <s:c r="V28" s="444">
        <s:f>$L$8*AB28*AC28/SUMPRODUCT($AC$25:$AC$55,$AB$25:$AB$55)</s:f>
        <s:v>55796.75675675676</s:v>
      </s:c>
      <s:c r="W28" s="71">
        <s:f>$L$9*AB28*AC28/SUMPRODUCT($AC$25:$AC$55,$AB$25:$AB$55)</s:f>
        <s:v>8.0864864864864874</s:v>
      </s:c>
      <s:c r="X28" s="71">
        <s:f>IF($L$12="","",W28/$L$12)</s:f>
        <s:v>4.756756756756757</s:v>
      </s:c>
      <s:c r="Y28" s="70">
        <s:f>IF(AC28&lt;&gt;"",IF(D28&lt;&gt;"",D28,($L$8-SUM($Y$25:Y27))*AB28*AC28/SUMPRODUCT($AC28:$AC$55,$AB28:$AB$55)),"")</s:f>
        <s:v>8055</s:v>
      </s:c>
      <s:c r="Z28" s="71">
        <s:f>IF(AC28&lt;&gt;"",IF(E28&lt;&gt;"",E28,($L$9-SUM($Z$25:Z27))*AB28*AC28/SUMPRODUCT($AC28:$AC$55,$AB28:$AB$55)),"")</s:f>
        <s:v>2</s:v>
      </s:c>
      <s:c r="AA28" s="71">
        <s:f>IF(AC28&lt;&gt;"",IF($L$12&lt;&gt;"",IF(G28&lt;&gt;"",G28,($L$9/$L$12-SUM($AA$25:AA27))*AB28*AC28/SUMPRODUCT($AC28:$AC$55,$AB28:$AB$55)),""),"")</s:f>
        <s:v>1</s:v>
      </s:c>
      <s:c r="AB28" s="132">
        <s:v>1</s:v>
      </s:c>
      <s:c r="AC28" s="445">
        <s:v>1</s:v>
      </s:c>
      <s:c r="AD28" s="72"/>
      <s:c r="AE28" s="75"/>
      <s:c r="AF28" s="2"/>
      <s:c r="AG28" s="2"/>
      <s:c r="AH28" s="2"/>
      <s:c r="AI28" s="2"/>
      <s:c r="AJ28" s="2"/>
      <s:c r="AK28" s="2"/>
      <s:c r="AL28" s="2"/>
      <s:c r="AM28" s="2"/>
    </s:row>
    <s:row r="29">
      <s:c r="A29" s="112">
        <s:v>5</s:v>
      </s:c>
      <s:c r="B29" s="64">
        <s:v>46121</s:v>
      </s:c>
      <s:c r="C29" s="65" t="s">
        <s:v>58</s:v>
      </s:c>
      <s:c r="D29" s="725">
        <s:v>25409</s:v>
      </s:c>
      <s:c r="E29" s="74">
        <s:v>3</s:v>
      </s:c>
      <s:c r="F29" s="67">
        <s:f>IF(AND(E29&lt;&gt;"",E29&lt;&gt;0),D29/E29,"")</s:f>
        <s:v>8469.6666666666606</s:v>
      </s:c>
      <s:c r="G29" s="74">
        <s:v>2</s:v>
      </s:c>
      <s:c r="H29" s="67">
        <s:f>IF(AND(G29&lt;&gt;"",G29&lt;&gt;0),D29/G29,"")</s:f>
        <s:v>12704.5</s:v>
      </s:c>
      <s:c r="I29" s="315">
        <s:v>15</s:v>
      </s:c>
      <s:c r="J29" s="136">
        <s:f>IF(AND(G29&lt;&gt;"",G29&lt;&gt;0),E29/G29,"")</s:f>
        <s:v>1.5</s:v>
      </s:c>
      <s:c r="K29" s="413"/>
      <s:c r="L29" s="66"/>
      <s:c r="M29" s="66"/>
      <s:c r="N29" s="66"/>
      <s:c r="O29" s="66"/>
      <s:c r="P29" s="66"/>
      <s:c r="Q29" s="66"/>
      <s:c r="R29" s="66"/>
      <s:c r="S29" s="414">
        <s:v>4123</s:v>
      </s:c>
      <s:c r="T29" s="432">
        <s:f>IF(AND(I29&lt;&gt;"",I29&lt;&gt;0),G29/I29,"")</s:f>
        <s:v>0.133333333333333</s:v>
      </s:c>
      <s:c r="U29" s="436">
        <s:f>D29/V29</s:f>
        <s:v>0.45538489111059438</s:v>
      </s:c>
      <s:c r="V29" s="444">
        <s:f>$L$8*AB29*AC29/SUMPRODUCT($AC$25:$AC$55,$AB$25:$AB$55)</s:f>
        <s:v>55796.75675675676</s:v>
      </s:c>
      <s:c r="W29" s="71">
        <s:f>$L$9*AB29*AC29/SUMPRODUCT($AC$25:$AC$55,$AB$25:$AB$55)</s:f>
        <s:v>8.0864864864864874</s:v>
      </s:c>
      <s:c r="X29" s="71">
        <s:f>IF($L$12="","",W29/$L$12)</s:f>
        <s:v>4.756756756756757</s:v>
      </s:c>
      <s:c r="Y29" s="70">
        <s:f>IF(AC29&lt;&gt;"",IF(D29&lt;&gt;"",D29,($L$8-SUM($Y$25:Y28))*AB29*AC29/SUMPRODUCT($AC29:$AC$55,$AB29:$AB$55)),"")</s:f>
        <s:v>25409</s:v>
      </s:c>
      <s:c r="Z29" s="71">
        <s:f>IF(AC29&lt;&gt;"",IF(E29&lt;&gt;"",E29,($L$9-SUM($Z$25:Z28))*AB29*AC29/SUMPRODUCT($AC29:$AC$55,$AB29:$AB$55)),"")</s:f>
        <s:v>3</s:v>
      </s:c>
      <s:c r="AA29" s="71">
        <s:f>IF(AC29&lt;&gt;"",IF($L$12&lt;&gt;"",IF(G29&lt;&gt;"",G29,($L$9/$L$12-SUM($AA$25:AA28))*AB29*AC29/SUMPRODUCT($AC29:$AC$55,$AB29:$AB$55)),""),"")</s:f>
        <s:v>2</s:v>
      </s:c>
      <s:c r="AB29" s="132">
        <s:v>1</s:v>
      </s:c>
      <s:c r="AC29" s="445">
        <s:v>1</s:v>
      </s:c>
      <s:c r="AD29" s="72"/>
      <s:c r="AE29" s="72"/>
      <s:c r="AF29" s="2"/>
      <s:c r="AG29" s="2"/>
      <s:c r="AH29" s="2"/>
      <s:c r="AI29" s="2"/>
      <s:c r="AJ29" s="2"/>
      <s:c r="AK29" s="2"/>
      <s:c r="AL29" s="2"/>
      <s:c r="AM29" s="2"/>
    </s:row>
    <s:row r="30">
      <s:c r="A30" s="112">
        <s:v>6</s:v>
      </s:c>
      <s:c r="B30" s="64">
        <s:v>46124</s:v>
      </s:c>
      <s:c r="C30" s="80" t="s">
        <s:v>54</s:v>
      </s:c>
      <s:c r="D30" s="725">
        <s:v>28377</s:v>
      </s:c>
      <s:c r="E30" s="74">
        <s:v>3</s:v>
      </s:c>
      <s:c r="F30" s="67">
        <s:f>IF(AND(E30&lt;&gt;"",E30&lt;&gt;0),D30/E30,"")</s:f>
        <s:v>9459</s:v>
      </s:c>
      <s:c r="G30" s="74">
        <s:v>2</s:v>
      </s:c>
      <s:c r="H30" s="67">
        <s:f>IF(AND(G30&lt;&gt;"",G30&lt;&gt;0),D30/G30,"")</s:f>
        <s:v>14188.5</s:v>
      </s:c>
      <s:c r="I30" s="315">
        <s:v>20</s:v>
      </s:c>
      <s:c r="J30" s="136">
        <s:f>IF(AND(G30&lt;&gt;"",G30&lt;&gt;0),E30/G30,"")</s:f>
        <s:v>1.5</s:v>
      </s:c>
      <s:c r="K30" s="413"/>
      <s:c r="L30" s="66"/>
      <s:c r="M30" s="66">
        <s:v>14992</s:v>
      </s:c>
      <s:c r="N30" s="66"/>
      <s:c r="O30" s="66"/>
      <s:c r="P30" s="66"/>
      <s:c r="Q30" s="66"/>
      <s:c r="R30" s="66"/>
      <s:c r="S30" s="414"/>
      <s:c r="T30" s="432">
        <s:f>IF(AND(I30&lt;&gt;"",I30&lt;&gt;0),G30/I30,"")</s:f>
        <s:v>0.1</s:v>
      </s:c>
      <s:c r="U30" s="436">
        <s:f>D30/V30</s:f>
        <s:v>0.50857794698907233</s:v>
      </s:c>
      <s:c r="V30" s="444">
        <s:f>$L$8*AB30*AC30/SUMPRODUCT($AC$25:$AC$55,$AB$25:$AB$55)</s:f>
        <s:v>55796.75675675676</s:v>
      </s:c>
      <s:c r="W30" s="71">
        <s:f>$L$9*AB30*AC30/SUMPRODUCT($AC$25:$AC$55,$AB$25:$AB$55)</s:f>
        <s:v>8.0864864864864874</s:v>
      </s:c>
      <s:c r="X30" s="71">
        <s:f>IF($L$12="","",W30/$L$12)</s:f>
        <s:v>4.756756756756757</s:v>
      </s:c>
      <s:c r="Y30" s="70">
        <s:f>IF(AC30&lt;&gt;"",IF(D30&lt;&gt;"",D30,($L$8-SUM($Y$25:Y29))*AB30*AC30/SUMPRODUCT($AC30:$AC$55,$AB30:$AB$55)),"")</s:f>
        <s:v>28377</s:v>
      </s:c>
      <s:c r="Z30" s="71">
        <s:f>IF(AC30&lt;&gt;"",IF(E30&lt;&gt;"",E30,($L$9-SUM($Z$25:Z29))*AB30*AC30/SUMPRODUCT($AC30:$AC$55,$AB30:$AB$55)),"")</s:f>
        <s:v>3</s:v>
      </s:c>
      <s:c r="AA30" s="71">
        <s:f>IF(AC30&lt;&gt;"",IF($L$12&lt;&gt;"",IF(G30&lt;&gt;"",G30,($L$9/$L$12-SUM($AA$25:AA29))*AB30*AC30/SUMPRODUCT($AC30:$AC$55,$AB30:$AB$55)),""),"")</s:f>
        <s:v>2</s:v>
      </s:c>
      <s:c r="AB30" s="132">
        <s:v>1</s:v>
      </s:c>
      <s:c r="AC30" s="445">
        <s:v>1</s:v>
      </s:c>
      <s:c r="AD30" s="72"/>
      <s:c r="AE30" s="72"/>
      <s:c r="AF30" s="77"/>
      <s:c r="AG30" s="2"/>
      <s:c r="AH30" s="2"/>
      <s:c r="AI30" s="2"/>
      <s:c r="AJ30" s="2"/>
      <s:c r="AK30" s="2"/>
      <s:c r="AL30" s="2"/>
      <s:c r="AM30" s="2"/>
    </s:row>
    <s:row r="31">
      <s:c r="A31" s="112">
        <s:v>7</s:v>
      </s:c>
      <s:c r="B31" s="64">
        <s:v>46126</s:v>
      </s:c>
      <s:c r="C31" s="65" t="s">
        <s:v>56</s:v>
      </s:c>
      <s:c r="D31" s="725">
        <s:v>4692</s:v>
      </s:c>
      <s:c r="E31" s="74">
        <s:v>1</s:v>
      </s:c>
      <s:c r="F31" s="67">
        <s:f>IF(AND(E31&lt;&gt;"",E31&lt;&gt;0),D31/E31,"")</s:f>
        <s:v>4692</s:v>
      </s:c>
      <s:c r="G31" s="74">
        <s:v>1</s:v>
      </s:c>
      <s:c r="H31" s="67">
        <s:f>IF(AND(G31&lt;&gt;"",G31&lt;&gt;0),D31/G31,"")</s:f>
        <s:v>4692</s:v>
      </s:c>
      <s:c r="I31" s="315">
        <s:v>34</s:v>
      </s:c>
      <s:c r="J31" s="136">
        <s:f>IF(AND(G31&lt;&gt;"",G31&lt;&gt;0),E31/G31,"")</s:f>
        <s:v>1</s:v>
      </s:c>
      <s:c r="K31" s="416"/>
      <s:c r="L31" s="135"/>
      <s:c r="M31" s="135"/>
      <s:c r="N31" s="135"/>
      <s:c r="O31" s="135"/>
      <s:c r="P31" s="66"/>
      <s:c r="Q31" s="66"/>
      <s:c r="R31" s="66"/>
      <s:c r="S31" s="414"/>
      <s:c r="T31" s="432">
        <s:f>IF(AND(I31&lt;&gt;"",I31&lt;&gt;0),G31/I31,"")</s:f>
        <s:v>2.94117647058823E-2</s:v>
      </s:c>
      <s:c r="U31" s="436">
        <s:f>D31/V31</s:f>
        <s:v>8.4090909090909091E-2</s:v>
      </s:c>
      <s:c r="V31" s="444">
        <s:f>$L$8*AB31*AC31/SUMPRODUCT($AC$25:$AC$55,$AB$25:$AB$55)</s:f>
        <s:v>55796.75675675676</s:v>
      </s:c>
      <s:c r="W31" s="71">
        <s:f>$L$9*AB31*AC31/SUMPRODUCT($AC$25:$AC$55,$AB$25:$AB$55)</s:f>
        <s:v>8.0864864864864874</s:v>
      </s:c>
      <s:c r="X31" s="71">
        <s:f>IF($L$12="","",W31/$L$12)</s:f>
        <s:v>4.756756756756757</s:v>
      </s:c>
      <s:c r="Y31" s="70">
        <s:f>IF(AC31&lt;&gt;"",IF(D31&lt;&gt;"",D31,($L$8-SUM($Y$25:Y30))*AB31*AC31/SUMPRODUCT($AC31:$AC$55,$AB31:$AB$55)),"")</s:f>
        <s:v>4692</s:v>
      </s:c>
      <s:c r="Z31" s="71">
        <s:f>IF(AC31&lt;&gt;"",IF(E31&lt;&gt;"",E31,($L$9-SUM($Z$25:Z30))*AB31*AC31/SUMPRODUCT($AC31:$AC$55,$AB31:$AB$55)),"")</s:f>
        <s:v>1</s:v>
      </s:c>
      <s:c r="AA31" s="71">
        <s:f>IF(AC31&lt;&gt;"",IF($L$12&lt;&gt;"",IF(G31&lt;&gt;"",G31,($L$9/$L$12-SUM($AA$25:AA30))*AB31*AC31/SUMPRODUCT($AC31:$AC$55,$AB31:$AB$55)),""),"")</s:f>
        <s:v>1</s:v>
      </s:c>
      <s:c r="AB31" s="132">
        <s:v>1</s:v>
      </s:c>
      <s:c r="AC31" s="445">
        <s:v>1</s:v>
      </s:c>
      <s:c r="AD31" s="72"/>
      <s:c r="AE31" s="72"/>
      <s:c r="AF31" s="77"/>
      <s:c r="AG31" s="2"/>
      <s:c r="AH31" s="2"/>
      <s:c r="AI31" s="2"/>
      <s:c r="AJ31" s="2"/>
      <s:c r="AK31" s="2"/>
      <s:c r="AL31" s="2"/>
      <s:c r="AM31" s="2"/>
    </s:row>
    <s:row r="32">
      <s:c r="A32" s="112">
        <s:v>8</s:v>
      </s:c>
      <s:c r="B32" s="64">
        <s:v>46128</s:v>
      </s:c>
      <s:c r="C32" s="65" t="s">
        <s:v>58</s:v>
      </s:c>
      <s:c r="D32" s="605">
        <s:v>11286</s:v>
      </s:c>
      <s:c r="E32" s="309">
        <s:v>2</s:v>
      </s:c>
      <s:c r="F32" s="308">
        <s:f>IF(AND(E32&lt;&gt;"",E32&lt;&gt;0),D32/E32,"")</s:f>
        <s:v>5643</s:v>
      </s:c>
      <s:c r="G32" s="309">
        <s:v>2</s:v>
      </s:c>
      <s:c r="H32" s="308">
        <s:f>IF(AND(G32&lt;&gt;"",G32&lt;&gt;0),D32/G32,"")</s:f>
        <s:v>5643</s:v>
      </s:c>
      <s:c r="I32" s="309">
        <s:v>18</s:v>
      </s:c>
      <s:c r="J32" s="375">
        <s:f>IF(AND(G32&lt;&gt;"",G32&lt;&gt;0),E32/G32,"")</s:f>
        <s:v>1</s:v>
      </s:c>
      <s:c r="K32" s="417"/>
      <s:c r="L32" s="124"/>
      <s:c r="M32" s="124"/>
      <s:c r="N32" s="124"/>
      <s:c r="O32" s="124"/>
      <s:c r="P32" s="67"/>
      <s:c r="Q32" s="67"/>
      <s:c r="R32" s="118"/>
      <s:c r="S32" s="418"/>
      <s:c r="T32" s="432">
        <s:f>IF(AND(I32&lt;&gt;"",I32&lt;&gt;0),G32/I32,"")</s:f>
        <s:v>0.1111111111111111</s:v>
      </s:c>
      <s:c r="U32" s="436">
        <s:f>D32/V32</s:f>
        <s:v>0.20226982097186699</s:v>
      </s:c>
      <s:c r="V32" s="444">
        <s:f>$L$8*AB32*AC32/SUMPRODUCT($AC$25:$AC$55,$AB$25:$AB$55)</s:f>
        <s:v>55796.75675675676</s:v>
      </s:c>
      <s:c r="W32" s="71">
        <s:f>$L$9*AB32*AC32/SUMPRODUCT($AC$25:$AC$55,$AB$25:$AB$55)</s:f>
        <s:v>8.0864864864864874</s:v>
      </s:c>
      <s:c r="X32" s="71">
        <s:f>IF($L$12="","",W32/$L$12)</s:f>
        <s:v>4.756756756756757</s:v>
      </s:c>
      <s:c r="Y32" s="70">
        <s:f>IF(AC32&lt;&gt;"",IF(D32&lt;&gt;"",D32,($L$8-SUM($Y$25:Y31))*AB32*AC32/SUMPRODUCT($AC32:$AC$55,$AB32:$AB$55)),"")</s:f>
        <s:v>11286</s:v>
      </s:c>
      <s:c r="Z32" s="71">
        <s:f>IF(AC32&lt;&gt;"",IF(E32&lt;&gt;"",E32,($L$9-SUM($Z$25:Z31))*AB32*AC32/SUMPRODUCT($AC32:$AC$55,$AB32:$AB$55)),"")</s:f>
        <s:v>2</s:v>
      </s:c>
      <s:c r="AA32" s="71">
        <s:f>IF(AC32&lt;&gt;"",IF($L$12&lt;&gt;"",IF(G32&lt;&gt;"",G32,($L$9/$L$12-SUM($AA$25:AA31))*AB32*AC32/SUMPRODUCT($AC32:$AC$55,$AB32:$AB$55)),""),"")</s:f>
        <s:v>2</s:v>
      </s:c>
      <s:c r="AB32" s="132">
        <s:v>1</s:v>
      </s:c>
      <s:c r="AC32" s="445">
        <s:v>1</s:v>
      </s:c>
      <s:c r="AD32" s="72"/>
      <s:c r="AE32" s="72"/>
      <s:c r="AF32" s="2"/>
      <s:c r="AG32" s="2"/>
      <s:c r="AH32" s="2"/>
      <s:c r="AI32" s="2"/>
      <s:c r="AJ32" s="2"/>
      <s:c r="AK32" s="2"/>
      <s:c r="AL32" s="2"/>
      <s:c r="AM32" s="2"/>
    </s:row>
    <s:row r="33">
      <s:c r="A33" s="112">
        <s:v>9</s:v>
      </s:c>
      <s:c r="B33" s="64">
        <s:v>46129</s:v>
      </s:c>
      <s:c r="C33" s="137" t="s">
        <s:v>59</s:v>
      </s:c>
      <s:c r="D33" s="604">
        <s:v>0</s:v>
      </s:c>
      <s:c r="E33" s="586">
        <s:v>0</s:v>
      </s:c>
      <s:c r="F33" s="587">
        <s:v>0</s:v>
      </s:c>
      <s:c r="G33" s="586">
        <s:v>0</s:v>
      </s:c>
      <s:c r="H33" s="587">
        <s:v>0</s:v>
      </s:c>
      <s:c r="I33" s="586">
        <s:v>20</s:v>
      </s:c>
      <s:c r="J33" s="588" t="str">
        <s:f>IF(AND(G33&lt;&gt;"",G33&lt;&gt;0),E33/G33,"")</s:f>
        <s:v/>
      </s:c>
      <s:c r="K33" s="417"/>
      <s:c r="L33" s="124"/>
      <s:c r="M33" s="124"/>
      <s:c r="N33" s="124"/>
      <s:c r="O33" s="124"/>
      <s:c r="P33" s="67"/>
      <s:c r="Q33" s="67"/>
      <s:c r="R33" s="67"/>
      <s:c r="S33" s="419"/>
      <s:c r="T33" s="432">
        <s:f>IF(AND(I33&lt;&gt;"",I33&lt;&gt;0),G33/I33,"")</s:f>
        <s:v>0</s:v>
      </s:c>
      <s:c r="U33" s="436">
        <s:f>D33/V33</s:f>
        <s:v>0</s:v>
      </s:c>
      <s:c r="V33" s="444">
        <s:f>$L$8*AB33*AC33/SUMPRODUCT($AC$25:$AC$55,$AB$25:$AB$55)</s:f>
        <s:v>55796.75675675676</s:v>
      </s:c>
      <s:c r="W33" s="120">
        <s:f>$L$9*AB33*AC33/SUMPRODUCT($AC$25:$AC$55,$AB$25:$AB$55)</s:f>
        <s:v>8.0864864864864874</s:v>
      </s:c>
      <s:c r="X33" s="71">
        <s:f>IF($L$12="","",W33/$L$12)</s:f>
        <s:v>4.756756756756757</s:v>
      </s:c>
      <s:c r="Y33" s="70">
        <s:f>IF(AC33&lt;&gt;"",IF(D33&lt;&gt;"",D33,($L$8-SUM($Y$25:Y32))*AB33*AC33/SUMPRODUCT($AC33:$AC$55,$AB33:$AB$55)),"")</s:f>
        <s:v>0</s:v>
      </s:c>
      <s:c r="Z33" s="71">
        <s:f>IF(AC33&lt;&gt;"",IF(E33&lt;&gt;"",E33,($L$9-SUM($Z$25:Z32))*AB33*AC33/SUMPRODUCT($AC33:$AC$55,$AB33:$AB$55)),"")</s:f>
        <s:v>0</s:v>
      </s:c>
      <s:c r="AA33" s="120">
        <s:f>IF(AC33&lt;&gt;"",IF($L$12&lt;&gt;"",IF(G33&lt;&gt;"",G33,($L$9/$L$12-SUM($AA$25:AA32))*AB33*AC33/SUMPRODUCT($AC33:$AC$55,$AB33:$AB$55)),""),"")</s:f>
        <s:v>0</s:v>
      </s:c>
      <s:c r="AB33" s="132">
        <s:v>1</s:v>
      </s:c>
      <s:c r="AC33" s="445">
        <s:v>1</s:v>
      </s:c>
      <s:c r="AD33" s="72"/>
      <s:c r="AE33" s="72"/>
      <s:c r="AF33" s="2"/>
      <s:c r="AG33" s="2"/>
      <s:c r="AH33" s="2"/>
      <s:c r="AI33" s="2"/>
      <s:c r="AJ33" s="2"/>
      <s:c r="AK33" s="2"/>
      <s:c r="AL33" s="2"/>
      <s:c r="AM33" s="2"/>
    </s:row>
    <s:row r="34">
      <s:c r="A34" s="112">
        <s:v>10</s:v>
      </s:c>
      <s:c r="B34" s="138">
        <s:v>46132</s:v>
      </s:c>
      <s:c r="C34" s="139" t="s">
        <s:v>55</s:v>
      </s:c>
      <s:c r="D34" s="727">
        <s:v>8793</s:v>
      </s:c>
      <s:c r="E34" s="74">
        <s:v>1</s:v>
      </s:c>
      <s:c r="F34" s="67">
        <s:v>8793</s:v>
      </s:c>
      <s:c r="G34" s="74">
        <s:v>1</s:v>
      </s:c>
      <s:c r="H34" s="67">
        <s:f>IF(AND(G34&lt;&gt;"",G34&lt;&gt;0),D34/G34,"")</s:f>
        <s:v>8793</s:v>
      </s:c>
      <s:c r="I34" s="67">
        <s:v>20</s:v>
      </s:c>
      <s:c r="J34" s="136">
        <s:f>IF(AND(G34&lt;&gt;"",G34&lt;&gt;0),E34/G34,"")</s:f>
        <s:v>1</s:v>
      </s:c>
      <s:c r="K34" s="417"/>
      <s:c r="L34" s="124"/>
      <s:c r="M34" s="124">
        <s:v>8793</s:v>
      </s:c>
      <s:c r="N34" s="124"/>
      <s:c r="O34" s="124"/>
      <s:c r="P34" s="67"/>
      <s:c r="Q34" s="67"/>
      <s:c r="R34" s="67"/>
      <s:c r="S34" s="420"/>
      <s:c r="T34" s="432">
        <s:f>IF(AND(I34&lt;&gt;"",I34&lt;&gt;0),G34/I34,"")</s:f>
        <s:v>0.05</s:v>
      </s:c>
      <s:c r="U34" s="436">
        <s:f>D34/V34</s:f>
        <s:v>0.15758980469658218</s:v>
      </s:c>
      <s:c r="V34" s="446">
        <s:f>$L$8*AB34*AC34/SUMPRODUCT($AC$25:$AC$55,$AB$25:$AB$55)</s:f>
        <s:v>55796.75675675676</s:v>
      </s:c>
      <s:c r="W34" s="71">
        <s:f>$L$9*AB34*AC34/SUMPRODUCT($AC$25:$AC$55,$AB$25:$AB$55)</s:f>
        <s:v>8.0864864864864874</s:v>
      </s:c>
      <s:c r="X34" s="120">
        <s:f>IF($L$12="","",W34/$L$12)</s:f>
        <s:v>4.756756756756757</s:v>
      </s:c>
      <s:c r="Y34" s="70">
        <s:f>IF(AC34&lt;&gt;"",IF(D34&lt;&gt;"",D34,($L$8-SUM($Y$25:Y33))*AB34*AC34/SUMPRODUCT($AC34:$AC$55,$AB34:$AB$55)),"")</s:f>
        <s:v>8793</s:v>
      </s:c>
      <s:c r="Z34" s="120">
        <s:f>IF(AC34&lt;&gt;"",IF(E34&lt;&gt;"",E34,($L$9-SUM($Z$25:Z33))*AB34*AC34/SUMPRODUCT($AC34:$AC$55,$AB34:$AB$55)),"")</s:f>
        <s:v>1</s:v>
      </s:c>
      <s:c r="AA34" s="71">
        <s:f>IF(AC34&lt;&gt;"",IF($L$12&lt;&gt;"",IF(G34&lt;&gt;"",G34,($L$9/$L$12-SUM($AA$25:AA33))*AB34*AC34/SUMPRODUCT($AC34:$AC$55,$AB34:$AB$55)),""),"")</s:f>
        <s:v>1</s:v>
      </s:c>
      <s:c r="AB34" s="132">
        <s:v>1</s:v>
      </s:c>
      <s:c r="AC34" s="445">
        <s:v>1</s:v>
      </s:c>
      <s:c r="AD34" s="72"/>
      <s:c r="AE34" s="72"/>
      <s:c r="AF34" s="77"/>
      <s:c r="AG34" s="2"/>
      <s:c r="AH34" s="2"/>
      <s:c r="AI34" s="2"/>
      <s:c r="AJ34" s="2"/>
      <s:c r="AK34" s="2"/>
      <s:c r="AL34" s="2"/>
      <s:c r="AM34" s="2"/>
    </s:row>
    <s:row r="35">
      <s:c r="A35" s="112"/>
      <s:c r="B35" s="138">
        <s:v>46138</s:v>
      </s:c>
      <s:c r="C35" s="139" t="s">
        <s:v>54</s:v>
      </s:c>
      <s:c r="D35" s="727">
        <s:v>27559</s:v>
      </s:c>
      <s:c r="E35" s="74">
        <s:v>5</s:v>
      </s:c>
      <s:c r="F35" s="78">
        <s:f>IF(AND(E35&lt;&gt;"",E35&lt;&gt;0),D35/E35,"")</s:f>
        <s:v>5511.8</s:v>
      </s:c>
      <s:c r="G35" s="74">
        <s:v>2</s:v>
      </s:c>
      <s:c r="H35" s="78">
        <s:f>IF(AND(G35&lt;&gt;"",G35&lt;&gt;0),D35/G35,"")</s:f>
        <s:v>13779.5</s:v>
      </s:c>
      <s:c r="I35" s="74">
        <s:v>30</s:v>
      </s:c>
      <s:c r="J35" s="136">
        <s:f>IF(AND(G35&lt;&gt;"",G35&lt;&gt;0),E35/G35,"")</s:f>
        <s:v>2.5</s:v>
      </s:c>
      <s:c r="K35" s="417"/>
      <s:c r="L35" s="124"/>
      <s:c r="M35" s="124"/>
      <s:c r="N35" s="124"/>
      <s:c r="O35" s="124"/>
      <s:c r="P35" s="67"/>
      <s:c r="Q35" s="67"/>
      <s:c r="R35" s="67"/>
      <s:c r="S35" s="420"/>
      <s:c r="T35" s="432">
        <s:f>IF(AND(I35&lt;&gt;"",I35&lt;&gt;0),G35/I35,"")</s:f>
        <s:v>6.6666666666666596E-2</s:v>
      </s:c>
      <s:c r="U35" s="436" t="e">
        <s:f>D35/V35</s:f>
        <s:v>#DIV/0!</s:v>
      </s:c>
      <s:c r="V35" s="444">
        <s:f>$L$8*AB35*AC35/SUMPRODUCT($AC$25:$AC$55,$AB$25:$AB$55)</s:f>
        <s:v>0</s:v>
      </s:c>
      <s:c r="W35" s="120">
        <s:f>$L$9*AB35*AC35/SUMPRODUCT($AC$25:$AC$55,$AB$25:$AB$55)</s:f>
        <s:v>0</s:v>
      </s:c>
      <s:c r="X35" s="71">
        <s:f>IF($L$12="","",W35/$L$12)</s:f>
        <s:v>0</s:v>
      </s:c>
      <s:c r="Y35" s="70" t="str">
        <s:f>IF(AC35&lt;&gt;"",IF(D35&lt;&gt;"",D35,($L$8-SUM($Y$25:Y34))*AB35*AC35/SUMPRODUCT($AC35:$AC$55,$AB35:$AB$55)),"")</s:f>
        <s:v/>
      </s:c>
      <s:c r="Z35" s="71" t="str">
        <s:f>IF(AC35&lt;&gt;"",IF(E35&lt;&gt;"",E35,($L$9-SUM($Z$25:Z34))*AB35*AC35/SUMPRODUCT($AC35:$AC$55,$AB35:$AB$55)),"")</s:f>
        <s:v/>
      </s:c>
      <s:c r="AA35" s="71" t="str">
        <s:f>IF(AC35&lt;&gt;"",IF($L$12&lt;&gt;"",IF(G35&lt;&gt;"",G35,($L$9/$L$12-SUM($AA$25:AA34))*AB35*AC35/SUMPRODUCT($AC35:$AC$55,$AB35:$AB$55)),""),"")</s:f>
        <s:v/>
      </s:c>
      <s:c r="AB35" s="132"/>
      <s:c r="AC35" s="445"/>
      <s:c r="AD35" s="72"/>
      <s:c r="AE35" s="72"/>
      <s:c r="AF35" s="77"/>
      <s:c r="AG35" s="2"/>
      <s:c r="AH35" s="2"/>
      <s:c r="AI35" s="2"/>
      <s:c r="AJ35" s="2"/>
      <s:c r="AK35" s="2"/>
      <s:c r="AL35" s="2"/>
      <s:c r="AM35" s="2"/>
    </s:row>
    <s:row r="36">
      <s:c r="A36" s="112"/>
      <s:c r="B36" s="138"/>
      <s:c r="C36" s="139"/>
      <s:c r="D36" s="727"/>
      <s:c r="E36" s="74"/>
      <s:c r="F36" s="67" t="str">
        <s:f>IF(AND(E36&lt;&gt;"",E36&lt;&gt;0),D36/E36,"")</s:f>
        <s:v/>
      </s:c>
      <s:c r="G36" s="74"/>
      <s:c r="H36" s="67" t="str">
        <s:f>IF(AND(G36&lt;&gt;"",G36&lt;&gt;0),D36/G36,"")</s:f>
        <s:v/>
      </s:c>
      <s:c r="I36" s="74"/>
      <s:c r="J36" s="136" t="str">
        <s:f>IF(AND(G36&lt;&gt;"",G36&lt;&gt;0),E36/G36,"")</s:f>
        <s:v/>
      </s:c>
      <s:c r="K36" s="417"/>
      <s:c r="L36" s="124"/>
      <s:c r="M36" s="124"/>
      <s:c r="N36" s="124"/>
      <s:c r="O36" s="124"/>
      <s:c r="P36" s="67"/>
      <s:c r="Q36" s="67"/>
      <s:c r="R36" s="67"/>
      <s:c r="S36" s="420"/>
      <s:c r="T36" s="432" t="str">
        <s:f>IF(AND(I36&lt;&gt;"",I36&lt;&gt;0),G36/I36,"")</s:f>
        <s:v/>
      </s:c>
      <s:c r="U36" s="436" t="e">
        <s:f>D36/V36</s:f>
        <s:v>#DIV/0!</s:v>
      </s:c>
      <s:c r="V36" s="444">
        <s:f>$L$8*AB36*AC36/SUMPRODUCT($AC$25:$AC$55,$AB$25:$AB$55)</s:f>
        <s:v>0</s:v>
      </s:c>
      <s:c r="W36" s="71">
        <s:f>$L$9*AB36*AC36/SUMPRODUCT($AC$25:$AC$55,$AB$25:$AB$55)</s:f>
        <s:v>0</s:v>
      </s:c>
      <s:c r="X36" s="71">
        <s:f>IF($L$12="","",W36/$L$12)</s:f>
        <s:v>0</s:v>
      </s:c>
      <s:c r="Y36" s="70" t="str">
        <s:f>IF(AC36&lt;&gt;"",IF(D36&lt;&gt;"",D36,($L$8-SUM($Y$25:Y35))*AB36*AC36/SUMPRODUCT($AC36:$AC$55,$AB36:$AB$55)),"")</s:f>
        <s:v/>
      </s:c>
      <s:c r="Z36" s="71" t="str">
        <s:f>IF(AC36&lt;&gt;"",IF(E36&lt;&gt;"",E36,($L$9-SUM($Z$25:Z35))*AB36*AC36/SUMPRODUCT($AC36:$AC$55,$AB36:$AB$55)),"")</s:f>
        <s:v/>
      </s:c>
      <s:c r="AA36" s="71" t="str">
        <s:f>IF(AC36&lt;&gt;"",IF($L$12&lt;&gt;"",IF(G36&lt;&gt;"",G36,($L$9/$L$12-SUM($AA$25:AA35))*AB36*AC36/SUMPRODUCT($AC36:$AC$55,$AB36:$AB$55)),""),"")</s:f>
        <s:v/>
      </s:c>
      <s:c r="AB36" s="132"/>
      <s:c r="AC36" s="445"/>
      <s:c r="AD36" s="72"/>
      <s:c r="AE36" s="72"/>
      <s:c r="AF36" s="77"/>
      <s:c r="AG36" s="2"/>
      <s:c r="AH36" s="2"/>
      <s:c r="AI36" s="2"/>
      <s:c r="AJ36" s="2"/>
      <s:c r="AK36" s="2"/>
      <s:c r="AL36" s="2"/>
      <s:c r="AM36" s="2"/>
    </s:row>
    <s:row r="37">
      <s:c r="A37" s="112"/>
      <s:c r="B37" s="138"/>
      <s:c r="C37" s="139"/>
      <s:c r="D37" s="728"/>
      <s:c r="E37" s="74"/>
      <s:c r="F37" s="67" t="str">
        <s:f>IF(AND(E37&lt;&gt;"",E37&lt;&gt;0),D37/E37,"")</s:f>
        <s:v/>
      </s:c>
      <s:c r="G37" s="74"/>
      <s:c r="H37" s="67" t="str">
        <s:f>IF(AND(G37&lt;&gt;"",G37&lt;&gt;0),D37/G37,"")</s:f>
        <s:v/>
      </s:c>
      <s:c r="I37" s="74"/>
      <s:c r="J37" s="136" t="str">
        <s:f>IF(AND(G37&lt;&gt;"",G37&lt;&gt;0),E37/G37,"")</s:f>
        <s:v/>
      </s:c>
      <s:c r="K37" s="417"/>
      <s:c r="L37" s="124"/>
      <s:c r="M37" s="124"/>
      <s:c r="N37" s="124"/>
      <s:c r="O37" s="124"/>
      <s:c r="P37" s="69"/>
      <s:c r="Q37" s="69"/>
      <s:c r="R37" s="67"/>
      <s:c r="S37" s="420"/>
      <s:c r="T37" s="432" t="str">
        <s:f>IF(AND(I37&lt;&gt;"",I37&lt;&gt;0),G37/I37,"")</s:f>
        <s:v/>
      </s:c>
      <s:c r="U37" s="436" t="e">
        <s:f>D37/V37</s:f>
        <s:v>#DIV/0!</s:v>
      </s:c>
      <s:c r="V37" s="444">
        <s:f>$L$8*AB37*AC37/SUMPRODUCT($AC$25:$AC$55,$AB$25:$AB$55)</s:f>
        <s:v>0</s:v>
      </s:c>
      <s:c r="W37" s="120">
        <s:f>$L$9*AB37*AC37/SUMPRODUCT($AC$25:$AC$55,$AB$25:$AB$55)</s:f>
        <s:v>0</s:v>
      </s:c>
      <s:c r="X37" s="71">
        <s:f>IF($L$12="","",W37/$L$12)</s:f>
        <s:v>0</s:v>
      </s:c>
      <s:c r="Y37" s="70" t="str">
        <s:f>IF(AC37&lt;&gt;"",IF(D37&lt;&gt;"",D37,($L$8-SUM($Y$25:Y36))*AB37*AC37/SUMPRODUCT($AC37:$AC$55,$AB37:$AB$55)),"")</s:f>
        <s:v/>
      </s:c>
      <s:c r="Z37" s="71" t="str">
        <s:f>IF(AC37&lt;&gt;"",IF(E37&lt;&gt;"",E37,($L$9-SUM($Z$25:Z36))*AB37*AC37/SUMPRODUCT($AC37:$AC$55,$AB37:$AB$55)),"")</s:f>
        <s:v/>
      </s:c>
      <s:c r="AA37" s="71" t="str">
        <s:f>IF(AC37&lt;&gt;"",IF($L$12&lt;&gt;"",IF(G37&lt;&gt;"",G37,($L$9/$L$12-SUM($AA$25:AA36))*AB37*AC37/SUMPRODUCT($AC37:$AC$55,$AB37:$AB$55)),""),"")</s:f>
        <s:v/>
      </s:c>
      <s:c r="AB37" s="132"/>
      <s:c r="AC37" s="445"/>
      <s:c r="AD37" s="72"/>
      <s:c r="AE37" s="72"/>
      <s:c r="AF37" s="77"/>
      <s:c r="AG37" s="2"/>
      <s:c r="AH37" s="2"/>
      <s:c r="AI37" s="2"/>
      <s:c r="AJ37" s="2"/>
      <s:c r="AK37" s="2"/>
      <s:c r="AL37" s="2"/>
      <s:c r="AM37" s="2"/>
    </s:row>
    <s:row r="38">
      <s:c r="A38" s="112"/>
      <s:c r="B38" s="138"/>
      <s:c r="C38" s="139"/>
      <s:c r="D38" s="729"/>
      <s:c r="E38" s="74"/>
      <s:c r="F38" s="67" t="str">
        <s:f>IF(AND(E38&lt;&gt;"",E38&lt;&gt;0),D38/E38,"")</s:f>
        <s:v/>
      </s:c>
      <s:c r="G38" s="74"/>
      <s:c r="H38" s="78" t="str">
        <s:f>IF(AND(G38&lt;&gt;"",G38&lt;&gt;0),D38/G38,"")</s:f>
        <s:v/>
      </s:c>
      <s:c r="I38" s="74"/>
      <s:c r="J38" s="136" t="str">
        <s:f>IF(AND(G38&lt;&gt;"",G38&lt;&gt;0),E38/G38,"")</s:f>
        <s:v/>
      </s:c>
      <s:c r="K38" s="417"/>
      <s:c r="L38" s="124"/>
      <s:c r="M38" s="124"/>
      <s:c r="N38" s="124"/>
      <s:c r="O38" s="124"/>
      <s:c r="P38" s="69"/>
      <s:c r="Q38" s="69"/>
      <s:c r="R38" s="67"/>
      <s:c r="S38" s="420"/>
      <s:c r="T38" s="432" t="str">
        <s:f>IF(AND(I38&lt;&gt;"",I38&lt;&gt;0),G38/I38,"")</s:f>
        <s:v/>
      </s:c>
      <s:c r="U38" s="436" t="e">
        <s:f>D38/V38</s:f>
        <s:v>#DIV/0!</s:v>
      </s:c>
      <s:c r="V38" s="444">
        <s:f>$L$8*AB38*AC38/SUMPRODUCT($AC$25:$AC$46,$AB$25:$AB$46)</s:f>
        <s:v>0</s:v>
      </s:c>
      <s:c r="W38" s="71">
        <s:f>$L$9*AB38*AC38/SUMPRODUCT($AC$25:$AC$46,$AB$25:$AB$46)</s:f>
        <s:v>0</s:v>
      </s:c>
      <s:c r="X38" s="71">
        <s:f>IF($L$12="","",W38/$L$12)</s:f>
        <s:v>0</s:v>
      </s:c>
      <s:c r="Y38" s="70" t="str">
        <s:f>IF(AC38&lt;&gt;"",IF(D38&lt;&gt;"",D38,($L$8-SUM($Y$25:Y37))*AB38*AC38/SUMPRODUCT($AC38:$AC$55,$AB38:$AB$55)),"")</s:f>
        <s:v/>
      </s:c>
      <s:c r="Z38" s="71" t="str">
        <s:f>IF(AC38&lt;&gt;"",IF(E38&lt;&gt;"",E38,($L$9-SUM($Z$25:Z37))*AB38*AC38/SUMPRODUCT($AC38:$AC$55,$AB38:$AB$55)),"")</s:f>
        <s:v/>
      </s:c>
      <s:c r="AA38" s="71" t="str">
        <s:f>IF(AC38&lt;&gt;"",IF($L$12&lt;&gt;"",IF(G38&lt;&gt;"",G38,($L$9/$L$12-SUM($AA$25:AA37))*AB38*AC38/SUMPRODUCT($AC38:$AC$55,$AB38:$AB$55)),""),"")</s:f>
        <s:v/>
      </s:c>
      <s:c r="AB38" s="132"/>
      <s:c r="AC38" s="445"/>
      <s:c r="AD38" s="122"/>
      <s:c r="AE38" s="122"/>
    </s:row>
    <s:row r="39">
      <s:c r="A39" s="112"/>
      <s:c r="B39" s="138"/>
      <s:c r="C39" s="141"/>
      <s:c r="D39" s="730"/>
      <s:c r="E39" s="116"/>
      <s:c r="F39" s="118" t="str">
        <s:f>IF(AND(E39&lt;&gt;"",E39&lt;&gt;0),D39/E39,"")</s:f>
        <s:v/>
      </s:c>
      <s:c r="G39" s="116"/>
      <s:c r="H39" s="118" t="str">
        <s:f>IF(AND(G39&lt;&gt;"",G39&lt;&gt;0),D39/G39,"")</s:f>
        <s:v/>
      </s:c>
      <s:c r="I39" s="116"/>
      <s:c r="J39" s="136" t="str">
        <s:f>IF(AND(G39&lt;&gt;"",G39&lt;&gt;0),E39/G39,"")</s:f>
        <s:v/>
      </s:c>
      <s:c r="K39" s="417"/>
      <s:c r="L39" s="124"/>
      <s:c r="M39" s="124"/>
      <s:c r="N39" s="124"/>
      <s:c r="O39" s="124"/>
      <s:c r="P39" s="69"/>
      <s:c r="Q39" s="69"/>
      <s:c r="R39" s="67"/>
      <s:c r="S39" s="420"/>
      <s:c r="T39" s="432" t="str">
        <s:f>IF(AND(I39&lt;&gt;"",I39&lt;&gt;0),G39/I39,"")</s:f>
        <s:v/>
      </s:c>
      <s:c r="U39" s="436" t="e">
        <s:f>D39/V39</s:f>
        <s:v>#DIV/0!</s:v>
      </s:c>
      <s:c r="V39" s="444">
        <s:f>$L$8*AB39*AC39/SUMPRODUCT($AC$25:$AC$46,$AB$25:$AB$46)</s:f>
        <s:v>0</s:v>
      </s:c>
      <s:c r="W39" s="71">
        <s:f>$L$9*AB39*AC39/SUMPRODUCT($AC$25:$AC$46,$AB$25:$AB$46)</s:f>
        <s:v>0</s:v>
      </s:c>
      <s:c r="X39" s="71">
        <s:f>IF($L$12="","",W39/$L$12)</s:f>
        <s:v>0</s:v>
      </s:c>
      <s:c r="Y39" s="70" t="str">
        <s:f>IF(AC39&lt;&gt;"",IF(D39&lt;&gt;"",D39,($L$8-SUM($Y$25:Y38))*AB39*AC39/SUMPRODUCT($AC39:$AC$55,$AB39:$AB$55)),"")</s:f>
        <s:v/>
      </s:c>
      <s:c r="Z39" s="71" t="str">
        <s:f>IF(AC39&lt;&gt;"",IF(E39&lt;&gt;"",E39,($L$9-SUM($Z$25:Z38))*AB39*AC39/SUMPRODUCT($AC39:$AC$55,$AB39:$AB$55)),"")</s:f>
        <s:v/>
      </s:c>
      <s:c r="AA39" s="71" t="str">
        <s:f>IF(AC39&lt;&gt;"",IF($L$12&lt;&gt;"",IF(G39&lt;&gt;"",G39,($L$9/$L$12-SUM($AA$25:AA38))*AB39*AC39/SUMPRODUCT($AC39:$AC$55,$AB39:$AB$55)),""),"")</s:f>
        <s:v/>
      </s:c>
      <s:c r="AB39" s="132"/>
      <s:c r="AC39" s="445"/>
      <s:c r="AD39" s="122"/>
      <s:c r="AE39" s="122"/>
      <s:c r="AF39" s="125"/>
    </s:row>
    <s:row r="40">
      <s:c r="A40" s="112"/>
      <s:c r="B40" s="138"/>
      <s:c r="C40" s="65"/>
      <s:c r="D40" s="731"/>
      <s:c r="E40" s="124"/>
      <s:c r="F40" s="124" t="str">
        <s:f>IF(AND(E40&lt;&gt;"",E40&lt;&gt;0),D40/E40,"")</s:f>
        <s:v/>
      </s:c>
      <s:c r="G40" s="124"/>
      <s:c r="H40" s="124" t="str">
        <s:f>IF(AND(G40&lt;&gt;"",G40&lt;&gt;0),D40/G40,"")</s:f>
        <s:v/>
      </s:c>
      <s:c r="I40" s="124"/>
      <s:c r="J40" s="144" t="str">
        <s:f>IF(AND(G40&lt;&gt;"",G40&lt;&gt;0),E40/G40,"")</s:f>
        <s:v/>
      </s:c>
      <s:c r="K40" s="417"/>
      <s:c r="L40" s="124"/>
      <s:c r="M40" s="124"/>
      <s:c r="N40" s="124"/>
      <s:c r="O40" s="124"/>
      <s:c r="P40" s="69"/>
      <s:c r="Q40" s="69"/>
      <s:c r="R40" s="67"/>
      <s:c r="S40" s="420"/>
      <s:c r="T40" s="432" t="str">
        <s:f>IF(AND(I40&lt;&gt;"",I40&lt;&gt;0),G40/I40,"")</s:f>
        <s:v/>
      </s:c>
      <s:c r="U40" s="436" t="e">
        <s:f>D40/V40</s:f>
        <s:v>#DIV/0!</s:v>
      </s:c>
      <s:c r="V40" s="444">
        <s:f>$L$8*AB40*AC40/SUMPRODUCT($AC$25:$AC$46,$AB$25:$AB$46)</s:f>
        <s:v>0</s:v>
      </s:c>
      <s:c r="W40" s="71">
        <s:f>$L$9*AB40*AC40/SUMPRODUCT($AC$25:$AC$46,$AB$25:$AB$46)</s:f>
        <s:v>0</s:v>
      </s:c>
      <s:c r="X40" s="71">
        <s:f>IF($L$12="","",W40/$L$12)</s:f>
        <s:v>0</s:v>
      </s:c>
      <s:c r="Y40" s="70" t="str">
        <s:f>IF(AC40&lt;&gt;"",IF(D40&lt;&gt;"",D40,($L$8-SUM($Y$25:Y39))*AB40*AC40/SUMPRODUCT($AC40:$AC$55,$AB40:$AB$55)),"")</s:f>
        <s:v/>
      </s:c>
      <s:c r="Z40" s="71" t="str">
        <s:f>IF(AC40&lt;&gt;"",IF(E40&lt;&gt;"",E40,($L$9-SUM($Z$25:Z39))*AB40*AC40/SUMPRODUCT($AC40:$AC$55,$AB40:$AB$55)),"")</s:f>
        <s:v/>
      </s:c>
      <s:c r="AA40" s="71" t="str">
        <s:f>IF(AC40&lt;&gt;"",IF($L$12&lt;&gt;"",IF(G40&lt;&gt;"",G40,($L$9/$L$12-SUM($AA$25:AA39))*AB40*AC40/SUMPRODUCT($AC40:$AC$55,$AB40:$AB$55)),""),"")</s:f>
        <s:v/>
      </s:c>
      <s:c r="AB40" s="132"/>
      <s:c r="AC40" s="445"/>
      <s:c r="AD40" s="122"/>
      <s:c r="AE40" s="122"/>
      <s:c r="AF40" s="125"/>
    </s:row>
    <s:row r="41">
      <s:c r="A41" s="112"/>
      <s:c r="B41" s="145"/>
      <s:c r="C41" s="146"/>
      <s:c r="D41" s="732"/>
      <s:c r="E41" s="124"/>
      <s:c r="F41" s="124" t="str">
        <s:f>IF(AND(E41&lt;&gt;"",E41&lt;&gt;0),D41/E41,"")</s:f>
        <s:v/>
      </s:c>
      <s:c r="G41" s="124"/>
      <s:c r="H41" s="124" t="str">
        <s:f>IF(AND(G41&lt;&gt;"",G41&lt;&gt;0),D41/G41,"")</s:f>
        <s:v/>
      </s:c>
      <s:c r="I41" s="124"/>
      <s:c r="J41" s="144" t="str">
        <s:f>IF(AND(G41&lt;&gt;"",G41&lt;&gt;0),E41/G41,"")</s:f>
        <s:v/>
      </s:c>
      <s:c r="K41" s="417"/>
      <s:c r="L41" s="124"/>
      <s:c r="M41" s="124"/>
      <s:c r="N41" s="124"/>
      <s:c r="O41" s="124"/>
      <s:c r="P41" s="69"/>
      <s:c r="Q41" s="69"/>
      <s:c r="R41" s="67"/>
      <s:c r="S41" s="420"/>
      <s:c r="T41" s="432" t="str">
        <s:f>IF(AND(I41&lt;&gt;"",I41&lt;&gt;0),G41/I41,"")</s:f>
        <s:v/>
      </s:c>
      <s:c r="U41" s="436" t="e">
        <s:f>D41/V41</s:f>
        <s:v>#DIV/0!</s:v>
      </s:c>
      <s:c r="V41" s="444">
        <s:f>$L$8*AB41*AC41/SUMPRODUCT($AC$25:$AC$46,$AB$25:$AB$46)</s:f>
        <s:v>0</s:v>
      </s:c>
      <s:c r="W41" s="71">
        <s:f>$L$9*AB41*AC41/SUMPRODUCT($AC$25:$AC$46,$AB$25:$AB$46)</s:f>
        <s:v>0</s:v>
      </s:c>
      <s:c r="X41" s="71">
        <s:f>IF($L$12="","",W41/$L$12)</s:f>
        <s:v>0</s:v>
      </s:c>
      <s:c r="Y41" s="70" t="str">
        <s:f>IF(AC41&lt;&gt;"",IF(D41&lt;&gt;"",D41,($L$8-SUM($Y$25:Y40))*AB41*AC41/SUMPRODUCT($AC41:$AC$55,$AB41:$AB$55)),"")</s:f>
        <s:v/>
      </s:c>
      <s:c r="Z41" s="71" t="str">
        <s:f>IF(AC41&lt;&gt;"",IF(E41&lt;&gt;"",E41,($L$9-SUM($Z$25:Z40))*AB41*AC41/SUMPRODUCT($AC41:$AC$55,$AB41:$AB$55)),"")</s:f>
        <s:v/>
      </s:c>
      <s:c r="AA41" s="71" t="str">
        <s:f>IF(AC41&lt;&gt;"",IF($L$12&lt;&gt;"",IF(G41&lt;&gt;"",G41,($L$9/$L$12-SUM($AA$25:AA40))*AB41*AC41/SUMPRODUCT($AC41:$AC$55,$AB41:$AB$55)),""),"")</s:f>
        <s:v/>
      </s:c>
      <s:c r="AB41" s="132"/>
      <s:c r="AC41" s="445"/>
      <s:c r="AD41" s="122"/>
      <s:c r="AE41" s="122"/>
      <s:c r="AF41" s="125"/>
    </s:row>
    <s:row r="42">
      <s:c r="A42" s="112"/>
      <s:c r="B42" s="145"/>
      <s:c r="C42" s="148"/>
      <s:c r="D42" s="732"/>
      <s:c r="E42" s="124"/>
      <s:c r="F42" s="124" t="str">
        <s:f>IF(AND(E42&lt;&gt;"",E42&lt;&gt;0),D42/E42,"")</s:f>
        <s:v/>
      </s:c>
      <s:c r="G42" s="124"/>
      <s:c r="H42" s="124" t="str">
        <s:f>IF(AND(G42&lt;&gt;"",G42&lt;&gt;0),D42/G42,"")</s:f>
        <s:v/>
      </s:c>
      <s:c r="I42" s="124"/>
      <s:c r="J42" s="144" t="str">
        <s:f>IF(AND(G42&lt;&gt;"",G42&lt;&gt;0),E42/G42,"")</s:f>
        <s:v/>
      </s:c>
      <s:c r="K42" s="417"/>
      <s:c r="L42" s="124"/>
      <s:c r="M42" s="124"/>
      <s:c r="N42" s="124"/>
      <s:c r="O42" s="124"/>
      <s:c r="P42" s="69"/>
      <s:c r="Q42" s="69"/>
      <s:c r="R42" s="67"/>
      <s:c r="S42" s="420"/>
      <s:c r="T42" s="432" t="str">
        <s:f>IF(AND(I42&lt;&gt;"",I42&lt;&gt;0),G42/I42,"")</s:f>
        <s:v/>
      </s:c>
      <s:c r="U42" s="436" t="e">
        <s:f>D42/V42</s:f>
        <s:v>#DIV/0!</s:v>
      </s:c>
      <s:c r="V42" s="444">
        <s:f>$L$8*AB42*AC42/SUMPRODUCT($AC$25:$AC$46,$AB$25:$AB$46)</s:f>
        <s:v>0</s:v>
      </s:c>
      <s:c r="W42" s="71">
        <s:f>$L$9*AB42*AC42/SUMPRODUCT($AC$25:$AC$46,$AB$25:$AB$46)</s:f>
        <s:v>0</s:v>
      </s:c>
      <s:c r="X42" s="71">
        <s:f>IF($L$12="","",W42/$L$12)</s:f>
        <s:v>0</s:v>
      </s:c>
      <s:c r="Y42" s="70" t="str">
        <s:f>IF(AC42&lt;&gt;"",IF(D42&lt;&gt;"",D42,($L$8-SUM($Y$25:Y41))*AB42*AC42/SUMPRODUCT($AC42:$AC$55,$AB42:$AB$55)),"")</s:f>
        <s:v/>
      </s:c>
      <s:c r="Z42" s="71" t="str">
        <s:f>IF(AC42&lt;&gt;"",IF(E42&lt;&gt;"",E42,($L$9-SUM($Z$25:Z41))*AB42*AC42/SUMPRODUCT($AC42:$AC$55,$AB42:$AB$55)),"")</s:f>
        <s:v/>
      </s:c>
      <s:c r="AA42" s="71" t="str">
        <s:f>IF(AC42&lt;&gt;"",IF($L$12&lt;&gt;"",IF(G42&lt;&gt;"",G42,($L$9/$L$12-SUM($AA$25:AA41))*AB42*AC42/SUMPRODUCT($AC42:$AC$55,$AB42:$AB$55)),""),"")</s:f>
        <s:v/>
      </s:c>
      <s:c r="AB42" s="132"/>
      <s:c r="AC42" s="445"/>
      <s:c r="AD42" s="122"/>
      <s:c r="AE42" s="122"/>
      <s:c r="AF42" s="125"/>
    </s:row>
    <s:row r="43">
      <s:c r="A43" s="112"/>
      <s:c r="B43" s="145"/>
      <s:c r="C43" s="80"/>
      <s:c r="D43" s="733"/>
      <s:c r="E43" s="124"/>
      <s:c r="F43" s="124" t="str">
        <s:f>IF(AND(E43&lt;&gt;"",E43&lt;&gt;0),D43/E43,"")</s:f>
        <s:v/>
      </s:c>
      <s:c r="G43" s="124"/>
      <s:c r="H43" s="124" t="str">
        <s:f>IF(AND(G43&lt;&gt;"",G43&lt;&gt;0),D43/G43,"")</s:f>
        <s:v/>
      </s:c>
      <s:c r="I43" s="124"/>
      <s:c r="J43" s="144" t="str">
        <s:f>IF(AND(G43&lt;&gt;"",G43&lt;&gt;0),E43/G43,"")</s:f>
        <s:v/>
      </s:c>
      <s:c r="K43" s="417"/>
      <s:c r="L43" s="124"/>
      <s:c r="M43" s="124"/>
      <s:c r="N43" s="124"/>
      <s:c r="O43" s="124"/>
      <s:c r="P43" s="69"/>
      <s:c r="Q43" s="69"/>
      <s:c r="R43" s="67"/>
      <s:c r="S43" s="420"/>
      <s:c r="T43" s="432" t="str">
        <s:f>IF(AND(I43&lt;&gt;"",I43&lt;&gt;0),G43/I43,"")</s:f>
        <s:v/>
      </s:c>
      <s:c r="U43" s="436" t="e">
        <s:f>D43/V43</s:f>
        <s:v>#DIV/0!</s:v>
      </s:c>
      <s:c r="V43" s="444">
        <s:f>$L$8*AB43*AC43/SUMPRODUCT($AC$25:$AC$46,$AB$25:$AB$46)</s:f>
        <s:v>0</s:v>
      </s:c>
      <s:c r="W43" s="71">
        <s:f>$L$9*AB43*AC43/SUMPRODUCT($AC$25:$AC$46,$AB$25:$AB$46)</s:f>
        <s:v>0</s:v>
      </s:c>
      <s:c r="X43" s="71">
        <s:f>IF($L$12="","",W43/$L$12)</s:f>
        <s:v>0</s:v>
      </s:c>
      <s:c r="Y43" s="70" t="str">
        <s:f>IF(AC43&lt;&gt;"",IF(D43&lt;&gt;"",D43,($L$8-SUM($Y$25:Y42))*AB43*AC43/SUMPRODUCT($AC43:$AC$55,$AB43:$AB$55)),"")</s:f>
        <s:v/>
      </s:c>
      <s:c r="Z43" s="71" t="str">
        <s:f>IF(AC43&lt;&gt;"",IF(E43&lt;&gt;"",E43,($L$9-SUM($Z$25:Z42))*AB43*AC43/SUMPRODUCT($AC43:$AC$46,$AB43:$AB$46)),"")</s:f>
        <s:v/>
      </s:c>
      <s:c r="AA43" s="71" t="str">
        <s:f>IF(AC43&lt;&gt;"",IF($L$12&lt;&gt;"",IF(G43&lt;&gt;"",G43,($L$9/$L$12-SUM($AA$25:AA42))*AB43*AC43/SUMPRODUCT($AC43:$AC$46,$AB43:$AB$46)),""),"")</s:f>
        <s:v/>
      </s:c>
      <s:c r="AB43" s="132"/>
      <s:c r="AC43" s="445"/>
      <s:c r="AD43" s="122"/>
      <s:c r="AE43" s="122"/>
      <s:c r="AF43" s="125"/>
    </s:row>
    <s:row r="44">
      <s:c r="A44" s="150"/>
      <s:c r="B44" s="145"/>
      <s:c r="C44" s="65"/>
      <s:c r="D44" s="734"/>
      <s:c r="E44" s="151"/>
      <s:c r="F44" s="74" t="str">
        <s:f>IF(AND(E44&lt;&gt;"",E44&lt;&gt;0),D44/E44,"")</s:f>
        <s:v/>
      </s:c>
      <s:c r="G44" s="151"/>
      <s:c r="H44" s="74" t="str">
        <s:f>IF(AND(G44&lt;&gt;"",G44&lt;&gt;0),D44/G44,"")</s:f>
        <s:v/>
      </s:c>
      <s:c r="I44" s="151"/>
      <s:c r="J44" s="136" t="str">
        <s:f>IF(AND(G44&lt;&gt;"",G44&lt;&gt;0),E44/G44,"")</s:f>
        <s:v/>
      </s:c>
      <s:c r="K44" s="413"/>
      <s:c r="L44" s="421"/>
      <s:c r="M44" s="421"/>
      <s:c r="N44" s="421"/>
      <s:c r="O44" s="421"/>
      <s:c r="P44" s="69"/>
      <s:c r="Q44" s="69"/>
      <s:c r="R44" s="67"/>
      <s:c r="S44" s="420"/>
      <s:c r="T44" s="432" t="str">
        <s:f>IF(AND(I44&lt;&gt;"",I44&lt;&gt;0),G44/I44,"")</s:f>
        <s:v/>
      </s:c>
      <s:c r="U44" s="436" t="e">
        <s:f>D44/V44</s:f>
        <s:v>#DIV/0!</s:v>
      </s:c>
      <s:c r="V44" s="444">
        <s:f>$L$8*AB44*AC44/SUMPRODUCT($AC$25:$AC$46,$AB$25:$AB$46)</s:f>
        <s:v>0</s:v>
      </s:c>
      <s:c r="W44" s="71">
        <s:f>$L$9*AB44*AC44/SUMPRODUCT($AC$25:$AC$46,$AB$25:$AB$46)</s:f>
        <s:v>0</s:v>
      </s:c>
      <s:c r="X44" s="71">
        <s:f>IF($L$12="","",W44/$L$12)</s:f>
        <s:v>0</s:v>
      </s:c>
      <s:c r="Y44" s="70" t="str">
        <s:f>IF(AC44&lt;&gt;"",IF(D44&lt;&gt;"",D44,($L$8-SUM($Y$25:Y43))*AB44*AC44/SUMPRODUCT($AC44:$AC$46,$AB44:$AB$46)),"")</s:f>
        <s:v/>
      </s:c>
      <s:c r="Z44" s="71" t="str">
        <s:f>IF(AC44&lt;&gt;"",IF(E44&lt;&gt;"",E44,($L$9-SUM($Z$25:Z43))*AB44*AC44/SUMPRODUCT($AC44:$AC$46,$AB44:$AB$46)),"")</s:f>
        <s:v/>
      </s:c>
      <s:c r="AA44" s="71" t="str">
        <s:f>IF(AC44&lt;&gt;"",IF($L$12&lt;&gt;"",IF(G44&lt;&gt;"",G44,($L$9/$L$12-SUM($AA$25:AA43))*AB44*AC44/SUMPRODUCT($AC44:$AC$46,$AB44:$AB$46)),""),"")</s:f>
        <s:v/>
      </s:c>
      <s:c r="AB44" s="132"/>
      <s:c r="AC44" s="445"/>
      <s:c r="AD44" s="122"/>
      <s:c r="AE44" s="122"/>
      <s:c r="AF44" s="125"/>
    </s:row>
    <s:row r="45">
      <s:c r="A45" s="112"/>
      <s:c r="B45" s="64"/>
      <s:c r="C45" s="65"/>
      <s:c r="D45" s="734"/>
      <s:c r="E45" s="127"/>
      <s:c r="F45" s="67"/>
      <s:c r="G45" s="127"/>
      <s:c r="H45" s="67"/>
      <s:c r="I45" s="127"/>
      <s:c r="J45" s="136" t="str">
        <s:f>IF(AND(G45&lt;&gt;"",G45&lt;&gt;0),E45/G45,"")</s:f>
        <s:v/>
      </s:c>
      <s:c r="K45" s="422"/>
      <s:c r="L45" s="67"/>
      <s:c r="M45" s="67"/>
      <s:c r="N45" s="67"/>
      <s:c r="O45" s="67"/>
      <s:c r="P45" s="69"/>
      <s:c r="Q45" s="69"/>
      <s:c r="R45" s="67"/>
      <s:c r="S45" s="420"/>
      <s:c r="T45" s="432" t="str">
        <s:f>IF(AND(I45&lt;&gt;"",I45&lt;&gt;0),G45/I45,"")</s:f>
        <s:v/>
      </s:c>
      <s:c r="U45" s="436" t="e">
        <s:f>D45/V45</s:f>
        <s:v>#DIV/0!</s:v>
      </s:c>
      <s:c r="V45" s="444">
        <s:f>$L$8*AB45*AC45/SUMPRODUCT($AC$25:$AC$46,$AB$25:$AB$46)</s:f>
        <s:v>0</s:v>
      </s:c>
      <s:c r="W45" s="71">
        <s:f>$L$9*AB45*AC45/SUMPRODUCT($AC$25:$AC$46,$AB$25:$AB$46)</s:f>
        <s:v>0</s:v>
      </s:c>
      <s:c r="X45" s="71">
        <s:f>IF($L$12="","",W45/$L$12)</s:f>
        <s:v>0</s:v>
      </s:c>
      <s:c r="Y45" s="70" t="str">
        <s:f>IF(AC45&lt;&gt;"",IF(D45&lt;&gt;"",D45,($L$8-SUM($Y$25:Y44))*AB45*AC45/SUMPRODUCT($AC45:$AC$46,$AB45:$AB$46)),"")</s:f>
        <s:v/>
      </s:c>
      <s:c r="Z45" s="71" t="str">
        <s:f>IF(AC45&lt;&gt;"",IF(E45&lt;&gt;"",E45,($L$9-SUM($Z$25:Z44))*AB45*AC45/SUMPRODUCT($AC45:$AC$46,$AB45:$AB$46)),"")</s:f>
        <s:v/>
      </s:c>
      <s:c r="AA45" s="71" t="str">
        <s:f>IF(AC45&lt;&gt;"",IF($L$12&lt;&gt;"",IF(G45&lt;&gt;"",G45,($L$9/$L$12-SUM($AA$25:AA44))*AB45*AC45/SUMPRODUCT($AC45:$AC$46,$AB45:$AB$46)),""),"")</s:f>
        <s:v/>
      </s:c>
      <s:c r="AB45" s="132"/>
      <s:c r="AC45" s="445"/>
      <s:c r="AD45" s="122"/>
      <s:c r="AE45" s="122"/>
      <s:c r="AF45" s="125"/>
    </s:row>
    <s:row r="46">
      <s:c r="A46" s="152"/>
      <s:c r="B46" s="64"/>
      <s:c r="C46" s="153"/>
      <s:c r="D46" s="735"/>
      <s:c r="E46" s="155"/>
      <s:c r="F46" s="156" t="str">
        <s:f>IF(AND(E46&lt;&gt;"",E46&lt;&gt;0),D46/E46,"")</s:f>
        <s:v/>
      </s:c>
      <s:c r="G46" s="155"/>
      <s:c r="H46" s="156" t="str">
        <s:f>IF(AND(G46&lt;&gt;"",G46&lt;&gt;0),D46/G46,"")</s:f>
        <s:v/>
      </s:c>
      <s:c r="I46" s="157"/>
      <s:c r="J46" s="407" t="str">
        <s:f>IF(AND(G46&lt;&gt;"",G46&lt;&gt;0),E46/G46,"")</s:f>
        <s:v/>
      </s:c>
      <s:c r="K46" s="423"/>
      <s:c r="L46" s="156"/>
      <s:c r="M46" s="156"/>
      <s:c r="N46" s="156"/>
      <s:c r="O46" s="156"/>
      <s:c r="P46" s="67"/>
      <s:c r="Q46" s="67"/>
      <s:c r="R46" s="67"/>
      <s:c r="S46" s="420"/>
      <s:c r="T46" s="432" t="str">
        <s:f>IF(AND(I46&lt;&gt;"",I46&lt;&gt;0),G46/I46,"")</s:f>
        <s:v/>
      </s:c>
      <s:c r="U46" s="436" t="e">
        <s:f>D46/V46</s:f>
        <s:v>#DIV/0!</s:v>
      </s:c>
      <s:c r="V46" s="447">
        <s:f>$L$8*AB46*AC46/SUMPRODUCT($AC$25:$AC$46,$AB$25:$AB$46)</s:f>
        <s:v>0</s:v>
      </s:c>
      <s:c r="W46" s="159">
        <s:f>$L$9*AB46*AC46/SUMPRODUCT($AC$25:$AC$46,$AB$25:$AB$46)</s:f>
        <s:v>0</s:v>
      </s:c>
      <s:c r="X46" s="159">
        <s:f>IF($L$12="","",W46/$L$12)</s:f>
        <s:v>0</s:v>
      </s:c>
      <s:c r="Y46" s="158" t="str">
        <s:f>IF(AC46&lt;&gt;"",IF(D46&lt;&gt;"",D46,($L$8-SUM($Y$25:Y45))*AB46*AC46/SUMPRODUCT($AC46:$AC$46,$AB46:$AB$46)),"")</s:f>
        <s:v/>
      </s:c>
      <s:c r="Z46" s="159" t="str">
        <s:f>IF(AC46&lt;&gt;"",IF(E46&lt;&gt;"",E46,($L$9-SUM($Z$25:Z39))*AB46*AC46/SUMPRODUCT($AC46:$AC$46,$AB46:$AB$46)),"")</s:f>
        <s:v/>
      </s:c>
      <s:c r="AA46" s="159" t="str">
        <s:f>IF(AC46&lt;&gt;"",IF($L$12&lt;&gt;"",IF(G46&lt;&gt;"",G46,($L$9/$L$12-SUM($AA$25:AA39))*AB46*AC46/SUMPRODUCT($AC46:$AC$46,$AB46:$AB$46)),""),"")</s:f>
        <s:v/>
      </s:c>
      <s:c r="AB46" s="160"/>
      <s:c r="AC46" s="448"/>
      <s:c r="AD46" s="161"/>
      <s:c r="AE46" s="162"/>
    </s:row>
    <s:row r="47">
      <s:c r="B47" s="163"/>
      <s:c r="C47" s="80"/>
      <s:c r="D47" s="725"/>
      <s:c r="E47" s="74"/>
      <s:c r="F47" s="78" t="str">
        <s:f>IF(AND(E47&lt;&gt;"",E47&lt;&gt;0),D47/E47,"")</s:f>
        <s:v/>
      </s:c>
      <s:c r="G47" s="74"/>
      <s:c r="H47" s="78" t="str">
        <s:f>IF(AND(G47&lt;&gt;"",G47&lt;&gt;0),D47/G47,"")</s:f>
        <s:v/>
      </s:c>
      <s:c r="I47" s="164"/>
      <s:c r="J47" s="136" t="str">
        <s:f>IF(AND(G47&lt;&gt;"",G47&lt;&gt;0),E47/G47,"")</s:f>
        <s:v/>
      </s:c>
      <s:c r="K47" s="422"/>
      <s:c r="L47" s="67"/>
      <s:c r="M47" s="67"/>
      <s:c r="N47" s="67"/>
      <s:c r="O47" s="67"/>
      <s:c r="P47" s="67"/>
      <s:c r="Q47" s="67"/>
      <s:c r="R47" s="67"/>
      <s:c r="S47" s="420"/>
      <s:c r="T47" s="432" t="str">
        <s:f>IF(AND(I47&lt;&gt;"",I47&lt;&gt;0),G47/I47,"")</s:f>
        <s:v/>
      </s:c>
      <s:c r="U47" s="436" t="e">
        <s:f>D47/V47</s:f>
        <s:v>#DIV/0!</s:v>
      </s:c>
      <s:c r="V47" s="444">
        <s:f>$L$8*AB47*AC47/SUMPRODUCT($AC$25:$AC$46,$AB$25:$AB$46)</s:f>
        <s:v>0</s:v>
      </s:c>
      <s:c r="W47" s="71">
        <s:f>$L$9*AB47*AC47/SUMPRODUCT($AC$25:$AC$46,$AB$25:$AB$46)</s:f>
        <s:v>0</s:v>
      </s:c>
      <s:c r="X47" s="71">
        <s:f>IF($L$12="","",W47/$L$12)</s:f>
        <s:v>0</s:v>
      </s:c>
      <s:c r="Y47" s="70" t="str">
        <s:f>IF(AC47&lt;&gt;"",IF(D47&lt;&gt;"",D47,($L$8-SUM($Y$25:Y46))*AB47*AC47/SUMPRODUCT($AC$46:$AC47,$AB$46:$AB47)),"")</s:f>
        <s:v/>
      </s:c>
      <s:c r="Z47" s="71" t="str">
        <s:f>IF(AC47&lt;&gt;"",IF(E47&lt;&gt;"",E47,($L$9-SUM($Z$25:Z40))*AB47*AC47/SUMPRODUCT($AC$46:$AC47,$AB$46:$AB47)),"")</s:f>
        <s:v/>
      </s:c>
      <s:c r="AA47" s="71" t="str">
        <s:f>IF(AC47&lt;&gt;"",IF($L$12&lt;&gt;"",IF(G47&lt;&gt;"",G47,($L$9/$L$12-SUM($AA$25:AA40))*AB47*AC47/SUMPRODUCT($AC$46:$AC47,$AB$46:$AB47)),""),"")</s:f>
        <s:v/>
      </s:c>
      <s:c r="AB47" s="132"/>
      <s:c r="AC47" s="445"/>
      <s:c r="AD47" s="122"/>
      <s:c r="AE47" s="122"/>
    </s:row>
    <s:row r="48">
      <s:c r="B48" s="134" t="s">
        <s:v>61</s:v>
      </s:c>
      <s:c r="C48" s="134"/>
      <s:c r="D48" s="129">
        <s:f>SUM(D25:D47)</s:f>
        <s:v>191420</s:v>
      </s:c>
      <s:c r="E48" s="129">
        <s:f>SUM(E25:E47)</s:f>
        <s:v>31</s:v>
      </s:c>
      <s:c r="F48" s="129">
        <s:f>IF(AND(E48&lt;&gt;"",E48&lt;&gt;0),D48/E48,"")</s:f>
        <s:v>6174.8387096774195</s:v>
      </s:c>
      <s:c r="G48" s="129">
        <s:f>SUM(G25:G47)</s:f>
        <s:v>22</s:v>
      </s:c>
      <s:c r="H48" s="129">
        <s:f>IF(AND(G48&lt;&gt;"",G48&lt;&gt;0),D48/G48,"")</s:f>
        <s:v>8700.9090909090901</s:v>
      </s:c>
      <s:c r="I48" s="129">
        <s:f>SUM(I25:I47)*0.8</s:f>
        <s:v>201.6</s:v>
      </s:c>
      <s:c r="J48" s="408">
        <s:f>IF(AND(G48&lt;&gt;"",G48&lt;&gt;0),E48/G48,"")</s:f>
        <s:v>1.4090909090909001</s:v>
      </s:c>
      <s:c r="K48" s="424">
        <s:f>SUM(K25:K47)</s:f>
        <s:v>0</s:v>
      </s:c>
      <s:c r="L48" s="425">
        <s:f>SUM(L25:L47)</s:f>
        <s:v>0</s:v>
      </s:c>
      <s:c r="M48" s="425">
        <s:f>SUM(M25:M47)</s:f>
        <s:v>23785</s:v>
      </s:c>
      <s:c r="N48" s="425">
        <s:f>SUM(N25:N47)</s:f>
        <s:v>0</s:v>
      </s:c>
      <s:c r="O48" s="425">
        <s:f>SUM(O25:O47)</s:f>
        <s:v>0</s:v>
      </s:c>
      <s:c r="P48" s="425">
        <s:f>SUM(P25:P47)</s:f>
        <s:v>0</s:v>
      </s:c>
      <s:c r="Q48" s="425">
        <s:f>SUM(Q25:Q47)</s:f>
        <s:v>0</s:v>
      </s:c>
      <s:c r="R48" s="425">
        <s:f>SUM(R25:R47)</s:f>
        <s:v>0</s:v>
      </s:c>
      <s:c r="S48" s="426">
        <s:f>SUM(S25:S47)</s:f>
        <s:v>16437.169999999998</s:v>
      </s:c>
      <s:c r="T48" s="433">
        <s:f>IF(AND(I48&lt;&gt;"",I48&lt;&gt;0),G48/I48,"")</s:f>
        <s:v>0.109126984126984</s:v>
      </s:c>
      <s:c r="U48" s="437">
        <s:f>D48/V48</s:f>
        <s:v>0.34306653491436101</s:v>
      </s:c>
      <s:c r="V48" s="449">
        <s:f>SUM(V25:V47)</s:f>
        <s:v>557967.56756756757</s:v>
      </s:c>
      <s:c r="W48" s="450">
        <s:f>SUM(W25:W47)</s:f>
        <s:v>80.864864864864884</s:v>
      </s:c>
      <s:c r="X48" s="450">
        <s:f>SUM(X25:X47)</s:f>
        <s:v>47.567567567567572</s:v>
      </s:c>
      <s:c r="Y48" s="450">
        <s:f>SUM(Y25:Y47)</s:f>
        <s:v>163861</s:v>
      </s:c>
      <s:c r="Z48" s="450">
        <s:f>SUM(Z25:Z47)</s:f>
        <s:v>26</s:v>
      </s:c>
      <s:c r="AA48" s="450">
        <s:f>SUM(AA25:AA47)</s:f>
        <s:v>20</s:v>
      </s:c>
      <s:c r="AB48" s="451"/>
      <s:c r="AC48" s="452"/>
    </s:row>
    <s:row r="49">
      <s:c r="C49" s="81"/>
      <s:c r="D49" s="82">
        <s:f>SUMIF(D25:D47,"",V25:V47)+D48</s:f>
        <s:v>191420</s:v>
      </s:c>
      <s:c r="E49" s="83"/>
      <s:c r="F49" s="81"/>
      <s:c r="G49" s="81"/>
      <s:c r="H49" s="84"/>
      <s:c r="I49" s="85"/>
      <s:c r="J49" s="84"/>
      <s:c r="O49" s="86"/>
      <s:c r="P49" s="83"/>
      <s:c r="Q49" s="83"/>
      <s:c r="R49" s="83"/>
      <s:c r="S49" s="83"/>
      <s:c r="T49" s="86"/>
      <s:c r="U49" s="86"/>
      <s:c r="V49" s="86"/>
      <s:c r="W49" s="87"/>
    </s:row>
    <s:row r="50">
      <s:c r="B50" s="80"/>
      <s:c r="D50" s="89"/>
      <s:c r="R50" s="83"/>
      <s:c r="S50" s="83"/>
    </s:row>
    <s:row r="52">
      <s:c r="D52" s="89"/>
    </s:row>
    <s:row r="53">
      <s:c r="D53" s="89"/>
    </s:row>
  </s:sheetData>
  <s:mergeCells count="10">
    <s:mergeCell ref="V22:AC22"/>
    <s:mergeCell ref="A22:U22"/>
    <s:mergeCell ref="C1:D1"/>
    <s:mergeCell ref="C2:D2"/>
    <s:mergeCell ref="C4:D4"/>
    <s:mergeCell ref="M3:Q4"/>
    <s:mergeCell ref="M2:Q2"/>
    <s:mergeCell ref="I6:T6"/>
    <s:mergeCell ref="V16:V17"/>
    <s:mergeCell ref="S7:T7"/>
  </s:mergeCells>
  <s:pageMargins left="0.7" right="0.7" top="0.75" bottom="0.75" header="0.3" footer="0.3"/>
</s:worksheet>
</file>

<file path=xl/worksheets/sheet7.xml><?xml version="1.0" encoding="utf-8"?>
<s:worksheet xmlns:x14ac="http://schemas.microsoft.com/office/spreadsheetml/2009/9/ac" xmlns:mc="http://schemas.openxmlformats.org/markup-compatibility/2006" xmlns:xr3="http://schemas.microsoft.com/office/spreadsheetml/2016/revision3" xmlns:xr2="http://schemas.microsoft.com/office/spreadsheetml/2015/revision2" xmlns:s="http://schemas.openxmlformats.org/spreadsheetml/2006/main" xmlns:xr="http://schemas.microsoft.com/office/spreadsheetml/2014/revision" mc:Ignorable="x14ac xr xr2 xr3" xr:uid="{9CC37F60-B686-C84C-9E0D-B9AFBEA4F285}">
  <s:dimension ref="A1:AM53"/>
  <s:sheetViews>
    <s:sheetView tabSelected="0" topLeftCell="A4" zoomScale="75" workbookViewId="0">
      <s:selection activeCell="S42" sqref="S42"/>
    </s:sheetView>
  </s:sheetViews>
  <s:sheetFormatPr baseColWidth="10" defaultColWidth="10" defaultRowHeight="15"/>
  <s:cols>
    <s:col min="1" max="1" width="3.832" customWidth="1"/>
    <s:col min="15" max="15" width="11.164" customWidth="1"/>
    <s:col min="17" max="18" width="12.164" customWidth="1"/>
  </s:cols>
  <s:sheetData>
    <s:row r="1" ht="36">
      <s:c r="A1" s="3"/>
      <s:c r="B1" s="3"/>
      <s:c r="C1" s="847">
        <s:f ca="1">TODAY()-1</s:f>
        <s:v>46151</s:v>
      </s:c>
      <s:c r="D1" s="847"/>
      <s:c r="E1" s="4"/>
      <s:c r="F1" s="5"/>
      <s:c r="G1" s="5"/>
      <s:c r="H1" s="5"/>
      <s:c r="I1" s="5"/>
      <s:c r="J1" s="6"/>
      <s:c r="K1" s="6"/>
      <s:c r="L1" s="6"/>
      <s:c r="M1" s="6"/>
      <s:c r="N1" s="6"/>
      <s:c r="O1" s="6"/>
      <s:c r="P1" s="6"/>
      <s:c r="Q1" s="6"/>
      <s:c r="R1" s="6"/>
      <s:c r="S1" s="6"/>
      <s:c r="T1" s="6"/>
      <s:c r="U1" s="6"/>
      <s:c r="V1" s="6"/>
      <s:c r="W1" s="7"/>
      <s:c r="X1" s="7"/>
      <s:c r="Y1" s="7"/>
      <s:c r="Z1" s="7"/>
      <s:c r="AA1" s="5"/>
      <s:c r="AB1" s="5"/>
      <s:c r="AC1" s="5"/>
    </s:row>
    <s:row r="2" ht="36">
      <s:c r="A2" s="8"/>
      <s:c r="B2" s="8"/>
      <s:c r="C2" s="848" t="s">
        <s:v>69</s:v>
      </s:c>
      <s:c r="D2" s="848"/>
      <s:c r="E2" s="4"/>
      <s:c r="F2" s="5"/>
      <s:c r="G2" s="5"/>
      <s:c r="H2" s="5"/>
      <s:c r="I2" s="5"/>
      <s:c r="J2" s="5"/>
      <s:c r="K2" s="5"/>
      <s:c r="L2" s="5"/>
      <s:c r="M2" s="873" t="s">
        <s:v>130</s:v>
      </s:c>
      <s:c r="N2" s="873"/>
      <s:c r="O2" s="873"/>
      <s:c r="P2" s="873"/>
      <s:c r="Q2" s="873"/>
      <s:c r="R2" s="9"/>
      <s:c r="S2" s="9"/>
      <s:c r="T2" s="9"/>
      <s:c r="U2" s="9"/>
      <s:c r="V2" s="9"/>
      <s:c r="W2" s="7"/>
      <s:c r="X2" s="7"/>
      <s:c r="Y2" s="7"/>
      <s:c r="Z2" s="7"/>
      <s:c r="AA2" s="5"/>
      <s:c r="AB2" s="5"/>
      <s:c r="AC2" s="5"/>
    </s:row>
    <s:row r="3" spans="1:29" ht="17" customHeight="1">
      <s:c r="A3" s="8"/>
      <s:c r="B3" s="8"/>
      <s:c r="C3" s="10" t="s">
        <s:v>0</s:v>
      </s:c>
      <s:c r="D3" s="4"/>
      <s:c r="E3" s="4"/>
      <s:c r="F3" s="5"/>
      <s:c r="G3" s="5"/>
      <s:c r="H3" s="5"/>
      <s:c r="I3" s="5"/>
      <s:c r="J3" s="5"/>
      <s:c r="K3" s="5"/>
      <s:c r="L3" s="5"/>
      <s:c r="M3" s="882" t="str">
        <s:f>График!B26</s:f>
        <s:v>Бешлиева Аджере</s:v>
      </s:c>
      <s:c r="N3" s="803"/>
      <s:c r="O3" s="803"/>
      <s:c r="P3" s="803"/>
      <s:c r="Q3" s="883"/>
      <s:c r="R3" s="9"/>
      <s:c r="S3" s="9"/>
      <s:c r="T3" s="9"/>
      <s:c r="U3" s="9"/>
      <s:c r="V3" s="9"/>
      <s:c r="W3" s="7"/>
      <s:c r="X3" s="7"/>
      <s:c r="Y3" s="7"/>
      <s:c r="Z3" s="7"/>
      <s:c r="AA3" s="5"/>
      <s:c r="AB3" s="5"/>
      <s:c r="AC3" s="5"/>
    </s:row>
    <s:row r="4" spans="1:29" ht="17" customHeight="1" thickBot="1">
      <s:c r="A4" s="4"/>
      <s:c r="B4" s="4"/>
      <s:c r="C4" s="880">
        <s:f>L8-D48</s:f>
        <s:v>372227.837837837</s:v>
      </s:c>
      <s:c r="D4" s="881"/>
      <s:c r="E4" s="736">
        <s:f>IF(L8&lt;&gt;0,C4/L8,0)</s:f>
        <s:v>0.40768062659846499</s:v>
      </s:c>
      <s:c r="F4" s="5"/>
      <s:c r="G4" s="5"/>
      <s:c r="H4" s="5"/>
      <s:c r="I4" s="5"/>
      <s:c r="J4" s="5"/>
      <s:c r="K4" s="5"/>
      <s:c r="L4" s="5"/>
      <s:c r="M4" s="884"/>
      <s:c r="N4" s="885"/>
      <s:c r="O4" s="885"/>
      <s:c r="P4" s="885"/>
      <s:c r="Q4" s="886"/>
      <s:c r="R4" s="9"/>
      <s:c r="S4" s="9"/>
      <s:c r="T4" s="9"/>
      <s:c r="U4" s="9"/>
      <s:c r="V4" s="9"/>
      <s:c r="W4" s="7"/>
      <s:c r="X4" s="7"/>
      <s:c r="Y4" s="7"/>
      <s:c r="Z4" s="7"/>
      <s:c r="AA4" s="5"/>
      <s:c r="AB4" s="5"/>
      <s:c r="AC4" s="5"/>
    </s:row>
    <s:row r="5">
      <s:c r="A5" s="5"/>
      <s:c r="B5" s="5"/>
      <s:c r="C5" s="5"/>
      <s:c r="D5" s="5"/>
      <s:c r="E5" s="5"/>
      <s:c r="F5" s="5"/>
      <s:c r="G5" s="5"/>
      <s:c r="H5" s="5"/>
      <s:c r="I5" s="5"/>
      <s:c r="J5" s="5"/>
      <s:c r="K5" s="5"/>
      <s:c r="L5" s="5"/>
      <s:c r="M5" s="14"/>
      <s:c r="N5" s="14"/>
      <s:c r="O5" s="14"/>
      <s:c r="P5" s="14"/>
      <s:c r="Q5" s="14"/>
      <s:c r="R5" s="14"/>
      <s:c r="S5" s="14"/>
      <s:c r="T5" s="14"/>
      <s:c r="U5" s="14"/>
      <s:c r="V5" s="14"/>
      <s:c r="W5" s="5"/>
      <s:c r="X5" s="5"/>
      <s:c r="Y5" s="5"/>
      <s:c r="Z5" s="5"/>
      <s:c r="AA5" s="5"/>
      <s:c r="AB5" s="5"/>
      <s:c r="AC5" s="5"/>
    </s:row>
    <s:row r="6" spans="1:29" ht="20" customHeight="1" thickBot="1">
      <s:c r="A6" s="15"/>
      <s:c r="B6" s="15"/>
      <s:c r="C6" s="5"/>
      <s:c r="D6" s="5"/>
      <s:c r="E6" s="5"/>
      <s:c r="F6" s="5"/>
      <s:c r="G6" s="5"/>
      <s:c r="H6" s="5"/>
      <s:c r="I6" s="870" t="s">
        <s:v>2</s:v>
      </s:c>
      <s:c r="J6" s="871"/>
      <s:c r="K6" s="871"/>
      <s:c r="L6" s="871"/>
      <s:c r="M6" s="871"/>
      <s:c r="N6" s="871"/>
      <s:c r="O6" s="871"/>
      <s:c r="P6" s="871"/>
      <s:c r="Q6" s="871"/>
      <s:c r="R6" s="871"/>
      <s:c r="S6" s="871"/>
      <s:c r="T6" s="872"/>
      <s:c r="U6" s="14"/>
      <s:c r="V6" s="14"/>
      <s:c r="W6" s="5"/>
      <s:c r="X6" s="17"/>
      <s:c r="Y6" s="17"/>
      <s:c r="Z6" s="5"/>
      <s:c r="AA6" s="5"/>
      <s:c r="AB6" s="5"/>
      <s:c r="AC6" s="5"/>
    </s:row>
    <s:row r="7" ht="48">
      <s:c r="A7" s="15"/>
      <s:c r="B7" s="15"/>
      <s:c r="C7" s="5"/>
      <s:c r="D7" s="5"/>
      <s:c r="E7" s="18"/>
      <s:c r="F7" s="5"/>
      <s:c r="G7" s="5"/>
      <s:c r="H7" s="5"/>
      <s:c r="I7" s="511" t="s">
        <s:v>3</s:v>
      </s:c>
      <s:c r="J7" s="512"/>
      <s:c r="K7" s="513"/>
      <s:c r="L7" s="670" t="s">
        <s:v>4</s:v>
      </s:c>
      <s:c r="M7" s="671" t="s">
        <s:v>5</s:v>
      </s:c>
      <s:c r="N7" s="672" t="s">
        <s:v>6</s:v>
      </s:c>
      <s:c r="O7" s="663" t="s">
        <s:v>7</s:v>
      </s:c>
      <s:c r="P7" s="19" t="s">
        <s:v>8</s:v>
      </s:c>
      <s:c r="Q7" s="20" t="s">
        <s:v>9</s:v>
      </s:c>
      <s:c r="R7" s="21" t="s">
        <s:v>10</s:v>
      </s:c>
      <s:c r="S7" s="879" t="s">
        <s:v>11</s:v>
      </s:c>
      <s:c r="T7" s="860"/>
      <s:c r="U7" s="14"/>
      <s:c r="V7" s="14"/>
      <s:c r="W7" s="5"/>
      <s:c r="X7" s="5"/>
      <s:c r="Y7" s="5"/>
      <s:c r="Z7" s="5"/>
      <s:c r="AA7" s="5"/>
      <s:c r="AB7" s="5"/>
      <s:c r="AC7" s="5"/>
    </s:row>
    <s:row r="8">
      <s:c r="A8" s="15"/>
      <s:c r="B8" s="15"/>
      <s:c r="C8" s="5"/>
      <s:c r="D8" s="5"/>
      <s:c r="E8" s="5"/>
      <s:c r="F8" s="5"/>
      <s:c r="G8" s="5"/>
      <s:c r="H8" s="5"/>
      <s:c r="I8" s="505" t="s">
        <s:v>12</s:v>
      </s:c>
      <s:c r="J8" s="506"/>
      <s:c r="K8" s="507"/>
      <s:c r="L8" s="673">
        <s:f>Центрум!I8/График!AJ29*График!AJ26</s:f>
        <s:v>913037.83783783787</s:v>
      </s:c>
      <s:c r="M8" s="674">
        <s:f>D48</s:f>
        <s:v>540810</s:v>
      </s:c>
      <s:c r="N8" s="693">
        <s:f>IF(AND(L8&lt;&gt;"",L8&lt;&gt;0,M8&lt;&gt;""),M8/L8,"")</s:f>
        <s:v>0.59231937340153396</s:v>
      </s:c>
      <s:c r="O8" s="664">
        <s:f>IF(SUMIF($D$25:$D$47,"&gt;=0",$V$25:$V$47)&lt;&gt;0,L8*D48/SUMIF($D$25:$D$47,"&gt;=0",$V$25:$V$47),0)</s:f>
        <s:v>540809.99999999895</s:v>
      </s:c>
      <s:c r="P8" s="99">
        <s:f>O8/L8</s:f>
        <s:v>0.59231937340153396</s:v>
      </s:c>
      <s:c r="Q8" s="23">
        <s:f>IF(AND(M8&lt;&gt;0,M8&lt;&gt;"",L8&lt;&gt;0,L8&lt;&gt;""),O8-L8,"")</s:f>
        <s:v>-372227.83783783799</s:v>
      </s:c>
      <s:c r="R8" s="24"/>
      <s:c r="S8" s="25" t="str">
        <s:f>IF(AND(R8&lt;&gt;"",R8&lt;&gt;0,O8&lt;&gt;"",O8&lt;&gt;0),-R8+O8,"")</s:f>
        <s:v/>
      </s:c>
      <s:c r="T8" s="26" t="str">
        <s:f>IF(AND(S8&lt;&gt;"",S8&lt;&gt;0,R8&lt;&gt;0,R8&lt;&gt;""),S8/R8,"")</s:f>
        <s:v/>
      </s:c>
      <s:c r="U8" s="14"/>
      <s:c r="V8" s="14"/>
      <s:c r="W8" s="5"/>
      <s:c r="X8" s="5"/>
      <s:c r="Y8" s="5"/>
      <s:c r="Z8" s="5"/>
      <s:c r="AA8" s="5"/>
      <s:c r="AB8" s="5"/>
      <s:c r="AC8" s="5"/>
    </s:row>
    <s:row r="9">
      <s:c r="A9" s="15"/>
      <s:c r="B9" s="15"/>
      <s:c r="C9" s="5"/>
      <s:c r="D9" s="5"/>
      <s:c r="E9" s="5"/>
      <s:c r="F9" s="5"/>
      <s:c r="G9" s="5"/>
      <s:c r="H9" s="5"/>
      <s:c r="I9" s="502" t="s">
        <s:v>13</s:v>
      </s:c>
      <s:c r="J9" s="503"/>
      <s:c r="K9" s="504"/>
      <s:c r="L9" s="676">
        <s:f>L8/L11</s:f>
        <s:v>132.32432432432432</s:v>
      </s:c>
      <s:c r="M9" s="677">
        <s:f>E48</s:f>
        <s:v>80</s:v>
      </s:c>
      <s:c r="N9" s="694">
        <s:f>IF(AND(L9&lt;&gt;"",L9&lt;&gt;0,M9&lt;&gt;""),M9/L9,"")</s:f>
        <s:v>0.60457516339869277</s:v>
      </s:c>
      <s:c r="O9" s="667">
        <s:f>IF(SUMIF($E$25:$E$47,"&gt;=0",$W$25:$W$47)&lt;&gt;0,L9*E48/SUMIF($E$25:$E$47,"&gt;=0",$W$25:$W$47),0)</s:f>
        <s:v>80.000000000000028</s:v>
      </s:c>
      <s:c r="P9" s="100">
        <s:f>IF(AND(L9&lt;&gt;"",L9&lt;&gt;0,O9&lt;&gt;"",O9&lt;&gt;0),O9/L9,"")</s:f>
        <s:v>0.60457516339869299</s:v>
      </s:c>
      <s:c r="Q9" s="31">
        <s:f>IF(AND(M9&lt;&gt;0,M9&lt;&gt;"",L9&lt;&gt;0,L9&lt;&gt;""),O9-L9,"")</s:f>
        <s:v>-52.324324324324294</s:v>
      </s:c>
      <s:c r="R9" s="32" t="e">
        <s:f>R8/R11</s:f>
        <s:v>#DIV/0!</s:v>
      </s:c>
      <s:c r="S9" s="33" t="e">
        <s:f>IF(AND(R9&lt;&gt;"",R9&lt;&gt;0,O9&lt;&gt;"",O9&lt;&gt;0),-R9+O9,"")</s:f>
        <s:v>#DIV/0!</s:v>
      </s:c>
      <s:c r="T9" s="34" t="e">
        <s:f>IF(AND(S9&lt;&gt;"",S9&lt;&gt;0,R9&lt;&gt;0,R9&lt;&gt;""),S9/R9,"")</s:f>
        <s:v>#DIV/0!</s:v>
      </s:c>
      <s:c r="U9" s="14"/>
      <s:c r="V9" s="14"/>
      <s:c r="W9" s="5"/>
      <s:c r="X9" s="5"/>
      <s:c r="Y9" s="5"/>
      <s:c r="Z9" s="5"/>
      <s:c r="AA9" s="5"/>
      <s:c r="AB9" s="5"/>
      <s:c r="AC9" s="5"/>
    </s:row>
    <s:row r="10">
      <s:c r="A10" s="15"/>
      <s:c r="B10" s="15"/>
      <s:c r="C10" s="5"/>
      <s:c r="D10" s="5"/>
      <s:c r="E10" s="5"/>
      <s:c r="F10" s="5"/>
      <s:c r="G10" s="5"/>
      <s:c r="H10" s="5"/>
      <s:c r="I10" s="505" t="s">
        <s:v>14</s:v>
      </s:c>
      <s:c r="J10" s="506"/>
      <s:c r="K10" s="507"/>
      <s:c r="L10" s="577">
        <s:f>L11*L12</s:f>
        <s:v>11730</s:v>
      </s:c>
      <s:c r="M10" s="679">
        <s:f>H48</s:f>
        <s:v>10816.2</s:v>
      </s:c>
      <s:c r="N10" s="695">
        <s:f>IF(AND(L10&lt;&gt;"",L10&lt;&gt;0,M10&lt;&gt;""),M10/L10,"")</s:f>
        <s:v>0.92209718670076701</s:v>
      </s:c>
      <s:c r="O10" s="667">
        <s:f>M10</s:f>
        <s:v>10816.2</s:v>
      </s:c>
      <s:c r="P10" s="101">
        <s:f>IF(AND(L10&lt;&gt;"",L10&lt;&gt;0,O10&lt;&gt;"",O10&lt;&gt;0),O10/L10,"")</s:f>
        <s:v>0.92209718670076701</s:v>
      </s:c>
      <s:c r="Q10" s="38">
        <s:f>IF(AND(M10&lt;&gt;0,M10&lt;&gt;"",L10&lt;&gt;0,L10&lt;&gt;""),O10-L10,"")</s:f>
        <s:v>-913.79999999999905</s:v>
      </s:c>
      <s:c r="R10" s="39">
        <s:f>R11*R12</s:f>
        <s:v>0</s:v>
      </s:c>
      <s:c r="S10" s="40" t="str">
        <s:f>IF(AND(R10&lt;&gt;"",R10&lt;&gt;0,O10&lt;&gt;"",O10&lt;&gt;0),-R10+O10,"")</s:f>
        <s:v/>
      </s:c>
      <s:c r="T10" s="41" t="str">
        <s:f>IF(AND(S10&lt;&gt;"",S10&lt;&gt;0,R10&lt;&gt;0,R10&lt;&gt;""),S10/R10,"")</s:f>
        <s:v/>
      </s:c>
      <s:c r="U10" s="14"/>
      <s:c r="V10" s="14"/>
      <s:c r="W10" s="5"/>
      <s:c r="X10" s="5"/>
      <s:c r="Y10" s="5"/>
      <s:c r="Z10" s="5"/>
      <s:c r="AA10" s="5"/>
      <s:c r="AB10" s="5"/>
      <s:c r="AC10" s="5"/>
    </s:row>
    <s:row r="11">
      <s:c r="A11" s="15"/>
      <s:c r="B11" s="15"/>
      <s:c r="C11" s="5"/>
      <s:c r="D11" s="5"/>
      <s:c r="E11" s="5"/>
      <s:c r="F11" s="5"/>
      <s:c r="G11" s="5"/>
      <s:c r="H11" s="5"/>
      <s:c r="I11" s="502" t="s">
        <s:v>15</s:v>
      </s:c>
      <s:c r="J11" s="503"/>
      <s:c r="K11" s="504"/>
      <s:c r="L11" s="681">
        <s:f>Центрум!I11</s:f>
        <s:v>6900</s:v>
      </s:c>
      <s:c r="M11" s="677">
        <s:f>F48</s:f>
        <s:v>6760.125</s:v>
      </s:c>
      <s:c r="N11" s="694">
        <s:f>IF(AND(L11&lt;&gt;"",L11&lt;&gt;0,M11&lt;&gt;""),M11/L11,"")</s:f>
        <s:v>0.97972826086956499</s:v>
      </s:c>
      <s:c r="O11" s="667">
        <s:f>M11</s:f>
        <s:v>6760.125</s:v>
      </s:c>
      <s:c r="P11" s="100">
        <s:f>IF(AND(L11&lt;&gt;"",L11&lt;&gt;0,O11&lt;&gt;"",O11&lt;&gt;0),O11/L11,"")</s:f>
        <s:v>0.97972826086956499</s:v>
      </s:c>
      <s:c r="Q11" s="31">
        <s:f>IF(AND(M11&lt;&gt;0,M11&lt;&gt;"",L11&lt;&gt;0,L11&lt;&gt;""),O11-L11,"")</s:f>
        <s:v>-139.875</s:v>
      </s:c>
      <s:c r="R11" s="43"/>
      <s:c r="S11" s="33" t="str">
        <s:f>IF(AND(R11&lt;&gt;"",R11&lt;&gt;0,O11&lt;&gt;"",O11&lt;&gt;0),-R11+O11,"")</s:f>
        <s:v/>
      </s:c>
      <s:c r="T11" s="34" t="str">
        <s:f>IF(AND(S11&lt;&gt;"",S11&lt;&gt;0,R11&lt;&gt;0,R11&lt;&gt;""),S11/R11,"")</s:f>
        <s:v/>
      </s:c>
      <s:c r="U11" s="14"/>
      <s:c r="V11" s="14"/>
      <s:c r="W11" s="5"/>
      <s:c r="X11" s="5"/>
      <s:c r="Y11" s="5"/>
      <s:c r="Z11" s="5"/>
      <s:c r="AA11" s="5"/>
      <s:c r="AB11" s="5"/>
      <s:c r="AC11" s="5"/>
    </s:row>
    <s:row r="12">
      <s:c r="A12" s="15"/>
      <s:c r="B12" s="15"/>
      <s:c r="C12" s="5"/>
      <s:c r="D12" s="5"/>
      <s:c r="E12" s="5"/>
      <s:c r="F12" s="5"/>
      <s:c r="G12" s="5"/>
      <s:c r="H12" s="5"/>
      <s:c r="I12" s="502" t="s">
        <s:v>16</s:v>
      </s:c>
      <s:c r="J12" s="503"/>
      <s:c r="K12" s="504"/>
      <s:c r="L12" s="682">
        <s:f>Центрум!I12</s:f>
        <s:v>1.7</s:v>
      </s:c>
      <s:c r="M12" s="683">
        <s:f>J48</s:f>
        <s:v>1.6</s:v>
      </s:c>
      <s:c r="N12" s="694">
        <s:f>IF(AND(L12&lt;&gt;"",L12&lt;&gt;0,M12&lt;&gt;""),M12/L12,"")</s:f>
        <s:v>0.94117647058823495</s:v>
      </s:c>
      <s:c r="O12" s="667">
        <s:f>M12</s:f>
        <s:v>1.6</s:v>
      </s:c>
      <s:c r="P12" s="100">
        <s:f>IF(AND(L12&lt;&gt;"",L12&lt;&gt;0,O12&lt;&gt;"",O12&lt;&gt;0),O12/L12,"")</s:f>
        <s:v>0.94117647058823495</s:v>
      </s:c>
      <s:c r="Q12" s="45">
        <s:f>IF(AND(M12&lt;&gt;0,M12&lt;&gt;"",L12&lt;&gt;0,L12&lt;&gt;""),O12-L12,"")</s:f>
        <s:v>-9.9999999999999797E-2</s:v>
      </s:c>
      <s:c r="R12" s="46"/>
      <s:c r="S12" s="33" t="str">
        <s:f>IF(AND(R12&lt;&gt;"",R12&lt;&gt;0,O12&lt;&gt;"",O12&lt;&gt;0),-R12+O12,"")</s:f>
        <s:v/>
      </s:c>
      <s:c r="T12" s="34" t="str">
        <s:f>IF(AND(S12&lt;&gt;"",S12&lt;&gt;0,R12&lt;&gt;0,R12&lt;&gt;""),S12/R12,"")</s:f>
        <s:v/>
      </s:c>
      <s:c r="U12" s="14"/>
      <s:c r="V12" s="14"/>
      <s:c r="W12" s="5"/>
      <s:c r="X12" s="5"/>
      <s:c r="Y12" s="5"/>
      <s:c r="Z12" s="5"/>
      <s:c r="AA12" s="5"/>
      <s:c r="AB12" s="5"/>
      <s:c r="AC12" s="5"/>
    </s:row>
    <s:row r="13">
      <s:c r="A13" s="15"/>
      <s:c r="B13" s="15"/>
      <s:c r="C13" s="5"/>
      <s:c r="D13" s="5"/>
      <s:c r="E13" s="5"/>
      <s:c r="F13" s="5"/>
      <s:c r="G13" s="5"/>
      <s:c r="H13" s="5"/>
      <s:c r="I13" s="502" t="s">
        <s:v>17</s:v>
      </s:c>
      <s:c r="J13" s="503"/>
      <s:c r="K13" s="504"/>
      <s:c r="L13" s="676">
        <s:f>IF(L12&lt;&gt;0,L9/L12,"")</s:f>
        <s:v>77.837837837837839</s:v>
      </s:c>
      <s:c r="M13" s="677">
        <s:f>G48</s:f>
        <s:v>50</s:v>
      </s:c>
      <s:c r="N13" s="694">
        <s:f>IF(AND(L13&lt;&gt;"",L13&lt;&gt;0,M13&lt;&gt;""),M13/L13,"")</s:f>
        <s:v>0.64236111111111105</s:v>
      </s:c>
      <s:c r="O13" s="667">
        <s:f>IF(SUMIF($G$25:$G$47,"&gt;=0",$X$25:$X$47)&lt;&gt;0,L13*G48/SUMIF($G$25:$G$47,"&gt;=0",$X$25:$X$47),"")</s:f>
        <s:v>49.999999999999986</s:v>
      </s:c>
      <s:c r="P13" s="100">
        <s:f>IF(AND(L13&lt;&gt;"",L13&lt;&gt;0,O13&lt;&gt;"",O13&lt;&gt;0),O13/L13,"")</s:f>
        <s:v>0.64236111111111094</s:v>
      </s:c>
      <s:c r="Q13" s="45">
        <s:f>IF(AND(M13&lt;&gt;0,M13&lt;&gt;"",L13&lt;&gt;0,L13&lt;&gt;""),O13-L13,"")</s:f>
        <s:v>-27.837837837837853</s:v>
      </s:c>
      <s:c r="R13" s="47"/>
      <s:c r="S13" s="33" t="str">
        <s:f>IF(AND(R13&lt;&gt;"",R13&lt;&gt;0,O13&lt;&gt;"",O13&lt;&gt;0),-R13+O13,"")</s:f>
        <s:v/>
      </s:c>
      <s:c r="T13" s="34" t="str">
        <s:f>IF(AND(S13&lt;&gt;"",S13&lt;&gt;0,R13&lt;&gt;0,R13&lt;&gt;""),S13/R13,"")</s:f>
        <s:v/>
      </s:c>
      <s:c r="U13" s="14"/>
      <s:c r="V13" s="14"/>
      <s:c r="W13" s="5"/>
      <s:c r="X13" s="5"/>
      <s:c r="Y13" s="5"/>
      <s:c r="Z13" s="5"/>
      <s:c r="AA13" s="5"/>
      <s:c r="AB13" s="5"/>
      <s:c r="AC13" s="5"/>
    </s:row>
    <s:row r="14">
      <s:c r="A14" s="15"/>
      <s:c r="B14" s="15"/>
      <s:c r="C14" s="5"/>
      <s:c r="D14" s="5"/>
      <s:c r="E14" s="5"/>
      <s:c r="F14" s="5"/>
      <s:c r="G14" s="5"/>
      <s:c r="H14" s="5"/>
      <s:c r="I14" s="502" t="s">
        <s:v>65</s:v>
      </s:c>
      <s:c r="J14" s="503"/>
      <s:c r="K14" s="504"/>
      <s:c r="L14" s="681">
        <s:f>График!AI26</s:f>
        <s:v>18</s:v>
      </s:c>
      <s:c r="M14" s="684">
        <s:v>18</s:v>
      </s:c>
      <s:c r="N14" s="694">
        <s:f>IF(AND(L14&lt;&gt;"",L14&lt;&gt;0,M14&lt;&gt;""),M14/L14,"")</s:f>
        <s:v>1</s:v>
      </s:c>
      <s:c r="O14" s="667">
        <s:f>IF(SUMIF($D$25:$D$47,"&gt;=0",$V$25:$V$47),I48*L8/SUMIF($D$25:$D$47,"&gt;=0",$V$25:$V$47),"")</s:f>
        <s:v>423.99999999999898</s:v>
      </s:c>
      <s:c r="P14" s="100"/>
      <s:c r="Q14" s="31">
        <s:f>IF(AND(M14&lt;&gt;0,M14&lt;&gt;"",L14&lt;&gt;0,L14&lt;&gt;""),O14-L14,"")</s:f>
        <s:v>405.99999999999898</s:v>
      </s:c>
      <s:c r="R14" s="47"/>
      <s:c r="S14" s="33" t="str">
        <s:f>IF(AND(R14&lt;&gt;"",R14&lt;&gt;0,O14&lt;&gt;"",O14&lt;&gt;0),-R14+O14,"")</s:f>
        <s:v/>
      </s:c>
      <s:c r="T14" s="34" t="str">
        <s:f>IF(AND(S14&lt;&gt;"",S14&lt;&gt;0,R14&lt;&gt;0,R14&lt;&gt;""),S14/R14,"")</s:f>
        <s:v/>
      </s:c>
      <s:c r="U14" s="14"/>
      <s:c r="V14" s="14"/>
      <s:c r="W14" s="5"/>
      <s:c r="X14" s="5"/>
      <s:c r="Y14" s="5"/>
      <s:c r="Z14" s="5"/>
      <s:c r="AA14" s="5"/>
      <s:c r="AB14" s="5"/>
      <s:c r="AC14" s="5"/>
    </s:row>
    <s:row r="15" spans="1:29" ht="24" customHeight="1">
      <s:c r="A15" s="15"/>
      <s:c r="B15" s="15"/>
      <s:c r="C15" s="5"/>
      <s:c r="D15" s="5"/>
      <s:c r="E15" s="5"/>
      <s:c r="F15" s="5"/>
      <s:c r="G15" s="5"/>
      <s:c r="H15" s="5"/>
      <s:c r="I15" s="502" t="s">
        <s:v>19</s:v>
      </s:c>
      <s:c r="J15" s="503"/>
      <s:c r="K15" s="504"/>
      <s:c r="L15" s="696">
        <s:f>Центрум!I15/2</s:f>
        <s:v>31280</s:v>
      </s:c>
      <s:c r="M15" s="52">
        <s:f>M8/M14</s:f>
        <s:v>30045</s:v>
      </s:c>
      <s:c r="N15" s="697">
        <s:f>IF(AND(L15&lt;&gt;"",L15&lt;&gt;0,M15&lt;&gt;""),M15/L15,"")</s:f>
        <s:v>0.96051790281329896</s:v>
      </s:c>
      <s:c r="O15" s="668">
        <s:f>M15</s:f>
        <s:v>30045</s:v>
      </s:c>
      <s:c r="P15" s="100">
        <s:f>IF(AND(L15&lt;&gt;"",L15&lt;&gt;0,O15&lt;&gt;"",O15&lt;&gt;0),O15/L15,"")</s:f>
        <s:v>0.96051790281329896</s:v>
      </s:c>
      <s:c r="Q15" s="31">
        <s:f>IF(AND(M15&lt;&gt;0,M15&lt;&gt;"",L15&lt;&gt;0,L15&lt;&gt;""),O15-L15,"")</s:f>
        <s:v>-1235</s:v>
      </s:c>
      <s:c r="R15" s="54"/>
      <s:c r="S15" s="33" t="str">
        <s:f>IF(AND(R15&lt;&gt;"",R15&lt;&gt;0,O15&lt;&gt;"",O15&lt;&gt;0),-R15+O15,"")</s:f>
        <s:v/>
      </s:c>
      <s:c r="T15" s="34" t="str">
        <s:f>IF(AND(S15&lt;&gt;"",S15&lt;&gt;0,R15&lt;&gt;0,R15&lt;&gt;""),S15/R15,"")</s:f>
        <s:v/>
      </s:c>
      <s:c r="U15" s="14"/>
      <s:c r="V15" s="783" t="s">
        <s:v>21</s:v>
      </s:c>
      <s:c r="W15" s="5"/>
      <s:c r="X15" s="5"/>
      <s:c r="Y15" s="5"/>
      <s:c r="Z15" s="5"/>
      <s:c r="AA15" s="5"/>
      <s:c r="AB15" s="5"/>
      <s:c r="AC15" s="5"/>
    </s:row>
    <s:row r="16" spans="1:29" ht="16" customHeight="1">
      <s:c r="A16" s="15"/>
      <s:c r="B16" s="15"/>
      <s:c r="C16" s="5"/>
      <s:c r="D16" s="5"/>
      <s:c r="E16" s="5"/>
      <s:c r="F16" s="5"/>
      <s:c r="G16" s="5"/>
      <s:c r="H16" s="5"/>
      <s:c r="I16" s="502" t="s">
        <s:v>20</s:v>
      </s:c>
      <s:c r="J16" s="503"/>
      <s:c r="K16" s="504"/>
      <s:c r="L16" s="696"/>
      <s:c r="M16" s="52">
        <s:f>M8-L15*M14</s:f>
        <s:v>-22230</s:v>
      </s:c>
      <s:c r="N16" s="697" t="str">
        <s:f>IF(AND(L16&lt;&gt;"",L16&lt;&gt;0,M16&lt;&gt;""),M16/L16,"")</s:f>
        <s:v/>
      </s:c>
      <s:c r="O16" s="668">
        <s:f>M16</s:f>
        <s:v>-22230</s:v>
      </s:c>
      <s:c r="P16" s="102" t="str">
        <s:f>IF(AND(L16&lt;&gt;"",L16&lt;&gt;0,O16&lt;&gt;"",O16&lt;&gt;0),O16/L16,"")</s:f>
        <s:v/>
      </s:c>
      <s:c r="Q16" s="31" t="str">
        <s:f>IF(AND(M16&lt;&gt;0,M16&lt;&gt;"",L16&lt;&gt;0,L16&lt;&gt;""),O16-L16,"")</s:f>
        <s:v/>
      </s:c>
      <s:c r="R16" s="54"/>
      <s:c r="S16" s="33" t="str">
        <s:f>IF(AND(R16&lt;&gt;"",R16&lt;&gt;0,O16&lt;&gt;"",O16&lt;&gt;0),-R16+O16,"")</s:f>
        <s:v/>
      </s:c>
      <s:c r="T16" s="34" t="str">
        <s:f>IF(AND(S16&lt;&gt;"",S16&lt;&gt;0,R16&lt;&gt;0,R16&lt;&gt;""),S16/R16,"")</s:f>
        <s:v/>
      </s:c>
      <s:c r="U16" s="14"/>
      <s:c r="V16" s="846"/>
      <s:c r="W16" s="5"/>
      <s:c r="X16" s="5"/>
      <s:c r="Y16" s="5"/>
      <s:c r="Z16" s="5"/>
      <s:c r="AA16" s="5"/>
      <s:c r="AB16" s="5"/>
      <s:c r="AC16" s="5"/>
    </s:row>
    <s:row r="17">
      <s:c r="A17" s="15"/>
      <s:c r="B17" s="15"/>
      <s:c r="C17" s="5"/>
      <s:c r="D17" s="5"/>
      <s:c r="E17" s="5"/>
      <s:c r="F17" s="5"/>
      <s:c r="G17" s="5"/>
      <s:c r="H17" s="5"/>
      <s:c r="I17" s="502" t="s">
        <s:v>22</s:v>
      </s:c>
      <s:c r="J17" s="503"/>
      <s:c r="K17" s="504"/>
      <s:c r="L17" s="696">
        <s:f>Центрум!I17/График!AJ29*График!AJ26</s:f>
        <s:v>778.37837837837844</s:v>
      </s:c>
      <s:c r="M17" s="52">
        <s:f>I48</s:f>
        <s:v>424</s:v>
      </s:c>
      <s:c r="N17" s="697">
        <s:f>IF(AND(L17&lt;&gt;"",L17&lt;&gt;0,M17&lt;&gt;""),M17/L17,"")</s:f>
        <s:v>0.54472222222222222</s:v>
      </s:c>
      <s:c r="O17" s="668">
        <s:f>M17/M14*L14</s:f>
        <s:v>424</s:v>
      </s:c>
      <s:c r="P17" s="102">
        <s:f>IF(AND(L17&lt;&gt;"",L17&lt;&gt;0,O17&lt;&gt;"",O17&lt;&gt;0),O17/L17,"")</s:f>
        <s:v>0.54472222222222222</s:v>
      </s:c>
      <s:c r="Q17" s="31">
        <s:f>IF(AND(M17&lt;&gt;0,M17&lt;&gt;"",L17&lt;&gt;0,L17&lt;&gt;""),O17-L17,"")</s:f>
        <s:v>-354.37837837837844</s:v>
      </s:c>
      <s:c r="R17" s="54"/>
      <s:c r="S17" s="33" t="str">
        <s:f>IF(AND(R17&lt;&gt;"",R17&lt;&gt;0,O17&lt;&gt;"",O17&lt;&gt;0),-R17+O17,"")</s:f>
        <s:v/>
      </s:c>
      <s:c r="T17" s="34" t="str">
        <s:f>IF(AND(S17&lt;&gt;"",S17&lt;&gt;0,R17&lt;&gt;0,R17&lt;&gt;""),S17/R17,"")</s:f>
        <s:v/>
      </s:c>
      <s:c r="U17" s="14"/>
      <s:c r="V17" s="51"/>
      <s:c r="W17" s="5"/>
      <s:c r="X17" s="5"/>
      <s:c r="Y17" s="5"/>
      <s:c r="Z17" s="5"/>
      <s:c r="AA17" s="5"/>
      <s:c r="AB17" s="5"/>
      <s:c r="AC17" s="5"/>
    </s:row>
    <s:row r="18">
      <s:c r="A18" s="15"/>
      <s:c r="B18" s="15"/>
      <s:c r="C18" s="5"/>
      <s:c r="D18" s="5"/>
      <s:c r="E18" s="5"/>
      <s:c r="F18" s="5"/>
      <s:c r="G18" s="5"/>
      <s:c r="H18" s="5"/>
      <s:c r="I18" s="502" t="s">
        <s:v>122</s:v>
      </s:c>
      <s:c r="J18" s="503"/>
      <s:c r="K18" s="504"/>
      <s:c r="L18" s="676">
        <s:f>L8/L17</s:f>
        <s:v>1173</s:v>
      </s:c>
      <s:c r="M18" s="677">
        <s:f>M8/M17</s:f>
        <s:v>1275.4952830188599</s:v>
      </s:c>
      <s:c r="N18" s="697">
        <s:f>IF(AND(L18&lt;&gt;"",L18&lt;&gt;0,M18&lt;&gt;""),M18/L18,"")</s:f>
        <s:v>1.0873787579018399</s:v>
      </s:c>
      <s:c r="O18" s="668">
        <s:f>M18</s:f>
        <s:v>1275.4952830188599</s:v>
      </s:c>
      <s:c r="P18" s="102">
        <s:f>IF(AND(L18&lt;&gt;"",L18&lt;&gt;0,O18&lt;&gt;"",O18&lt;&gt;0),O18/L18,"")</s:f>
        <s:v>1.0873787579018399</s:v>
      </s:c>
      <s:c r="Q18" s="31">
        <s:f>IF(AND(M18&lt;&gt;0,M18&lt;&gt;"",L18&lt;&gt;0,L18&lt;&gt;""),O18-L18,"")</s:f>
        <s:v>102.495283018867</s:v>
      </s:c>
      <s:c r="R18" s="103">
        <s:v>0</s:v>
      </s:c>
      <s:c r="S18" s="33" t="str">
        <s:f>IF(AND(R18&lt;&gt;"",R18&lt;&gt;0,O18&lt;&gt;"",O18&lt;&gt;0),-R18+O18,"")</s:f>
        <s:v/>
      </s:c>
      <s:c r="T18" s="34" t="str">
        <s:f>IF(AND(S18&lt;&gt;"",S18&lt;&gt;0,R18&lt;&gt;0,R18&lt;&gt;""),S18/R18,"")</s:f>
        <s:v/>
      </s:c>
      <s:c r="U18" s="14"/>
      <s:c r="V18" s="29" t="e">
        <s:f>V17/L16</s:f>
        <s:v>#DIV/0!</s:v>
      </s:c>
      <s:c r="W18" s="5"/>
      <s:c r="X18" s="5"/>
      <s:c r="Y18" s="5"/>
      <s:c r="Z18" s="5"/>
      <s:c r="AA18" s="5"/>
      <s:c r="AB18" s="5"/>
      <s:c r="AC18" s="5"/>
    </s:row>
    <s:row r="19">
      <s:c r="A19" s="15"/>
      <s:c r="B19" s="15"/>
      <s:c r="C19" s="5"/>
      <s:c r="D19" s="5"/>
      <s:c r="E19" s="5"/>
      <s:c r="F19" s="5"/>
      <s:c r="G19" s="5"/>
      <s:c r="H19" s="5"/>
      <s:c r="I19" s="502"/>
      <s:c r="J19" s="503"/>
      <s:c r="K19" s="504"/>
      <s:c r="L19" s="685"/>
      <s:c r="M19" s="52"/>
      <s:c r="N19" s="697" t="str">
        <s:f>IF(AND(L19&lt;&gt;"",L19&lt;&gt;0,M19&lt;&gt;""),M19/L19,"")</s:f>
        <s:v/>
      </s:c>
      <s:c r="O19" s="668">
        <s:f>M19</s:f>
        <s:v>0</s:v>
      </s:c>
      <s:c r="P19" s="102" t="str">
        <s:f>IF(AND(L19&lt;&gt;"",L19&lt;&gt;0,O19&lt;&gt;"",O19&lt;&gt;0),O19/L19,"")</s:f>
        <s:v/>
      </s:c>
      <s:c r="Q19" s="31" t="str">
        <s:f>IF(AND(M19&lt;&gt;0,M19&lt;&gt;"",L19&lt;&gt;0,L19&lt;&gt;""),O19-L19,"")</s:f>
        <s:v/>
      </s:c>
      <s:c r="R19" s="54">
        <s:v>0</s:v>
      </s:c>
      <s:c r="S19" s="33" t="str">
        <s:f>IF(AND(R19&lt;&gt;"",R19&lt;&gt;0,O19&lt;&gt;"",O19&lt;&gt;0),-R19+O19,"")</s:f>
        <s:v/>
      </s:c>
      <s:c r="T19" s="34" t="str">
        <s:f>IF(AND(S19&lt;&gt;"",S19&lt;&gt;0,R19&lt;&gt;0,R19&lt;&gt;""),S19/R19,"")</s:f>
        <s:v/>
      </s:c>
      <s:c r="U19" s="14"/>
      <s:c r="V19" s="14"/>
      <s:c r="W19" s="5"/>
      <s:c r="X19" s="5"/>
      <s:c r="Y19" s="5"/>
      <s:c r="Z19" s="5"/>
      <s:c r="AA19" s="5"/>
      <s:c r="AB19" s="5"/>
      <s:c r="AC19" s="5"/>
    </s:row>
    <s:row r="20">
      <s:c r="A20" s="15"/>
      <s:c r="B20" s="15"/>
      <s:c r="C20" s="5"/>
      <s:c r="D20" s="5"/>
      <s:c r="E20" s="5"/>
      <s:c r="F20" s="5"/>
      <s:c r="G20" s="5"/>
      <s:c r="H20" s="5"/>
      <s:c r="I20" s="508" t="s">
        <s:v>70</s:v>
      </s:c>
      <s:c r="J20" s="509"/>
      <s:c r="K20" s="510"/>
      <s:c r="L20" s="698">
        <s:f>Центрум!I20</s:f>
        <s:v>0.1</s:v>
      </s:c>
      <s:c r="M20" s="699">
        <s:f>T48</s:f>
        <s:v>0.117924528301886</s:v>
      </s:c>
      <s:c r="N20" s="688">
        <s:f>M20/L20</s:f>
        <s:v>1.17924528301886</s:v>
      </s:c>
      <s:c r="O20" s="669">
        <s:f>IF(AND(N8&lt;&gt;0,L14&lt;&gt;0,I48&lt;&gt;0),(I48*T48+(I48/N8-I48)*L20)/(I48/N8),0)</s:f>
        <s:v>0.110617045372291</s:v>
      </s:c>
      <s:c r="P20" s="104">
        <s:f>IF(AND(L20&lt;&gt;"",L20&lt;&gt;0,O20&lt;&gt;"",O20&lt;&gt;0),O20/L20,"")</s:f>
        <s:v>1.10617045372291</s:v>
      </s:c>
      <s:c r="Q20" s="56">
        <s:f>IF(AND(M20&lt;&gt;0,M20&lt;&gt;"",L20&lt;&gt;0,L20&lt;&gt;""),O20-L20,"")</s:f>
        <s:v>1.0617045372291099E-2</s:v>
      </s:c>
      <s:c r="R20" s="57"/>
      <s:c r="S20" s="58" t="str">
        <s:f>IF(AND(R20&lt;&gt;"",R20&lt;&gt;0,O20&lt;&gt;"",O20&lt;&gt;0),-R20+O20,"")</s:f>
        <s:v/>
      </s:c>
      <s:c r="T20" s="59" t="str">
        <s:f>IF(AND(S20&lt;&gt;"",S20&lt;&gt;0,R20&lt;&gt;0,R20&lt;&gt;""),S20/R20,"")</s:f>
        <s:v/>
      </s:c>
      <s:c r="U20" s="14"/>
      <s:c r="V20" s="14"/>
      <s:c r="W20" s="5"/>
      <s:c r="X20" s="5"/>
      <s:c r="Y20" s="5"/>
      <s:c r="Z20" s="5"/>
      <s:c r="AA20" s="5"/>
      <s:c r="AB20" s="5"/>
      <s:c r="AC20" s="5"/>
    </s:row>
    <s:row r="21">
      <s:c r="A21" s="15"/>
      <s:c r="B21" s="15"/>
      <s:c r="C21" s="5"/>
      <s:c r="D21" s="5"/>
      <s:c r="E21" s="5"/>
      <s:c r="F21" s="5"/>
      <s:c r="G21" s="5"/>
      <s:c r="H21" s="5"/>
      <s:c r="I21" s="5"/>
      <s:c r="J21" s="5"/>
      <s:c r="K21" s="5"/>
      <s:c r="L21" s="5"/>
      <s:c r="M21" s="5"/>
      <s:c r="N21" s="5"/>
      <s:c r="O21" s="5"/>
      <s:c r="P21" s="5"/>
      <s:c r="Q21" s="5"/>
      <s:c r="R21" s="5"/>
      <s:c r="S21" s="5"/>
      <s:c r="T21" s="5"/>
      <s:c r="U21" s="5"/>
      <s:c r="V21" s="5"/>
      <s:c r="W21" s="5"/>
      <s:c r="X21" s="17"/>
      <s:c r="Y21" s="17"/>
      <s:c r="Z21" s="5"/>
      <s:c r="AA21" s="5"/>
      <s:c r="AB21" s="5"/>
      <s:c r="AC21" s="5"/>
    </s:row>
    <s:row r="22" spans="1:39" ht="22" customHeight="1" thickBot="1">
      <s:c r="A22" s="876" t="s">
        <s:v>24</s:v>
      </s:c>
      <s:c r="B22" s="877"/>
      <s:c r="C22" s="877"/>
      <s:c r="D22" s="877"/>
      <s:c r="E22" s="877"/>
      <s:c r="F22" s="877"/>
      <s:c r="G22" s="877"/>
      <s:c r="H22" s="877"/>
      <s:c r="I22" s="877"/>
      <s:c r="J22" s="877"/>
      <s:c r="K22" s="877"/>
      <s:c r="L22" s="877"/>
      <s:c r="M22" s="877"/>
      <s:c r="N22" s="877"/>
      <s:c r="O22" s="877"/>
      <s:c r="P22" s="877"/>
      <s:c r="Q22" s="877"/>
      <s:c r="R22" s="877"/>
      <s:c r="S22" s="877"/>
      <s:c r="T22" s="878"/>
      <s:c r="U22" s="874" t="s">
        <s:v>45</s:v>
      </s:c>
      <s:c r="V22" s="857" t="s">
        <s:v>25</s:v>
      </s:c>
      <s:c r="W22" s="857"/>
      <s:c r="X22" s="857"/>
      <s:c r="Y22" s="857"/>
      <s:c r="Z22" s="857"/>
      <s:c r="AA22" s="857"/>
      <s:c r="AB22" s="857"/>
      <s:c r="AC22" s="858"/>
    </s:row>
    <s:row r="23" ht="48">
      <s:c r="B23" s="404" t="s">
        <s:v>27</s:v>
      </s:c>
      <s:c r="C23" s="404" t="s">
        <s:v>28</s:v>
      </s:c>
      <s:c r="D23" s="404" t="s">
        <s:v>29</s:v>
      </s:c>
      <s:c r="E23" s="404" t="s">
        <s:v>30</s:v>
      </s:c>
      <s:c r="F23" s="404" t="s">
        <s:v>31</s:v>
      </s:c>
      <s:c r="G23" s="404" t="s">
        <s:v>32</s:v>
      </s:c>
      <s:c r="H23" s="404" t="s">
        <s:v>33</s:v>
      </s:c>
      <s:c r="I23" s="404" t="s">
        <s:v>22</s:v>
      </s:c>
      <s:c r="J23" s="427" t="s">
        <s:v>34</s:v>
      </s:c>
      <s:c r="K23" s="428" t="s">
        <s:v>35</s:v>
      </s:c>
      <s:c r="L23" s="405" t="s">
        <s:v>36</s:v>
      </s:c>
      <s:c r="M23" s="405" t="s">
        <s:v>37</s:v>
      </s:c>
      <s:c r="N23" s="405" t="s">
        <s:v>38</s:v>
      </s:c>
      <s:c r="O23" s="405" t="s">
        <s:v>39</s:v>
      </s:c>
      <s:c r="P23" s="405" t="s">
        <s:v>40</s:v>
      </s:c>
      <s:c r="Q23" s="405" t="s">
        <s:v>41</s:v>
      </s:c>
      <s:c r="R23" s="405" t="s">
        <s:v>42</s:v>
      </s:c>
      <s:c r="S23" s="429" t="s">
        <s:v>43</s:v>
      </s:c>
      <s:c r="T23" s="430" t="s">
        <s:v>44</s:v>
      </s:c>
      <s:c r="U23" s="875"/>
      <s:c r="V23" s="438" t="s">
        <s:v>46</s:v>
      </s:c>
      <s:c r="W23" s="439" t="s">
        <s:v>47</s:v>
      </s:c>
      <s:c r="X23" s="439" t="s">
        <s:v>48</s:v>
      </s:c>
      <s:c r="Y23" s="439" t="s">
        <s:v>49</s:v>
      </s:c>
      <s:c r="Z23" s="439" t="s">
        <s:v>50</s:v>
      </s:c>
      <s:c r="AA23" s="439" t="s">
        <s:v>51</s:v>
      </s:c>
      <s:c r="AB23" s="440" t="s">
        <s:v>52</s:v>
      </s:c>
      <s:c r="AC23" s="441" t="s">
        <s:v>53</s:v>
      </s:c>
      <s:c r="AD23" s="89"/>
    </s:row>
    <s:row r="24">
      <s:c r="A24" s="106"/>
      <s:c r="B24" s="107">
        <s:v>1</s:v>
      </s:c>
      <s:c r="C24" s="108">
        <s:v>2</s:v>
      </s:c>
      <s:c r="D24" s="109">
        <s:v>3</s:v>
      </s:c>
      <s:c r="E24" s="109" t="s">
        <s:v>71</s:v>
      </s:c>
      <s:c r="F24" s="108">
        <s:v>5</s:v>
      </s:c>
      <s:c r="G24" s="109">
        <s:v>6</s:v>
      </s:c>
      <s:c r="H24" s="108">
        <s:v>7</s:v>
      </s:c>
      <s:c r="I24" s="109">
        <s:v>8</s:v>
      </s:c>
      <s:c r="J24" s="406">
        <s:v>9</s:v>
      </s:c>
      <s:c r="K24" s="410">
        <s:v>10</s:v>
      </s:c>
      <s:c r="L24" s="411">
        <s:v>11</s:v>
      </s:c>
      <s:c r="M24" s="411">
        <s:v>12</s:v>
      </s:c>
      <s:c r="N24" s="411">
        <s:v>13</s:v>
      </s:c>
      <s:c r="O24" s="109">
        <s:v>14</s:v>
      </s:c>
      <s:c r="P24" s="61">
        <s:v>15</s:v>
      </s:c>
      <s:c r="Q24" s="109">
        <s:v>16</s:v>
      </s:c>
      <s:c r="R24" s="61">
        <s:v>17</s:v>
      </s:c>
      <s:c r="S24" s="412"/>
      <s:c r="T24" s="431">
        <s:v>18</s:v>
      </s:c>
      <s:c r="U24" s="435"/>
      <s:c r="V24" s="442">
        <s:v>1</s:v>
      </s:c>
      <s:c r="W24" s="110">
        <s:v>2</s:v>
      </s:c>
      <s:c r="X24" s="110">
        <s:v>3</s:v>
      </s:c>
      <s:c r="Y24" s="110">
        <s:v>4</s:v>
      </s:c>
      <s:c r="Z24" s="110">
        <s:v>5</s:v>
      </s:c>
      <s:c r="AA24" s="110">
        <s:v>6</s:v>
      </s:c>
      <s:c r="AB24" s="110">
        <s:v>10</s:v>
      </s:c>
      <s:c r="AC24" s="443">
        <s:v>11</s:v>
      </s:c>
    </s:row>
    <s:row r="25">
      <s:c r="A25" s="112">
        <s:v>1</s:v>
      </s:c>
      <s:c r="B25" s="64">
        <s:v>46114</s:v>
      </s:c>
      <s:c r="C25" s="65" t="s">
        <s:v>58</s:v>
      </s:c>
      <s:c r="D25" s="351">
        <s:v>29523</s:v>
      </s:c>
      <s:c r="E25" s="74">
        <s:v>3</s:v>
      </s:c>
      <s:c r="F25" s="67">
        <s:f>IF(AND(E25&lt;&gt;"",E25&lt;&gt;0),D25/E25,"")</s:f>
        <s:v>9841</s:v>
      </s:c>
      <s:c r="G25" s="74">
        <s:v>2</s:v>
      </s:c>
      <s:c r="H25" s="67">
        <s:f>IF(AND(G25&lt;&gt;"",G25&lt;&gt;0),D25/G25,"")</s:f>
        <s:v>14761.5</s:v>
      </s:c>
      <s:c r="I25" s="571">
        <s:v>40</s:v>
      </s:c>
      <s:c r="J25" s="136">
        <s:f>IF(AND(G25&lt;&gt;"",G25&lt;&gt;0),E25/G25,"")</s:f>
        <s:v>1.5</s:v>
      </s:c>
      <s:c r="K25" s="413"/>
      <s:c r="L25" s="66"/>
      <s:c r="M25" s="66"/>
      <s:c r="N25" s="66"/>
      <s:c r="O25" s="66"/>
      <s:c r="P25" s="66">
        <s:v>12391</s:v>
      </s:c>
      <s:c r="Q25" s="66"/>
      <s:c r="R25" s="66"/>
      <s:c r="S25" s="414"/>
      <s:c r="T25" s="432">
        <s:f>IF(AND(I25&lt;&gt;"",I25&lt;&gt;0),G25/I25,"")</s:f>
        <s:v>0.05</s:v>
      </s:c>
      <s:c r="U25" s="436">
        <s:f>D25/V25</s:f>
        <s:v>0.48502371057118498</s:v>
      </s:c>
      <s:c r="V25" s="444">
        <s:f>$L$8*AB25*AC25/SUMPRODUCT($AC$25:$AC$55,$AB$25:$AB$55)</s:f>
        <s:v>60869.189189189194</s:v>
      </s:c>
      <s:c r="W25" s="71">
        <s:f>$L$9*AB25*AC25/SUMPRODUCT($AC$25:$AC$55,$AB$25:$AB$55)</s:f>
        <s:v>8.8216216216216221</s:v>
      </s:c>
      <s:c r="X25" s="71">
        <s:f>IF($L$12="","",W25/$L$12)</s:f>
        <s:v>5.1891891891891895</s:v>
      </s:c>
      <s:c r="Y25" s="70">
        <s:f>IF(AC25&lt;&gt;"",IF(D25&lt;&gt;"",D25,($L$8-SUM($Y24:Y$25))*AB25*AC25/SUMPRODUCT($AC25:$AC$47,$AB25:$AB$47)),"")</s:f>
        <s:v>29523</s:v>
      </s:c>
      <s:c r="Z25" s="71">
        <s:f>IF(AC25&lt;&gt;"",IF(E25&lt;&gt;"",E25,($L$9-SUM($Z24:Z$25))*AB25*AC25/SUMPRODUCT($AC25:$AC$55,$AB25:$AB$55)),"")</s:f>
        <s:v>3</s:v>
      </s:c>
      <s:c r="AA25" s="71">
        <s:f>IF(AC25&lt;&gt;"",IF($L$12&lt;&gt;"",IF(G25&lt;&gt;"",G25,($L$9/$L$12-SUM($AA24:AA$25))*AB25*AC25/SUMPRODUCT($AC25:$AC$55,$AB25:$AB$55)),""),"")</s:f>
        <s:v>2</s:v>
      </s:c>
      <s:c r="AB25" s="132">
        <s:v>1</s:v>
      </s:c>
      <s:c r="AC25" s="445">
        <s:v>1</s:v>
      </s:c>
      <s:c r="AD25" s="72"/>
      <s:c r="AE25" s="72"/>
      <s:c r="AF25" s="77"/>
      <s:c r="AG25" s="2"/>
      <s:c r="AH25" s="2"/>
      <s:c r="AI25" s="2"/>
      <s:c r="AJ25" s="2"/>
      <s:c r="AK25" s="2"/>
      <s:c r="AL25" s="2"/>
      <s:c r="AM25" s="2"/>
    </s:row>
    <s:row r="26">
      <s:c r="A26" s="112">
        <s:v>2</s:v>
      </s:c>
      <s:c r="B26" s="113">
        <s:v>46115</s:v>
      </s:c>
      <s:c r="C26" s="65" t="s">
        <s:v>59</s:v>
      </s:c>
      <s:c r="D26" s="350">
        <s:v>14876</s:v>
      </s:c>
      <s:c r="E26" s="67">
        <s:v>3</s:v>
      </s:c>
      <s:c r="F26" s="67">
        <s:f>IF(AND(E26&lt;&gt;"",E26&lt;&gt;0),D26/E26,"")</s:f>
        <s:v>4958.6666666666597</s:v>
      </s:c>
      <s:c r="G26" s="67">
        <s:v>2</s:v>
      </s:c>
      <s:c r="H26" s="67">
        <s:f>IF(AND(G26&lt;&gt;"",G26&lt;&gt;0),D26/G26,"")</s:f>
        <s:v>7438</s:v>
      </s:c>
      <s:c r="I26" s="572">
        <s:v>44</s:v>
      </s:c>
      <s:c r="J26" s="136">
        <s:f>IF(AND(G26&lt;&gt;"",G26&lt;&gt;0),E26/G26,"")</s:f>
        <s:v>1.5</s:v>
      </s:c>
      <s:c r="K26" s="413"/>
      <s:c r="L26" s="66"/>
      <s:c r="M26" s="66"/>
      <s:c r="N26" s="66"/>
      <s:c r="O26" s="66"/>
      <s:c r="P26" s="66"/>
      <s:c r="Q26" s="66"/>
      <s:c r="R26" s="66"/>
      <s:c r="S26" s="415"/>
      <s:c r="T26" s="432">
        <s:f>IF(AND(I26&lt;&gt;"",I26&lt;&gt;0),G26/I26,"")</s:f>
        <s:v>4.5454545454545456E-2</s:v>
      </s:c>
      <s:c r="U26" s="436">
        <s:f>D26/V26</s:f>
        <s:v>0.24439293833475417</s:v>
      </s:c>
      <s:c r="V26" s="444">
        <s:f>$L$8*AB26*AC26/SUMPRODUCT($AC$25:$AC$55,$AB$25:$AB$55)</s:f>
        <s:v>60869.189189189194</s:v>
      </s:c>
      <s:c r="W26" s="71">
        <s:f>$L$9*AB26*AC26/SUMPRODUCT($AC$25:$AC$55,$AB$25:$AB$55)</s:f>
        <s:v>8.8216216216216221</s:v>
      </s:c>
      <s:c r="X26" s="71">
        <s:f>IF($L$12="","",W26/$L$12)</s:f>
        <s:v>5.1891891891891895</s:v>
      </s:c>
      <s:c r="Y26" s="70">
        <s:f>IF(AC26&lt;&gt;"",IF(D26&lt;&gt;"",D26,($L$8-SUM($Y$25:Y25))*AB26*AC26/SUMPRODUCT($AC26:$AC$55,$AB26:$AB$55)),"")</s:f>
        <s:v>14876</s:v>
      </s:c>
      <s:c r="Z26" s="71">
        <s:f>IF(AC26&lt;&gt;"",IF(E26&lt;&gt;"",E26,($L$9-SUM($Z$25:Z25))*AB26*AC26/SUMPRODUCT($AC26:$AC$55,$AB26:$AB$55)),"")</s:f>
        <s:v>3</s:v>
      </s:c>
      <s:c r="AA26" s="71">
        <s:f>IF(AC26&lt;&gt;"",IF($L$12&lt;&gt;"",IF(G26&lt;&gt;"",G26,($L$9/$L$12-SUM($AA$25:AA25))*AB26*AC26/SUMPRODUCT($AC26:$AC$55,$AB26:$AB$55)),""),"")</s:f>
        <s:v>2</s:v>
      </s:c>
      <s:c r="AB26" s="132">
        <s:v>1</s:v>
      </s:c>
      <s:c r="AC26" s="445">
        <s:v>1</s:v>
      </s:c>
      <s:c r="AD26" s="72"/>
      <s:c r="AE26" s="75"/>
      <s:c r="AF26" s="2"/>
      <s:c r="AG26" s="2"/>
      <s:c r="AH26" s="2"/>
      <s:c r="AI26" s="2"/>
      <s:c r="AJ26" s="2"/>
      <s:c r="AK26" s="2"/>
      <s:c r="AL26" s="2"/>
      <s:c r="AM26" s="2"/>
    </s:row>
    <s:row r="27">
      <s:c r="A27" s="112">
        <s:v>3</s:v>
      </s:c>
      <s:c r="B27" s="113">
        <s:v>46119</s:v>
      </s:c>
      <s:c r="C27" s="65" t="s">
        <s:v>56</s:v>
      </s:c>
      <s:c r="D27" s="350">
        <s:v>16967</s:v>
      </s:c>
      <s:c r="E27" s="67">
        <s:v>3</s:v>
      </s:c>
      <s:c r="F27" s="67">
        <s:f>IF(AND(E27&lt;&gt;"",E27&lt;&gt;0),D27/E27,"")</s:f>
        <s:v>5655.6666666666597</s:v>
      </s:c>
      <s:c r="G27" s="67">
        <s:v>2</s:v>
      </s:c>
      <s:c r="H27" s="67">
        <s:f>IF(AND(G27&lt;&gt;"",G27&lt;&gt;0),D27/G27,"")</s:f>
        <s:v>8483.5</s:v>
      </s:c>
      <s:c r="I27" s="572">
        <s:v>20</s:v>
      </s:c>
      <s:c r="J27" s="136">
        <s:f>IF(AND(G27&lt;&gt;"",G27&lt;&gt;0),E27/G27,"")</s:f>
        <s:v>1.5</s:v>
      </s:c>
      <s:c r="K27" s="413"/>
      <s:c r="L27" s="66"/>
      <s:c r="M27" s="66"/>
      <s:c r="N27" s="66"/>
      <s:c r="O27" s="66"/>
      <s:c r="P27" s="66"/>
      <s:c r="Q27" s="66"/>
      <s:c r="R27" s="66"/>
      <s:c r="S27" s="415"/>
      <s:c r="T27" s="432">
        <s:f>IF(AND(I27&lt;&gt;"",I27&lt;&gt;0),G27/I27,"")</s:f>
        <s:v>0.1</s:v>
      </s:c>
      <s:c r="U27" s="436">
        <s:f>D27/V27</s:f>
        <s:v>0.27874529340721793</s:v>
      </s:c>
      <s:c r="V27" s="444">
        <s:f>$L$8*AB27*AC27/SUMPRODUCT($AC$25:$AC$55,$AB$25:$AB$55)</s:f>
        <s:v>60869.189189189194</s:v>
      </s:c>
      <s:c r="W27" s="71">
        <s:f>$L$9*AB27*AC27/SUMPRODUCT($AC$25:$AC$55,$AB$25:$AB$55)</s:f>
        <s:v>8.8216216216216221</s:v>
      </s:c>
      <s:c r="X27" s="71">
        <s:f>IF($L$12="","",W27/$L$12)</s:f>
        <s:v>5.1891891891891895</s:v>
      </s:c>
      <s:c r="Y27" s="70">
        <s:f>IF(AC27&lt;&gt;"",IF(D27&lt;&gt;"",D27,($L$8-SUM($Y$25:Y26))*AB27*AC27/SUMPRODUCT($AC27:$AC$55,$AB27:$AB$55)),"")</s:f>
        <s:v>16967</s:v>
      </s:c>
      <s:c r="Z27" s="71">
        <s:f>IF(AC27&lt;&gt;"",IF(E27&lt;&gt;"",E27,($L$9-SUM($Z$25:Z26))*AB27*AC27/SUMPRODUCT($AC27:$AC$55,$AB27:$AB$55)),"")</s:f>
        <s:v>3</s:v>
      </s:c>
      <s:c r="AA27" s="71">
        <s:f>IF(AC27&lt;&gt;"",IF($L$12&lt;&gt;"",IF(G27&lt;&gt;"",G27,($L$9/$L$12-SUM($AA$25:AA26))*AB27*AC27/SUMPRODUCT($AC27:$AC$55,$AB27:$AB$55)),""),"")</s:f>
        <s:v>2</s:v>
      </s:c>
      <s:c r="AB27" s="132">
        <s:v>1</s:v>
      </s:c>
      <s:c r="AC27" s="445">
        <s:v>1</s:v>
      </s:c>
      <s:c r="AD27" s="72"/>
      <s:c r="AE27" s="75"/>
      <s:c r="AF27" s="2"/>
      <s:c r="AG27" s="2"/>
      <s:c r="AH27" s="2"/>
      <s:c r="AI27" s="2"/>
      <s:c r="AJ27" s="2"/>
      <s:c r="AK27" s="2"/>
      <s:c r="AL27" s="2"/>
      <s:c r="AM27" s="2"/>
    </s:row>
    <s:row r="28">
      <s:c r="A28" s="112">
        <s:v>4</s:v>
      </s:c>
      <s:c r="B28" s="64">
        <s:v>46120</s:v>
      </s:c>
      <s:c r="C28" s="65" t="s">
        <s:v>57</s:v>
      </s:c>
      <s:c r="D28" s="350">
        <s:v>68941</s:v>
      </s:c>
      <s:c r="E28" s="67">
        <s:v>6</s:v>
      </s:c>
      <s:c r="F28" s="67">
        <s:f>IF(AND(E28&lt;&gt;"",E28&lt;&gt;0),D28/E28,"")</s:f>
        <s:v>11490.166666666601</s:v>
      </s:c>
      <s:c r="G28" s="67">
        <s:v>4</s:v>
      </s:c>
      <s:c r="H28" s="67">
        <s:f>IF(AND(G28&lt;&gt;"",G28&lt;&gt;0),D28/G28,"")</s:f>
        <s:v>17235.25</s:v>
      </s:c>
      <s:c r="I28" s="572">
        <s:v>20</s:v>
      </s:c>
      <s:c r="J28" s="136">
        <s:f>IF(AND(G28&lt;&gt;"",G28&lt;&gt;0),E28/G28,"")</s:f>
        <s:v>1.5</s:v>
      </s:c>
      <s:c r="K28" s="413">
        <s:v>51415</s:v>
      </s:c>
      <s:c r="L28" s="66"/>
      <s:c r="M28" s="66">
        <s:v>7093</s:v>
      </s:c>
      <s:c r="N28" s="66"/>
      <s:c r="O28" s="66"/>
      <s:c r="P28" s="66"/>
      <s:c r="Q28" s="66"/>
      <s:c r="R28" s="66">
        <s:v>6440</s:v>
      </s:c>
      <s:c r="S28" s="415"/>
      <s:c r="T28" s="432">
        <s:f>IF(AND(I28&lt;&gt;"",I28&lt;&gt;0),G28/I28,"")</s:f>
        <s:v>0.2</s:v>
      </s:c>
      <s:c r="U28" s="436">
        <s:f>D28/V28</s:f>
        <s:v>1.1326091396703608</s:v>
      </s:c>
      <s:c r="V28" s="444">
        <s:f>$L$8*AB28*AC28/SUMPRODUCT($AC$25:$AC$55,$AB$25:$AB$55)</s:f>
        <s:v>60869.189189189194</s:v>
      </s:c>
      <s:c r="W28" s="71">
        <s:f>$L$9*AB28*AC28/SUMPRODUCT($AC$25:$AC$55,$AB$25:$AB$55)</s:f>
        <s:v>8.8216216216216221</s:v>
      </s:c>
      <s:c r="X28" s="71">
        <s:f>IF($L$12="","",W28/$L$12)</s:f>
        <s:v>5.1891891891891895</s:v>
      </s:c>
      <s:c r="Y28" s="70">
        <s:f>IF(AC28&lt;&gt;"",IF(D28&lt;&gt;"",D28,($L$8-SUM($Y$25:Y27))*AB28*AC28/SUMPRODUCT($AC28:$AC$55,$AB28:$AB$55)),"")</s:f>
        <s:v>68941</s:v>
      </s:c>
      <s:c r="Z28" s="71">
        <s:f>IF(AC28&lt;&gt;"",IF(E28&lt;&gt;"",E28,($L$9-SUM($Z$25:Z27))*AB28*AC28/SUMPRODUCT($AC28:$AC$55,$AB28:$AB$55)),"")</s:f>
        <s:v>6</s:v>
      </s:c>
      <s:c r="AA28" s="71">
        <s:f>IF(AC28&lt;&gt;"",IF($L$12&lt;&gt;"",IF(G28&lt;&gt;"",G28,($L$9/$L$12-SUM($AA$25:AA27))*AB28*AC28/SUMPRODUCT($AC28:$AC$55,$AB28:$AB$55)),""),"")</s:f>
        <s:v>4</s:v>
      </s:c>
      <s:c r="AB28" s="132">
        <s:v>1</s:v>
      </s:c>
      <s:c r="AC28" s="445">
        <s:v>1</s:v>
      </s:c>
      <s:c r="AD28" s="72"/>
      <s:c r="AE28" s="72"/>
      <s:c r="AF28" s="2"/>
      <s:c r="AG28" s="2"/>
      <s:c r="AH28" s="2"/>
      <s:c r="AI28" s="2"/>
      <s:c r="AJ28" s="2"/>
      <s:c r="AK28" s="2"/>
      <s:c r="AL28" s="2"/>
      <s:c r="AM28" s="2"/>
    </s:row>
    <s:row r="29">
      <s:c r="A29" s="112">
        <s:v>5</s:v>
      </s:c>
      <s:c r="B29" s="64">
        <s:v>46122</s:v>
      </s:c>
      <s:c r="C29" s="65" t="s">
        <s:v>59</s:v>
      </s:c>
      <s:c r="D29" s="351">
        <s:v>23175</s:v>
      </s:c>
      <s:c r="E29" s="74">
        <s:v>4</s:v>
      </s:c>
      <s:c r="F29" s="67">
        <s:f>IF(AND(E29&lt;&gt;"",E29&lt;&gt;0),D29/E29,"")</s:f>
        <s:v>5793.75</s:v>
      </s:c>
      <s:c r="G29" s="74">
        <s:v>2</s:v>
      </s:c>
      <s:c r="H29" s="67">
        <s:f>IF(AND(G29&lt;&gt;"",G29&lt;&gt;0),D29/G29,"")</s:f>
        <s:v>11587.5</s:v>
      </s:c>
      <s:c r="I29" s="571">
        <s:v>15</s:v>
      </s:c>
      <s:c r="J29" s="136">
        <s:f>IF(AND(G29&lt;&gt;"",G29&lt;&gt;0),E29/G29,"")</s:f>
        <s:v>2</s:v>
      </s:c>
      <s:c r="K29" s="413"/>
      <s:c r="L29" s="66"/>
      <s:c r="M29" s="66"/>
      <s:c r="N29" s="66"/>
      <s:c r="O29" s="66"/>
      <s:c r="P29" s="66"/>
      <s:c r="Q29" s="66"/>
      <s:c r="R29" s="66"/>
      <s:c r="S29" s="414"/>
      <s:c r="T29" s="432">
        <s:f>IF(AND(I29&lt;&gt;"",I29&lt;&gt;0),G29/I29,"")</s:f>
        <s:v>0.133333333333333</s:v>
      </s:c>
      <s:c r="U29" s="436">
        <s:f>D29/V29</s:f>
        <s:v>0.38073449488491046</s:v>
      </s:c>
      <s:c r="V29" s="444">
        <s:f>$L$8*AB29*AC29/SUMPRODUCT($AC$25:$AC$55,$AB$25:$AB$55)</s:f>
        <s:v>60869.189189189194</s:v>
      </s:c>
      <s:c r="W29" s="71">
        <s:f>$L$9*AB29*AC29/SUMPRODUCT($AC$25:$AC$55,$AB$25:$AB$55)</s:f>
        <s:v>8.8216216216216221</s:v>
      </s:c>
      <s:c r="X29" s="71">
        <s:f>IF($L$12="","",W29/$L$12)</s:f>
        <s:v>5.1891891891891895</s:v>
      </s:c>
      <s:c r="Y29" s="70">
        <s:f>IF(AC29&lt;&gt;"",IF(D29&lt;&gt;"",D29,($L$8-SUM($Y$25:Y28))*AB29*AC29/SUMPRODUCT($AC29:$AC$55,$AB29:$AB$55)),"")</s:f>
        <s:v>23175</s:v>
      </s:c>
      <s:c r="Z29" s="71">
        <s:f>IF(AC29&lt;&gt;"",IF(E29&lt;&gt;"",E29,($L$9-SUM($Z$25:Z28))*AB29*AC29/SUMPRODUCT($AC29:$AC$55,$AB29:$AB$55)),"")</s:f>
        <s:v>4</s:v>
      </s:c>
      <s:c r="AA29" s="71">
        <s:f>IF(AC29&lt;&gt;"",IF($L$12&lt;&gt;"",IF(G29&lt;&gt;"",G29,($L$9/$L$12-SUM($AA$25:AA28))*AB29*AC29/SUMPRODUCT($AC29:$AC$55,$AB29:$AB$55)),""),"")</s:f>
        <s:v>2</s:v>
      </s:c>
      <s:c r="AB29" s="132">
        <s:v>1</s:v>
      </s:c>
      <s:c r="AC29" s="445">
        <s:v>1</s:v>
      </s:c>
      <s:c r="AD29" s="72"/>
      <s:c r="AE29" s="72"/>
      <s:c r="AF29" s="2"/>
      <s:c r="AG29" s="2"/>
      <s:c r="AH29" s="2"/>
      <s:c r="AI29" s="2"/>
      <s:c r="AJ29" s="2"/>
      <s:c r="AK29" s="2"/>
      <s:c r="AL29" s="2"/>
      <s:c r="AM29" s="2"/>
    </s:row>
    <s:row r="30">
      <s:c r="A30" s="112">
        <s:v>6</s:v>
      </s:c>
      <s:c r="B30" s="64">
        <s:v>46123</s:v>
      </s:c>
      <s:c r="C30" s="80" t="s">
        <s:v>60</s:v>
      </s:c>
      <s:c r="D30" s="351">
        <s:v>77762</s:v>
      </s:c>
      <s:c r="E30" s="74">
        <s:v>10</s:v>
      </s:c>
      <s:c r="F30" s="67">
        <s:f>IF(AND(E30&lt;&gt;"",E30&lt;&gt;0),D30/E30,"")</s:f>
        <s:v>7776.2</s:v>
      </s:c>
      <s:c r="G30" s="74">
        <s:v>6</s:v>
      </s:c>
      <s:c r="H30" s="67">
        <s:f>IF(AND(G30&lt;&gt;"",G30&lt;&gt;0),D30/G30,"")</s:f>
        <s:v>12960.333333333299</s:v>
      </s:c>
      <s:c r="I30" s="571">
        <s:v>40</s:v>
      </s:c>
      <s:c r="J30" s="136">
        <s:f>IF(AND(G30&lt;&gt;"",G30&lt;&gt;0),E30/G30,"")</s:f>
        <s:v>1.6666666666666601</s:v>
      </s:c>
      <s:c r="K30" s="413"/>
      <s:c r="L30" s="66"/>
      <s:c r="M30" s="66"/>
      <s:c r="N30" s="66"/>
      <s:c r="O30" s="66"/>
      <s:c r="P30" s="66"/>
      <s:c r="Q30" s="66"/>
      <s:c r="R30" s="66">
        <s:v>25513</s:v>
      </s:c>
      <s:c r="S30" s="414"/>
      <s:c r="T30" s="432">
        <s:f>IF(AND(I30&lt;&gt;"",I30&lt;&gt;0),G30/I30,"")</s:f>
        <s:v>0.15</s:v>
      </s:c>
      <s:c r="U30" s="436">
        <s:f>D30/V30</s:f>
        <s:v>1.2775264634839443</s:v>
      </s:c>
      <s:c r="V30" s="444">
        <s:f>$L$8*AB30*AC30/SUMPRODUCT($AC$25:$AC$55,$AB$25:$AB$55)</s:f>
        <s:v>60869.189189189194</s:v>
      </s:c>
      <s:c r="W30" s="71">
        <s:f>$L$9*AB30*AC30/SUMPRODUCT($AC$25:$AC$55,$AB$25:$AB$55)</s:f>
        <s:v>8.8216216216216221</s:v>
      </s:c>
      <s:c r="X30" s="71">
        <s:f>IF($L$12="","",W30/$L$12)</s:f>
        <s:v>5.1891891891891895</s:v>
      </s:c>
      <s:c r="Y30" s="70">
        <s:f>IF(AC30&lt;&gt;"",IF(D30&lt;&gt;"",D30,($L$8-SUM($Y$25:Y29))*AB30*AC30/SUMPRODUCT($AC30:$AC$55,$AB30:$AB$55)),"")</s:f>
        <s:v>77762</s:v>
      </s:c>
      <s:c r="Z30" s="71">
        <s:f>IF(AC30&lt;&gt;"",IF(E30&lt;&gt;"",E30,($L$9-SUM($Z$25:Z29))*AB30*AC30/SUMPRODUCT($AC30:$AC$55,$AB30:$AB$55)),"")</s:f>
        <s:v>10</s:v>
      </s:c>
      <s:c r="AA30" s="71">
        <s:f>IF(AC30&lt;&gt;"",IF($L$12&lt;&gt;"",IF(G30&lt;&gt;"",G30,($L$9/$L$12-SUM($AA$25:AA29))*AB30*AC30/SUMPRODUCT($AC30:$AC$55,$AB30:$AB$55)),""),"")</s:f>
        <s:v>6</s:v>
      </s:c>
      <s:c r="AB30" s="132">
        <s:v>1</s:v>
      </s:c>
      <s:c r="AC30" s="445">
        <s:v>1</s:v>
      </s:c>
      <s:c r="AD30" s="72"/>
      <s:c r="AE30" s="72"/>
      <s:c r="AF30" s="77"/>
      <s:c r="AG30" s="2"/>
      <s:c r="AH30" s="2"/>
      <s:c r="AI30" s="2"/>
      <s:c r="AJ30" s="2"/>
      <s:c r="AK30" s="2"/>
      <s:c r="AL30" s="2"/>
      <s:c r="AM30" s="2"/>
    </s:row>
    <s:row r="31">
      <s:c r="A31" s="112">
        <s:v>7</s:v>
      </s:c>
      <s:c r="B31" s="64">
        <s:v>46125</s:v>
      </s:c>
      <s:c r="C31" s="65" t="s">
        <s:v>55</s:v>
      </s:c>
      <s:c r="D31" s="351">
        <s:v>44417</s:v>
      </s:c>
      <s:c r="E31" s="74">
        <s:v>6</s:v>
      </s:c>
      <s:c r="F31" s="67">
        <s:f>IF(AND(E31&lt;&gt;"",E31&lt;&gt;0),D31/E31,"")</s:f>
        <s:v>7402.8333333333303</s:v>
      </s:c>
      <s:c r="G31" s="74">
        <s:v>5</s:v>
      </s:c>
      <s:c r="H31" s="67">
        <s:f>IF(AND(G31&lt;&gt;"",G31&lt;&gt;0),D31/G31,"")</s:f>
        <s:v>8883.4</s:v>
      </s:c>
      <s:c r="I31" s="571">
        <s:v>30</s:v>
      </s:c>
      <s:c r="J31" s="136">
        <s:f>IF(AND(G31&lt;&gt;"",G31&lt;&gt;0),E31/G31,"")</s:f>
        <s:v>1.2</s:v>
      </s:c>
      <s:c r="K31" s="416">
        <s:v>10993</s:v>
      </s:c>
      <s:c r="L31" s="135"/>
      <s:c r="M31" s="135"/>
      <s:c r="N31" s="135"/>
      <s:c r="O31" s="135">
        <s:v>7658</s:v>
      </s:c>
      <s:c r="P31" s="66"/>
      <s:c r="Q31" s="66"/>
      <s:c r="R31" s="66"/>
      <s:c r="S31" s="414"/>
      <s:c r="T31" s="432">
        <s:f>IF(AND(I31&lt;&gt;"",I31&lt;&gt;0),G31/I31,"")</s:f>
        <s:v>0.16666666666666599</s:v>
      </s:c>
      <s:c r="U31" s="436">
        <s:f>D31/V31</s:f>
        <s:v>0.72971236501847114</s:v>
      </s:c>
      <s:c r="V31" s="444">
        <s:f>$L$8*AB31*AC31/SUMPRODUCT($AC$25:$AC$55,$AB$25:$AB$55)</s:f>
        <s:v>60869.189189189194</s:v>
      </s:c>
      <s:c r="W31" s="71">
        <s:f>$L$9*AB31*AC31/SUMPRODUCT($AC$25:$AC$55,$AB$25:$AB$55)</s:f>
        <s:v>8.8216216216216221</s:v>
      </s:c>
      <s:c r="X31" s="71">
        <s:f>IF($L$12="","",W31/$L$12)</s:f>
        <s:v>5.1891891891891895</s:v>
      </s:c>
      <s:c r="Y31" s="70">
        <s:f>IF(AC31&lt;&gt;"",IF(D31&lt;&gt;"",D31,($L$8-SUM($Y$25:Y30))*AB31*AC31/SUMPRODUCT($AC31:$AC$55,$AB31:$AB$55)),"")</s:f>
        <s:v>44417</s:v>
      </s:c>
      <s:c r="Z31" s="71">
        <s:f>IF(AC31&lt;&gt;"",IF(E31&lt;&gt;"",E31,($L$9-SUM($Z$25:Z30))*AB31*AC31/SUMPRODUCT($AC31:$AC$55,$AB31:$AB$55)),"")</s:f>
        <s:v>6</s:v>
      </s:c>
      <s:c r="AA31" s="71">
        <s:f>IF(AC31&lt;&gt;"",IF($L$12&lt;&gt;"",IF(G31&lt;&gt;"",G31,($L$9/$L$12-SUM($AA$25:AA30))*AB31*AC31/SUMPRODUCT($AC31:$AC$55,$AB31:$AB$55)),""),"")</s:f>
        <s:v>5</s:v>
      </s:c>
      <s:c r="AB31" s="132">
        <s:v>1</s:v>
      </s:c>
      <s:c r="AC31" s="445">
        <s:v>1</s:v>
      </s:c>
      <s:c r="AD31" s="72"/>
      <s:c r="AE31" s="72"/>
      <s:c r="AF31" s="77"/>
      <s:c r="AG31" s="2"/>
      <s:c r="AH31" s="2"/>
      <s:c r="AI31" s="2"/>
      <s:c r="AJ31" s="2"/>
      <s:c r="AK31" s="2"/>
      <s:c r="AL31" s="2"/>
      <s:c r="AM31" s="2"/>
    </s:row>
    <s:row r="32">
      <s:c r="A32" s="112">
        <s:v>8</s:v>
      </s:c>
      <s:c r="B32" s="64">
        <s:v>46127</s:v>
      </s:c>
      <s:c r="C32" s="80" t="s">
        <s:v>57</s:v>
      </s:c>
      <s:c r="D32" s="351">
        <s:v>4196</s:v>
      </s:c>
      <s:c r="E32" s="74">
        <s:v>1</s:v>
      </s:c>
      <s:c r="F32" s="67">
        <s:f>IF(AND(E32&lt;&gt;"",E32&lt;&gt;0),D32/E32,"")</s:f>
        <s:v>4196</s:v>
      </s:c>
      <s:c r="G32" s="74">
        <s:v>1</s:v>
      </s:c>
      <s:c r="H32" s="67">
        <s:f>IF(AND(G32&lt;&gt;"",G32&lt;&gt;0),D32/G32,"")</s:f>
        <s:v>4196</s:v>
      </s:c>
      <s:c r="I32" s="74">
        <s:v>20</s:v>
      </s:c>
      <s:c r="J32" s="136">
        <s:f>IF(AND(G32&lt;&gt;"",G32&lt;&gt;0),E32/G32,"")</s:f>
        <s:v>1</s:v>
      </s:c>
      <s:c r="K32" s="417"/>
      <s:c r="L32" s="124"/>
      <s:c r="M32" s="124"/>
      <s:c r="N32" s="124"/>
      <s:c r="O32" s="124"/>
      <s:c r="P32" s="67"/>
      <s:c r="Q32" s="67"/>
      <s:c r="R32" s="118"/>
      <s:c r="S32" s="418">
        <s:v>4193</s:v>
      </s:c>
      <s:c r="T32" s="432">
        <s:f>IF(AND(I32&lt;&gt;"",I32&lt;&gt;0),G32/I32,"")</s:f>
        <s:v>0.05</s:v>
      </s:c>
      <s:c r="U32" s="436">
        <s:f>D32/V32</s:f>
        <s:v>6.8934711565785733E-2</s:v>
      </s:c>
      <s:c r="V32" s="444">
        <s:f>$L$8*AB32*AC32/SUMPRODUCT($AC$25:$AC$55,$AB$25:$AB$55)</s:f>
        <s:v>60869.189189189194</s:v>
      </s:c>
      <s:c r="W32" s="71">
        <s:f>$L$9*AB32*AC32/SUMPRODUCT($AC$25:$AC$55,$AB$25:$AB$55)</s:f>
        <s:v>8.8216216216216221</s:v>
      </s:c>
      <s:c r="X32" s="71">
        <s:f>IF($L$12="","",W32/$L$12)</s:f>
        <s:v>5.1891891891891895</s:v>
      </s:c>
      <s:c r="Y32" s="70">
        <s:f>IF(AC32&lt;&gt;"",IF(D32&lt;&gt;"",D32,($L$8-SUM($Y$25:Y31))*AB32*AC32/SUMPRODUCT($AC32:$AC$55,$AB32:$AB$55)),"")</s:f>
        <s:v>4196</s:v>
      </s:c>
      <s:c r="Z32" s="71">
        <s:f>IF(AC32&lt;&gt;"",IF(E32&lt;&gt;"",E32,($L$9-SUM($Z$25:Z31))*AB32*AC32/SUMPRODUCT($AC32:$AC$55,$AB32:$AB$55)),"")</s:f>
        <s:v>1</s:v>
      </s:c>
      <s:c r="AA32" s="71">
        <s:f>IF(AC32&lt;&gt;"",IF($L$12&lt;&gt;"",IF(G32&lt;&gt;"",G32,($L$9/$L$12-SUM($AA$25:AA31))*AB32*AC32/SUMPRODUCT($AC32:$AC$55,$AB32:$AB$55)),""),"")</s:f>
        <s:v>1</s:v>
      </s:c>
      <s:c r="AB32" s="132">
        <s:v>1</s:v>
      </s:c>
      <s:c r="AC32" s="445">
        <s:v>1</s:v>
      </s:c>
      <s:c r="AD32" s="72"/>
      <s:c r="AE32" s="72"/>
      <s:c r="AF32" s="2"/>
      <s:c r="AG32" s="2"/>
      <s:c r="AH32" s="2"/>
      <s:c r="AI32" s="2"/>
      <s:c r="AJ32" s="2"/>
      <s:c r="AK32" s="2"/>
      <s:c r="AL32" s="2"/>
      <s:c r="AM32" s="2"/>
    </s:row>
    <s:row r="33">
      <s:c r="A33" s="112">
        <s:v>9</s:v>
      </s:c>
      <s:c r="B33" s="64">
        <s:v>46128</s:v>
      </s:c>
      <s:c r="C33" s="137" t="s">
        <s:v>60</s:v>
      </s:c>
      <s:c r="D33" s="351">
        <s:v>38263</s:v>
      </s:c>
      <s:c r="E33" s="115">
        <s:v>7</s:v>
      </s:c>
      <s:c r="F33" s="67">
        <s:f>IF(AND(E33&lt;&gt;"",E33&lt;&gt;0),D33/E33,"")</s:f>
        <s:v>5466.1428571428496</s:v>
      </s:c>
      <s:c r="G33" s="74">
        <s:v>4</s:v>
      </s:c>
      <s:c r="H33" s="67">
        <s:f>IF(AND(G33&lt;&gt;"",G33&lt;&gt;0),D33/G33,"")</s:f>
        <s:v>9565.75</s:v>
      </s:c>
      <s:c r="I33" s="74">
        <s:v>35</s:v>
      </s:c>
      <s:c r="J33" s="136">
        <s:f>IF(AND(G33&lt;&gt;"",G33&lt;&gt;0),E33/G33,"")</s:f>
        <s:v>1.75</s:v>
      </s:c>
      <s:c r="K33" s="417"/>
      <s:c r="L33" s="124"/>
      <s:c r="M33" s="124"/>
      <s:c r="N33" s="124"/>
      <s:c r="O33" s="124"/>
      <s:c r="P33" s="67"/>
      <s:c r="Q33" s="67"/>
      <s:c r="R33" s="67"/>
      <s:c r="S33" s="419"/>
      <s:c r="T33" s="432">
        <s:f>IF(AND(I33&lt;&gt;"",I33&lt;&gt;0),G33/I33,"")</s:f>
        <s:v>0.114285714285714</s:v>
      </s:c>
      <s:c r="U33" s="436">
        <s:f>D33/V33</s:f>
        <s:v>0.62861031187837446</s:v>
      </s:c>
      <s:c r="V33" s="444">
        <s:f>$L$8*AB33*AC33/SUMPRODUCT($AC$25:$AC$55,$AB$25:$AB$55)</s:f>
        <s:v>60869.189189189194</s:v>
      </s:c>
      <s:c r="W33" s="120">
        <s:f>$L$9*AB33*AC33/SUMPRODUCT($AC$25:$AC$55,$AB$25:$AB$55)</s:f>
        <s:v>8.8216216216216221</s:v>
      </s:c>
      <s:c r="X33" s="71">
        <s:f>IF($L$12="","",W33/$L$12)</s:f>
        <s:v>5.1891891891891895</s:v>
      </s:c>
      <s:c r="Y33" s="70">
        <s:f>IF(AC33&lt;&gt;"",IF(D33&lt;&gt;"",D33,($L$8-SUM($Y$25:Y32))*AB33*AC33/SUMPRODUCT($AC33:$AC$55,$AB33:$AB$55)),"")</s:f>
        <s:v>38263</s:v>
      </s:c>
      <s:c r="Z33" s="71">
        <s:f>IF(AC33&lt;&gt;"",IF(E33&lt;&gt;"",E33,($L$9-SUM($Z$25:Z32))*AB33*AC33/SUMPRODUCT($AC33:$AC$55,$AB33:$AB$55)),"")</s:f>
        <s:v>7</s:v>
      </s:c>
      <s:c r="AA33" s="120">
        <s:f>IF(AC33&lt;&gt;"",IF($L$12&lt;&gt;"",IF(G33&lt;&gt;"",G33,($L$9/$L$12-SUM($AA$25:AA32))*AB33*AC33/SUMPRODUCT($AC33:$AC$55,$AB33:$AB$55)),""),"")</s:f>
        <s:v>4</s:v>
      </s:c>
      <s:c r="AB33" s="132">
        <s:v>1</s:v>
      </s:c>
      <s:c r="AC33" s="445">
        <s:v>1</s:v>
      </s:c>
      <s:c r="AD33" s="72"/>
      <s:c r="AE33" s="72"/>
      <s:c r="AF33" s="2"/>
      <s:c r="AG33" s="2"/>
      <s:c r="AH33" s="2"/>
      <s:c r="AI33" s="2"/>
      <s:c r="AJ33" s="2"/>
      <s:c r="AK33" s="2"/>
      <s:c r="AL33" s="2"/>
      <s:c r="AM33" s="2"/>
    </s:row>
    <s:row r="34">
      <s:c r="A34" s="112">
        <s:v>10</s:v>
      </s:c>
      <s:c r="B34" s="138">
        <s:v>46131</s:v>
      </s:c>
      <s:c r="C34" s="139" t="s">
        <s:v>54</s:v>
      </s:c>
      <s:c r="D34" s="73">
        <s:v>38216</s:v>
      </s:c>
      <s:c r="E34" s="74">
        <s:v>6</s:v>
      </s:c>
      <s:c r="F34" s="67">
        <s:f>IF(AND(E34&lt;&gt;"",E34&lt;&gt;0),D34/E34,"")</s:f>
        <s:v>6369.3333333333303</s:v>
      </s:c>
      <s:c r="G34" s="74">
        <s:v>4</s:v>
      </s:c>
      <s:c r="H34" s="67">
        <s:f>IF(AND(G34&lt;&gt;"",G34&lt;&gt;0),D34/G34,"")</s:f>
        <s:v>9554</s:v>
      </s:c>
      <s:c r="I34" s="67">
        <s:v>40</s:v>
      </s:c>
      <s:c r="J34" s="136">
        <s:f>IF(AND(G34&lt;&gt;"",G34&lt;&gt;0),E34/G34,"")</s:f>
        <s:v>1.5</s:v>
      </s:c>
      <s:c r="K34" s="417"/>
      <s:c r="L34" s="124"/>
      <s:c r="M34" s="124"/>
      <s:c r="N34" s="124"/>
      <s:c r="O34" s="124"/>
      <s:c r="P34" s="67"/>
      <s:c r="Q34" s="67"/>
      <s:c r="R34" s="67"/>
      <s:c r="S34" s="420"/>
      <s:c r="T34" s="432">
        <s:f>IF(AND(I34&lt;&gt;"",I34&lt;&gt;0),G34/I34,"")</s:f>
        <s:v>0.1</s:v>
      </s:c>
      <s:c r="U34" s="436">
        <s:f>D34/V34</s:f>
        <s:v>0.62783816425120764</s:v>
      </s:c>
      <s:c r="V34" s="446">
        <s:f>$L$8*AB34*AC34/SUMPRODUCT($AC$25:$AC$55,$AB$25:$AB$55)</s:f>
        <s:v>60869.189189189194</s:v>
      </s:c>
      <s:c r="W34" s="71">
        <s:f>$L$9*AB34*AC34/SUMPRODUCT($AC$25:$AC$55,$AB$25:$AB$55)</s:f>
        <s:v>8.8216216216216221</s:v>
      </s:c>
      <s:c r="X34" s="120">
        <s:f>IF($L$12="","",W34/$L$12)</s:f>
        <s:v>5.1891891891891895</s:v>
      </s:c>
      <s:c r="Y34" s="70">
        <s:f>IF(AC34&lt;&gt;"",IF(D34&lt;&gt;"",D34,($L$8-SUM($Y$25:Y33))*AB34*AC34/SUMPRODUCT($AC34:$AC$55,$AB34:$AB$55)),"")</s:f>
        <s:v>38216</s:v>
      </s:c>
      <s:c r="Z34" s="120">
        <s:f>IF(AC34&lt;&gt;"",IF(E34&lt;&gt;"",E34,($L$9-SUM($Z$25:Z33))*AB34*AC34/SUMPRODUCT($AC34:$AC$55,$AB34:$AB$55)),"")</s:f>
        <s:v>6</s:v>
      </s:c>
      <s:c r="AA34" s="71">
        <s:f>IF(AC34&lt;&gt;"",IF($L$12&lt;&gt;"",IF(G34&lt;&gt;"",G34,($L$9/$L$12-SUM($AA$25:AA33))*AB34*AC34/SUMPRODUCT($AC34:$AC$55,$AB34:$AB$55)),""),"")</s:f>
        <s:v>4</s:v>
      </s:c>
      <s:c r="AB34" s="132">
        <s:v>1</s:v>
      </s:c>
      <s:c r="AC34" s="445">
        <s:v>1</s:v>
      </s:c>
      <s:c r="AD34" s="72"/>
      <s:c r="AE34" s="72"/>
      <s:c r="AF34" s="77"/>
      <s:c r="AG34" s="2"/>
      <s:c r="AH34" s="2"/>
      <s:c r="AI34" s="2"/>
      <s:c r="AJ34" s="2"/>
      <s:c r="AK34" s="2"/>
      <s:c r="AL34" s="2"/>
      <s:c r="AM34" s="2"/>
    </s:row>
    <s:row r="35">
      <s:c r="A35" s="112">
        <s:v>11</s:v>
      </s:c>
      <s:c r="B35" s="138">
        <s:v>46133</s:v>
      </s:c>
      <s:c r="C35" s="139" t="s">
        <s:v>56</s:v>
      </s:c>
      <s:c r="D35" s="73">
        <s:v>0</s:v>
      </s:c>
      <s:c r="E35" s="74">
        <s:v>0</s:v>
      </s:c>
      <s:c r="F35" s="67">
        <s:v>0</s:v>
      </s:c>
      <s:c r="G35" s="74">
        <s:v>0</s:v>
      </s:c>
      <s:c r="H35" s="67">
        <s:v>0</s:v>
      </s:c>
      <s:c r="I35" s="74">
        <s:v>8</s:v>
      </s:c>
      <s:c r="J35" s="136" t="str">
        <s:f>IF(AND(G35&lt;&gt;"",G35&lt;&gt;0),E35/G35,"")</s:f>
        <s:v/>
      </s:c>
      <s:c r="K35" s="417"/>
      <s:c r="L35" s="124"/>
      <s:c r="M35" s="124"/>
      <s:c r="N35" s="124"/>
      <s:c r="O35" s="124"/>
      <s:c r="P35" s="67"/>
      <s:c r="Q35" s="67"/>
      <s:c r="R35" s="67"/>
      <s:c r="S35" s="420"/>
      <s:c r="T35" s="432">
        <s:f>IF(AND(I35&lt;&gt;"",I35&lt;&gt;0),G35/I35,"")</s:f>
        <s:v>0</s:v>
      </s:c>
      <s:c r="U35" s="436">
        <s:f>D35/V35</s:f>
        <s:v>0</s:v>
      </s:c>
      <s:c r="V35" s="444">
        <s:f>$L$8*AB35*AC35/SUMPRODUCT($AC$25:$AC$55,$AB$25:$AB$55)</s:f>
        <s:v>60869.189189189194</s:v>
      </s:c>
      <s:c r="W35" s="120">
        <s:f>$L$9*AB35*AC35/SUMPRODUCT($AC$25:$AC$55,$AB$25:$AB$55)</s:f>
        <s:v>8.8216216216216221</s:v>
      </s:c>
      <s:c r="X35" s="71">
        <s:f>IF($L$12="","",W35/$L$12)</s:f>
        <s:v>5.1891891891891895</s:v>
      </s:c>
      <s:c r="Y35" s="70">
        <s:f>IF(AC35&lt;&gt;"",IF(D35&lt;&gt;"",D35,($L$8-SUM($Y$25:Y34))*AB35*AC35/SUMPRODUCT($AC35:$AC$55,$AB35:$AB$55)),"")</s:f>
        <s:v>0</s:v>
      </s:c>
      <s:c r="Z35" s="71">
        <s:f>IF(AC35&lt;&gt;"",IF(E35&lt;&gt;"",E35,($L$9-SUM($Z$25:Z34))*AB35*AC35/SUMPRODUCT($AC35:$AC$55,$AB35:$AB$55)),"")</s:f>
        <s:v>0</s:v>
      </s:c>
      <s:c r="AA35" s="71">
        <s:f>IF(AC35&lt;&gt;"",IF($L$12&lt;&gt;"",IF(G35&lt;&gt;"",G35,($L$9/$L$12-SUM($AA$25:AA34))*AB35*AC35/SUMPRODUCT($AC35:$AC$55,$AB35:$AB$55)),""),"")</s:f>
        <s:v>0</s:v>
      </s:c>
      <s:c r="AB35" s="132">
        <s:v>1</s:v>
      </s:c>
      <s:c r="AC35" s="445">
        <s:v>1</s:v>
      </s:c>
      <s:c r="AD35" s="72"/>
      <s:c r="AE35" s="72"/>
      <s:c r="AF35" s="77"/>
      <s:c r="AG35" s="2"/>
      <s:c r="AH35" s="2"/>
      <s:c r="AI35" s="2"/>
      <s:c r="AJ35" s="2"/>
      <s:c r="AK35" s="2"/>
      <s:c r="AL35" s="2"/>
      <s:c r="AM35" s="2"/>
    </s:row>
    <s:row r="36">
      <s:c r="A36" s="112">
        <s:v>12</s:v>
      </s:c>
      <s:c r="B36" s="138">
        <s:v>46134</s:v>
      </s:c>
      <s:c r="C36" s="139" t="s">
        <s:v>57</s:v>
      </s:c>
      <s:c r="D36" s="73">
        <s:v>23254</s:v>
      </s:c>
      <s:c r="E36" s="74">
        <s:v>3</s:v>
      </s:c>
      <s:c r="F36" s="67">
        <s:f>IF(AND(E36&lt;&gt;"",E36&lt;&gt;0),D36/E36,"")</s:f>
        <s:v>7751.3333333333303</s:v>
      </s:c>
      <s:c r="G36" s="74">
        <s:v>2</s:v>
      </s:c>
      <s:c r="H36" s="67">
        <s:f>IF(AND(G36&lt;&gt;"",G36&lt;&gt;0),D36/G36,"")</s:f>
        <s:v>11627</s:v>
      </s:c>
      <s:c r="I36" s="74">
        <s:v>12</s:v>
      </s:c>
      <s:c r="J36" s="136">
        <s:f>IF(AND(G36&lt;&gt;"",G36&lt;&gt;0),E36/G36,"")</s:f>
        <s:v>1.5</s:v>
      </s:c>
      <s:c r="K36" s="417"/>
      <s:c r="L36" s="124"/>
      <s:c r="M36" s="124"/>
      <s:c r="N36" s="124"/>
      <s:c r="O36" s="124">
        <s:v>9682</s:v>
      </s:c>
      <s:c r="P36" s="67"/>
      <s:c r="Q36" s="67"/>
      <s:c r="R36" s="67"/>
      <s:c r="S36" s="420">
        <s:v>7890</s:v>
      </s:c>
      <s:c r="T36" s="432">
        <s:f>IF(AND(I36&lt;&gt;"",I36&lt;&gt;0),G36/I36,"")</s:f>
        <s:v>0.16666666666666599</s:v>
      </s:c>
      <s:c r="U36" s="436">
        <s:f>D36/V36</s:f>
        <s:v>0.38203236004546742</s:v>
      </s:c>
      <s:c r="V36" s="444">
        <s:f>$L$8*AB36*AC36/SUMPRODUCT($AC$25:$AC$55,$AB$25:$AB$55)</s:f>
        <s:v>60869.189189189194</s:v>
      </s:c>
      <s:c r="W36" s="71">
        <s:f>$L$9*AB36*AC36/SUMPRODUCT($AC$25:$AC$55,$AB$25:$AB$55)</s:f>
        <s:v>8.8216216216216221</s:v>
      </s:c>
      <s:c r="X36" s="71">
        <s:f>IF($L$12="","",W36/$L$12)</s:f>
        <s:v>5.1891891891891895</s:v>
      </s:c>
      <s:c r="Y36" s="70">
        <s:f>IF(AC36&lt;&gt;"",IF(D36&lt;&gt;"",D36,($L$8-SUM($Y$25:Y35))*AB36*AC36/SUMPRODUCT($AC36:$AC$55,$AB36:$AB$55)),"")</s:f>
        <s:v>23254</s:v>
      </s:c>
      <s:c r="Z36" s="71">
        <s:f>IF(AC36&lt;&gt;"",IF(E36&lt;&gt;"",E36,($L$9-SUM($Z$25:Z35))*AB36*AC36/SUMPRODUCT($AC36:$AC$55,$AB36:$AB$55)),"")</s:f>
        <s:v>3</s:v>
      </s:c>
      <s:c r="AA36" s="71">
        <s:f>IF(AC36&lt;&gt;"",IF($L$12&lt;&gt;"",IF(G36&lt;&gt;"",G36,($L$9/$L$12-SUM($AA$25:AA35))*AB36*AC36/SUMPRODUCT($AC36:$AC$55,$AB36:$AB$55)),""),"")</s:f>
        <s:v>2</s:v>
      </s:c>
      <s:c r="AB36" s="132">
        <s:v>1</s:v>
      </s:c>
      <s:c r="AC36" s="445">
        <s:v>1</s:v>
      </s:c>
      <s:c r="AD36" s="72"/>
      <s:c r="AE36" s="72"/>
      <s:c r="AF36" s="77"/>
      <s:c r="AG36" s="2"/>
      <s:c r="AH36" s="2"/>
      <s:c r="AI36" s="2"/>
      <s:c r="AJ36" s="2"/>
      <s:c r="AK36" s="2"/>
      <s:c r="AL36" s="2"/>
      <s:c r="AM36" s="2"/>
    </s:row>
    <s:row r="37">
      <s:c r="A37" s="112">
        <s:v>13</s:v>
      </s:c>
      <s:c r="B37" s="138">
        <s:v>46135</s:v>
      </s:c>
      <s:c r="C37" s="139" t="s">
        <s:v>58</s:v>
      </s:c>
      <s:c r="D37" s="140">
        <s:v>12086</s:v>
      </s:c>
      <s:c r="E37" s="74">
        <s:v>2</s:v>
      </s:c>
      <s:c r="F37" s="67">
        <s:f>IF(AND(E37&lt;&gt;"",E37&lt;&gt;0),D37/E37,"")</s:f>
        <s:v>6043</s:v>
      </s:c>
      <s:c r="G37" s="74">
        <s:v>2</s:v>
      </s:c>
      <s:c r="H37" s="67">
        <s:f>IF(AND(G37&lt;&gt;"",G37&lt;&gt;0),D37/G37,"")</s:f>
        <s:v>6043</s:v>
      </s:c>
      <s:c r="I37" s="74">
        <s:v>20</s:v>
      </s:c>
      <s:c r="J37" s="136">
        <s:f>IF(AND(G37&lt;&gt;"",G37&lt;&gt;0),E37/G37,"")</s:f>
        <s:v>1</s:v>
      </s:c>
      <s:c r="K37" s="417"/>
      <s:c r="L37" s="124"/>
      <s:c r="M37" s="124"/>
      <s:c r="N37" s="124"/>
      <s:c r="O37" s="124"/>
      <s:c r="P37" s="69"/>
      <s:c r="Q37" s="69"/>
      <s:c r="R37" s="67"/>
      <s:c r="S37" s="420"/>
      <s:c r="T37" s="432">
        <s:f>IF(AND(I37&lt;&gt;"",I37&lt;&gt;0),G37/I37,"")</s:f>
        <s:v>0.1</s:v>
      </s:c>
      <s:c r="U37" s="436">
        <s:f>D37/V37</s:f>
        <s:v>0.198556940892298</s:v>
      </s:c>
      <s:c r="V37" s="444">
        <s:f>$L$8*AB37*AC37/SUMPRODUCT($AC$25:$AC$55,$AB$25:$AB$55)</s:f>
        <s:v>60869.189189189194</s:v>
      </s:c>
      <s:c r="W37" s="120">
        <s:f>$L$9*AB37*AC37/SUMPRODUCT($AC$25:$AC$55,$AB$25:$AB$55)</s:f>
        <s:v>8.8216216216216221</s:v>
      </s:c>
      <s:c r="X37" s="71">
        <s:f>IF($L$12="","",W37/$L$12)</s:f>
        <s:v>5.1891891891891895</s:v>
      </s:c>
      <s:c r="Y37" s="70">
        <s:f>IF(AC37&lt;&gt;"",IF(D37&lt;&gt;"",D37,($L$8-SUM($Y$25:Y36))*AB37*AC37/SUMPRODUCT($AC37:$AC$55,$AB37:$AB$55)),"")</s:f>
        <s:v>12086</s:v>
      </s:c>
      <s:c r="Z37" s="71">
        <s:f>IF(AC37&lt;&gt;"",IF(E37&lt;&gt;"",E37,($L$9-SUM($Z$25:Z36))*AB37*AC37/SUMPRODUCT($AC37:$AC$55,$AB37:$AB$55)),"")</s:f>
        <s:v>2</s:v>
      </s:c>
      <s:c r="AA37" s="71">
        <s:f>IF(AC37&lt;&gt;"",IF($L$12&lt;&gt;"",IF(G37&lt;&gt;"",G37,($L$9/$L$12-SUM($AA$25:AA36))*AB37*AC37/SUMPRODUCT($AC37:$AC$55,$AB37:$AB$55)),""),"")</s:f>
        <s:v>2</s:v>
      </s:c>
      <s:c r="AB37" s="132">
        <s:v>1</s:v>
      </s:c>
      <s:c r="AC37" s="445">
        <s:v>1</s:v>
      </s:c>
      <s:c r="AD37" s="72"/>
      <s:c r="AE37" s="72"/>
      <s:c r="AF37" s="77"/>
      <s:c r="AG37" s="2"/>
      <s:c r="AH37" s="2"/>
      <s:c r="AI37" s="2"/>
      <s:c r="AJ37" s="2"/>
      <s:c r="AK37" s="2"/>
      <s:c r="AL37" s="2"/>
      <s:c r="AM37" s="2"/>
    </s:row>
    <s:row r="38">
      <s:c r="A38" s="112">
        <s:v>14</s:v>
      </s:c>
      <s:c r="B38" s="138">
        <s:v>46136</s:v>
      </s:c>
      <s:c r="C38" s="139" t="s">
        <s:v>59</s:v>
      </s:c>
      <s:c r="D38" s="119">
        <s:v>27886</s:v>
      </s:c>
      <s:c r="E38" s="74">
        <s:v>4</s:v>
      </s:c>
      <s:c r="F38" s="67">
        <s:f>IF(AND(E38&lt;&gt;"",E38&lt;&gt;0),D38/E38,"")</s:f>
        <s:v>6971.5</s:v>
      </s:c>
      <s:c r="G38" s="74">
        <s:v>3</s:v>
      </s:c>
      <s:c r="H38" s="67">
        <s:f>IF(AND(G38&lt;&gt;"",G38&lt;&gt;0),D38/G38,"")</s:f>
        <s:v>9295.3333333333339</s:v>
      </s:c>
      <s:c r="I38" s="74">
        <s:v>30</s:v>
      </s:c>
      <s:c r="J38" s="136">
        <s:f>IF(AND(G38&lt;&gt;"",G38&lt;&gt;0),E38/G38,"")</s:f>
        <s:v>1.3333333333333299</s:v>
      </s:c>
      <s:c r="K38" s="417"/>
      <s:c r="L38" s="124"/>
      <s:c r="M38" s="124"/>
      <s:c r="N38" s="124"/>
      <s:c r="O38" s="124">
        <s:v>12593</s:v>
      </s:c>
      <s:c r="P38" s="69"/>
      <s:c r="Q38" s="69"/>
      <s:c r="R38" s="67"/>
      <s:c r="S38" s="420"/>
      <s:c r="T38" s="432">
        <s:f>IF(AND(I38&lt;&gt;"",I38&lt;&gt;0),G38/I38,"")</s:f>
        <s:v>0.1</s:v>
      </s:c>
      <s:c r="U38" s="436">
        <s:f>D38/V38</s:f>
        <s:v>0.45812997300369418</s:v>
      </s:c>
      <s:c r="V38" s="444">
        <s:f>$L$8*AB38*AC38/SUMPRODUCT($AC$25:$AC$46,$AB$25:$AB$46)</s:f>
        <s:v>60869.189189189194</s:v>
      </s:c>
      <s:c r="W38" s="71">
        <s:f>$L$9*AB38*AC38/SUMPRODUCT($AC$25:$AC$46,$AB$25:$AB$46)</s:f>
        <s:v>8.8216216216216221</s:v>
      </s:c>
      <s:c r="X38" s="71">
        <s:f>IF($L$12="","",W38/$L$12)</s:f>
        <s:v>5.1891891891891895</s:v>
      </s:c>
      <s:c r="Y38" s="70">
        <s:f>IF(AC38&lt;&gt;"",IF(D38&lt;&gt;"",D38,($L$8-SUM($Y$25:Y37))*AB38*AC38/SUMPRODUCT($AC38:$AC$55,$AB38:$AB$55)),"")</s:f>
        <s:v>27886</s:v>
      </s:c>
      <s:c r="Z38" s="71">
        <s:f>IF(AC38&lt;&gt;"",IF(E38&lt;&gt;"",E38,($L$9-SUM($Z$25:Z37))*AB38*AC38/SUMPRODUCT($AC38:$AC$55,$AB38:$AB$55)),"")</s:f>
        <s:v>4</s:v>
      </s:c>
      <s:c r="AA38" s="71">
        <s:f>IF(AC38&lt;&gt;"",IF($L$12&lt;&gt;"",IF(G38&lt;&gt;"",G38,($L$9/$L$12-SUM($AA$25:AA37))*AB38*AC38/SUMPRODUCT($AC38:$AC$55,$AB38:$AB$55)),""),"")</s:f>
        <s:v>3</s:v>
      </s:c>
      <s:c r="AB38" s="132">
        <s:v>1</s:v>
      </s:c>
      <s:c r="AC38" s="445">
        <s:v>1</s:v>
      </s:c>
      <s:c r="AD38" s="122"/>
      <s:c r="AE38" s="122"/>
    </s:row>
    <s:row r="39">
      <s:c r="A39" s="112">
        <s:v>15</s:v>
      </s:c>
      <s:c r="B39" s="138">
        <s:v>46137</s:v>
      </s:c>
      <s:c r="C39" s="141" t="s">
        <s:v>60</s:v>
      </s:c>
      <s:c r="D39" s="142">
        <s:v>9920</s:v>
      </s:c>
      <s:c r="E39" s="116">
        <s:v>2</s:v>
      </s:c>
      <s:c r="F39" s="67">
        <s:f>IF(AND(E39&lt;&gt;"",E39&lt;&gt;0),D39/E39,"")</s:f>
        <s:v>4960</s:v>
      </s:c>
      <s:c r="G39" s="116">
        <s:v>2</s:v>
      </s:c>
      <s:c r="H39" s="67">
        <s:f>IF(AND(G39&lt;&gt;"",G39&lt;&gt;0),D39/G39,"")</s:f>
        <s:v>4960</s:v>
      </s:c>
      <s:c r="I39" s="116">
        <s:v>40</s:v>
      </s:c>
      <s:c r="J39" s="136">
        <s:f>IF(AND(G39&lt;&gt;"",G39&lt;&gt;0),E39/G39,"")</s:f>
        <s:v>1</s:v>
      </s:c>
      <s:c r="K39" s="417"/>
      <s:c r="L39" s="124"/>
      <s:c r="M39" s="124"/>
      <s:c r="N39" s="124"/>
      <s:c r="O39" s="124"/>
      <s:c r="P39" s="69"/>
      <s:c r="Q39" s="69"/>
      <s:c r="R39" s="67"/>
      <s:c r="S39" s="420"/>
      <s:c r="T39" s="432">
        <s:f>IF(AND(I39&lt;&gt;"",I39&lt;&gt;0),G39/I39,"")</s:f>
        <s:v>0.05</s:v>
      </s:c>
      <s:c r="U39" s="436">
        <s:f>D39/V39</s:f>
        <s:v>0.16297243535095196</s:v>
      </s:c>
      <s:c r="V39" s="444">
        <s:f>$L$8*AB39*AC39/SUMPRODUCT($AC$25:$AC$46,$AB$25:$AB$46)</s:f>
        <s:v>60869.189189189194</s:v>
      </s:c>
      <s:c r="W39" s="71">
        <s:f>$L$9*AB39*AC39/SUMPRODUCT($AC$25:$AC$46,$AB$25:$AB$46)</s:f>
        <s:v>8.8216216216216221</s:v>
      </s:c>
      <s:c r="X39" s="71">
        <s:f>IF($L$12="","",W39/$L$12)</s:f>
        <s:v>5.1891891891891895</s:v>
      </s:c>
      <s:c r="Y39" s="70">
        <s:f>IF(AC39&lt;&gt;"",IF(D39&lt;&gt;"",D39,($L$8-SUM($Y$25:Y38))*AB39*AC39/SUMPRODUCT($AC39:$AC$55,$AB39:$AB$55)),"")</s:f>
        <s:v>9920</s:v>
      </s:c>
      <s:c r="Z39" s="71">
        <s:f>IF(AC39&lt;&gt;"",IF(E39&lt;&gt;"",E39,($L$9-SUM($Z$25:Z38))*AB39*AC39/SUMPRODUCT($AC39:$AC$55,$AB39:$AB$55)),"")</s:f>
        <s:v>2</s:v>
      </s:c>
      <s:c r="AA39" s="71">
        <s:f>IF(AC39&lt;&gt;"",IF($L$12&lt;&gt;"",IF(G39&lt;&gt;"",G39,($L$9/$L$12-SUM($AA$25:AA38))*AB39*AC39/SUMPRODUCT($AC39:$AC$55,$AB39:$AB$55)),""),"")</s:f>
        <s:v>2</s:v>
      </s:c>
      <s:c r="AB39" s="132">
        <s:v>1</s:v>
      </s:c>
      <s:c r="AC39" s="445">
        <s:v>1</s:v>
      </s:c>
      <s:c r="AD39" s="122"/>
      <s:c r="AE39" s="122"/>
      <s:c r="AF39" s="125"/>
    </s:row>
    <s:row r="40">
      <s:c r="A40" s="112">
        <s:v>16</s:v>
      </s:c>
      <s:c r="B40" s="138">
        <s:v>46139</s:v>
      </s:c>
      <s:c r="C40" s="65" t="s">
        <s:v>55</s:v>
      </s:c>
      <s:c r="D40" s="143">
        <s:v>48248</s:v>
      </s:c>
      <s:c r="E40" s="124">
        <s:v>7</s:v>
      </s:c>
      <s:c r="F40" s="67">
        <s:f>IF(AND(E40&lt;&gt;"",E40&lt;&gt;0),D40/E40,"")</s:f>
        <s:v>6892.5714285714203</s:v>
      </s:c>
      <s:c r="G40" s="124">
        <s:v>2</s:v>
      </s:c>
      <s:c r="H40" s="67">
        <s:f>IF(AND(G40&lt;&gt;"",G40&lt;&gt;0),D40/G40,"")</s:f>
        <s:v>24124</s:v>
      </s:c>
      <s:c r="I40" s="124">
        <s:v>30</s:v>
      </s:c>
      <s:c r="J40" s="136">
        <s:f>IF(AND(G40&lt;&gt;"",G40&lt;&gt;0),E40/G40,"")</s:f>
        <s:v>3.5</s:v>
      </s:c>
      <s:c r="K40" s="417"/>
      <s:c r="L40" s="124"/>
      <s:c r="M40" s="124"/>
      <s:c r="N40" s="124"/>
      <s:c r="O40" s="124"/>
      <s:c r="P40" s="69"/>
      <s:c r="Q40" s="69"/>
      <s:c r="R40" s="67"/>
      <s:c r="S40" s="420"/>
      <s:c r="T40" s="432">
        <s:f>IF(AND(I40&lt;&gt;"",I40&lt;&gt;0),G40/I40,"")</s:f>
        <s:v>6.6666666666666596E-2</s:v>
      </s:c>
      <s:c r="U40" s="436" t="e">
        <s:f>D40/V40</s:f>
        <s:v>#DIV/0!</s:v>
      </s:c>
      <s:c r="V40" s="444">
        <s:f>$L$8*AB40*AC40/SUMPRODUCT($AC$25:$AC$46,$AB$25:$AB$46)</s:f>
        <s:v>0</s:v>
      </s:c>
      <s:c r="W40" s="71">
        <s:f>$L$9*AB40*AC40/SUMPRODUCT($AC$25:$AC$46,$AB$25:$AB$46)</s:f>
        <s:v>0</s:v>
      </s:c>
      <s:c r="X40" s="71">
        <s:f>IF($L$12="","",W40/$L$12)</s:f>
        <s:v>0</s:v>
      </s:c>
      <s:c r="Y40" s="70" t="str">
        <s:f>IF(AC40&lt;&gt;"",IF(D40&lt;&gt;"",D40,($L$8-SUM($Y$25:Y39))*AB40*AC40/SUMPRODUCT($AC40:$AC$55,$AB40:$AB$55)),"")</s:f>
        <s:v/>
      </s:c>
      <s:c r="Z40" s="71" t="str">
        <s:f>IF(AC40&lt;&gt;"",IF(E40&lt;&gt;"",E40,($L$9-SUM($Z$25:Z39))*AB40*AC40/SUMPRODUCT($AC40:$AC$55,$AB40:$AB$55)),"")</s:f>
        <s:v/>
      </s:c>
      <s:c r="AA40" s="71" t="str">
        <s:f>IF(AC40&lt;&gt;"",IF($L$12&lt;&gt;"",IF(G40&lt;&gt;"",G40,($L$9/$L$12-SUM($AA$25:AA39))*AB40*AC40/SUMPRODUCT($AC40:$AC$55,$AB40:$AB$55)),""),"")</s:f>
        <s:v/>
      </s:c>
      <s:c r="AB40" s="132"/>
      <s:c r="AC40" s="445"/>
      <s:c r="AD40" s="122"/>
      <s:c r="AE40" s="122"/>
      <s:c r="AF40" s="125"/>
    </s:row>
    <s:row r="41">
      <s:c r="A41" s="112">
        <s:v>17</s:v>
      </s:c>
      <s:c r="B41" s="145">
        <s:v>46140</s:v>
      </s:c>
      <s:c r="C41" s="146" t="s">
        <s:v>56</s:v>
      </s:c>
      <s:c r="D41" s="147">
        <s:v>63080</s:v>
      </s:c>
      <s:c r="E41" s="124">
        <s:v>13</s:v>
      </s:c>
      <s:c r="F41" s="67">
        <s:f>IF(AND(E41&lt;&gt;"",E41&lt;&gt;0),D41/E41,"")</s:f>
        <s:v>4852.3076923076896</s:v>
      </s:c>
      <s:c r="G41" s="124">
        <s:v>7</s:v>
      </s:c>
      <s:c r="H41" s="67">
        <s:f>IF(AND(G41&lt;&gt;"",G41&lt;&gt;0),D41/G41,"")</s:f>
        <s:v>9011.4285714285706</s:v>
      </s:c>
      <s:c r="I41" s="124">
        <s:v>45</s:v>
      </s:c>
      <s:c r="J41" s="136">
        <s:f>IF(AND(G41&lt;&gt;"",G41&lt;&gt;0),E41/G41,"")</s:f>
        <s:v>1.8571428571428501</s:v>
      </s:c>
      <s:c r="K41" s="417"/>
      <s:c r="L41" s="124"/>
      <s:c r="M41" s="124"/>
      <s:c r="N41" s="124"/>
      <s:c r="O41" s="124"/>
      <s:c r="P41" s="69"/>
      <s:c r="Q41" s="69"/>
      <s:c r="R41" s="67"/>
      <s:c r="S41" s="420">
        <s:v>25135</s:v>
      </s:c>
      <s:c r="T41" s="432">
        <s:f>IF(AND(I41&lt;&gt;"",I41&lt;&gt;0),G41/I41,"")</s:f>
        <s:v>0.155555555555555</s:v>
      </s:c>
      <s:c r="U41" s="436" t="e">
        <s:f>D41/V41</s:f>
        <s:v>#DIV/0!</s:v>
      </s:c>
      <s:c r="V41" s="444">
        <s:f>$L$8*AB41*AC41/SUMPRODUCT($AC$25:$AC$46,$AB$25:$AB$46)</s:f>
        <s:v>0</s:v>
      </s:c>
      <s:c r="W41" s="71">
        <s:f>$L$9*AB41*AC41/SUMPRODUCT($AC$25:$AC$46,$AB$25:$AB$46)</s:f>
        <s:v>0</s:v>
      </s:c>
      <s:c r="X41" s="71">
        <s:f>IF($L$12="","",W41/$L$12)</s:f>
        <s:v>0</s:v>
      </s:c>
      <s:c r="Y41" s="70" t="str">
        <s:f>IF(AC41&lt;&gt;"",IF(D41&lt;&gt;"",D41,($L$8-SUM($Y$25:Y40))*AB41*AC41/SUMPRODUCT($AC41:$AC$55,$AB41:$AB$55)),"")</s:f>
        <s:v/>
      </s:c>
      <s:c r="Z41" s="71" t="str">
        <s:f>IF(AC41&lt;&gt;"",IF(E41&lt;&gt;"",E41,($L$9-SUM($Z$25:Z40))*AB41*AC41/SUMPRODUCT($AC41:$AC$55,$AB41:$AB$55)),"")</s:f>
        <s:v/>
      </s:c>
      <s:c r="AA41" s="71" t="str">
        <s:f>IF(AC41&lt;&gt;"",IF($L$12&lt;&gt;"",IF(G41&lt;&gt;"",G41,($L$9/$L$12-SUM($AA$25:AA40))*AB41*AC41/SUMPRODUCT($AC41:$AC$55,$AB41:$AB$55)),""),"")</s:f>
        <s:v/>
      </s:c>
      <s:c r="AB41" s="132"/>
      <s:c r="AC41" s="445"/>
      <s:c r="AD41" s="122"/>
      <s:c r="AE41" s="122"/>
      <s:c r="AF41" s="125"/>
    </s:row>
    <s:row r="42">
      <s:c r="A42" s="112">
        <s:v>18</s:v>
      </s:c>
      <s:c r="B42" s="145">
        <s:v>46141</s:v>
      </s:c>
      <s:c r="C42" s="148" t="s">
        <s:v>57</s:v>
      </s:c>
      <s:c r="D42" s="147">
        <s:v>0</s:v>
      </s:c>
      <s:c r="E42" s="124">
        <s:v>0</s:v>
      </s:c>
      <s:c r="F42" s="67">
        <s:v>0</s:v>
      </s:c>
      <s:c r="G42" s="124">
        <s:v>0</s:v>
      </s:c>
      <s:c r="H42" s="67">
        <s:v>0</s:v>
      </s:c>
      <s:c r="I42" s="124">
        <s:v>41</s:v>
      </s:c>
      <s:c r="J42" s="136" t="str">
        <s:f>IF(AND(G42&lt;&gt;"",G42&lt;&gt;0),E42/G42,"")</s:f>
        <s:v/>
      </s:c>
      <s:c r="K42" s="417"/>
      <s:c r="L42" s="124"/>
      <s:c r="M42" s="124"/>
      <s:c r="N42" s="124"/>
      <s:c r="O42" s="124"/>
      <s:c r="P42" s="69"/>
      <s:c r="Q42" s="69"/>
      <s:c r="R42" s="67"/>
      <s:c r="S42" s="420"/>
      <s:c r="T42" s="432">
        <s:f>IF(AND(I42&lt;&gt;"",I42&lt;&gt;0),G42/I42,"")</s:f>
        <s:v>0</s:v>
      </s:c>
      <s:c r="U42" s="436" t="e">
        <s:f>D42/V42</s:f>
        <s:v>#DIV/0!</s:v>
      </s:c>
      <s:c r="V42" s="444">
        <s:f>$L$8*AB42*AC42/SUMPRODUCT($AC$25:$AC$46,$AB$25:$AB$46)</s:f>
        <s:v>0</s:v>
      </s:c>
      <s:c r="W42" s="71">
        <s:f>$L$9*AB42*AC42/SUMPRODUCT($AC$25:$AC$46,$AB$25:$AB$46)</s:f>
        <s:v>0</s:v>
      </s:c>
      <s:c r="X42" s="71">
        <s:f>IF($L$12="","",W42/$L$12)</s:f>
        <s:v>0</s:v>
      </s:c>
      <s:c r="Y42" s="70" t="str">
        <s:f>IF(AC42&lt;&gt;"",IF(D42&lt;&gt;"",D42,($L$8-SUM($Y$25:Y41))*AB42*AC42/SUMPRODUCT($AC42:$AC$55,$AB42:$AB$55)),"")</s:f>
        <s:v/>
      </s:c>
      <s:c r="Z42" s="71" t="str">
        <s:f>IF(AC42&lt;&gt;"",IF(E42&lt;&gt;"",E42,($L$9-SUM($Z$25:Z41))*AB42*AC42/SUMPRODUCT($AC42:$AC$55,$AB42:$AB$55)),"")</s:f>
        <s:v/>
      </s:c>
      <s:c r="AA42" s="71" t="str">
        <s:f>IF(AC42&lt;&gt;"",IF($L$12&lt;&gt;"",IF(G42&lt;&gt;"",G42,($L$9/$L$12-SUM($AA$25:AA41))*AB42*AC42/SUMPRODUCT($AC42:$AC$55,$AB42:$AB$55)),""),"")</s:f>
        <s:v/>
      </s:c>
      <s:c r="AB42" s="132"/>
      <s:c r="AC42" s="445"/>
      <s:c r="AD42" s="122"/>
      <s:c r="AE42" s="122"/>
      <s:c r="AF42" s="125"/>
    </s:row>
    <s:row r="43">
      <s:c r="A43" s="112">
        <s:v>19</s:v>
      </s:c>
      <s:c r="B43" s="145"/>
      <s:c r="C43" s="80"/>
      <s:c r="D43" s="149"/>
      <s:c r="E43" s="124"/>
      <s:c r="F43" s="67" t="str">
        <s:f>IF(AND(E43&lt;&gt;"",E43&lt;&gt;0),D43/E43,"")</s:f>
        <s:v/>
      </s:c>
      <s:c r="G43" s="124"/>
      <s:c r="H43" s="67" t="str">
        <s:f>IF(AND(G43&lt;&gt;"",G43&lt;&gt;0),D43/G43,"")</s:f>
        <s:v/>
      </s:c>
      <s:c r="I43" s="124"/>
      <s:c r="J43" s="136" t="str">
        <s:f>IF(AND(G43&lt;&gt;"",G43&lt;&gt;0),E43/G43,"")</s:f>
        <s:v/>
      </s:c>
      <s:c r="K43" s="417"/>
      <s:c r="L43" s="124"/>
      <s:c r="M43" s="124"/>
      <s:c r="N43" s="124"/>
      <s:c r="O43" s="124"/>
      <s:c r="P43" s="69"/>
      <s:c r="Q43" s="69"/>
      <s:c r="R43" s="67"/>
      <s:c r="S43" s="420"/>
      <s:c r="T43" s="432" t="str">
        <s:f>IF(AND(I43&lt;&gt;"",I43&lt;&gt;0),G43/I43,"")</s:f>
        <s:v/>
      </s:c>
      <s:c r="U43" s="436" t="e">
        <s:f>D43/V43</s:f>
        <s:v>#DIV/0!</s:v>
      </s:c>
      <s:c r="V43" s="444">
        <s:f>$L$8*AB43*AC43/SUMPRODUCT($AC$25:$AC$46,$AB$25:$AB$46)</s:f>
        <s:v>0</s:v>
      </s:c>
      <s:c r="W43" s="71">
        <s:f>$L$9*AB43*AC43/SUMPRODUCT($AC$25:$AC$46,$AB$25:$AB$46)</s:f>
        <s:v>0</s:v>
      </s:c>
      <s:c r="X43" s="71">
        <s:f>IF($L$12="","",W43/$L$12)</s:f>
        <s:v>0</s:v>
      </s:c>
      <s:c r="Y43" s="70" t="str">
        <s:f>IF(AC43&lt;&gt;"",IF(D43&lt;&gt;"",D43,($L$8-SUM($Y$25:Y42))*AB43*AC43/SUMPRODUCT($AC43:$AC$55,$AB43:$AB$55)),"")</s:f>
        <s:v/>
      </s:c>
      <s:c r="Z43" s="71" t="str">
        <s:f>IF(AC43&lt;&gt;"",IF(E43&lt;&gt;"",E43,($L$9-SUM($Z$25:Z42))*AB43*AC43/SUMPRODUCT($AC43:$AC$46,$AB43:$AB$46)),"")</s:f>
        <s:v/>
      </s:c>
      <s:c r="AA43" s="71" t="str">
        <s:f>IF(AC43&lt;&gt;"",IF($L$12&lt;&gt;"",IF(G43&lt;&gt;"",G43,($L$9/$L$12-SUM($AA$25:AA42))*AB43*AC43/SUMPRODUCT($AC43:$AC$46,$AB43:$AB$46)),""),"")</s:f>
        <s:v/>
      </s:c>
      <s:c r="AB43" s="132"/>
      <s:c r="AC43" s="445"/>
      <s:c r="AD43" s="122"/>
      <s:c r="AE43" s="122"/>
      <s:c r="AF43" s="125"/>
    </s:row>
    <s:row r="44">
      <s:c r="A44" s="112">
        <s:v>20</s:v>
      </s:c>
      <s:c r="B44" s="145"/>
      <s:c r="C44" s="65"/>
      <s:c r="D44" s="126"/>
      <s:c r="E44" s="151"/>
      <s:c r="F44" s="67" t="str">
        <s:f>IF(AND(E44&lt;&gt;"",E44&lt;&gt;0),D44/E44,"")</s:f>
        <s:v/>
      </s:c>
      <s:c r="G44" s="151"/>
      <s:c r="H44" s="67" t="str">
        <s:f>IF(AND(G44&lt;&gt;"",G44&lt;&gt;0),D44/G44,"")</s:f>
        <s:v/>
      </s:c>
      <s:c r="I44" s="151"/>
      <s:c r="J44" s="136" t="str">
        <s:f>IF(AND(G44&lt;&gt;"",G44&lt;&gt;0),E44/G44,"")</s:f>
        <s:v/>
      </s:c>
      <s:c r="K44" s="413"/>
      <s:c r="L44" s="421"/>
      <s:c r="M44" s="421"/>
      <s:c r="N44" s="421"/>
      <s:c r="O44" s="421"/>
      <s:c r="P44" s="69"/>
      <s:c r="Q44" s="69"/>
      <s:c r="R44" s="67"/>
      <s:c r="S44" s="420"/>
      <s:c r="T44" s="432" t="str">
        <s:f>IF(AND(I44&lt;&gt;"",I44&lt;&gt;0),G44/I44,"")</s:f>
        <s:v/>
      </s:c>
      <s:c r="U44" s="436" t="e">
        <s:f>D44/V44</s:f>
        <s:v>#DIV/0!</s:v>
      </s:c>
      <s:c r="V44" s="444">
        <s:f>$L$8*AB44*AC44/SUMPRODUCT($AC$25:$AC$46,$AB$25:$AB$46)</s:f>
        <s:v>0</s:v>
      </s:c>
      <s:c r="W44" s="71">
        <s:f>$L$9*AB44*AC44/SUMPRODUCT($AC$25:$AC$46,$AB$25:$AB$46)</s:f>
        <s:v>0</s:v>
      </s:c>
      <s:c r="X44" s="71">
        <s:f>IF($L$12="","",W44/$L$12)</s:f>
        <s:v>0</s:v>
      </s:c>
      <s:c r="Y44" s="70" t="str">
        <s:f>IF(AC44&lt;&gt;"",IF(D44&lt;&gt;"",D44,($L$8-SUM($Y$25:Y43))*AB44*AC44/SUMPRODUCT($AC44:$AC$46,$AB44:$AB$46)),"")</s:f>
        <s:v/>
      </s:c>
      <s:c r="Z44" s="71" t="str">
        <s:f>IF(AC44&lt;&gt;"",IF(E44&lt;&gt;"",E44,($L$9-SUM($Z$25:Z43))*AB44*AC44/SUMPRODUCT($AC44:$AC$46,$AB44:$AB$46)),"")</s:f>
        <s:v/>
      </s:c>
      <s:c r="AA44" s="71" t="str">
        <s:f>IF(AC44&lt;&gt;"",IF($L$12&lt;&gt;"",IF(G44&lt;&gt;"",G44,($L$9/$L$12-SUM($AA$25:AA43))*AB44*AC44/SUMPRODUCT($AC44:$AC$46,$AB44:$AB$46)),""),"")</s:f>
        <s:v/>
      </s:c>
      <s:c r="AB44" s="132"/>
      <s:c r="AC44" s="445"/>
      <s:c r="AD44" s="122"/>
      <s:c r="AE44" s="122"/>
      <s:c r="AF44" s="125"/>
    </s:row>
    <s:row r="45">
      <s:c r="A45" s="112">
        <s:v>21</s:v>
      </s:c>
      <s:c r="B45" s="64"/>
      <s:c r="C45" s="65"/>
      <s:c r="D45" s="126"/>
      <s:c r="E45" s="127"/>
      <s:c r="F45" s="67" t="str">
        <s:f>IF(AND(E45&lt;&gt;"",E45&lt;&gt;0),D45/E45,"")</s:f>
        <s:v/>
      </s:c>
      <s:c r="G45" s="127"/>
      <s:c r="H45" s="67" t="str">
        <s:f>IF(AND(G45&lt;&gt;"",G45&lt;&gt;0),D45/G45,"")</s:f>
        <s:v/>
      </s:c>
      <s:c r="I45" s="127"/>
      <s:c r="J45" s="136" t="str">
        <s:f>IF(AND(G45&lt;&gt;"",G45&lt;&gt;0),E45/G45,"")</s:f>
        <s:v/>
      </s:c>
      <s:c r="K45" s="422"/>
      <s:c r="L45" s="67"/>
      <s:c r="M45" s="67"/>
      <s:c r="N45" s="67"/>
      <s:c r="O45" s="67"/>
      <s:c r="P45" s="69"/>
      <s:c r="Q45" s="69"/>
      <s:c r="R45" s="67"/>
      <s:c r="S45" s="420"/>
      <s:c r="T45" s="432" t="str">
        <s:f>IF(AND(I45&lt;&gt;"",I45&lt;&gt;0),G45/I45,"")</s:f>
        <s:v/>
      </s:c>
      <s:c r="U45" s="436" t="e">
        <s:f>D45/V45</s:f>
        <s:v>#DIV/0!</s:v>
      </s:c>
      <s:c r="V45" s="444">
        <s:f>$L$8*AB45*AC45/SUMPRODUCT($AC$25:$AC$46,$AB$25:$AB$46)</s:f>
        <s:v>0</s:v>
      </s:c>
      <s:c r="W45" s="71">
        <s:f>$L$9*AB45*AC45/SUMPRODUCT($AC$25:$AC$46,$AB$25:$AB$46)</s:f>
        <s:v>0</s:v>
      </s:c>
      <s:c r="X45" s="71">
        <s:f>IF($L$12="","",W45/$L$12)</s:f>
        <s:v>0</s:v>
      </s:c>
      <s:c r="Y45" s="70" t="str">
        <s:f>IF(AC45&lt;&gt;"",IF(D45&lt;&gt;"",D45,($L$8-SUM($Y$25:Y44))*AB45*AC45/SUMPRODUCT($AC45:$AC$46,$AB45:$AB$46)),"")</s:f>
        <s:v/>
      </s:c>
      <s:c r="Z45" s="71" t="str">
        <s:f>IF(AC45&lt;&gt;"",IF(E45&lt;&gt;"",E45,($L$9-SUM($Z$25:Z44))*AB45*AC45/SUMPRODUCT($AC45:$AC$46,$AB45:$AB$46)),"")</s:f>
        <s:v/>
      </s:c>
      <s:c r="AA45" s="71" t="str">
        <s:f>IF(AC45&lt;&gt;"",IF($L$12&lt;&gt;"",IF(G45&lt;&gt;"",G45,($L$9/$L$12-SUM($AA$25:AA44))*AB45*AC45/SUMPRODUCT($AC45:$AC$46,$AB45:$AB$46)),""),"")</s:f>
        <s:v/>
      </s:c>
      <s:c r="AB45" s="132"/>
      <s:c r="AC45" s="445"/>
      <s:c r="AD45" s="122"/>
      <s:c r="AE45" s="122"/>
      <s:c r="AF45" s="125"/>
    </s:row>
    <s:row r="46">
      <s:c r="A46" s="112">
        <s:v>22</s:v>
      </s:c>
      <s:c r="B46" s="64"/>
      <s:c r="C46" s="153"/>
      <s:c r="D46" s="154"/>
      <s:c r="E46" s="155"/>
      <s:c r="F46" s="67" t="str">
        <s:f>IF(AND(E46&lt;&gt;"",E46&lt;&gt;0),D46/E46,"")</s:f>
        <s:v/>
      </s:c>
      <s:c r="G46" s="155"/>
      <s:c r="H46" s="67" t="str">
        <s:f>IF(AND(G46&lt;&gt;"",G46&lt;&gt;0),D46/G46,"")</s:f>
        <s:v/>
      </s:c>
      <s:c r="I46" s="157"/>
      <s:c r="J46" s="136" t="str">
        <s:f>IF(AND(G46&lt;&gt;"",G46&lt;&gt;0),E46/G46,"")</s:f>
        <s:v/>
      </s:c>
      <s:c r="K46" s="423"/>
      <s:c r="L46" s="156"/>
      <s:c r="M46" s="156"/>
      <s:c r="N46" s="156"/>
      <s:c r="O46" s="156"/>
      <s:c r="P46" s="67"/>
      <s:c r="Q46" s="67"/>
      <s:c r="R46" s="67"/>
      <s:c r="S46" s="420"/>
      <s:c r="T46" s="432" t="str">
        <s:f>IF(AND(I46&lt;&gt;"",I46&lt;&gt;0),G46/I46,"")</s:f>
        <s:v/>
      </s:c>
      <s:c r="U46" s="436" t="e">
        <s:f>D46/V46</s:f>
        <s:v>#DIV/0!</s:v>
      </s:c>
      <s:c r="V46" s="447">
        <s:f>$L$8*AB46*AC46/SUMPRODUCT($AC$25:$AC$46,$AB$25:$AB$46)</s:f>
        <s:v>0</s:v>
      </s:c>
      <s:c r="W46" s="159">
        <s:f>$L$9*AB46*AC46/SUMPRODUCT($AC$25:$AC$46,$AB$25:$AB$46)</s:f>
        <s:v>0</s:v>
      </s:c>
      <s:c r="X46" s="159">
        <s:f>IF($L$12="","",W46/$L$12)</s:f>
        <s:v>0</s:v>
      </s:c>
      <s:c r="Y46" s="158" t="str">
        <s:f>IF(AC46&lt;&gt;"",IF(D46&lt;&gt;"",D46,($L$8-SUM($Y$25:Y45))*AB46*AC46/SUMPRODUCT($AC46:$AC$46,$AB46:$AB$46)),"")</s:f>
        <s:v/>
      </s:c>
      <s:c r="Z46" s="159" t="str">
        <s:f>IF(AC46&lt;&gt;"",IF(E46&lt;&gt;"",E46,($L$9-SUM($Z$25:Z39))*AB46*AC46/SUMPRODUCT($AC46:$AC$46,$AB46:$AB$46)),"")</s:f>
        <s:v/>
      </s:c>
      <s:c r="AA46" s="159" t="str">
        <s:f>IF(AC46&lt;&gt;"",IF($L$12&lt;&gt;"",IF(G46&lt;&gt;"",G46,($L$9/$L$12-SUM($AA$25:AA39))*AB46*AC46/SUMPRODUCT($AC46:$AC$46,$AB46:$AB$46)),""),"")</s:f>
        <s:v/>
      </s:c>
      <s:c r="AB46" s="160"/>
      <s:c r="AC46" s="448"/>
      <s:c r="AD46" s="161"/>
      <s:c r="AE46" s="162"/>
    </s:row>
    <s:row r="47">
      <s:c r="A47" s="112">
        <s:v>23</s:v>
      </s:c>
      <s:c r="B47" s="705"/>
      <s:c r="C47" s="80"/>
      <s:c r="D47" s="706"/>
      <s:c r="E47" s="116"/>
      <s:c r="F47" s="118" t="str">
        <s:f>IF(AND(E47&lt;&gt;"",E47&lt;&gt;0),D47/E47,"")</s:f>
        <s:v/>
      </s:c>
      <s:c r="G47" s="116"/>
      <s:c r="H47" s="118" t="str">
        <s:f>IF(AND(G47&lt;&gt;"",G47&lt;&gt;0),D47/G47,"")</s:f>
        <s:v/>
      </s:c>
      <s:c r="I47" s="707"/>
      <s:c r="J47" s="466" t="str">
        <s:f>IF(AND(G47&lt;&gt;"",G47&lt;&gt;0),E47/G47,"")</s:f>
        <s:v/>
      </s:c>
      <s:c r="K47" s="708"/>
      <s:c r="L47" s="118"/>
      <s:c r="M47" s="118"/>
      <s:c r="N47" s="118"/>
      <s:c r="O47" s="118"/>
      <s:c r="P47" s="118"/>
      <s:c r="Q47" s="118"/>
      <s:c r="R47" s="118"/>
      <s:c r="S47" s="418"/>
      <s:c r="T47" s="709" t="str">
        <s:f>IF(AND(I47&lt;&gt;"",I47&lt;&gt;0),G47/I47,"")</s:f>
        <s:v/>
      </s:c>
      <s:c r="U47" s="710" t="e">
        <s:f>D47/V47</s:f>
        <s:v>#DIV/0!</s:v>
      </s:c>
      <s:c r="V47" s="474">
        <s:f>$L$8*AB47*AC47/SUMPRODUCT($AC$25:$AC$46,$AB$25:$AB$46)</s:f>
        <s:v>0</s:v>
      </s:c>
      <s:c r="W47" s="173">
        <s:f>$L$9*AB47*AC47/SUMPRODUCT($AC$25:$AC$46,$AB$25:$AB$46)</s:f>
        <s:v>0</s:v>
      </s:c>
      <s:c r="X47" s="173">
        <s:f>IF($L$12="","",W47/$L$12)</s:f>
        <s:v>0</s:v>
      </s:c>
      <s:c r="Y47" s="172" t="str">
        <s:f>IF(AC47&lt;&gt;"",IF(D47&lt;&gt;"",D47,($L$8-SUM($Y$25:Y46))*AB47*AC47/SUMPRODUCT($AC$46:$AC47,$AB$46:$AB47)),"")</s:f>
        <s:v/>
      </s:c>
      <s:c r="Z47" s="173" t="str">
        <s:f>IF(AC47&lt;&gt;"",IF(E47&lt;&gt;"",E47,($L$9-SUM($Z$25:Z40))*AB47*AC47/SUMPRODUCT($AC$46:$AC47,$AB$46:$AB47)),"")</s:f>
        <s:v/>
      </s:c>
      <s:c r="AA47" s="173" t="str">
        <s:f>IF(AC47&lt;&gt;"",IF($L$12&lt;&gt;"",IF(G47&lt;&gt;"",G47,($L$9/$L$12-SUM($AA$25:AA40))*AB47*AC47/SUMPRODUCT($AC$46:$AC47,$AB$46:$AB47)),""),"")</s:f>
        <s:v/>
      </s:c>
      <s:c r="AB47" s="711"/>
      <s:c r="AC47" s="712"/>
      <s:c r="AD47" s="122"/>
      <s:c r="AE47" s="122"/>
    </s:row>
    <s:row r="48" spans="1:39" ht="18" customHeight="1" thickBot="1">
      <s:c r="B48" s="713" t="s">
        <s:v>61</s:v>
      </s:c>
      <s:c r="C48" s="714"/>
      <s:c r="D48" s="715">
        <s:f>SUM(D25:D47)</s:f>
        <s:v>540810</s:v>
      </s:c>
      <s:c r="E48" s="715">
        <s:f>SUM(E25:E47)</s:f>
        <s:v>80</s:v>
      </s:c>
      <s:c r="F48" s="715">
        <s:f>IF(AND(E48&lt;&gt;"",E48&lt;&gt;0),D48/E48,"")</s:f>
        <s:v>6760.125</s:v>
      </s:c>
      <s:c r="G48" s="715">
        <s:f>SUM(G25:G47)</s:f>
        <s:v>50</s:v>
      </s:c>
      <s:c r="H48" s="715">
        <s:f>IF(AND(G48&lt;&gt;"",G48&lt;&gt;0),D48/G48,"")</s:f>
        <s:v>10816.2</s:v>
      </s:c>
      <s:c r="I48" s="715">
        <s:f>SUM(I25:I47)*0.8</s:f>
        <s:v>424</s:v>
      </s:c>
      <s:c r="J48" s="716">
        <s:f>IF(AND(G48&lt;&gt;"",G48&lt;&gt;0),E48/G48,"")</s:f>
        <s:v>1.6</s:v>
      </s:c>
      <s:c r="K48" s="717">
        <s:f>SUM(K25:K47)</s:f>
        <s:v>62408</s:v>
      </s:c>
      <s:c r="L48" s="715">
        <s:f>SUM(L25:L47)</s:f>
        <s:v>0</s:v>
      </s:c>
      <s:c r="M48" s="715">
        <s:f>SUM(M25:M47)</s:f>
        <s:v>7093</s:v>
      </s:c>
      <s:c r="N48" s="715">
        <s:f>SUM(N25:N47)</s:f>
        <s:v>0</s:v>
      </s:c>
      <s:c r="O48" s="715">
        <s:f>SUM(O25:O47)</s:f>
        <s:v>29933</s:v>
      </s:c>
      <s:c r="P48" s="715">
        <s:f>SUM(P25:P47)</s:f>
        <s:v>12391</s:v>
      </s:c>
      <s:c r="Q48" s="715">
        <s:f>SUM(Q25:Q47)</s:f>
        <s:v>0</s:v>
      </s:c>
      <s:c r="R48" s="715">
        <s:f>SUM(R25:R47)</s:f>
        <s:v>31953</s:v>
      </s:c>
      <s:c r="S48" s="718">
        <s:f>SUM(S25:S47)</s:f>
        <s:v>37218</s:v>
      </s:c>
      <s:c r="T48" s="719">
        <s:f>IF(AND(I48&lt;&gt;"",I48&lt;&gt;0),G48/I48,"")</s:f>
        <s:v>0.117924528301886</s:v>
      </s:c>
      <s:c r="U48" s="720">
        <s:f>D48/V48</s:f>
        <s:v>0.59231937340153396</s:v>
      </s:c>
      <s:c r="V48" s="721">
        <s:f>SUM(V25:V47)</s:f>
        <s:v>913037.8378378381</s:v>
      </s:c>
      <s:c r="W48" s="722">
        <s:f>SUM(W25:W47)</s:f>
        <s:v>132.32432432432429</s:v>
      </s:c>
      <s:c r="X48" s="722">
        <s:f>SUM(X25:X47)</s:f>
        <s:v>77.837837837837867</s:v>
      </s:c>
      <s:c r="Y48" s="722">
        <s:f>SUM(Y25:Y47)</s:f>
        <s:v>429482</s:v>
      </s:c>
      <s:c r="Z48" s="722">
        <s:f>SUM(Z25:Z47)</s:f>
        <s:v>60</s:v>
      </s:c>
      <s:c r="AA48" s="722">
        <s:f>SUM(AA25:AA47)</s:f>
        <s:v>41</s:v>
      </s:c>
      <s:c r="AB48" s="723"/>
      <s:c r="AC48" s="724"/>
    </s:row>
    <s:row r="49">
      <s:c r="C49" s="81"/>
      <s:c r="D49" s="82">
        <s:f>SUMIF(D25:D47,"",V25:V47)+D48</s:f>
        <s:v>540810</s:v>
      </s:c>
      <s:c r="E49" s="83"/>
      <s:c r="F49" s="81"/>
      <s:c r="G49" s="81"/>
      <s:c r="H49" s="84"/>
      <s:c r="I49" s="85"/>
      <s:c r="J49" s="84"/>
      <s:c r="O49" s="86"/>
      <s:c r="P49" s="83"/>
      <s:c r="Q49" s="83"/>
      <s:c r="R49" s="83"/>
      <s:c r="S49" s="83"/>
      <s:c r="T49" s="86"/>
      <s:c r="U49" s="86"/>
      <s:c r="V49" s="86"/>
      <s:c r="W49" s="87"/>
    </s:row>
    <s:row r="50">
      <s:c r="B50" s="80"/>
      <s:c r="D50" s="89"/>
      <s:c r="R50" s="83"/>
      <s:c r="S50" s="83"/>
    </s:row>
    <s:row r="52">
      <s:c r="D52" s="89"/>
    </s:row>
    <s:row r="53">
      <s:c r="D53" s="89"/>
    </s:row>
  </s:sheetData>
  <s:mergeCells count="11">
    <s:mergeCell ref="C1:D1"/>
    <s:mergeCell ref="C2:D2"/>
    <s:mergeCell ref="M2:Q2"/>
    <s:mergeCell ref="V15:V16"/>
    <s:mergeCell ref="U22:U23"/>
    <s:mergeCell ref="A22:T22"/>
    <s:mergeCell ref="S7:T7"/>
    <s:mergeCell ref="C4:D4"/>
    <s:mergeCell ref="I6:T6"/>
    <s:mergeCell ref="M3:Q4"/>
    <s:mergeCell ref="V22:AC22"/>
  </s:mergeCells>
  <s:pageMargins left="0.7" right="0.7" top="0.75" bottom="0.75" header="0.3" footer="0.3"/>
</s:worksheet>
</file>

<file path=xl/worksheets/sheet8.xml><?xml version="1.0" encoding="utf-8"?>
<s:worksheet xmlns:x14ac="http://schemas.microsoft.com/office/spreadsheetml/2009/9/ac" xmlns:mc="http://schemas.openxmlformats.org/markup-compatibility/2006" xmlns:xr3="http://schemas.microsoft.com/office/spreadsheetml/2016/revision3" xmlns:xr2="http://schemas.microsoft.com/office/spreadsheetml/2015/revision2" xmlns:s="http://schemas.openxmlformats.org/spreadsheetml/2006/main" xmlns:xr="http://schemas.microsoft.com/office/spreadsheetml/2014/revision" mc:Ignorable="x14ac xr xr2 xr3" xr:uid="{DC9EF98B-F3C5-1842-BEBA-0F83112A2241}">
  <s:sheetPr>
    <s:tabColor rgb="FFDBDBDB"/>
  </s:sheetPr>
  <s:dimension ref="A1:M33"/>
  <s:sheetViews>
    <s:sheetView tabSelected="0" zoomScale="84" workbookViewId="0">
      <s:selection activeCell="P20" sqref="P20"/>
    </s:sheetView>
  </s:sheetViews>
  <s:sheetFormatPr baseColWidth="10" defaultColWidth="11.5" defaultRowHeight="15"/>
  <s:cols>
    <s:col min="1" max="1" width="2.164" style="1" customWidth="1"/>
    <s:col min="2" max="2" width="13.832" style="1" customWidth="1"/>
    <s:col min="3" max="3" width="17.664" style="1" customWidth="1"/>
    <s:col min="4" max="4" width="12" style="1" customWidth="1"/>
    <s:col min="5" max="5" width="12.332" style="1" customWidth="1"/>
    <s:col min="6" max="6" width="11.5" style="1"/>
    <s:col min="7" max="7" width="12.664" style="1" customWidth="1"/>
    <s:col min="8" max="8" width="11.5" style="1" customWidth="1"/>
    <s:col min="9" max="9" width="16.332" style="1" customWidth="1"/>
    <s:col min="10" max="10" width="15.164" style="1" customWidth="1"/>
    <s:col min="11" max="11" width="14.164" style="1" customWidth="1"/>
    <s:col min="12" max="12" width="13.832" style="1" customWidth="1"/>
    <s:col min="13" max="13" width="13.5" customWidth="1"/>
  </s:cols>
  <s:sheetData>
    <s:row r="1" spans="1:13" ht="20" customHeight="1">
      <s:c r="A1" s="768" t="str">
        <s:f>График!B1</s:f>
        <s:v>Апрель, 2026</s:v>
      </s:c>
      <s:c r="B1" s="769"/>
      <s:c r="C1" s="769"/>
      <s:c r="D1" s="770"/>
      <s:c r="E1" s="317"/>
      <s:c r="F1" s="318"/>
      <s:c r="G1" s="318"/>
      <s:c r="H1" s="318"/>
      <s:c r="I1" s="318"/>
      <s:c r="J1" s="318"/>
      <s:c r="K1" s="318"/>
      <s:c r="L1" s="318"/>
      <s:c r="M1" s="371"/>
    </s:row>
    <s:row r="2" spans="1:13" ht="23" customHeight="1" thickBot="1">
      <s:c r="A2" s="771" t="str">
        <s:f>График!B3</s:f>
        <s:v>ул. Севастопольская, 62</s:v>
      </s:c>
      <s:c r="B2" s="772"/>
      <s:c r="C2" s="773"/>
      <s:c r="D2" s="208" t="str">
        <s:f>График!B4</s:f>
        <s:v>GL-0004</s:v>
      </s:c>
      <s:c r="E2" s="199"/>
      <s:c r="F2" s="209"/>
      <s:c r="G2" s="209"/>
      <s:c r="H2" s="209"/>
      <s:c r="I2" s="209"/>
      <s:c r="J2" s="179"/>
      <s:c r="K2" s="179"/>
      <s:c r="L2" s="179"/>
      <s:c r="M2" s="332"/>
    </s:row>
    <s:row r="3" spans="1:13" ht="75">
      <s:c r="A3" s="774" t="s">
        <s:v>26</s:v>
      </s:c>
      <s:c r="B3" s="775"/>
      <s:c r="C3" s="775"/>
      <s:c r="D3" s="319" t="s">
        <s:v>72</s:v>
      </s:c>
      <s:c r="E3" s="210" t="s">
        <s:v>73</s:v>
      </s:c>
      <s:c r="F3" s="321" t="s">
        <s:v>75</s:v>
      </s:c>
      <s:c r="G3" s="322" t="s">
        <s:v>92</s:v>
      </s:c>
      <s:c r="H3" s="322" t="s">
        <s:v>76</s:v>
      </s:c>
      <s:c r="I3" s="320" t="s">
        <s:v>74</s:v>
      </s:c>
      <s:c r="J3" s="347" t="s">
        <s:v>62</s:v>
      </s:c>
      <s:c r="K3" s="200" t="s">
        <s:v>77</s:v>
      </s:c>
      <s:c r="L3" s="320" t="s">
        <s:v>78</s:v>
      </s:c>
      <s:c r="M3" s="200" t="s">
        <s:v>79</s:v>
      </s:c>
    </s:row>
    <s:row r="4" spans="1:13" ht="19" customHeight="1" thickBot="1">
      <s:c r="A4" s="776" t="str">
        <s:f>График!B28</s:f>
        <s:v>Рогалевич Ирина</s:v>
      </s:c>
      <s:c r="B4" s="777"/>
      <s:c r="C4" s="777"/>
      <s:c r="D4" s="323"/>
      <s:c r="E4" s="211"/>
      <s:c r="F4" s="212">
        <s:f>G7</s:f>
        <s:v>17600</s:v>
      </s:c>
      <s:c r="G4" s="213">
        <s:f>G14</s:f>
        <s:v>26097.65</s:v>
      </s:c>
      <s:c r="H4" s="213">
        <s:f>G20</s:f>
        <s:v>5191.4716972972901</s:v>
      </s:c>
      <s:c r="I4" s="207">
        <s:f>L14</s:f>
        <s:v>15541.83</s:v>
      </s:c>
      <s:c r="J4" s="348">
        <s:f>G4+F4+I4+H4</s:f>
        <s:v>64430.9516972973</s:v>
      </s:c>
      <s:c r="K4" s="349">
        <s:f>L20</s:f>
        <s:v>0</s:v>
      </s:c>
      <s:c r="L4" s="207">
        <s:f>J4-K4-D4-E4</s:f>
        <s:v>64430.9516972973</s:v>
      </s:c>
      <s:c r="M4" s="349"/>
    </s:row>
    <s:row r="5" spans="1:13">
      <s:c r="A5" s="324"/>
      <s:c r="B5" s="180"/>
      <s:c r="C5" s="181"/>
      <s:c r="D5" s="181"/>
      <s:c r="E5" s="181"/>
      <s:c r="F5" s="181"/>
      <s:c r="G5" s="181"/>
      <s:c r="H5" s="181"/>
      <s:c r="I5" s="181"/>
      <s:c r="J5" s="181"/>
      <s:c r="K5" s="182"/>
      <s:c r="L5" s="181"/>
      <s:c r="M5" s="332"/>
    </s:row>
    <s:row r="6" spans="1:13">
      <s:c r="A6" s="324"/>
      <s:c r="B6" s="187"/>
      <s:c r="C6" s="188"/>
      <s:c r="F6" s="181"/>
      <s:c r="I6" s="360"/>
      <s:c r="M6" s="332"/>
    </s:row>
    <s:row r="7" spans="1:13" ht="17" customHeight="1">
      <s:c r="A7" s="324"/>
      <s:c r="B7" s="186" t="s">
        <s:v>84</s:v>
      </s:c>
      <s:c r="C7" s="185"/>
      <s:c r="D7" s="185"/>
      <s:c r="E7" s="185"/>
      <s:c r="F7" s="185"/>
      <s:c r="G7" s="403">
        <s:f>G9+G10</s:f>
        <s:v>17600</s:v>
      </s:c>
      <s:c r="M7" s="332"/>
    </s:row>
    <s:row r="8" spans="1:13" ht="24" customHeight="1">
      <s:c r="A8" s="333"/>
      <s:c r="B8" s="325" t="s">
        <s:v>85</s:v>
      </s:c>
      <s:c r="C8" s="325" t="s">
        <s:v>86</s:v>
      </s:c>
      <s:c r="D8" s="325" t="s">
        <s:v>87</s:v>
      </s:c>
      <s:c r="E8" s="325" t="s">
        <s:v>88</s:v>
      </s:c>
      <s:c r="F8" s="325" t="s">
        <s:v>89</s:v>
      </s:c>
      <s:c r="G8" s="325" t="s">
        <s:v>90</s:v>
      </s:c>
      <s:c r="I8" s="325" t="s">
        <s:v>91</s:v>
      </s:c>
      <s:c r="J8" s="325" t="s">
        <s:v>6</s:v>
      </s:c>
      <s:c r="M8" s="332"/>
    </s:row>
    <s:row r="9" spans="1:13" ht="18" customHeight="1">
      <s:c r="A9" s="333"/>
      <s:c r="B9" s="335">
        <s:f>График!AI28</s:f>
        <s:v>10</s:v>
      </s:c>
      <s:c r="C9" s="327" t="str">
        <s:f>A2</s:f>
        <s:v>ул. Севастопольская, 62</s:v>
      </s:c>
      <s:c r="D9" s="327" t="s">
        <s:v>101</s:v>
      </s:c>
      <s:c r="E9" s="336">
        <s:f>График!AJ28</s:f>
        <s:v>88</s:v>
      </s:c>
      <s:c r="F9" s="337">
        <s:v>200</s:v>
      </s:c>
      <s:c r="G9" s="338">
        <s:f>E9*F9</s:f>
        <s:v>17600</s:v>
      </s:c>
      <s:c r="I9" s="327" t="s">
        <s:v>86</s:v>
      </s:c>
      <s:c r="J9" s="363">
        <s:f>Центрум!K8</s:f>
        <s:v>0.66825607416879795</s:v>
      </s:c>
      <s:c r="M9" s="332"/>
    </s:row>
    <s:row r="10" spans="1:13" ht="20" customHeight="1">
      <s:c r="A10" s="324"/>
      <s:c r="B10" s="325"/>
      <s:c r="C10" s="327"/>
      <s:c r="D10" s="327"/>
      <s:c r="E10" s="339"/>
      <s:c r="F10" s="337"/>
      <s:c r="G10" s="338"/>
      <s:c r="H10" s="181"/>
      <s:c r="I10" s="767"/>
      <s:c r="J10" s="767"/>
      <s:c r="K10" s="767"/>
      <s:c r="L10" s="767"/>
      <s:c r="M10" s="332"/>
    </s:row>
    <s:row r="11" spans="1:13">
      <s:c r="A11" s="333"/>
      <s:c r="H11" s="181"/>
      <s:c r="I11" s="181"/>
      <s:c r="J11" s="181"/>
      <s:c r="K11" s="181"/>
      <s:c r="L11" s="181"/>
      <s:c r="M11" s="332"/>
    </s:row>
    <s:row r="12" spans="1:13" ht="17" customHeight="1">
      <s:c r="A12" s="333"/>
      <s:c r="B12" s="185"/>
      <s:c r="C12" s="190"/>
      <s:c r="D12" s="181"/>
      <s:c r="E12" s="191"/>
      <s:c r="F12" s="191"/>
      <s:c r="G12" s="192"/>
      <s:c r="M12" s="332"/>
    </s:row>
    <s:row r="13" spans="1:13" ht="18" customHeight="1">
      <s:c r="A13" s="340"/>
      <s:c r="B13" s="181"/>
      <s:c r="C13" s="180"/>
      <s:c r="D13" s="183"/>
      <s:c r="E13" s="183"/>
      <s:c r="F13" s="183"/>
      <s:c r="G13" s="183"/>
      <s:c r="H13" s="185"/>
      <s:c r="M13" s="332"/>
    </s:row>
    <s:row r="14" spans="1:13" ht="17" customHeight="1">
      <s:c r="A14" s="340"/>
      <s:c r="B14" s="367" t="s">
        <s:v>92</s:v>
      </s:c>
      <s:c r="C14" s="183"/>
      <s:c r="D14" s="183"/>
      <s:c r="E14" s="183"/>
      <s:c r="F14" s="183"/>
      <s:c r="G14" s="366">
        <s:f>G16+G17</s:f>
        <s:v>26097.65</s:v>
      </s:c>
      <s:c r="H14" s="368"/>
      <s:c r="I14" s="367" t="s">
        <s:v>80</s:v>
      </s:c>
      <s:c r="J14" s="369"/>
      <s:c r="K14" s="369"/>
      <s:c r="L14" s="370">
        <s:f>J16+J17+J18</s:f>
        <s:v>15541.83</s:v>
      </s:c>
      <s:c r="M14" s="332"/>
    </s:row>
    <s:row r="15" spans="1:13" ht="40" customHeight="1">
      <s:c r="A15" s="341"/>
      <s:c r="B15" s="325" t="s">
        <s:v>125</s:v>
      </s:c>
      <s:c r="C15" s="194" t="s">
        <s:v>86</s:v>
      </s:c>
      <s:c r="D15" s="195"/>
      <s:c r="E15" s="325" t="s">
        <s:v>94</s:v>
      </s:c>
      <s:c r="F15" s="325" t="s">
        <s:v>95</s:v>
      </s:c>
      <s:c r="G15" s="325" t="s">
        <s:v>96</s:v>
      </s:c>
      <s:c r="H15" s="189"/>
      <s:c r="I15" s="326" t="s">
        <s:v>27</s:v>
      </s:c>
      <s:c r="J15" s="326" t="s">
        <s:v>81</s:v>
      </s:c>
      <s:c r="K15" s="763" t="s">
        <s:v>82</s:v>
      </s:c>
      <s:c r="L15" s="764"/>
      <s:c r="M15" s="332"/>
    </s:row>
    <s:row r="16" spans="1:13" ht="27" customHeight="1">
      <s:c r="A16" s="340"/>
      <s:c r="B16" s="327" t="s">
        <s:v>123</s:v>
      </s:c>
      <s:c r="C16" s="196" t="str">
        <s:f>A2</s:f>
        <s:v>ул. Севастопольская, 62</s:v>
      </s:c>
      <s:c r="D16" s="197"/>
      <s:c r="E16" s="328">
        <s:v>0.05</s:v>
      </s:c>
      <s:c r="F16" s="334">
        <s:f>Рогалевич!J8-'Вед-ть Рогалевич'!F17</s:f>
        <s:v>521953</s:v>
      </s:c>
      <s:c r="G16" s="342">
        <s:f>F16*E16</s:f>
        <s:v>26097.65</s:v>
      </s:c>
      <s:c r="H16" s="185"/>
      <s:c r="I16" s="316">
        <s:v>46142</s:v>
      </s:c>
      <s:c r="J16" s="329">
        <s:f>Центрум!J8*0.01</s:f>
        <s:v>12541.83</s:v>
      </s:c>
      <s:c r="K16" s="765" t="s">
        <s:v>99</s:v>
      </s:c>
      <s:c r="L16" s="766"/>
      <s:c r="M16" s="332"/>
    </s:row>
    <s:row r="17" spans="1:13" ht="24" customHeight="1">
      <s:c r="A17" s="341"/>
      <s:c r="B17" s="330" t="s">
        <s:v>124</s:v>
      </s:c>
      <s:c r="C17" s="196" t="str">
        <s:f>A2</s:f>
        <s:v>ул. Севастопольская, 62</s:v>
      </s:c>
      <s:c r="D17" s="197"/>
      <s:c r="E17" s="328">
        <s:v>0.1</s:v>
      </s:c>
      <s:c r="F17" s="346">
        <s:f>Рогалевич!L48+Рогалевич!S48</s:f>
        <s:v>0</s:v>
      </s:c>
      <s:c r="G17" s="342">
        <s:f>F17*E17</s:f>
        <s:v>0</s:v>
      </s:c>
      <s:c r="I17" s="316">
        <s:v>46142</s:v>
      </s:c>
      <s:c r="J17" s="329">
        <s:v>3000</s:v>
      </s:c>
      <s:c r="K17" s="765" t="s">
        <s:v>145</s:v>
      </s:c>
      <s:c r="L17" s="766"/>
      <s:c r="M17" s="332"/>
    </s:row>
    <s:row r="18" spans="1:13" ht="22" customHeight="1">
      <s:c r="A18" s="372"/>
      <s:c r="F18" s="385">
        <s:f>F16+F17</s:f>
        <s:v>521953</s:v>
      </s:c>
      <s:c r="H18" s="183"/>
      <s:c r="I18" s="316"/>
      <s:c r="J18" s="329"/>
      <s:c r="K18" s="765"/>
      <s:c r="L18" s="766"/>
      <s:c r="M18" s="332"/>
    </s:row>
    <s:row r="19" spans="1:13" ht="24" customHeight="1">
      <s:c r="A19" s="372"/>
      <s:c r="H19" s="183"/>
      <s:c r="I19" s="184"/>
      <s:c r="J19" s="361"/>
      <s:c r="K19" s="362"/>
      <s:c r="L19" s="362"/>
      <s:c r="M19" s="332"/>
    </s:row>
    <s:row r="20" spans="1:13">
      <s:c r="A20" s="372"/>
      <s:c r="B20" s="180" t="s">
        <s:v>93</s:v>
      </s:c>
      <s:c r="C20" s="180"/>
      <s:c r="D20" s="183"/>
      <s:c r="E20" s="183"/>
      <s:c r="F20" s="183"/>
      <s:c r="G20" s="366">
        <s:f>G22+G23</s:f>
        <s:v>5191.4716972972901</s:v>
      </s:c>
      <s:c r="H20" s="193"/>
      <s:c r="I20" s="201" t="s">
        <s:v>77</s:v>
      </s:c>
      <s:c r="J20" s="202"/>
      <s:c r="K20" s="202"/>
      <s:c r="L20" s="387">
        <s:f>J22+J23+J24</s:f>
        <s:v>0</s:v>
      </s:c>
      <s:c r="M20" s="332"/>
    </s:row>
    <s:row r="21" spans="1:13" ht="36">
      <s:c r="A21" s="372"/>
      <s:c r="B21" s="325" t="s">
        <s:v>26</s:v>
      </s:c>
      <s:c r="C21" s="325" t="s">
        <s:v>86</s:v>
      </s:c>
      <s:c r="D21" s="325" t="s">
        <s:v>97</s:v>
      </s:c>
      <s:c r="E21" s="325" t="s">
        <s:v>98</s:v>
      </s:c>
      <s:c r="F21" s="325" t="s">
        <s:v>94</s:v>
      </s:c>
      <s:c r="G21" s="325" t="s">
        <s:v>96</s:v>
      </s:c>
      <s:c r="H21" s="183"/>
      <s:c r="I21" s="326" t="s">
        <s:v>27</s:v>
      </s:c>
      <s:c r="J21" s="326" t="s">
        <s:v>81</s:v>
      </s:c>
      <s:c r="K21" s="763" t="s">
        <s:v>82</s:v>
      </s:c>
      <s:c r="L21" s="764"/>
      <s:c r="M21" s="332"/>
    </s:row>
    <s:row r="22" spans="1:13" ht="20" customHeight="1">
      <s:c r="A22" s="372"/>
      <s:c r="B22" s="343" t="str">
        <s:f>A4</s:f>
        <s:v>Рогалевич Ирина</s:v>
      </s:c>
      <s:c r="C22" s="344" t="str">
        <s:f>C16</s:f>
        <s:v>ул. Севастопольская, 62</s:v>
      </s:c>
      <s:c r="D22" s="344">
        <s:f>E9</s:f>
        <s:v>88</s:v>
      </s:c>
      <s:c r="E22" s="345">
        <s:f>График!AJ29</s:f>
        <s:v>407</s:v>
      </s:c>
      <s:c r="F22" s="328">
        <s:v>0.02</s:v>
      </s:c>
      <s:c r="G22" s="354">
        <s:f>(Центрум!J8-Центрум!L56-Центрум!S56)*F22*D22/E22</s:f>
        <s:v>5191.4716972972901</s:v>
      </s:c>
      <s:c r="H22" s="185"/>
      <s:c r="I22" s="316"/>
      <s:c r="J22" s="334"/>
      <s:c r="K22" s="761"/>
      <s:c r="L22" s="762"/>
      <s:c r="M22" s="332"/>
    </s:row>
    <s:row r="23" spans="1:13" ht="23" customHeight="1">
      <s:c r="A23" s="372"/>
      <s:c r="B23" s="343"/>
      <s:c r="C23" s="344"/>
      <s:c r="D23" s="344"/>
      <s:c r="E23" s="345"/>
      <s:c r="F23" s="328"/>
      <s:c r="G23" s="354"/>
      <s:c r="H23" s="181"/>
      <s:c r="I23" s="316"/>
      <s:c r="J23" s="334"/>
      <s:c r="K23" s="761"/>
      <s:c r="L23" s="762"/>
      <s:c r="M23" s="332"/>
    </s:row>
    <s:row r="24" spans="1:13" ht="20" customHeight="1">
      <s:c r="A24" s="372"/>
      <s:c r="B24" s="355"/>
      <s:c r="C24" s="203"/>
      <s:c r="D24" s="203"/>
      <s:c r="E24" s="204"/>
      <s:c r="F24" s="198"/>
      <s:c r="G24" s="356"/>
      <s:c r="H24" s="181"/>
      <s:c r="I24" s="316"/>
      <s:c r="J24" s="334"/>
      <s:c r="K24" s="761"/>
      <s:c r="L24" s="762"/>
      <s:c r="M24" s="332"/>
    </s:row>
    <s:row r="25" spans="1:13" ht="16" customHeight="1" thickBot="1">
      <s:c r="A25" s="205"/>
      <s:c r="B25" s="206"/>
      <s:c r="C25" s="206"/>
      <s:c r="D25" s="206"/>
      <s:c r="E25" s="206"/>
      <s:c r="F25" s="206"/>
      <s:c r="G25" s="206"/>
      <s:c r="H25" s="373"/>
      <s:c r="I25" s="206"/>
      <s:c r="J25" s="206"/>
      <s:c r="K25" s="206"/>
      <s:c r="L25" s="206"/>
      <s:c r="M25" s="374"/>
    </s:row>
    <s:row r="26" spans="1:13" ht="20" customHeight="1"/>
    <s:row r="33" spans="2:7">
      <s:c r="B33" s="355"/>
      <s:c r="C33" s="357"/>
      <s:c r="D33" s="358"/>
      <s:c r="E33" s="359"/>
      <s:c r="F33" s="198"/>
      <s:c r="G33" s="356"/>
    </s:row>
  </s:sheetData>
  <s:mergeCells count="14">
    <s:mergeCell ref="K24:L24"/>
    <s:mergeCell ref="K23:L23"/>
    <s:mergeCell ref="K22:L22"/>
    <s:mergeCell ref="A1:D1"/>
    <s:mergeCell ref="A2:C2"/>
    <s:mergeCell ref="A3:C3"/>
    <s:mergeCell ref="A4:C4"/>
    <s:mergeCell ref="K15:L15"/>
    <s:mergeCell ref="K10:L10"/>
    <s:mergeCell ref="K21:L21"/>
    <s:mergeCell ref="K18:L18"/>
    <s:mergeCell ref="K16:L16"/>
    <s:mergeCell ref="K17:L17"/>
    <s:mergeCell ref="I10:J10"/>
  </s:mergeCells>
  <s:pageMargins left="0.7" right="0.7" top="0.75" bottom="0.75" header="0.3" footer="0.3"/>
  <s:pageSetup paperSize="9" orientation="portrait"/>
</s:worksheet>
</file>

<file path=xl/worksheets/sheet9.xml><?xml version="1.0" encoding="utf-8"?>
<s:worksheet xmlns:x14ac="http://schemas.microsoft.com/office/spreadsheetml/2009/9/ac" xmlns:mc="http://schemas.openxmlformats.org/markup-compatibility/2006" xmlns:xr3="http://schemas.microsoft.com/office/spreadsheetml/2016/revision3" xmlns:xr2="http://schemas.microsoft.com/office/spreadsheetml/2015/revision2" xmlns:s="http://schemas.openxmlformats.org/spreadsheetml/2006/main" xmlns:xr="http://schemas.microsoft.com/office/spreadsheetml/2014/revision" mc:Ignorable="x14ac xr xr2 xr3" xr:uid="{4AF5957F-E964-8443-AE11-C533BE0028DF}">
  <s:sheetPr>
    <s:tabColor rgb="FFDBDBDB"/>
  </s:sheetPr>
  <s:dimension ref="A1:M25"/>
  <s:sheetViews>
    <s:sheetView tabSelected="0" zoomScale="81" workbookViewId="0">
      <s:selection activeCell="O24" sqref="O24"/>
    </s:sheetView>
  </s:sheetViews>
  <s:sheetFormatPr baseColWidth="10" defaultColWidth="11.5" defaultRowHeight="15"/>
  <s:cols>
    <s:col min="1" max="1" width="2" style="1" customWidth="1"/>
    <s:col min="2" max="2" width="11.664" style="1" customWidth="1"/>
    <s:col min="3" max="3" width="18" style="1" customWidth="1"/>
    <s:col min="4" max="6" width="11.5" style="1"/>
    <s:col min="7" max="7" width="12.664" style="1" customWidth="1"/>
    <s:col min="8" max="8" width="12.832" style="1" customWidth="1"/>
    <s:col min="9" max="9" width="17.164" style="1" customWidth="1"/>
    <s:col min="10" max="10" width="15" style="1" customWidth="1"/>
    <s:col min="11" max="11" width="15.832" style="1" customWidth="1"/>
    <s:col min="12" max="12" width="17.164" style="1" customWidth="1"/>
    <s:col min="13" max="13" width="13.5" customWidth="1"/>
  </s:cols>
  <s:sheetData>
    <s:row r="1" spans="1:13" ht="20" customHeight="1">
      <s:c r="A1" s="768" t="str">
        <s:f>График!B1</s:f>
        <s:v>Апрель, 2026</s:v>
      </s:c>
      <s:c r="B1" s="769"/>
      <s:c r="C1" s="769"/>
      <s:c r="D1" s="770"/>
      <s:c r="E1" s="317"/>
      <s:c r="F1" s="318"/>
      <s:c r="G1" s="318"/>
      <s:c r="H1" s="318"/>
      <s:c r="I1" s="318"/>
      <s:c r="J1" s="318"/>
      <s:c r="K1" s="318"/>
      <s:c r="L1" s="318"/>
      <s:c r="M1" s="371"/>
    </s:row>
    <s:row r="2" spans="1:13" ht="20" customHeight="1" thickBot="1">
      <s:c r="A2" s="771" t="str">
        <s:f>График!B3</s:f>
        <s:v>ул. Севастопольская, 62</s:v>
      </s:c>
      <s:c r="B2" s="772"/>
      <s:c r="C2" s="773"/>
      <s:c r="D2" s="208" t="str">
        <s:f>График!B4</s:f>
        <s:v>GL-0004</s:v>
      </s:c>
      <s:c r="E2" s="199"/>
      <s:c r="F2" s="209"/>
      <s:c r="G2" s="209"/>
      <s:c r="H2" s="209"/>
      <s:c r="I2" s="209"/>
      <s:c r="J2" s="179"/>
      <s:c r="K2" s="179"/>
      <s:c r="L2" s="179"/>
      <s:c r="M2" s="389"/>
    </s:row>
    <s:row r="3" spans="1:13" ht="75" customHeight="1">
      <s:c r="A3" s="774" t="s">
        <s:v>26</s:v>
      </s:c>
      <s:c r="B3" s="775"/>
      <s:c r="C3" s="775"/>
      <s:c r="D3" s="319" t="s">
        <s:v>72</s:v>
      </s:c>
      <s:c r="E3" s="210" t="s">
        <s:v>73</s:v>
      </s:c>
      <s:c r="F3" s="321" t="s">
        <s:v>75</s:v>
      </s:c>
      <s:c r="G3" s="322" t="s">
        <s:v>92</s:v>
      </s:c>
      <s:c r="H3" s="322" t="s">
        <s:v>76</s:v>
      </s:c>
      <s:c r="I3" s="320" t="s">
        <s:v>74</s:v>
      </s:c>
      <s:c r="J3" s="347" t="s">
        <s:v>62</s:v>
      </s:c>
      <s:c r="K3" s="200" t="s">
        <s:v>77</s:v>
      </s:c>
      <s:c r="L3" s="320" t="s">
        <s:v>78</s:v>
      </s:c>
      <s:c r="M3" s="200" t="s">
        <s:v>79</s:v>
      </s:c>
    </s:row>
    <s:row r="4" spans="1:13" s="704" customFormat="1" ht="20" customHeight="1" thickBot="1">
      <s:c r="A4" s="889" t="str">
        <s:f>График!B27</s:f>
        <s:v>Маркова Диана</s:v>
      </s:c>
      <s:c r="B4" s="890"/>
      <s:c r="C4" s="890"/>
      <s:c r="D4" s="747">
        <s:v>17555.689999999999</s:v>
      </s:c>
      <s:c r="E4" s="700"/>
      <s:c r="F4" s="701">
        <s:f>G7</s:f>
        <s:v>12100</s:v>
      </s:c>
      <s:c r="G4" s="702">
        <s:f>G14</s:f>
        <s:v>10392.858500000002</s:v>
      </s:c>
      <s:c r="H4" s="744">
        <s:f>G20</s:f>
        <s:v>3155.9346648648602</s:v>
      </s:c>
      <s:c r="I4" s="743">
        <s:f>L14</s:f>
        <s:v>4729.07</s:v>
      </s:c>
      <s:c r="J4" s="745">
        <s:f>G4+F4+I4+H4</s:f>
        <s:v>30377.863164864801</s:v>
      </s:c>
      <s:c r="K4" s="703">
        <s:f>L20</s:f>
        <s:v>9241</s:v>
      </s:c>
      <s:c r="L4" s="743">
        <s:f>J4-K4-D4-E4</s:f>
        <s:v>3581.1731648648602</s:v>
      </s:c>
      <s:c r="M4" s="703"/>
    </s:row>
    <s:row r="5" spans="1:13">
      <s:c r="A5" s="324"/>
      <s:c r="B5" s="180"/>
      <s:c r="C5" s="181"/>
      <s:c r="D5" s="181"/>
      <s:c r="E5" s="181"/>
      <s:c r="F5" s="181"/>
      <s:c r="G5" s="181"/>
      <s:c r="H5" s="181"/>
      <s:c r="I5" s="181"/>
      <s:c r="J5" s="181"/>
      <s:c r="K5" s="182"/>
      <s:c r="L5" s="181"/>
      <s:c r="M5" s="332"/>
    </s:row>
    <s:row r="6" spans="1:13">
      <s:c r="A6" s="324"/>
      <s:c r="B6" s="187"/>
      <s:c r="C6" s="188"/>
      <s:c r="F6" s="181"/>
      <s:c r="I6" s="360"/>
      <s:c r="M6" s="332"/>
    </s:row>
    <s:row r="7" spans="1:13" ht="17" customHeight="1">
      <s:c r="A7" s="324"/>
      <s:c r="B7" s="186" t="s">
        <s:v>84</s:v>
      </s:c>
      <s:c r="C7" s="185"/>
      <s:c r="D7" s="185"/>
      <s:c r="E7" s="185"/>
      <s:c r="F7" s="185"/>
      <s:c r="G7" s="365">
        <s:f>G9+G10</s:f>
        <s:v>12100</s:v>
      </s:c>
      <s:c r="M7" s="332"/>
    </s:row>
    <s:row r="8" spans="1:13" ht="26" customHeight="1">
      <s:c r="A8" s="333"/>
      <s:c r="B8" s="325" t="s">
        <s:v>85</s:v>
      </s:c>
      <s:c r="C8" s="325" t="s">
        <s:v>86</s:v>
      </s:c>
      <s:c r="D8" s="325" t="s">
        <s:v>87</s:v>
      </s:c>
      <s:c r="E8" s="325" t="s">
        <s:v>88</s:v>
      </s:c>
      <s:c r="F8" s="325" t="s">
        <s:v>89</s:v>
      </s:c>
      <s:c r="G8" s="325" t="s">
        <s:v>90</s:v>
      </s:c>
      <s:c r="I8" s="325" t="s">
        <s:v>91</s:v>
      </s:c>
      <s:c r="J8" s="325" t="s">
        <s:v>6</s:v>
      </s:c>
      <s:c r="M8" s="332"/>
    </s:row>
    <s:row r="9" spans="1:13" ht="18" customHeight="1">
      <s:c r="A9" s="333"/>
      <s:c r="B9" s="335">
        <s:f>График!AI27</s:f>
        <s:v>11</s:v>
      </s:c>
      <s:c r="C9" s="327" t="str">
        <s:f>A2</s:f>
        <s:v>ул. Севастопольская, 62</s:v>
      </s:c>
      <s:c r="D9" s="327" t="str">
        <s:f>График!C27</s:f>
        <s:v>АМ</s:v>
      </s:c>
      <s:c r="E9" s="336">
        <s:f>График!AJ27</s:f>
        <s:v>121</s:v>
      </s:c>
      <s:c r="F9" s="337">
        <s:v>100</s:v>
      </s:c>
      <s:c r="G9" s="338">
        <s:f>E9*F9</s:f>
        <s:v>12100</s:v>
      </s:c>
      <s:c r="I9" s="327" t="s">
        <s:v>86</s:v>
      </s:c>
      <s:c r="J9" s="363">
        <s:f>Центрум!K8</s:f>
        <s:v>0.66825607416879795</s:v>
      </s:c>
      <s:c r="M9" s="332"/>
    </s:row>
    <s:row r="10" spans="1:13" ht="19" customHeight="1">
      <s:c r="A10" s="324"/>
      <s:c r="B10" s="325"/>
      <s:c r="C10" s="327"/>
      <s:c r="D10" s="327"/>
      <s:c r="E10" s="339"/>
      <s:c r="F10" s="337"/>
      <s:c r="G10" s="338"/>
      <s:c r="H10" s="181"/>
      <s:c r="I10" s="331" t="s">
        <s:v>137</s:v>
      </s:c>
      <s:c r="J10" s="364">
        <s:f>Маркова!N8</s:f>
        <s:v>0.34306653491436101</s:v>
      </s:c>
      <s:c r="K10" s="767"/>
      <s:c r="L10" s="767"/>
      <s:c r="M10" s="332"/>
    </s:row>
    <s:row r="11" spans="1:13" ht="29" customHeight="1">
      <s:c r="A11" s="333"/>
      <s:c r="H11" s="181"/>
      <s:c r="I11" s="181"/>
      <s:c r="J11" s="181"/>
      <s:c r="K11" s="181"/>
      <s:c r="L11" s="181"/>
      <s:c r="M11" s="332"/>
    </s:row>
    <s:row r="12" spans="1:13">
      <s:c r="A12" s="333"/>
      <s:c r="B12" s="185"/>
      <s:c r="C12" s="190"/>
      <s:c r="D12" s="181"/>
      <s:c r="E12" s="191"/>
      <s:c r="F12" s="191"/>
      <s:c r="G12" s="192"/>
      <s:c r="M12" s="332"/>
    </s:row>
    <s:row r="13" spans="1:13">
      <s:c r="A13" s="340"/>
      <s:c r="B13" s="181"/>
      <s:c r="C13" s="180"/>
      <s:c r="D13" s="183"/>
      <s:c r="E13" s="183"/>
      <s:c r="F13" s="183"/>
      <s:c r="G13" s="183"/>
      <s:c r="H13" s="185"/>
      <s:c r="M13" s="332"/>
    </s:row>
    <s:row r="14" spans="1:13">
      <s:c r="A14" s="340"/>
      <s:c r="B14" s="367" t="s">
        <s:v>92</s:v>
      </s:c>
      <s:c r="C14" s="183"/>
      <s:c r="D14" s="183"/>
      <s:c r="E14" s="183"/>
      <s:c r="F14" s="183"/>
      <s:c r="G14" s="366">
        <s:f>G16+G17</s:f>
        <s:v>10392.858500000002</s:v>
      </s:c>
      <s:c r="H14" s="368"/>
      <s:c r="I14" s="367" t="s">
        <s:v>80</s:v>
      </s:c>
      <s:c r="J14" s="369"/>
      <s:c r="K14" s="369"/>
      <s:c r="L14" s="370">
        <s:f>J16+J17+J18</s:f>
        <s:v>4729.07</s:v>
      </s:c>
      <s:c r="M14" s="332"/>
    </s:row>
    <s:row r="15" spans="1:13" ht="36">
      <s:c r="A15" s="341"/>
      <s:c r="B15" s="325" t="s">
        <s:v>125</s:v>
      </s:c>
      <s:c r="C15" s="194" t="s">
        <s:v>86</s:v>
      </s:c>
      <s:c r="D15" s="195"/>
      <s:c r="E15" s="325" t="s">
        <s:v>94</s:v>
      </s:c>
      <s:c r="F15" s="325" t="s">
        <s:v>95</s:v>
      </s:c>
      <s:c r="G15" s="325" t="s">
        <s:v>96</s:v>
      </s:c>
      <s:c r="H15" s="189"/>
      <s:c r="I15" s="326" t="s">
        <s:v>27</s:v>
      </s:c>
      <s:c r="J15" s="326" t="s">
        <s:v>81</s:v>
      </s:c>
      <s:c r="K15" s="763" t="s">
        <s:v>82</s:v>
      </s:c>
      <s:c r="L15" s="764"/>
      <s:c r="M15" s="332"/>
    </s:row>
    <s:row r="16" spans="1:13" ht="28" customHeight="1">
      <s:c r="A16" s="340"/>
      <s:c r="B16" s="327" t="s">
        <s:v>123</s:v>
      </s:c>
      <s:c r="C16" s="887" t="str">
        <s:f>A2</s:f>
        <s:v>ул. Севастопольская, 62</s:v>
      </s:c>
      <s:c r="D16" s="888"/>
      <s:c r="E16" s="328">
        <s:v>0.05</s:v>
      </s:c>
      <s:c r="F16" s="334">
        <s:f>Маркова!M8-'Вед-ть Маркова'!F17</s:f>
        <s:v>174982.83000000002</s:v>
      </s:c>
      <s:c r="G16" s="342">
        <s:f>F16*E16</s:f>
        <s:v>8749.1415000000015</s:v>
      </s:c>
      <s:c r="H16" s="185"/>
      <s:c r="I16" s="316">
        <s:v>46132</s:v>
      </s:c>
      <s:c r="J16" s="329">
        <s:f>F18*0.01</s:f>
        <s:v>1914.2</s:v>
      </s:c>
      <s:c r="K16" s="761" t="s">
        <s:v>136</s:v>
      </s:c>
      <s:c r="L16" s="762"/>
      <s:c r="M16" s="332"/>
    </s:row>
    <s:row r="17" spans="1:13" ht="26" customHeight="1">
      <s:c r="A17" s="341"/>
      <s:c r="B17" s="330" t="s">
        <s:v>124</s:v>
      </s:c>
      <s:c r="C17" s="887" t="str">
        <s:f>A2</s:f>
        <s:v>ул. Севастопольская, 62</s:v>
      </s:c>
      <s:c r="D17" s="888"/>
      <s:c r="E17" s="328">
        <s:v>0.1</s:v>
      </s:c>
      <s:c r="F17" s="386">
        <s:f>Маркова!L48+Маркова!S48</s:f>
        <s:v>16437.169999999998</s:v>
      </s:c>
      <s:c r="G17" s="342">
        <s:f>F17*E17</s:f>
        <s:v>1643.7169999999999</s:v>
      </s:c>
      <s:c r="I17" s="316">
        <s:v>46132</s:v>
      </s:c>
      <s:c r="J17" s="329">
        <s:v>2814.87</s:v>
      </s:c>
      <s:c r="K17" s="761" t="s">
        <s:v>141</s:v>
      </s:c>
      <s:c r="L17" s="762"/>
      <s:c r="M17" s="332"/>
    </s:row>
    <s:row r="18" spans="1:13" ht="18" customHeight="1">
      <s:c r="A18" s="372"/>
      <s:c r="F18" s="385">
        <s:f>F16+F17</s:f>
        <s:v>191420</s:v>
      </s:c>
      <s:c r="H18" s="183"/>
      <s:c r="I18" s="316"/>
      <s:c r="J18" s="329"/>
      <s:c r="K18" s="765"/>
      <s:c r="L18" s="766"/>
      <s:c r="M18" s="332"/>
    </s:row>
    <s:row r="19" spans="1:13" ht="16" customHeight="1">
      <s:c r="A19" s="372"/>
      <s:c r="H19" s="183"/>
      <s:c r="I19" s="184"/>
      <s:c r="J19" s="361"/>
      <s:c r="K19" s="362"/>
      <s:c r="L19" s="362"/>
      <s:c r="M19" s="332"/>
    </s:row>
    <s:row r="20" spans="1:13">
      <s:c r="A20" s="372"/>
      <s:c r="B20" s="180" t="s">
        <s:v>93</s:v>
      </s:c>
      <s:c r="C20" s="180"/>
      <s:c r="D20" s="183"/>
      <s:c r="E20" s="183"/>
      <s:c r="F20" s="183"/>
      <s:c r="G20" s="366">
        <s:f>G22+G23</s:f>
        <s:v>3155.9346648648602</s:v>
      </s:c>
      <s:c r="H20" s="193"/>
      <s:c r="I20" s="201" t="s">
        <s:v>77</s:v>
      </s:c>
      <s:c r="J20" s="202"/>
      <s:c r="K20" s="202"/>
      <s:c r="L20" s="387">
        <s:f>J22+J23+J24</s:f>
        <s:v>9241</s:v>
      </s:c>
      <s:c r="M20" s="332"/>
    </s:row>
    <s:row r="21" spans="1:13" ht="36">
      <s:c r="A21" s="372"/>
      <s:c r="B21" s="325" t="s">
        <s:v>26</s:v>
      </s:c>
      <s:c r="C21" s="325" t="s">
        <s:v>86</s:v>
      </s:c>
      <s:c r="D21" s="325" t="s">
        <s:v>97</s:v>
      </s:c>
      <s:c r="E21" s="325" t="s">
        <s:v>98</s:v>
      </s:c>
      <s:c r="F21" s="325" t="s">
        <s:v>94</s:v>
      </s:c>
      <s:c r="G21" s="325" t="s">
        <s:v>96</s:v>
      </s:c>
      <s:c r="H21" s="183"/>
      <s:c r="I21" s="326" t="s">
        <s:v>27</s:v>
      </s:c>
      <s:c r="J21" s="326" t="s">
        <s:v>81</s:v>
      </s:c>
      <s:c r="K21" s="763" t="s">
        <s:v>82</s:v>
      </s:c>
      <s:c r="L21" s="764"/>
      <s:c r="M21" s="332"/>
    </s:row>
    <s:row r="22" spans="1:13" ht="25" customHeight="1">
      <s:c r="A22" s="372"/>
      <s:c r="B22" s="343" t="str">
        <s:f>A4</s:f>
        <s:v>Маркова Диана</s:v>
      </s:c>
      <s:c r="C22" s="344" t="str">
        <s:f>C16</s:f>
        <s:v>ул. Севастопольская, 62</s:v>
      </s:c>
      <s:c r="D22" s="344">
        <s:f>E9</s:f>
        <s:v>121</s:v>
      </s:c>
      <s:c r="E22" s="345">
        <s:f>График!AJ29</s:f>
        <s:v>407</s:v>
      </s:c>
      <s:c r="F22" s="388">
        <s:v>0.02</s:v>
      </s:c>
      <s:c r="G22" s="354">
        <s:f>(Центрум!J8-Центрум!L56-Центрум!S56-669757)*F22*D22/E22</s:f>
        <s:v>3155.9346648648602</s:v>
      </s:c>
      <s:c r="H22" s="185"/>
      <s:c r="I22" s="316">
        <s:v>46132</s:v>
      </s:c>
      <s:c r="J22" s="334">
        <s:v>2729</s:v>
      </s:c>
      <s:c r="K22" s="761" t="s">
        <s:v>83</s:v>
      </s:c>
      <s:c r="L22" s="762"/>
      <s:c r="M22" s="332"/>
    </s:row>
    <s:row r="23" spans="1:13" ht="23" customHeight="1">
      <s:c r="A23" s="372"/>
      <s:c r="B23" s="343"/>
      <s:c r="C23" s="344"/>
      <s:c r="D23" s="344"/>
      <s:c r="E23" s="345"/>
      <s:c r="F23" s="328"/>
      <s:c r="G23" s="354"/>
      <s:c r="H23" s="181"/>
      <s:c r="I23" s="316">
        <s:v>46133</s:v>
      </s:c>
      <s:c r="J23" s="334">
        <s:f>890*0.8</s:f>
        <s:v>712</s:v>
      </s:c>
      <s:c r="K23" s="761" t="s">
        <s:v>126</s:v>
      </s:c>
      <s:c r="L23" s="762"/>
      <s:c r="M23" s="332"/>
    </s:row>
    <s:row r="24" spans="1:13" ht="18" customHeight="1">
      <s:c r="A24" s="372"/>
      <s:c r="B24" s="355"/>
      <s:c r="C24" s="203"/>
      <s:c r="D24" s="203"/>
      <s:c r="E24" s="204"/>
      <s:c r="F24" s="198"/>
      <s:c r="G24" s="356"/>
      <s:c r="H24" s="181"/>
      <s:c r="I24" s="316">
        <s:v>46134</s:v>
      </s:c>
      <s:c r="J24" s="334">
        <s:f>2500+3300</s:f>
        <s:v>5800</s:v>
      </s:c>
      <s:c r="K24" s="761" t="s">
        <s:v>142</s:v>
      </s:c>
      <s:c r="L24" s="762"/>
      <s:c r="M24" s="332"/>
    </s:row>
    <s:row r="25" spans="1:13" ht="20" customHeight="1" thickBot="1">
      <s:c r="A25" s="205"/>
      <s:c r="B25" s="206"/>
      <s:c r="C25" s="206"/>
      <s:c r="D25" s="206"/>
      <s:c r="E25" s="206"/>
      <s:c r="F25" s="206"/>
      <s:c r="G25" s="206"/>
      <s:c r="H25" s="373"/>
      <s:c r="I25" s="206"/>
      <s:c r="J25" s="206"/>
      <s:c r="K25" s="206"/>
      <s:c r="L25" s="206"/>
      <s:c r="M25" s="374"/>
    </s:row>
  </s:sheetData>
  <s:mergeCells count="15">
    <s:mergeCell ref="C16:D16"/>
    <s:mergeCell ref="C17:D17"/>
    <s:mergeCell ref="K10:L10"/>
    <s:mergeCell ref="A1:D1"/>
    <s:mergeCell ref="A2:C2"/>
    <s:mergeCell ref="A3:C3"/>
    <s:mergeCell ref="A4:C4"/>
    <s:mergeCell ref="K22:L22"/>
    <s:mergeCell ref="K23:L23"/>
    <s:mergeCell ref="K24:L24"/>
    <s:mergeCell ref="K15:L15"/>
    <s:mergeCell ref="K16:L16"/>
    <s:mergeCell ref="K17:L17"/>
    <s:mergeCell ref="K18:L18"/>
    <s:mergeCell ref="K21:L21"/>
  </s:mergeCells>
  <s:pageMargins left="0.7" right="0.7" top="0.75" bottom="0.75" header="0.3" footer="0.3"/>
  <s:pageSetup paperSize="9" orientation="portrait"/>
</s:worksheet>
</file>

<file path=xl/worksheets/sheet10.xml><?xml version="1.0" encoding="utf-8"?>
<s:worksheet xmlns:x14ac="http://schemas.microsoft.com/office/spreadsheetml/2009/9/ac" xmlns:mc="http://schemas.openxmlformats.org/markup-compatibility/2006" xmlns:xr3="http://schemas.microsoft.com/office/spreadsheetml/2016/revision3" xmlns:xr2="http://schemas.microsoft.com/office/spreadsheetml/2015/revision2" xmlns:s="http://schemas.openxmlformats.org/spreadsheetml/2006/main" xmlns:xr="http://schemas.microsoft.com/office/spreadsheetml/2014/revision" mc:Ignorable="x14ac xr xr2 xr3" xr:uid="{28586B75-6160-BF48-8A88-093A94D8B9AA}">
  <s:sheetPr>
    <s:tabColor rgb="FFDBDBDB"/>
  </s:sheetPr>
  <s:dimension ref="A1:M25"/>
  <s:sheetViews>
    <s:sheetView tabSelected="0" zoomScale="75" workbookViewId="0">
      <s:selection activeCell="R23" sqref="R23"/>
    </s:sheetView>
  </s:sheetViews>
  <s:sheetFormatPr baseColWidth="10" defaultColWidth="11.5" defaultRowHeight="15"/>
  <s:cols>
    <s:col min="1" max="1" width="2.5" style="1" customWidth="1"/>
    <s:col min="2" max="2" width="11.664" style="1" customWidth="1"/>
    <s:col min="3" max="3" width="18" style="1" customWidth="1"/>
    <s:col min="4" max="4" width="12.832" style="1" customWidth="1"/>
    <s:col min="5" max="6" width="11.5" style="1"/>
    <s:col min="7" max="7" width="12.664" style="1" customWidth="1"/>
    <s:col min="8" max="8" width="12.832" style="1" customWidth="1"/>
    <s:col min="9" max="10" width="17.164" style="1" customWidth="1"/>
    <s:col min="11" max="11" width="15.832" style="1" customWidth="1"/>
    <s:col min="12" max="12" width="17.164" style="1" customWidth="1"/>
    <s:col min="13" max="13" width="14.832" customWidth="1"/>
  </s:cols>
  <s:sheetData>
    <s:row r="1" spans="1:13" ht="20" customHeight="1">
      <s:c r="A1" s="768" t="str">
        <s:f>График!B1</s:f>
        <s:v>Апрель, 2026</s:v>
      </s:c>
      <s:c r="B1" s="769"/>
      <s:c r="C1" s="769"/>
      <s:c r="D1" s="770"/>
      <s:c r="E1" s="317"/>
      <s:c r="F1" s="318"/>
      <s:c r="G1" s="318"/>
      <s:c r="H1" s="318"/>
      <s:c r="I1" s="318"/>
      <s:c r="J1" s="318"/>
      <s:c r="K1" s="318"/>
      <s:c r="L1" s="318"/>
      <s:c r="M1" s="371"/>
    </s:row>
    <s:row r="2" spans="1:13" ht="20" customHeight="1" thickBot="1">
      <s:c r="A2" s="771" t="str">
        <s:f>График!B3</s:f>
        <s:v>ул. Севастопольская, 62</s:v>
      </s:c>
      <s:c r="B2" s="772"/>
      <s:c r="C2" s="773"/>
      <s:c r="D2" s="208" t="str">
        <s:f>График!B4</s:f>
        <s:v>GL-0004</s:v>
      </s:c>
      <s:c r="E2" s="199"/>
      <s:c r="F2" s="209"/>
      <s:c r="G2" s="209"/>
      <s:c r="H2" s="209"/>
      <s:c r="I2" s="209"/>
      <s:c r="J2" s="179"/>
      <s:c r="K2" s="179"/>
      <s:c r="L2" s="179"/>
      <s:c r="M2" s="389"/>
    </s:row>
    <s:row r="3" spans="1:13" ht="75" customHeight="1">
      <s:c r="A3" s="774" t="s">
        <s:v>26</s:v>
      </s:c>
      <s:c r="B3" s="775"/>
      <s:c r="C3" s="775"/>
      <s:c r="D3" s="319" t="s">
        <s:v>72</s:v>
      </s:c>
      <s:c r="E3" s="210" t="s">
        <s:v>73</s:v>
      </s:c>
      <s:c r="F3" s="321" t="s">
        <s:v>75</s:v>
      </s:c>
      <s:c r="G3" s="322" t="s">
        <s:v>92</s:v>
      </s:c>
      <s:c r="H3" s="322" t="s">
        <s:v>76</s:v>
      </s:c>
      <s:c r="I3" s="320" t="s">
        <s:v>74</s:v>
      </s:c>
      <s:c r="J3" s="347" t="s">
        <s:v>62</s:v>
      </s:c>
      <s:c r="K3" s="200" t="s">
        <s:v>77</s:v>
      </s:c>
      <s:c r="L3" s="320" t="s">
        <s:v>78</s:v>
      </s:c>
      <s:c r="M3" s="200" t="s">
        <s:v>79</s:v>
      </s:c>
    </s:row>
    <s:row r="4" spans="1:13" ht="19" customHeight="1" thickBot="1">
      <s:c r="A4" s="776" t="str">
        <s:f>График!B26</s:f>
        <s:v>Бешлиева Аджере</s:v>
      </s:c>
      <s:c r="B4" s="777"/>
      <s:c r="C4" s="777"/>
      <s:c r="D4" s="323">
        <s:f>40000-J22</s:f>
        <s:v>34800</s:v>
      </s:c>
      <s:c r="E4" s="211"/>
      <s:c r="F4" s="212">
        <s:f>G7</s:f>
        <s:v>19800</s:v>
      </s:c>
      <s:c r="G4" s="213">
        <s:f>G14</s:f>
        <s:v>28901.4</s:v>
      </s:c>
      <s:c r="H4" s="213">
        <s:f>G20</s:f>
        <s:v>11680.811318918901</s:v>
      </s:c>
      <s:c r="I4" s="207">
        <s:f>L14</s:f>
        <s:v>5965.32</s:v>
      </s:c>
      <s:c r="J4" s="348">
        <s:f>G4+F4+I4+H4</s:f>
        <s:v>66347.531318918904</s:v>
      </s:c>
      <s:c r="K4" s="349">
        <s:f>L20</s:f>
        <s:v>5200</s:v>
      </s:c>
      <s:c r="L4" s="207">
        <s:f>J4-K4-D4-E4</s:f>
        <s:v>26347.5313189189</s:v>
      </s:c>
      <s:c r="M4" s="349"/>
    </s:row>
    <s:row r="5" spans="1:13">
      <s:c r="A5" s="324"/>
      <s:c r="B5" s="180"/>
      <s:c r="C5" s="181"/>
      <s:c r="D5" s="181"/>
      <s:c r="E5" s="181"/>
      <s:c r="F5" s="181"/>
      <s:c r="G5" s="181"/>
      <s:c r="H5" s="181"/>
      <s:c r="I5" s="181"/>
      <s:c r="J5" s="181"/>
      <s:c r="K5" s="182"/>
      <s:c r="L5" s="181"/>
      <s:c r="M5" s="332"/>
    </s:row>
    <s:row r="6" spans="1:13">
      <s:c r="A6" s="324"/>
      <s:c r="B6" s="187"/>
      <s:c r="C6" s="188"/>
      <s:c r="F6" s="181"/>
      <s:c r="I6" s="360"/>
      <s:c r="M6" s="332"/>
    </s:row>
    <s:row r="7" spans="1:13" ht="17" customHeight="1">
      <s:c r="A7" s="324"/>
      <s:c r="B7" s="186" t="s">
        <s:v>84</s:v>
      </s:c>
      <s:c r="C7" s="185"/>
      <s:c r="D7" s="185"/>
      <s:c r="E7" s="185"/>
      <s:c r="F7" s="185"/>
      <s:c r="G7" s="403">
        <s:f>G9+G10</s:f>
        <s:v>19800</s:v>
      </s:c>
      <s:c r="M7" s="332"/>
    </s:row>
    <s:row r="8" spans="1:13" ht="26" customHeight="1">
      <s:c r="A8" s="333"/>
      <s:c r="B8" s="325" t="s">
        <s:v>85</s:v>
      </s:c>
      <s:c r="C8" s="325" t="s">
        <s:v>86</s:v>
      </s:c>
      <s:c r="D8" s="325" t="s">
        <s:v>87</s:v>
      </s:c>
      <s:c r="E8" s="325" t="s">
        <s:v>88</s:v>
      </s:c>
      <s:c r="F8" s="325" t="s">
        <s:v>89</s:v>
      </s:c>
      <s:c r="G8" s="325" t="s">
        <s:v>90</s:v>
      </s:c>
      <s:c r="I8" s="325" t="s">
        <s:v>91</s:v>
      </s:c>
      <s:c r="J8" s="325" t="s">
        <s:v>6</s:v>
      </s:c>
      <s:c r="M8" s="332"/>
    </s:row>
    <s:row r="9" spans="1:13" s="394" customFormat="1" ht="18" customHeight="1">
      <s:c r="A9" s="397"/>
      <s:c r="B9" s="335">
        <s:f>График!AI26</s:f>
        <s:v>18</s:v>
      </s:c>
      <s:c r="C9" s="327" t="str">
        <s:f>A2</s:f>
        <s:v>ул. Севастопольская, 62</s:v>
      </s:c>
      <s:c r="D9" s="327" t="str">
        <s:f>График!C26</s:f>
        <s:v>АМ</s:v>
      </s:c>
      <s:c r="E9" s="336">
        <s:f>График!AJ26</s:f>
        <s:v>198</s:v>
      </s:c>
      <s:c r="F9" s="337">
        <s:v>100</s:v>
      </s:c>
      <s:c r="G9" s="398">
        <s:f>E9*F9</s:f>
        <s:v>19800</s:v>
      </s:c>
      <s:c r="H9" s="396"/>
      <s:c r="I9" s="327" t="s">
        <s:v>86</s:v>
      </s:c>
      <s:c r="J9" s="363">
        <s:f>Центрум!K8</s:f>
        <s:v>0.66825607416879795</s:v>
      </s:c>
      <s:c r="K9" s="396"/>
      <s:c r="L9" s="396"/>
      <s:c r="M9" s="393"/>
    </s:row>
    <s:row r="10" spans="1:13" s="394" customFormat="1" ht="19" customHeight="1">
      <s:c r="A10" s="324"/>
      <s:c r="B10" s="399"/>
      <s:c r="C10" s="327"/>
      <s:c r="D10" s="327"/>
      <s:c r="E10" s="400"/>
      <s:c r="F10" s="337"/>
      <s:c r="G10" s="398"/>
      <s:c r="H10" s="181"/>
      <s:c r="I10" s="330" t="s">
        <s:v>137</s:v>
      </s:c>
      <s:c r="J10" s="364">
        <s:f>Бешлиева!N8</s:f>
        <s:v>0.59231937340153396</s:v>
      </s:c>
      <s:c r="K10" s="767"/>
      <s:c r="L10" s="767"/>
      <s:c r="M10" s="393"/>
    </s:row>
    <s:row r="11" spans="1:13" ht="29" customHeight="1">
      <s:c r="A11" s="333"/>
      <s:c r="H11" s="181"/>
      <s:c r="I11" s="181"/>
      <s:c r="J11" s="181"/>
      <s:c r="K11" s="181"/>
      <s:c r="L11" s="181"/>
      <s:c r="M11" s="332"/>
    </s:row>
    <s:row r="12" spans="1:13">
      <s:c r="A12" s="333"/>
      <s:c r="B12" s="185"/>
      <s:c r="C12" s="190"/>
      <s:c r="D12" s="181"/>
      <s:c r="E12" s="191"/>
      <s:c r="F12" s="191"/>
      <s:c r="G12" s="192"/>
      <s:c r="M12" s="332"/>
    </s:row>
    <s:row r="13" spans="1:13">
      <s:c r="A13" s="340"/>
      <s:c r="B13" s="181"/>
      <s:c r="C13" s="180"/>
      <s:c r="D13" s="183"/>
      <s:c r="E13" s="183"/>
      <s:c r="F13" s="183"/>
      <s:c r="G13" s="183"/>
      <s:c r="H13" s="185"/>
      <s:c r="M13" s="332"/>
    </s:row>
    <s:row r="14" spans="1:13">
      <s:c r="A14" s="340"/>
      <s:c r="B14" s="367" t="s">
        <s:v>92</s:v>
      </s:c>
      <s:c r="C14" s="183"/>
      <s:c r="D14" s="183"/>
      <s:c r="E14" s="183"/>
      <s:c r="F14" s="183"/>
      <s:c r="G14" s="366">
        <s:f>G16+G17</s:f>
        <s:v>28901.4</s:v>
      </s:c>
      <s:c r="H14" s="368"/>
      <s:c r="I14" s="367" t="s">
        <s:v>80</s:v>
      </s:c>
      <s:c r="J14" s="369"/>
      <s:c r="K14" s="369"/>
      <s:c r="L14" s="370">
        <s:f>J16+J17+J18</s:f>
        <s:v>5965.32</s:v>
      </s:c>
      <s:c r="M14" s="332"/>
    </s:row>
    <s:row r="15" spans="1:13" ht="36">
      <s:c r="A15" s="341"/>
      <s:c r="B15" s="325" t="s">
        <s:v>125</s:v>
      </s:c>
      <s:c r="C15" s="194" t="s">
        <s:v>86</s:v>
      </s:c>
      <s:c r="D15" s="195"/>
      <s:c r="E15" s="325" t="s">
        <s:v>94</s:v>
      </s:c>
      <s:c r="F15" s="325" t="s">
        <s:v>95</s:v>
      </s:c>
      <s:c r="G15" s="325" t="s">
        <s:v>96</s:v>
      </s:c>
      <s:c r="H15" s="189"/>
      <s:c r="I15" s="326" t="s">
        <s:v>27</s:v>
      </s:c>
      <s:c r="J15" s="326" t="s">
        <s:v>81</s:v>
      </s:c>
      <s:c r="K15" s="763" t="s">
        <s:v>82</s:v>
      </s:c>
      <s:c r="L15" s="764"/>
      <s:c r="M15" s="332"/>
    </s:row>
    <s:row r="16" spans="1:13" s="394" customFormat="1" ht="24" customHeight="1">
      <s:c r="A16" s="391"/>
      <s:c r="B16" s="327" t="s">
        <s:v>123</s:v>
      </s:c>
      <s:c r="C16" s="196" t="str">
        <s:f>A2</s:f>
        <s:v>ул. Севастопольская, 62</s:v>
      </s:c>
      <s:c r="D16" s="197"/>
      <s:c r="E16" s="328">
        <s:v>0.05</s:v>
      </s:c>
      <s:c r="F16" s="334">
        <s:f>Бешлиева!M8-'Вед-ть Бешлиева'!F17</s:f>
        <s:v>503592</s:v>
      </s:c>
      <s:c r="G16" s="392">
        <s:f>F16*E16</s:f>
        <s:v>25179.599999999999</s:v>
      </s:c>
      <s:c r="H16" s="362"/>
      <s:c r="I16" s="316">
        <s:v>46142</s:v>
      </s:c>
      <s:c r="J16" s="329">
        <s:f>(F18+55722)*0.01</s:f>
        <s:v>5965.32</s:v>
      </s:c>
      <s:c r="K16" s="765" t="s">
        <s:v>136</s:v>
      </s:c>
      <s:c r="L16" s="766"/>
      <s:c r="M16" s="393"/>
    </s:row>
    <s:row r="17" spans="1:13" s="394" customFormat="1" ht="26" customHeight="1">
      <s:c r="A17" s="395"/>
      <s:c r="B17" s="330" t="s">
        <s:v>124</s:v>
      </s:c>
      <s:c r="C17" s="196" t="str">
        <s:f>A2</s:f>
        <s:v>ул. Севастопольская, 62</s:v>
      </s:c>
      <s:c r="D17" s="197"/>
      <s:c r="E17" s="328">
        <s:v>0.1</s:v>
      </s:c>
      <s:c r="F17" s="386">
        <s:f>Бешлиева!L48+Бешлиева!S48</s:f>
        <s:v>37218</s:v>
      </s:c>
      <s:c r="G17" s="392">
        <s:f>F17*E17</s:f>
        <s:v>3721.8</s:v>
      </s:c>
      <s:c r="H17" s="396"/>
      <s:c r="I17" s="316">
        <s:v>46142</s:v>
      </s:c>
      <s:c r="J17" s="329">
        <s:v>0</s:v>
      </s:c>
      <s:c r="K17" s="765" t="s">
        <s:v>100</s:v>
      </s:c>
      <s:c r="L17" s="766"/>
      <s:c r="M17" s="393"/>
    </s:row>
    <s:row r="18" spans="1:13" ht="23" customHeight="1">
      <s:c r="A18" s="372"/>
      <s:c r="F18" s="390">
        <s:f>F16+F17</s:f>
        <s:v>540810</s:v>
      </s:c>
      <s:c r="H18" s="183"/>
      <s:c r="I18" s="316"/>
      <s:c r="J18" s="329"/>
      <s:c r="K18" s="765"/>
      <s:c r="L18" s="766"/>
      <s:c r="M18" s="332"/>
    </s:row>
    <s:row r="19" spans="1:13" ht="16" customHeight="1">
      <s:c r="A19" s="372"/>
      <s:c r="H19" s="183"/>
      <s:c r="I19" s="184"/>
      <s:c r="J19" s="361"/>
      <s:c r="K19" s="362"/>
      <s:c r="L19" s="362"/>
      <s:c r="M19" s="332"/>
    </s:row>
    <s:row r="20" spans="1:13" ht="17" customHeight="1">
      <s:c r="A20" s="372"/>
      <s:c r="B20" s="367" t="s">
        <s:v>93</s:v>
      </s:c>
      <s:c r="C20" s="367"/>
      <s:c r="D20" s="183"/>
      <s:c r="E20" s="183"/>
      <s:c r="F20" s="183"/>
      <s:c r="G20" s="366">
        <s:f>G22+G23</s:f>
        <s:v>11680.811318918901</s:v>
      </s:c>
      <s:c r="H20" s="193"/>
      <s:c r="I20" s="401" t="s">
        <s:v>77</s:v>
      </s:c>
      <s:c r="J20" s="402"/>
      <s:c r="K20" s="402"/>
      <s:c r="L20" s="387">
        <s:f>J22+J23+J24</s:f>
        <s:v>5200</s:v>
      </s:c>
      <s:c r="M20" s="332"/>
    </s:row>
    <s:row r="21" spans="1:13" ht="36">
      <s:c r="A21" s="372"/>
      <s:c r="B21" s="325" t="s">
        <s:v>26</s:v>
      </s:c>
      <s:c r="C21" s="325" t="s">
        <s:v>86</s:v>
      </s:c>
      <s:c r="D21" s="325" t="s">
        <s:v>97</s:v>
      </s:c>
      <s:c r="E21" s="325" t="s">
        <s:v>98</s:v>
      </s:c>
      <s:c r="F21" s="325" t="s">
        <s:v>94</s:v>
      </s:c>
      <s:c r="G21" s="325" t="s">
        <s:v>96</s:v>
      </s:c>
      <s:c r="H21" s="183"/>
      <s:c r="I21" s="326" t="s">
        <s:v>27</s:v>
      </s:c>
      <s:c r="J21" s="326" t="s">
        <s:v>81</s:v>
      </s:c>
      <s:c r="K21" s="763" t="s">
        <s:v>82</s:v>
      </s:c>
      <s:c r="L21" s="764"/>
      <s:c r="M21" s="332"/>
    </s:row>
    <s:row r="22" spans="1:13" ht="21" customHeight="1">
      <s:c r="A22" s="372"/>
      <s:c r="B22" s="343" t="str">
        <s:f>A4</s:f>
        <s:v>Бешлиева Аджере</s:v>
      </s:c>
      <s:c r="C22" s="344" t="str">
        <s:f>C16</s:f>
        <s:v>ул. Севастопольская, 62</s:v>
      </s:c>
      <s:c r="D22" s="344">
        <s:f>E9</s:f>
        <s:v>198</s:v>
      </s:c>
      <s:c r="E22" s="345">
        <s:f>График!AJ29</s:f>
        <s:v>407</s:v>
      </s:c>
      <s:c r="F22" s="328">
        <s:v>0.02</s:v>
      </s:c>
      <s:c r="G22" s="354">
        <s:f>(Центрум!J8-Центрум!L56-Центрум!S56)*F22*D22/E22</s:f>
        <s:v>11680.811318918901</s:v>
      </s:c>
      <s:c r="H22" s="185"/>
      <s:c r="I22" s="316">
        <s:v>46142</s:v>
      </s:c>
      <s:c r="J22" s="334">
        <s:v>5200</s:v>
      </s:c>
      <s:c r="K22" s="761" t="s">
        <s:v>83</s:v>
      </s:c>
      <s:c r="L22" s="762"/>
      <s:c r="M22" s="332"/>
    </s:row>
    <s:row r="23" spans="1:13" ht="23" customHeight="1">
      <s:c r="A23" s="372"/>
      <s:c r="B23" s="343"/>
      <s:c r="C23" s="344"/>
      <s:c r="D23" s="344"/>
      <s:c r="E23" s="345"/>
      <s:c r="F23" s="328"/>
      <s:c r="G23" s="354"/>
      <s:c r="H23" s="181"/>
      <s:c r="I23" s="316"/>
      <s:c r="J23" s="334"/>
      <s:c r="K23" s="761"/>
      <s:c r="L23" s="762"/>
      <s:c r="M23" s="332"/>
    </s:row>
    <s:row r="24" spans="1:13" ht="21" customHeight="1">
      <s:c r="A24" s="372"/>
      <s:c r="B24" s="355"/>
      <s:c r="C24" s="203"/>
      <s:c r="D24" s="203"/>
      <s:c r="E24" s="204"/>
      <s:c r="F24" s="198"/>
      <s:c r="G24" s="356"/>
      <s:c r="H24" s="181"/>
      <s:c r="I24" s="316"/>
      <s:c r="J24" s="334"/>
      <s:c r="K24" s="761"/>
      <s:c r="L24" s="762"/>
      <s:c r="M24" s="332"/>
    </s:row>
    <s:row r="25" spans="1:13" ht="16" thickBot="1">
      <s:c r="A25" s="205"/>
      <s:c r="B25" s="206"/>
      <s:c r="C25" s="206"/>
      <s:c r="D25" s="206"/>
      <s:c r="E25" s="206"/>
      <s:c r="F25" s="206"/>
      <s:c r="G25" s="206"/>
      <s:c r="H25" s="373"/>
      <s:c r="I25" s="206"/>
      <s:c r="J25" s="206"/>
      <s:c r="K25" s="206"/>
      <s:c r="L25" s="206"/>
      <s:c r="M25" s="374"/>
    </s:row>
  </s:sheetData>
  <s:mergeCells count="13">
    <s:mergeCell ref="K10:L10"/>
    <s:mergeCell ref="A1:D1"/>
    <s:mergeCell ref="A2:C2"/>
    <s:mergeCell ref="A3:C3"/>
    <s:mergeCell ref="A4:C4"/>
    <s:mergeCell ref="K22:L22"/>
    <s:mergeCell ref="K23:L23"/>
    <s:mergeCell ref="K24:L24"/>
    <s:mergeCell ref="K15:L15"/>
    <s:mergeCell ref="K16:L16"/>
    <s:mergeCell ref="K17:L17"/>
    <s:mergeCell ref="K18:L18"/>
    <s:mergeCell ref="K21:L21"/>
  </s:mergeCells>
  <s:pageMargins left="0.7" right="0.7" top="0.75" bottom="0.75" header="0.3" footer="0.3"/>
  <s:pageSetup paperSize="9" orientation="portrait"/>
</s:worksheet>
</file>

<file path=xl/worksheets/sheet11.xml><?xml version="1.0" encoding="utf-8"?>
<s:worksheet xmlns:x14ac="http://schemas.microsoft.com/office/spreadsheetml/2009/9/ac" xmlns:mc="http://schemas.openxmlformats.org/markup-compatibility/2006" xmlns:xr3="http://schemas.microsoft.com/office/spreadsheetml/2016/revision3" xmlns:xr2="http://schemas.microsoft.com/office/spreadsheetml/2015/revision2" xmlns:s="http://schemas.openxmlformats.org/spreadsheetml/2006/main" xmlns:xr="http://schemas.microsoft.com/office/spreadsheetml/2014/revision" mc:Ignorable="x14ac xr xr2 xr3" xr:uid="{AEA428C6-07ED-A448-B6C4-3CBDA4D9E924}">
  <s:sheetPr>
    <s:tabColor rgb="FFDBDBDB"/>
  </s:sheetPr>
  <s:dimension ref="A1:AQ54"/>
  <s:sheetViews>
    <s:sheetView tabSelected="0" topLeftCell="A3" zoomScale="64" workbookViewId="0">
      <s:pane xSplit="2" topLeftCell="C1" activePane="topRight" state="frozen"/>
      <s:selection activeCell="AE28" sqref="AE28"/>
      <s:selection pane="topRight" activeCell="X26" sqref="X26:Z28"/>
    </s:sheetView>
  </s:sheetViews>
  <s:sheetFormatPr baseColWidth="10" defaultColWidth="11.5" defaultRowHeight="15"/>
  <s:cols>
    <s:col min="1" max="1" width="4.832" style="1" customWidth="1"/>
    <s:col min="2" max="2" width="25.664" style="1" customWidth="1"/>
    <s:col min="3" max="3" width="11.5" style="1" customWidth="1"/>
    <s:col min="4" max="34" width="7.332" style="1" customWidth="1"/>
    <s:col min="35" max="35" width="4.832" style="1" customWidth="1"/>
    <s:col min="36" max="36" width="11.164" style="1" customWidth="1"/>
    <s:col min="37" max="40" width="6.332" style="1" customWidth="1"/>
    <s:col min="41" max="43" width="11.5" style="1"/>
  </s:cols>
  <s:sheetData>
    <s:row r="1" spans="1:40">
      <s:c r="A1" s="214"/>
      <s:c r="B1" s="215" t="s">
        <s:v>140</s:v>
      </s:c>
      <s:c r="C1" s="216"/>
      <s:c r="D1" s="216"/>
      <s:c r="E1" s="216"/>
      <s:c r="F1" s="216"/>
      <s:c r="G1" s="216"/>
      <s:c r="H1" s="216"/>
      <s:c r="I1" s="216"/>
      <s:c r="J1" s="216"/>
      <s:c r="K1" s="216"/>
      <s:c r="L1" s="216"/>
      <s:c r="M1" s="216"/>
      <s:c r="N1" s="216"/>
      <s:c r="O1" s="216"/>
      <s:c r="P1" s="216"/>
      <s:c r="Q1" s="216"/>
      <s:c r="R1" s="216"/>
      <s:c r="S1" s="216"/>
      <s:c r="T1" s="216"/>
      <s:c r="U1" s="216"/>
      <s:c r="V1" s="216"/>
      <s:c r="W1" s="216"/>
      <s:c r="X1" s="216"/>
      <s:c r="Y1" s="216"/>
      <s:c r="Z1" s="216"/>
      <s:c r="AA1" s="216"/>
      <s:c r="AB1" s="216"/>
      <s:c r="AC1" s="216"/>
      <s:c r="AD1" s="216"/>
      <s:c r="AE1" s="216"/>
      <s:c r="AF1" s="216"/>
      <s:c r="AG1" s="216"/>
      <s:c r="AH1" s="216"/>
      <s:c r="AI1" s="216"/>
      <s:c r="AJ1" s="216"/>
      <s:c r="AK1" s="216"/>
      <s:c r="AL1" s="216"/>
      <s:c r="AM1" s="216"/>
      <s:c r="AN1" s="216"/>
    </s:row>
    <s:row r="2" spans="1:40">
      <s:c r="A2" s="214"/>
      <s:c r="B2" s="217" t="s">
        <s:v>102</s:v>
      </s:c>
      <s:c r="C2" s="218"/>
      <s:c r="D2" s="218"/>
      <s:c r="E2" s="218"/>
      <s:c r="F2" s="218"/>
      <s:c r="G2" s="218"/>
      <s:c r="H2" s="218"/>
      <s:c r="I2" s="218"/>
      <s:c r="J2" s="218"/>
      <s:c r="K2" s="218"/>
      <s:c r="L2" s="218"/>
      <s:c r="M2" s="218"/>
      <s:c r="N2" s="218"/>
      <s:c r="O2" s="218"/>
      <s:c r="P2" s="218"/>
      <s:c r="Q2" s="218"/>
      <s:c r="R2" s="218"/>
      <s:c r="S2" s="218"/>
      <s:c r="T2" s="218"/>
      <s:c r="U2" s="218"/>
      <s:c r="V2" s="218"/>
      <s:c r="W2" s="218"/>
      <s:c r="X2" s="218"/>
      <s:c r="Y2" s="218"/>
      <s:c r="Z2" s="218"/>
      <s:c r="AA2" s="218"/>
      <s:c r="AB2" s="218"/>
      <s:c r="AC2" s="218"/>
      <s:c r="AD2" s="218"/>
      <s:c r="AE2" s="218"/>
      <s:c r="AF2" s="218"/>
      <s:c r="AG2" s="218"/>
      <s:c r="AH2" s="218"/>
      <s:c r="AI2" s="218"/>
      <s:c r="AJ2" s="218"/>
      <s:c r="AK2" s="218"/>
      <s:c r="AL2" s="218"/>
      <s:c r="AM2" s="218"/>
      <s:c r="AN2" s="218"/>
    </s:row>
    <s:row r="3" spans="1:40">
      <s:c r="A3" s="214"/>
      <s:c r="B3" s="217" t="s">
        <s:v>103</s:v>
      </s:c>
      <s:c r="C3" s="218"/>
      <s:c r="D3" s="218"/>
      <s:c r="E3" s="218"/>
      <s:c r="F3" s="218"/>
      <s:c r="G3" s="218"/>
      <s:c r="H3" s="218"/>
      <s:c r="I3" s="218"/>
      <s:c r="J3" s="218"/>
      <s:c r="K3" s="218"/>
      <s:c r="L3" s="218"/>
      <s:c r="M3" s="218"/>
      <s:c r="N3" s="218"/>
      <s:c r="O3" s="218"/>
      <s:c r="P3" s="218"/>
      <s:c r="Q3" s="218"/>
      <s:c r="R3" s="218"/>
      <s:c r="S3" s="218"/>
      <s:c r="T3" s="218"/>
      <s:c r="U3" s="218"/>
      <s:c r="V3" s="218"/>
      <s:c r="W3" s="218"/>
      <s:c r="X3" s="218"/>
      <s:c r="Y3" s="218"/>
      <s:c r="Z3" s="218"/>
      <s:c r="AA3" s="218"/>
      <s:c r="AB3" s="218"/>
      <s:c r="AC3" s="218"/>
      <s:c r="AD3" s="218"/>
      <s:c r="AE3" s="218"/>
      <s:c r="AF3" s="218"/>
      <s:c r="AG3" s="218"/>
      <s:c r="AH3" s="218"/>
      <s:c r="AI3" s="218"/>
      <s:c r="AJ3" s="218"/>
      <s:c r="AK3" s="218"/>
      <s:c r="AL3" s="218"/>
      <s:c r="AM3" s="218"/>
      <s:c r="AN3" s="218"/>
    </s:row>
    <s:row r="4" spans="1:40" ht="19">
      <s:c r="A4" s="214"/>
      <s:c r="B4" s="219" t="s">
        <s:v>104</s:v>
      </s:c>
      <s:c r="C4" s="218"/>
      <s:c r="D4" s="218"/>
      <s:c r="E4" s="218"/>
      <s:c r="F4" s="218"/>
      <s:c r="G4" s="218"/>
      <s:c r="H4" s="218"/>
      <s:c r="I4" s="218"/>
      <s:c r="J4" s="218"/>
      <s:c r="K4" s="218"/>
      <s:c r="L4" s="218"/>
      <s:c r="M4" s="218"/>
      <s:c r="N4" s="218"/>
      <s:c r="O4" s="218"/>
      <s:c r="P4" s="218"/>
      <s:c r="Q4" s="218"/>
      <s:c r="R4" s="218"/>
      <s:c r="S4" s="218"/>
      <s:c r="T4" s="218"/>
      <s:c r="U4" s="218"/>
      <s:c r="V4" s="218"/>
      <s:c r="W4" s="218"/>
      <s:c r="X4" s="218"/>
      <s:c r="Y4" s="218"/>
      <s:c r="Z4" s="218"/>
      <s:c r="AA4" s="218"/>
      <s:c r="AB4" s="218"/>
      <s:c r="AC4" s="218"/>
      <s:c r="AD4" s="218"/>
      <s:c r="AE4" s="218"/>
      <s:c r="AF4" s="218"/>
      <s:c r="AG4" s="218"/>
      <s:c r="AH4" s="218"/>
      <s:c r="AI4" s="218"/>
      <s:c r="AJ4" s="218"/>
      <s:c r="AK4" s="218"/>
      <s:c r="AL4" s="218"/>
      <s:c r="AM4" s="218"/>
      <s:c r="AN4" s="218"/>
    </s:row>
    <s:row r="5" spans="1:40" ht="16">
      <s:c r="A5" s="214"/>
      <s:c r="B5" s="220" t="s">
        <s:v>105</s:v>
      </s:c>
      <s:c r="C5" s="218"/>
      <s:c r="D5" s="218"/>
      <s:c r="E5" s="218"/>
      <s:c r="F5" s="218"/>
      <s:c r="G5" s="218"/>
      <s:c r="H5" s="218"/>
      <s:c r="I5" s="218"/>
      <s:c r="J5" s="218"/>
      <s:c r="K5" s="218"/>
      <s:c r="L5" s="218"/>
      <s:c r="M5" s="218"/>
      <s:c r="N5" s="218"/>
      <s:c r="O5" s="218"/>
      <s:c r="P5" s="218"/>
      <s:c r="Q5" s="218"/>
      <s:c r="R5" s="218"/>
      <s:c r="S5" s="218"/>
      <s:c r="T5" s="218"/>
      <s:c r="U5" s="218"/>
      <s:c r="V5" s="218"/>
      <s:c r="W5" s="218"/>
      <s:c r="X5" s="218"/>
      <s:c r="Y5" s="218"/>
      <s:c r="Z5" s="218"/>
      <s:c r="AA5" s="218"/>
      <s:c r="AB5" s="218"/>
      <s:c r="AC5" s="218"/>
      <s:c r="AD5" s="218"/>
      <s:c r="AE5" s="218"/>
      <s:c r="AF5" s="218"/>
      <s:c r="AG5" s="218"/>
      <s:c r="AH5" s="218"/>
      <s:c r="AI5" s="218"/>
      <s:c r="AJ5" s="891"/>
      <s:c r="AK5" s="892"/>
      <s:c r="AL5" s="893"/>
      <s:c r="AM5" s="894"/>
      <s:c r="AN5" s="895"/>
    </s:row>
    <s:row r="6" spans="1:40" ht="16" customHeight="1">
      <s:c r="A6" s="214"/>
      <s:c r="B6" s="221" t="s">
        <s:v>106</s:v>
      </s:c>
      <s:c r="C6" s="896" t="s">
        <s:v>107</s:v>
      </s:c>
      <s:c r="D6" s="897"/>
      <s:c r="E6" s="897"/>
      <s:c r="F6" s="897"/>
      <s:c r="G6" s="897"/>
      <s:c r="H6" s="897"/>
      <s:c r="I6" s="897"/>
      <s:c r="J6" s="897"/>
      <s:c r="K6" s="897"/>
      <s:c r="L6" s="897"/>
      <s:c r="M6" s="897"/>
      <s:c r="N6" s="897"/>
      <s:c r="O6" s="897"/>
      <s:c r="P6" s="897"/>
      <s:c r="Q6" s="897"/>
      <s:c r="R6" s="897"/>
      <s:c r="S6" s="897"/>
      <s:c r="T6" s="897"/>
      <s:c r="U6" s="897"/>
      <s:c r="V6" s="897"/>
      <s:c r="W6" s="897"/>
      <s:c r="X6" s="897"/>
      <s:c r="Y6" s="897"/>
      <s:c r="Z6" s="897"/>
      <s:c r="AA6" s="897"/>
      <s:c r="AB6" s="897"/>
      <s:c r="AC6" s="897"/>
      <s:c r="AD6" s="897"/>
      <s:c r="AE6" s="897"/>
      <s:c r="AF6" s="897"/>
      <s:c r="AG6" s="897"/>
      <s:c r="AH6" s="897"/>
      <s:c r="AI6" s="897"/>
      <s:c r="AJ6" s="898"/>
      <s:c r="AK6" s="222">
        <s:v>30</s:v>
      </s:c>
      <s:c r="AL6" s="223"/>
      <s:c r="AM6" s="223"/>
      <s:c r="AN6" s="223"/>
    </s:row>
    <s:row r="7" spans="1:40" ht="16" customHeight="1">
      <s:c r="A7" s="224"/>
      <s:c r="B7" s="225"/>
      <s:c r="C7" s="896" t="s">
        <s:v>108</s:v>
      </s:c>
      <s:c r="D7" s="899"/>
      <s:c r="E7" s="899"/>
      <s:c r="F7" s="899"/>
      <s:c r="G7" s="899"/>
      <s:c r="H7" s="899"/>
      <s:c r="I7" s="899"/>
      <s:c r="J7" s="899"/>
      <s:c r="K7" s="899"/>
      <s:c r="L7" s="899"/>
      <s:c r="M7" s="899"/>
      <s:c r="N7" s="899"/>
      <s:c r="O7" s="899"/>
      <s:c r="P7" s="899"/>
      <s:c r="Q7" s="899"/>
      <s:c r="R7" s="899"/>
      <s:c r="S7" s="899"/>
      <s:c r="T7" s="899"/>
      <s:c r="U7" s="899"/>
      <s:c r="V7" s="899"/>
      <s:c r="W7" s="899"/>
      <s:c r="X7" s="899"/>
      <s:c r="Y7" s="899"/>
      <s:c r="Z7" s="899"/>
      <s:c r="AA7" s="899"/>
      <s:c r="AB7" s="899"/>
      <s:c r="AC7" s="899"/>
      <s:c r="AD7" s="899"/>
      <s:c r="AE7" s="899"/>
      <s:c r="AF7" s="899"/>
      <s:c r="AG7" s="899"/>
      <s:c r="AH7" s="899"/>
      <s:c r="AI7" s="897"/>
      <s:c r="AJ7" s="898"/>
      <s:c r="AK7" s="226"/>
      <s:c r="AL7" s="226"/>
      <s:c r="AM7" s="227"/>
      <s:c r="AN7" s="227"/>
    </s:row>
    <s:row r="8" spans="1:40" ht="29" customHeight="1">
      <s:c r="A8" s="228"/>
      <s:c r="B8" s="229"/>
      <s:c r="C8" s="230"/>
      <s:c r="D8" s="231" t="s">
        <s:v>57</s:v>
      </s:c>
      <s:c r="E8" s="231" t="s">
        <s:v>58</s:v>
      </s:c>
      <s:c r="F8" s="231" t="s">
        <s:v>59</s:v>
      </s:c>
      <s:c r="G8" s="231" t="s">
        <s:v>60</s:v>
      </s:c>
      <s:c r="H8" s="231" t="s">
        <s:v>54</s:v>
      </s:c>
      <s:c r="I8" s="231" t="s">
        <s:v>55</s:v>
      </s:c>
      <s:c r="J8" s="231" t="s">
        <s:v>56</s:v>
      </s:c>
      <s:c r="K8" s="231" t="s">
        <s:v>57</s:v>
      </s:c>
      <s:c r="L8" s="231" t="s">
        <s:v>58</s:v>
      </s:c>
      <s:c r="M8" s="232" t="s">
        <s:v>59</s:v>
      </s:c>
      <s:c r="N8" s="233" t="s">
        <s:v>60</s:v>
      </s:c>
      <s:c r="O8" s="234" t="s">
        <s:v>54</s:v>
      </s:c>
      <s:c r="P8" s="231" t="s">
        <s:v>55</s:v>
      </s:c>
      <s:c r="Q8" s="232" t="s">
        <s:v>56</s:v>
      </s:c>
      <s:c r="R8" s="235" t="s">
        <s:v>57</s:v>
      </s:c>
      <s:c r="S8" s="233" t="s">
        <s:v>58</s:v>
      </s:c>
      <s:c r="T8" s="234" t="s">
        <s:v>59</s:v>
      </s:c>
      <s:c r="U8" s="231" t="s">
        <s:v>60</s:v>
      </s:c>
      <s:c r="V8" s="231" t="s">
        <s:v>54</s:v>
      </s:c>
      <s:c r="W8" s="231" t="s">
        <s:v>55</s:v>
      </s:c>
      <s:c r="X8" s="231" t="s">
        <s:v>56</s:v>
      </s:c>
      <s:c r="Y8" s="231" t="s">
        <s:v>57</s:v>
      </s:c>
      <s:c r="Z8" s="231" t="s">
        <s:v>58</s:v>
      </s:c>
      <s:c r="AA8" s="231" t="s">
        <s:v>59</s:v>
      </s:c>
      <s:c r="AB8" s="231" t="s">
        <s:v>60</s:v>
      </s:c>
      <s:c r="AC8" s="231" t="s">
        <s:v>54</s:v>
      </s:c>
      <s:c r="AD8" s="231" t="s">
        <s:v>55</s:v>
      </s:c>
      <s:c r="AE8" s="231" t="s">
        <s:v>56</s:v>
      </s:c>
      <s:c r="AF8" s="231" t="s">
        <s:v>57</s:v>
      </s:c>
      <s:c r="AG8" s="231" t="s">
        <s:v>58</s:v>
      </s:c>
      <s:c r="AH8" s="231"/>
      <s:c r="AI8" s="236"/>
      <s:c r="AJ8" s="237" t="s">
        <s:v>109</s:v>
      </s:c>
      <s:c r="AK8" s="237" t="s">
        <s:v>110</s:v>
      </s:c>
      <s:c r="AL8" s="900" t="s">
        <s:v>111</s:v>
      </s:c>
      <s:c r="AM8" s="900" t="s">
        <s:v>112</s:v>
      </s:c>
      <s:c r="AN8" s="904" t="s">
        <s:v>113</s:v>
      </s:c>
    </s:row>
    <s:row r="9" spans="1:40">
      <s:c r="A9" s="239"/>
      <s:c r="B9" s="240"/>
      <s:c r="C9" s="241"/>
      <s:c r="D9" s="242"/>
      <s:c r="E9" s="242"/>
      <s:c r="F9" s="242"/>
      <s:c r="G9" s="242"/>
      <s:c r="H9" s="242"/>
      <s:c r="I9" s="242"/>
      <s:c r="J9" s="242"/>
      <s:c r="K9" s="242"/>
      <s:c r="L9" s="242"/>
      <s:c r="M9" s="242"/>
      <s:c r="N9" s="242"/>
      <s:c r="O9" s="242"/>
      <s:c r="P9" s="242"/>
      <s:c r="Q9" s="242"/>
      <s:c r="R9" s="243"/>
      <s:c r="S9" s="244"/>
      <s:c r="T9" s="242"/>
      <s:c r="U9" s="242"/>
      <s:c r="V9" s="242"/>
      <s:c r="W9" s="242"/>
      <s:c r="X9" s="242"/>
      <s:c r="Y9" s="242"/>
      <s:c r="Z9" s="242"/>
      <s:c r="AA9" s="242"/>
      <s:c r="AB9" s="242"/>
      <s:c r="AC9" s="242"/>
      <s:c r="AD9" s="242"/>
      <s:c r="AE9" s="242"/>
      <s:c r="AF9" s="242"/>
      <s:c r="AG9" s="242"/>
      <s:c r="AH9" s="242"/>
      <s:c r="AI9" s="245"/>
      <s:c r="AJ9" s="238"/>
      <s:c r="AK9" s="238"/>
      <s:c r="AL9" s="901"/>
      <s:c r="AM9" s="901"/>
      <s:c r="AN9" s="905"/>
    </s:row>
    <s:row r="10" spans="1:40" ht="23" customHeight="1">
      <s:c r="A10" s="246" t="s">
        <s:v>114</s:v>
      </s:c>
      <s:c r="B10" s="247" t="s">
        <s:v>115</s:v>
      </s:c>
      <s:c r="C10" s="248" t="s">
        <s:v>87</s:v>
      </s:c>
      <s:c r="D10" s="249">
        <s:v>1</s:v>
      </s:c>
      <s:c r="E10" s="249">
        <s:v>2</s:v>
      </s:c>
      <s:c r="F10" s="249">
        <s:v>3</s:v>
      </s:c>
      <s:c r="G10" s="249">
        <s:v>4</s:v>
      </s:c>
      <s:c r="H10" s="249">
        <s:v>5</s:v>
      </s:c>
      <s:c r="I10" s="249">
        <s:v>6</s:v>
      </s:c>
      <s:c r="J10" s="249">
        <s:v>7</s:v>
      </s:c>
      <s:c r="K10" s="249">
        <s:v>8</s:v>
      </s:c>
      <s:c r="L10" s="249">
        <s:v>9</s:v>
      </s:c>
      <s:c r="M10" s="249">
        <s:v>10</s:v>
      </s:c>
      <s:c r="N10" s="249">
        <s:v>11</s:v>
      </s:c>
      <s:c r="O10" s="249">
        <s:v>12</s:v>
      </s:c>
      <s:c r="P10" s="249">
        <s:v>13</s:v>
      </s:c>
      <s:c r="Q10" s="249">
        <s:v>14</s:v>
      </s:c>
      <s:c r="R10" s="250">
        <s:v>15</s:v>
      </s:c>
      <s:c r="S10" s="251">
        <s:v>16</s:v>
      </s:c>
      <s:c r="T10" s="249">
        <s:v>17</s:v>
      </s:c>
      <s:c r="U10" s="249">
        <s:v>18</s:v>
      </s:c>
      <s:c r="V10" s="249">
        <s:v>19</s:v>
      </s:c>
      <s:c r="W10" s="249">
        <s:v>20</s:v>
      </s:c>
      <s:c r="X10" s="249">
        <s:v>21</s:v>
      </s:c>
      <s:c r="Y10" s="249">
        <s:v>22</s:v>
      </s:c>
      <s:c r="Z10" s="249">
        <s:v>23</s:v>
      </s:c>
      <s:c r="AA10" s="249">
        <s:v>24</s:v>
      </s:c>
      <s:c r="AB10" s="249">
        <s:v>25</s:v>
      </s:c>
      <s:c r="AC10" s="249">
        <s:v>26</s:v>
      </s:c>
      <s:c r="AD10" s="249">
        <s:v>27</s:v>
      </s:c>
      <s:c r="AE10" s="249">
        <s:v>28</s:v>
      </s:c>
      <s:c r="AF10" s="249">
        <s:v>29</s:v>
      </s:c>
      <s:c r="AG10" s="249">
        <s:v>30</s:v>
      </s:c>
      <s:c r="AH10" s="249"/>
      <s:c r="AI10" s="252" t="s">
        <s:v>116</s:v>
      </s:c>
      <s:c r="AJ10" s="253"/>
      <s:c r="AK10" s="254"/>
      <s:c r="AL10" s="902"/>
      <s:c r="AM10" s="903"/>
      <s:c r="AN10" s="906"/>
    </s:row>
    <s:row r="11" spans="1:40">
      <s:c r="A11" s="255">
        <s:v>18</s:v>
      </s:c>
      <s:c r="B11" s="256"/>
      <s:c r="C11" s="256"/>
      <s:c r="D11" s="256"/>
      <s:c r="E11" s="256"/>
      <s:c r="F11" s="256"/>
      <s:c r="G11" s="256"/>
      <s:c r="H11" s="256"/>
      <s:c r="I11" s="256"/>
      <s:c r="J11" s="256"/>
      <s:c r="K11" s="256"/>
      <s:c r="L11" s="256"/>
      <s:c r="M11" s="256"/>
      <s:c r="N11" s="256"/>
      <s:c r="O11" s="256"/>
      <s:c r="P11" s="256"/>
      <s:c r="Q11" s="256"/>
      <s:c r="R11" s="257"/>
      <s:c r="S11" s="258"/>
      <s:c r="T11" s="256"/>
      <s:c r="U11" s="256"/>
      <s:c r="V11" s="256"/>
      <s:c r="W11" s="256"/>
      <s:c r="X11" s="256"/>
      <s:c r="Y11" s="256"/>
      <s:c r="Z11" s="259"/>
      <s:c r="AA11" s="259"/>
      <s:c r="AB11" s="259"/>
      <s:c r="AC11" s="259"/>
      <s:c r="AD11" s="259"/>
      <s:c r="AE11" s="259"/>
      <s:c r="AF11" s="256"/>
      <s:c r="AG11" s="256"/>
      <s:c r="AH11" s="260"/>
      <s:c r="AI11" s="261">
        <s:f validation_="true">COUNTIF(D11:AH11,"&gt;0")</s:f>
        <s:v>0</s:v>
      </s:c>
      <s:c r="AJ11" s="262">
        <s:f validation_="true">SUMIF(D11:AH11,"&gt;0")</s:f>
        <s:v>0</s:v>
      </s:c>
      <s:c r="AK11" s="263">
        <s:v>0</s:v>
      </s:c>
      <s:c r="AL11" s="263">
        <s:v>0</s:v>
      </s:c>
      <s:c r="AM11" s="263">
        <s:v>0</s:v>
      </s:c>
      <s:c r="AN11" s="264">
        <s:v>0</s:v>
      </s:c>
    </s:row>
    <s:row r="12" spans="1:40">
      <s:c r="A12" s="265">
        <s:v>17</s:v>
      </s:c>
      <s:c r="B12" s="266"/>
      <s:c r="C12" s="266"/>
      <s:c r="D12" s="266"/>
      <s:c r="E12" s="266"/>
      <s:c r="F12" s="266"/>
      <s:c r="G12" s="266"/>
      <s:c r="H12" s="266"/>
      <s:c r="I12" s="266"/>
      <s:c r="J12" s="266"/>
      <s:c r="K12" s="266"/>
      <s:c r="L12" s="266"/>
      <s:c r="M12" s="266"/>
      <s:c r="N12" s="266"/>
      <s:c r="O12" s="266"/>
      <s:c r="P12" s="266"/>
      <s:c r="Q12" s="266"/>
      <s:c r="R12" s="267"/>
      <s:c r="S12" s="268"/>
      <s:c r="T12" s="266"/>
      <s:c r="U12" s="266"/>
      <s:c r="V12" s="266"/>
      <s:c r="W12" s="266"/>
      <s:c r="X12" s="266"/>
      <s:c r="Y12" s="266"/>
      <s:c r="Z12" s="269"/>
      <s:c r="AA12" s="269"/>
      <s:c r="AB12" s="269"/>
      <s:c r="AC12" s="269"/>
      <s:c r="AD12" s="269"/>
      <s:c r="AE12" s="269"/>
      <s:c r="AF12" s="266"/>
      <s:c r="AG12" s="266"/>
      <s:c r="AH12" s="270"/>
      <s:c r="AI12" s="261">
        <s:f validation_="true">COUNTIF(D12:AH12,"&gt;0")</s:f>
        <s:v>0</s:v>
      </s:c>
      <s:c r="AJ12" s="262">
        <s:f validation_="true">SUMIF(D12:AH12,"&gt;0")</s:f>
        <s:v>0</s:v>
      </s:c>
      <s:c r="AK12" s="271">
        <s:f validation_="true">COUNTIF(D12:AH12,"В")</s:f>
        <s:v>0</s:v>
      </s:c>
      <s:c r="AL12" s="271">
        <s:v>0</s:v>
      </s:c>
      <s:c r="AM12" s="271">
        <s:v>0</s:v>
      </s:c>
      <s:c r="AN12" s="272">
        <s:v>0</s:v>
      </s:c>
    </s:row>
    <s:row r="13" spans="1:40">
      <s:c r="A13" s="265">
        <s:v>16</s:v>
      </s:c>
      <s:c r="B13" s="266"/>
      <s:c r="C13" s="266"/>
      <s:c r="D13" s="266"/>
      <s:c r="E13" s="266"/>
      <s:c r="F13" s="266"/>
      <s:c r="G13" s="266"/>
      <s:c r="H13" s="266"/>
      <s:c r="I13" s="266"/>
      <s:c r="J13" s="266"/>
      <s:c r="K13" s="266"/>
      <s:c r="L13" s="266"/>
      <s:c r="M13" s="266"/>
      <s:c r="N13" s="266"/>
      <s:c r="O13" s="266"/>
      <s:c r="P13" s="266"/>
      <s:c r="Q13" s="266"/>
      <s:c r="R13" s="267"/>
      <s:c r="S13" s="268"/>
      <s:c r="T13" s="266"/>
      <s:c r="U13" s="266"/>
      <s:c r="V13" s="266"/>
      <s:c r="W13" s="266"/>
      <s:c r="X13" s="266"/>
      <s:c r="Y13" s="266"/>
      <s:c r="Z13" s="269"/>
      <s:c r="AA13" s="269"/>
      <s:c r="AB13" s="269"/>
      <s:c r="AC13" s="269"/>
      <s:c r="AD13" s="269"/>
      <s:c r="AE13" s="269"/>
      <s:c r="AF13" s="266"/>
      <s:c r="AG13" s="266"/>
      <s:c r="AH13" s="270"/>
      <s:c r="AI13" s="261">
        <s:f validation_="true">COUNTIF(D13:AH13,"&gt;0")</s:f>
        <s:v>0</s:v>
      </s:c>
      <s:c r="AJ13" s="262">
        <s:f validation_="true">SUMIF(D13:AH13,"&gt;0")</s:f>
        <s:v>0</s:v>
      </s:c>
      <s:c r="AK13" s="271">
        <s:f validation_="true">COUNTIF(D13:AH13,"В")</s:f>
        <s:v>0</s:v>
      </s:c>
      <s:c r="AL13" s="263">
        <s:v>0</s:v>
      </s:c>
      <s:c r="AM13" s="263">
        <s:v>0</s:v>
      </s:c>
      <s:c r="AN13" s="264">
        <s:v>0</s:v>
      </s:c>
    </s:row>
    <s:row r="14" spans="1:40">
      <s:c r="A14" s="265">
        <s:v>15</s:v>
      </s:c>
      <s:c r="B14" s="266"/>
      <s:c r="C14" s="266"/>
      <s:c r="D14" s="266"/>
      <s:c r="E14" s="266"/>
      <s:c r="F14" s="266"/>
      <s:c r="G14" s="266"/>
      <s:c r="H14" s="266"/>
      <s:c r="I14" s="266"/>
      <s:c r="J14" s="266"/>
      <s:c r="K14" s="266"/>
      <s:c r="L14" s="266"/>
      <s:c r="M14" s="266"/>
      <s:c r="N14" s="266"/>
      <s:c r="O14" s="266"/>
      <s:c r="P14" s="266"/>
      <s:c r="Q14" s="266"/>
      <s:c r="R14" s="267"/>
      <s:c r="S14" s="268"/>
      <s:c r="T14" s="266"/>
      <s:c r="U14" s="266"/>
      <s:c r="V14" s="266"/>
      <s:c r="W14" s="266"/>
      <s:c r="X14" s="266"/>
      <s:c r="Y14" s="266"/>
      <s:c r="Z14" s="266"/>
      <s:c r="AA14" s="266"/>
      <s:c r="AB14" s="266"/>
      <s:c r="AC14" s="266"/>
      <s:c r="AD14" s="266"/>
      <s:c r="AE14" s="266"/>
      <s:c r="AF14" s="266"/>
      <s:c r="AG14" s="266"/>
      <s:c r="AH14" s="270"/>
      <s:c r="AI14" s="261">
        <s:f validation_="true">COUNTIF(D14:AH14,"&gt;0")</s:f>
        <s:v>0</s:v>
      </s:c>
      <s:c r="AJ14" s="262">
        <s:f validation_="true">SUMIF(D14:AH14,"&gt;0")</s:f>
        <s:v>0</s:v>
      </s:c>
      <s:c r="AK14" s="271">
        <s:f validation_="true">COUNTIF(D14:AH14,"В")</s:f>
        <s:v>0</s:v>
      </s:c>
      <s:c r="AL14" s="271">
        <s:v>0</s:v>
      </s:c>
      <s:c r="AM14" s="271">
        <s:v>0</s:v>
      </s:c>
      <s:c r="AN14" s="272">
        <s:v>0</s:v>
      </s:c>
    </s:row>
    <s:row r="15" spans="1:40">
      <s:c r="A15" s="265">
        <s:v>14</s:v>
      </s:c>
      <s:c r="B15" s="266"/>
      <s:c r="C15" s="266"/>
      <s:c r="D15" s="266"/>
      <s:c r="E15" s="266"/>
      <s:c r="F15" s="266"/>
      <s:c r="G15" s="266"/>
      <s:c r="H15" s="266"/>
      <s:c r="I15" s="266"/>
      <s:c r="J15" s="266"/>
      <s:c r="K15" s="266"/>
      <s:c r="L15" s="266"/>
      <s:c r="M15" s="266"/>
      <s:c r="N15" s="266"/>
      <s:c r="O15" s="266"/>
      <s:c r="P15" s="266"/>
      <s:c r="Q15" s="266"/>
      <s:c r="R15" s="267"/>
      <s:c r="S15" s="268"/>
      <s:c r="T15" s="266"/>
      <s:c r="U15" s="266"/>
      <s:c r="V15" s="266"/>
      <s:c r="W15" s="266"/>
      <s:c r="X15" s="266"/>
      <s:c r="Y15" s="266"/>
      <s:c r="Z15" s="266"/>
      <s:c r="AA15" s="266"/>
      <s:c r="AB15" s="266"/>
      <s:c r="AC15" s="266"/>
      <s:c r="AD15" s="266"/>
      <s:c r="AE15" s="266"/>
      <s:c r="AF15" s="266"/>
      <s:c r="AG15" s="266"/>
      <s:c r="AH15" s="270"/>
      <s:c r="AI15" s="261">
        <s:f validation_="true">COUNTIF(D15:AH15,"&gt;0")</s:f>
        <s:v>0</s:v>
      </s:c>
      <s:c r="AJ15" s="262">
        <s:f validation_="true">SUMIF(D15:AH15,"&gt;0")</s:f>
        <s:v>0</s:v>
      </s:c>
      <s:c r="AK15" s="271">
        <s:f validation_="true">COUNTIF(D15:AH15,"В")</s:f>
        <s:v>0</s:v>
      </s:c>
      <s:c r="AL15" s="263">
        <s:v>0</s:v>
      </s:c>
      <s:c r="AM15" s="263">
        <s:v>0</s:v>
      </s:c>
      <s:c r="AN15" s="264">
        <s:v>0</s:v>
      </s:c>
    </s:row>
    <s:row r="16" spans="1:40">
      <s:c r="A16" s="265">
        <s:v>13</s:v>
      </s:c>
      <s:c r="B16" s="266"/>
      <s:c r="C16" s="266"/>
      <s:c r="D16" s="266"/>
      <s:c r="E16" s="266"/>
      <s:c r="F16" s="266"/>
      <s:c r="G16" s="266"/>
      <s:c r="H16" s="266"/>
      <s:c r="I16" s="266"/>
      <s:c r="J16" s="266"/>
      <s:c r="K16" s="266"/>
      <s:c r="L16" s="266"/>
      <s:c r="M16" s="266"/>
      <s:c r="N16" s="266"/>
      <s:c r="O16" s="266"/>
      <s:c r="P16" s="266"/>
      <s:c r="Q16" s="266"/>
      <s:c r="R16" s="267"/>
      <s:c r="S16" s="268"/>
      <s:c r="T16" s="266"/>
      <s:c r="U16" s="266"/>
      <s:c r="V16" s="266"/>
      <s:c r="W16" s="266"/>
      <s:c r="X16" s="266"/>
      <s:c r="Y16" s="266"/>
      <s:c r="Z16" s="266"/>
      <s:c r="AA16" s="266"/>
      <s:c r="AB16" s="266"/>
      <s:c r="AC16" s="266"/>
      <s:c r="AD16" s="266"/>
      <s:c r="AE16" s="266"/>
      <s:c r="AF16" s="266"/>
      <s:c r="AG16" s="266"/>
      <s:c r="AH16" s="270"/>
      <s:c r="AI16" s="261">
        <s:f validation_="true">COUNTIF(D16:AH16,"&gt;0")</s:f>
        <s:v>0</s:v>
      </s:c>
      <s:c r="AJ16" s="262">
        <s:f validation_="true">SUMIF(D16:AH16,"&gt;0")</s:f>
        <s:v>0</s:v>
      </s:c>
      <s:c r="AK16" s="271">
        <s:f validation_="true">COUNTIF(D16:AH16,"В")</s:f>
        <s:v>0</s:v>
      </s:c>
      <s:c r="AL16" s="271">
        <s:v>0</s:v>
      </s:c>
      <s:c r="AM16" s="271">
        <s:v>0</s:v>
      </s:c>
      <s:c r="AN16" s="272">
        <s:v>0</s:v>
      </s:c>
    </s:row>
    <s:row r="17" spans="1:40">
      <s:c r="A17" s="265">
        <s:v>12</s:v>
      </s:c>
      <s:c r="B17" s="266"/>
      <s:c r="C17" s="266"/>
      <s:c r="D17" s="266"/>
      <s:c r="E17" s="266"/>
      <s:c r="F17" s="266"/>
      <s:c r="G17" s="266"/>
      <s:c r="H17" s="266"/>
      <s:c r="I17" s="266"/>
      <s:c r="J17" s="266"/>
      <s:c r="K17" s="266"/>
      <s:c r="L17" s="266"/>
      <s:c r="M17" s="266"/>
      <s:c r="N17" s="266"/>
      <s:c r="O17" s="266"/>
      <s:c r="P17" s="266"/>
      <s:c r="Q17" s="266"/>
      <s:c r="R17" s="267"/>
      <s:c r="S17" s="268"/>
      <s:c r="T17" s="266"/>
      <s:c r="U17" s="266"/>
      <s:c r="V17" s="266"/>
      <s:c r="W17" s="266"/>
      <s:c r="X17" s="266"/>
      <s:c r="Y17" s="266"/>
      <s:c r="Z17" s="266"/>
      <s:c r="AA17" s="266"/>
      <s:c r="AB17" s="266"/>
      <s:c r="AC17" s="266"/>
      <s:c r="AD17" s="266"/>
      <s:c r="AE17" s="266"/>
      <s:c r="AF17" s="266"/>
      <s:c r="AG17" s="266"/>
      <s:c r="AH17" s="270"/>
      <s:c r="AI17" s="261">
        <s:f validation_="true">COUNTIF(D17:AH17,"&gt;0")</s:f>
        <s:v>0</s:v>
      </s:c>
      <s:c r="AJ17" s="262">
        <s:f validation_="true">SUMIF(D17:AH17,"&gt;0")</s:f>
        <s:v>0</s:v>
      </s:c>
      <s:c r="AK17" s="271">
        <s:f validation_="true">COUNTIF(D17:AH17,"В")</s:f>
        <s:v>0</s:v>
      </s:c>
      <s:c r="AL17" s="271">
        <s:v>0</s:v>
      </s:c>
      <s:c r="AM17" s="271">
        <s:v>0</s:v>
      </s:c>
      <s:c r="AN17" s="272">
        <s:v>0</s:v>
      </s:c>
    </s:row>
    <s:row r="18" spans="1:40">
      <s:c r="A18" s="265">
        <s:v>11</s:v>
      </s:c>
      <s:c r="B18" s="266"/>
      <s:c r="C18" s="266"/>
      <s:c r="D18" s="266"/>
      <s:c r="E18" s="266"/>
      <s:c r="F18" s="266"/>
      <s:c r="G18" s="266"/>
      <s:c r="H18" s="266"/>
      <s:c r="I18" s="266"/>
      <s:c r="J18" s="266"/>
      <s:c r="K18" s="266"/>
      <s:c r="L18" s="266"/>
      <s:c r="M18" s="266"/>
      <s:c r="N18" s="266"/>
      <s:c r="O18" s="266"/>
      <s:c r="P18" s="266"/>
      <s:c r="Q18" s="266"/>
      <s:c r="R18" s="267"/>
      <s:c r="S18" s="268"/>
      <s:c r="T18" s="266"/>
      <s:c r="U18" s="266"/>
      <s:c r="V18" s="266"/>
      <s:c r="W18" s="266"/>
      <s:c r="X18" s="266"/>
      <s:c r="Y18" s="266"/>
      <s:c r="Z18" s="266"/>
      <s:c r="AA18" s="266"/>
      <s:c r="AB18" s="266"/>
      <s:c r="AC18" s="266"/>
      <s:c r="AD18" s="266"/>
      <s:c r="AE18" s="266"/>
      <s:c r="AF18" s="266"/>
      <s:c r="AG18" s="266"/>
      <s:c r="AH18" s="270"/>
      <s:c r="AI18" s="261">
        <s:f validation_="true">COUNTIF(D18:AH18,"&gt;0")</s:f>
        <s:v>0</s:v>
      </s:c>
      <s:c r="AJ18" s="262">
        <s:f validation_="true">SUMIF(D18:AH18,"&gt;0")</s:f>
        <s:v>0</s:v>
      </s:c>
      <s:c r="AK18" s="271">
        <s:f validation_="true">COUNTIF(D18:AH18,"В")</s:f>
        <s:v>0</s:v>
      </s:c>
      <s:c r="AL18" s="271">
        <s:v>0</s:v>
      </s:c>
      <s:c r="AM18" s="271">
        <s:v>0</s:v>
      </s:c>
      <s:c r="AN18" s="272">
        <s:v>0</s:v>
      </s:c>
    </s:row>
    <s:row r="19" spans="1:40">
      <s:c r="A19" s="265">
        <s:v>10</s:v>
      </s:c>
      <s:c r="B19" s="266"/>
      <s:c r="C19" s="266"/>
      <s:c r="D19" s="266"/>
      <s:c r="E19" s="266"/>
      <s:c r="F19" s="266"/>
      <s:c r="G19" s="266"/>
      <s:c r="H19" s="266"/>
      <s:c r="I19" s="266"/>
      <s:c r="J19" s="266"/>
      <s:c r="K19" s="266"/>
      <s:c r="L19" s="266"/>
      <s:c r="M19" s="266"/>
      <s:c r="N19" s="266"/>
      <s:c r="O19" s="266"/>
      <s:c r="P19" s="266"/>
      <s:c r="Q19" s="266"/>
      <s:c r="R19" s="267"/>
      <s:c r="S19" s="268"/>
      <s:c r="T19" s="273"/>
      <s:c r="U19" s="273"/>
      <s:c r="V19" s="273"/>
      <s:c r="W19" s="273"/>
      <s:c r="X19" s="273"/>
      <s:c r="Y19" s="273"/>
      <s:c r="Z19" s="273"/>
      <s:c r="AA19" s="273"/>
      <s:c r="AB19" s="273"/>
      <s:c r="AC19" s="273"/>
      <s:c r="AD19" s="273"/>
      <s:c r="AE19" s="273"/>
      <s:c r="AF19" s="273"/>
      <s:c r="AG19" s="273"/>
      <s:c r="AH19" s="270"/>
      <s:c r="AI19" s="261">
        <s:f validation_="true">COUNTIF(D19:AH19,"&gt;0")</s:f>
        <s:v>0</s:v>
      </s:c>
      <s:c r="AJ19" s="262">
        <s:f validation_="true">SUMIF(D19:AH19,"&gt;0")</s:f>
        <s:v>0</s:v>
      </s:c>
      <s:c r="AK19" s="271">
        <s:f validation_="true">COUNTIF(D19:AH19,"В")</s:f>
        <s:v>0</s:v>
      </s:c>
      <s:c r="AL19" s="271">
        <s:v>0</s:v>
      </s:c>
      <s:c r="AM19" s="271">
        <s:v>0</s:v>
      </s:c>
      <s:c r="AN19" s="272">
        <s:v>0</s:v>
      </s:c>
    </s:row>
    <s:row r="20" spans="1:40">
      <s:c r="A20" s="265">
        <s:v>9</s:v>
      </s:c>
      <s:c r="B20" s="266"/>
      <s:c r="C20" s="266"/>
      <s:c r="D20" s="266"/>
      <s:c r="E20" s="266"/>
      <s:c r="F20" s="266"/>
      <s:c r="G20" s="266"/>
      <s:c r="H20" s="266"/>
      <s:c r="I20" s="266"/>
      <s:c r="J20" s="266"/>
      <s:c r="K20" s="266"/>
      <s:c r="L20" s="266"/>
      <s:c r="M20" s="266"/>
      <s:c r="N20" s="266"/>
      <s:c r="O20" s="266"/>
      <s:c r="P20" s="266"/>
      <s:c r="Q20" s="266"/>
      <s:c r="R20" s="267"/>
      <s:c r="S20" s="268"/>
      <s:c r="T20" s="273"/>
      <s:c r="U20" s="273"/>
      <s:c r="V20" s="273"/>
      <s:c r="W20" s="273"/>
      <s:c r="X20" s="273"/>
      <s:c r="Y20" s="273"/>
      <s:c r="Z20" s="273"/>
      <s:c r="AA20" s="273"/>
      <s:c r="AB20" s="273"/>
      <s:c r="AC20" s="273"/>
      <s:c r="AD20" s="273"/>
      <s:c r="AE20" s="273"/>
      <s:c r="AF20" s="273"/>
      <s:c r="AG20" s="273"/>
      <s:c r="AH20" s="270"/>
      <s:c r="AI20" s="261">
        <s:f validation_="true">COUNTIF(D20:AH20,"&gt;0")</s:f>
        <s:v>0</s:v>
      </s:c>
      <s:c r="AJ20" s="262">
        <s:f validation_="true">SUMIF(D20:AH20,"&gt;0")</s:f>
        <s:v>0</s:v>
      </s:c>
      <s:c r="AK20" s="271">
        <s:f validation_="true">COUNTIF(D20:AH20,"В")</s:f>
        <s:v>0</s:v>
      </s:c>
      <s:c r="AL20" s="271">
        <s:v>0</s:v>
      </s:c>
      <s:c r="AM20" s="271">
        <s:v>0</s:v>
      </s:c>
      <s:c r="AN20" s="272">
        <s:v>0</s:v>
      </s:c>
    </s:row>
    <s:row r="21" spans="1:40">
      <s:c r="A21" s="265">
        <s:v>8</s:v>
      </s:c>
      <s:c r="B21" s="266"/>
      <s:c r="C21" s="266"/>
      <s:c r="D21" s="266"/>
      <s:c r="E21" s="266"/>
      <s:c r="F21" s="266"/>
      <s:c r="G21" s="266"/>
      <s:c r="H21" s="266"/>
      <s:c r="I21" s="266"/>
      <s:c r="J21" s="266"/>
      <s:c r="K21" s="266"/>
      <s:c r="L21" s="266"/>
      <s:c r="M21" s="266"/>
      <s:c r="N21" s="266"/>
      <s:c r="O21" s="266"/>
      <s:c r="P21" s="266"/>
      <s:c r="Q21" s="266"/>
      <s:c r="R21" s="267"/>
      <s:c r="S21" s="268"/>
      <s:c r="T21" s="273"/>
      <s:c r="U21" s="273"/>
      <s:c r="V21" s="273"/>
      <s:c r="W21" s="273"/>
      <s:c r="X21" s="273"/>
      <s:c r="Y21" s="273"/>
      <s:c r="Z21" s="273"/>
      <s:c r="AA21" s="273"/>
      <s:c r="AB21" s="273"/>
      <s:c r="AC21" s="273"/>
      <s:c r="AD21" s="273"/>
      <s:c r="AE21" s="273"/>
      <s:c r="AF21" s="273"/>
      <s:c r="AG21" s="273"/>
      <s:c r="AH21" s="270"/>
      <s:c r="AI21" s="261">
        <s:f validation_="true">COUNTIF(D21:AH21,"&gt;0")</s:f>
        <s:v>0</s:v>
      </s:c>
      <s:c r="AJ21" s="262">
        <s:f validation_="true">SUMIF(D21:AH21,"&gt;0")</s:f>
        <s:v>0</s:v>
      </s:c>
      <s:c r="AK21" s="271">
        <s:f validation_="true">COUNTIF(D21:AH21,"В")</s:f>
        <s:v>0</s:v>
      </s:c>
      <s:c r="AL21" s="271">
        <s:v>0</s:v>
      </s:c>
      <s:c r="AM21" s="271">
        <s:v>0</s:v>
      </s:c>
      <s:c r="AN21" s="272">
        <s:v>0</s:v>
      </s:c>
    </s:row>
    <s:row r="22" spans="1:40">
      <s:c r="A22" s="265">
        <s:v>7</s:v>
      </s:c>
      <s:c r="B22" s="266"/>
      <s:c r="C22" s="266"/>
      <s:c r="D22" s="266"/>
      <s:c r="E22" s="266"/>
      <s:c r="F22" s="266"/>
      <s:c r="G22" s="266"/>
      <s:c r="H22" s="266"/>
      <s:c r="I22" s="266"/>
      <s:c r="J22" s="266"/>
      <s:c r="K22" s="266"/>
      <s:c r="L22" s="266"/>
      <s:c r="M22" s="266"/>
      <s:c r="N22" s="274"/>
      <s:c r="O22" s="266"/>
      <s:c r="P22" s="266"/>
      <s:c r="Q22" s="266"/>
      <s:c r="R22" s="267"/>
      <s:c r="S22" s="268"/>
      <s:c r="T22" s="273"/>
      <s:c r="U22" s="273"/>
      <s:c r="V22" s="275"/>
      <s:c r="W22" s="273"/>
      <s:c r="X22" s="273"/>
      <s:c r="Y22" s="273"/>
      <s:c r="Z22" s="273"/>
      <s:c r="AA22" s="273"/>
      <s:c r="AB22" s="273"/>
      <s:c r="AC22" s="517"/>
      <s:c r="AD22" s="517"/>
      <s:c r="AE22" s="517"/>
      <s:c r="AF22" s="517"/>
      <s:c r="AG22" s="517"/>
      <s:c r="AH22" s="518"/>
      <s:c r="AI22" s="261">
        <s:f validation_="true">COUNTIF(D22:AH22,"&gt;0")</s:f>
        <s:v>0</s:v>
      </s:c>
      <s:c r="AJ22" s="262">
        <s:f validation_="true">SUMIF(D22:AH22,"&gt;0")</s:f>
        <s:v>0</s:v>
      </s:c>
      <s:c r="AK22" s="271">
        <s:f validation_="true">COUNTIF(D22:AH22,"В")</s:f>
        <s:v>0</s:v>
      </s:c>
      <s:c r="AL22" s="271">
        <s:v>0</s:v>
      </s:c>
      <s:c r="AM22" s="271">
        <s:v>0</s:v>
      </s:c>
      <s:c r="AN22" s="272">
        <s:v>0</s:v>
      </s:c>
    </s:row>
    <s:row r="23" spans="1:40" ht="16">
      <s:c r="A23" s="265">
        <s:v>6</s:v>
      </s:c>
      <s:c r="B23" s="276"/>
      <s:c r="C23" s="276"/>
      <s:c r="D23" s="277"/>
      <s:c r="E23" s="278"/>
      <s:c r="F23" s="278"/>
      <s:c r="G23" s="278"/>
      <s:c r="H23" s="278"/>
      <s:c r="I23" s="278"/>
      <s:c r="J23" s="278"/>
      <s:c r="K23" s="278"/>
      <s:c r="L23" s="278"/>
      <s:c r="M23" s="277"/>
      <s:c r="N23" s="278"/>
      <s:c r="O23" s="278"/>
      <s:c r="P23" s="279"/>
      <s:c r="Q23" s="279"/>
      <s:c r="R23" s="279"/>
      <s:c r="S23" s="279"/>
      <s:c r="T23" s="279"/>
      <s:c r="U23" s="279"/>
      <s:c r="V23" s="279"/>
      <s:c r="W23" s="279"/>
      <s:c r="X23" s="280"/>
      <s:c r="Y23" s="280"/>
      <s:c r="Z23" s="280"/>
      <s:c r="AA23" s="280"/>
      <s:c r="AB23" s="280"/>
      <s:c r="AC23" s="306"/>
      <s:c r="AD23" s="519"/>
      <s:c r="AE23" s="306"/>
      <s:c r="AF23" s="306"/>
      <s:c r="AG23" s="306"/>
      <s:c r="AH23" s="520"/>
      <s:c r="AI23" s="261">
        <s:f validation_="true">COUNTIF(D23:AH23,"&gt;0")</s:f>
        <s:v>0</s:v>
      </s:c>
      <s:c r="AJ23" s="262">
        <s:f validation_="true">SUMIF(D23:AH23,"&gt;0")</s:f>
        <s:v>0</s:v>
      </s:c>
      <s:c r="AK23" s="271">
        <s:f validation_="true">COUNTIF(D23:AH23,"В")</s:f>
        <s:v>0</s:v>
      </s:c>
      <s:c r="AL23" s="271">
        <s:v>0</s:v>
      </s:c>
      <s:c r="AM23" s="271">
        <s:v>0</s:v>
      </s:c>
      <s:c r="AN23" s="272">
        <s:v>0</s:v>
      </s:c>
    </s:row>
    <s:row r="24" spans="1:40" ht="16">
      <s:c r="A24" s="265">
        <s:v>5</s:v>
      </s:c>
      <s:c r="B24" s="281"/>
      <s:c r="C24" s="276"/>
      <s:c r="D24" s="282"/>
      <s:c r="E24" s="282"/>
      <s:c r="F24" s="282"/>
      <s:c r="G24" s="282"/>
      <s:c r="H24" s="282"/>
      <s:c r="I24" s="282"/>
      <s:c r="J24" s="282"/>
      <s:c r="K24" s="282"/>
      <s:c r="L24" s="282"/>
      <s:c r="M24" s="282"/>
      <s:c r="N24" s="282"/>
      <s:c r="O24" s="282"/>
      <s:c r="P24" s="283"/>
      <s:c r="Q24" s="521"/>
      <s:c r="R24" s="284"/>
      <s:c r="S24" s="284"/>
      <s:c r="T24" s="284"/>
      <s:c r="U24" s="280"/>
      <s:c r="V24" s="284"/>
      <s:c r="W24" s="284"/>
      <s:c r="X24" s="284"/>
      <s:c r="Y24" s="284"/>
      <s:c r="Z24" s="284"/>
      <s:c r="AA24" s="280"/>
      <s:c r="AB24" s="284"/>
      <s:c r="AC24" s="306"/>
      <s:c r="AD24" s="306"/>
      <s:c r="AE24" s="521"/>
      <s:c r="AF24" s="300"/>
      <s:c r="AG24" s="300"/>
      <s:c r="AH24" s="522"/>
      <s:c r="AI24" s="285">
        <s:f validation_="true">COUNTIF(D24:AH24,"&gt;0")</s:f>
        <s:v>0</s:v>
      </s:c>
      <s:c r="AJ24" s="262">
        <s:f validation_="true">SUMIF(D24:AH24,"&gt;0")</s:f>
        <s:v>0</s:v>
      </s:c>
      <s:c r="AK24" s="271">
        <s:f validation_="true">COUNTIF(D24:AH24,"В")</s:f>
        <s:v>0</s:v>
      </s:c>
      <s:c r="AL24" s="271">
        <s:v>0</s:v>
      </s:c>
      <s:c r="AM24" s="271">
        <s:v>0</s:v>
      </s:c>
      <s:c r="AN24" s="272">
        <s:v>0</s:v>
      </s:c>
    </s:row>
    <s:row r="25" spans="1:40" ht="16">
      <s:c r="A25" s="265">
        <s:v>4</s:v>
      </s:c>
      <s:c r="B25" s="281"/>
      <s:c r="C25" s="281"/>
      <s:c r="D25" s="299"/>
      <s:c r="E25" s="300"/>
      <s:c r="F25" s="301"/>
      <s:c r="G25" s="301"/>
      <s:c r="H25" s="301"/>
      <s:c r="I25" s="301"/>
      <s:c r="J25" s="300"/>
      <s:c r="K25" s="300"/>
      <s:c r="L25" s="299"/>
      <s:c r="M25" s="299"/>
      <s:c r="N25" s="299"/>
      <s:c r="O25" s="299"/>
      <s:c r="P25" s="299"/>
      <s:c r="Q25" s="299"/>
      <s:c r="R25" s="299"/>
      <s:c r="S25" s="302"/>
      <s:c r="T25" s="516"/>
      <s:c r="U25" s="302"/>
      <s:c r="V25" s="302"/>
      <s:c r="W25" s="302"/>
      <s:c r="X25" s="302"/>
      <s:c r="Y25" s="302"/>
      <s:c r="Z25" s="302"/>
      <s:c r="AA25" s="302"/>
      <s:c r="AB25" s="302"/>
      <s:c r="AC25" s="302"/>
      <s:c r="AD25" s="302"/>
      <s:c r="AE25" s="302"/>
      <s:c r="AF25" s="299"/>
      <s:c r="AG25" s="299"/>
      <s:c r="AH25" s="299"/>
      <s:c r="AI25" s="285">
        <s:f validation_="true">COUNTIF(D25:AH25,"&gt;0")</s:f>
        <s:v>0</s:v>
      </s:c>
      <s:c r="AJ25" s="262">
        <s:f validation_="true">SUMIF(D25:AH25,"&gt;0")</s:f>
        <s:v>0</s:v>
      </s:c>
      <s:c r="AK25" s="271">
        <s:f validation_="true">COUNTIF(D25:AH25,"В")</s:f>
        <s:v>0</s:v>
      </s:c>
      <s:c r="AL25" s="271">
        <s:v>0</s:v>
      </s:c>
      <s:c r="AM25" s="271">
        <s:v>0</s:v>
      </s:c>
      <s:c r="AN25" s="272">
        <s:v>0</s:v>
      </s:c>
    </s:row>
    <s:row r="26" spans="1:40" ht="16">
      <s:c r="A26" s="265">
        <s:v>3</s:v>
      </s:c>
      <s:c r="B26" s="281" t="s">
        <s:v>132</s:v>
      </s:c>
      <s:c r="C26" s="281" t="s">
        <s:v>134</s:v>
      </s:c>
      <s:c r="D26" s="303" t="s">
        <s:v>71</s:v>
      </s:c>
      <s:c r="E26" s="524">
        <s:v>11</s:v>
      </s:c>
      <s:c r="F26" s="525">
        <s:v>11</s:v>
      </s:c>
      <s:c r="G26" s="304" t="s">
        <s:v>71</s:v>
      </s:c>
      <s:c r="H26" s="304" t="s">
        <s:v>71</s:v>
      </s:c>
      <s:c r="I26" s="303" t="s">
        <s:v>71</s:v>
      </s:c>
      <s:c r="J26" s="526">
        <s:v>11</s:v>
      </s:c>
      <s:c r="K26" s="526">
        <s:v>11</s:v>
      </s:c>
      <s:c r="L26" s="514" t="s">
        <s:v>71</s:v>
      </s:c>
      <s:c r="M26" s="527">
        <s:v>11</s:v>
      </s:c>
      <s:c r="N26" s="527">
        <s:v>11</s:v>
      </s:c>
      <s:c r="O26" s="305" t="s">
        <s:v>71</s:v>
      </s:c>
      <s:c r="P26" s="741">
        <s:v>11</s:v>
      </s:c>
      <s:c r="Q26" s="305" t="s">
        <s:v>71</s:v>
      </s:c>
      <s:c r="R26" s="527">
        <s:v>11</s:v>
      </s:c>
      <s:c r="S26" s="305" t="s">
        <s:v>71</s:v>
      </s:c>
      <s:c r="T26" s="305" t="s">
        <s:v>71</s:v>
      </s:c>
      <s:c r="U26" s="527">
        <s:v>11</s:v>
      </s:c>
      <s:c r="V26" s="527">
        <s:v>11</s:v>
      </s:c>
      <s:c r="W26" s="305" t="s">
        <s:v>71</s:v>
      </s:c>
      <s:c r="X26" s="746">
        <s:v>11</s:v>
      </s:c>
      <s:c r="Y26" s="527">
        <s:v>11</s:v>
      </s:c>
      <s:c r="Z26" s="523">
        <s:v>11</s:v>
      </s:c>
      <s:c r="AA26" s="742">
        <s:v>11</s:v>
      </s:c>
      <s:c r="AB26" s="742">
        <s:v>11</s:v>
      </s:c>
      <s:c r="AC26" s="299" t="s">
        <s:v>71</s:v>
      </s:c>
      <s:c r="AD26" s="523">
        <s:v>11</s:v>
      </s:c>
      <s:c r="AE26" s="742">
        <s:v>11</s:v>
      </s:c>
      <s:c r="AF26" s="742">
        <s:v>11</s:v>
      </s:c>
      <s:c r="AG26" s="299" t="s">
        <s:v>71</s:v>
      </s:c>
      <s:c r="AH26" s="299"/>
      <s:c r="AI26" s="285">
        <s:f validation_="true">COUNTIF(D26:AH26,"&gt;0")</s:f>
        <s:v>18</s:v>
      </s:c>
      <s:c r="AJ26" s="262">
        <s:f validation_="true">SUMIF(D26:AH26,"&gt;0")</s:f>
        <s:v>198</s:v>
      </s:c>
      <s:c r="AK26" s="271">
        <s:f validation_="true">COUNTIF(D26:AH26,"В")</s:f>
        <s:v>12</s:v>
      </s:c>
      <s:c r="AL26" s="271">
        <s:v>0</s:v>
      </s:c>
      <s:c r="AM26" s="271">
        <s:v>0</s:v>
      </s:c>
      <s:c r="AN26" s="272">
        <s:v>0</s:v>
      </s:c>
    </s:row>
    <s:row r="27" spans="1:40" ht="16">
      <s:c r="A27" s="265">
        <s:v>2</s:v>
      </s:c>
      <s:c r="B27" s="281" t="s">
        <s:v>128</s:v>
      </s:c>
      <s:c r="C27" s="276" t="s">
        <s:v>134</s:v>
      </s:c>
      <s:c r="D27" s="523">
        <s:v>11</s:v>
      </s:c>
      <s:c r="E27" s="299" t="s">
        <s:v>71</s:v>
      </s:c>
      <s:c r="F27" s="299" t="s">
        <s:v>71</s:v>
      </s:c>
      <s:c r="G27" s="523">
        <s:v>11</s:v>
      </s:c>
      <s:c r="H27" s="523">
        <s:v>11</s:v>
      </s:c>
      <s:c r="I27" s="523">
        <s:v>11</s:v>
      </s:c>
      <s:c r="J27" s="299" t="s">
        <s:v>71</s:v>
      </s:c>
      <s:c r="K27" s="299" t="s">
        <s:v>71</s:v>
      </s:c>
      <s:c r="L27" s="523">
        <s:v>11</s:v>
      </s:c>
      <s:c r="M27" s="302" t="s">
        <s:v>71</s:v>
      </s:c>
      <s:c r="N27" s="302" t="s">
        <s:v>71</s:v>
      </s:c>
      <s:c r="O27" s="528">
        <s:v>11</s:v>
      </s:c>
      <s:c r="P27" s="305" t="s">
        <s:v>71</s:v>
      </s:c>
      <s:c r="Q27" s="742">
        <s:v>11</s:v>
      </s:c>
      <s:c r="R27" s="299" t="s">
        <s:v>71</s:v>
      </s:c>
      <s:c r="S27" s="529">
        <s:v>11</s:v>
      </s:c>
      <s:c r="T27" s="529">
        <s:v>11</s:v>
      </s:c>
      <s:c r="U27" s="300" t="s">
        <s:v>71</s:v>
      </s:c>
      <s:c r="V27" s="300" t="s">
        <s:v>71</s:v>
      </s:c>
      <s:c r="W27" s="523">
        <s:v>11</s:v>
      </s:c>
      <s:c r="X27" s="276" t="s">
        <s:v>143</s:v>
      </s:c>
      <s:c r="Y27" s="299" t="s">
        <s:v>143</s:v>
      </s:c>
      <s:c r="Z27" s="299" t="s">
        <s:v>143</s:v>
      </s:c>
      <s:c r="AA27" s="299" t="s">
        <s:v>143</s:v>
      </s:c>
      <s:c r="AB27" s="299" t="s">
        <s:v>143</s:v>
      </s:c>
      <s:c r="AC27" s="742">
        <s:v>11</s:v>
      </s:c>
      <s:c r="AD27" s="299" t="s">
        <s:v>143</s:v>
      </s:c>
      <s:c r="AE27" s="299" t="s">
        <s:v>143</s:v>
      </s:c>
      <s:c r="AF27" s="299" t="s">
        <s:v>143</s:v>
      </s:c>
      <s:c r="AG27" s="299" t="s">
        <s:v>143</s:v>
      </s:c>
      <s:c r="AH27" s="299"/>
      <s:c r="AI27" s="285">
        <s:f validation_="true">COUNTIF(D27:AH27,"&gt;0")</s:f>
        <s:v>11</s:v>
      </s:c>
      <s:c r="AJ27" s="262">
        <s:f validation_="true">SUMIF(D27:AH27,"&gt;0")</s:f>
        <s:v>121</s:v>
      </s:c>
      <s:c r="AK27" s="271">
        <s:f validation_="true">COUNTIF(D27:AH27,"В")</s:f>
        <s:v>10</s:v>
      </s:c>
      <s:c r="AL27" s="271">
        <s:v>0</s:v>
      </s:c>
      <s:c r="AM27" s="271">
        <s:v>0</s:v>
      </s:c>
      <s:c r="AN27" s="272">
        <s:v>0</s:v>
      </s:c>
    </s:row>
    <s:row r="28" spans="1:40" ht="16">
      <s:c r="A28" s="286">
        <s:v>1</s:v>
      </s:c>
      <s:c r="B28" s="277" t="s">
        <s:v>127</s:v>
      </s:c>
      <s:c r="C28" s="287" t="s">
        <s:v>101</s:v>
      </s:c>
      <s:c r="D28" s="306"/>
      <s:c r="E28" s="306"/>
      <s:c r="F28" s="306"/>
      <s:c r="G28" s="306"/>
      <s:c r="H28" s="306"/>
      <s:c r="I28" s="740">
        <s:v>9</s:v>
      </s:c>
      <s:c r="J28" s="740">
        <s:v>9</s:v>
      </s:c>
      <s:c r="K28" s="740">
        <s:v>8.5</s:v>
      </s:c>
      <s:c r="L28" s="740">
        <s:v>8.5</s:v>
      </s:c>
      <s:c r="M28" s="740">
        <s:v>9</s:v>
      </s:c>
      <s:c r="N28" s="515"/>
      <s:c r="O28" s="306"/>
      <s:c r="P28" s="306"/>
      <s:c r="Q28" s="306"/>
      <s:c r="R28" s="306"/>
      <s:c r="S28" s="306"/>
      <s:c r="T28" s="306"/>
      <s:c r="U28" s="306"/>
      <s:c r="V28" s="306"/>
      <s:c r="W28" s="740">
        <s:v>8</s:v>
      </s:c>
      <s:c r="X28" s="740">
        <s:v>10</s:v>
      </s:c>
      <s:c r="Y28" s="740">
        <s:v>7</s:v>
      </s:c>
      <s:c r="Z28" s="740">
        <s:v>8</s:v>
      </s:c>
      <s:c r="AA28" s="306"/>
      <s:c r="AB28" s="306"/>
      <s:c r="AC28" s="306"/>
      <s:c r="AD28" s="306"/>
      <s:c r="AE28" s="306"/>
      <s:c r="AF28" s="306"/>
      <s:c r="AG28" s="748">
        <s:v>11</s:v>
      </s:c>
      <s:c r="AH28" s="306"/>
      <s:c r="AI28" s="288">
        <s:f validation_="true">COUNTIF(D28:AH28,"&gt;0")</s:f>
        <s:v>10</s:v>
      </s:c>
      <s:c r="AJ28" s="289">
        <s:f validation_="true">SUMIF(D28:AH28,"&gt;0")</s:f>
        <s:v>88</s:v>
      </s:c>
      <s:c r="AK28" s="290">
        <s:f validation_="true">COUNTIF(D28:AH28,"В")</s:f>
        <s:v>0</s:v>
      </s:c>
      <s:c r="AL28" s="290">
        <s:f>COUNTIF(E28:AI28,"о")</s:f>
        <s:v>0</s:v>
      </s:c>
      <s:c r="AM28" s="290">
        <s:f>COUNTIF(F28:AJ28,"б")</s:f>
        <s:v>0</s:v>
      </s:c>
      <s:c r="AN28" s="291">
        <s:v>0</s:v>
      </s:c>
    </s:row>
    <s:row r="29" spans="1:40" ht="20" customHeight="1">
      <s:c r="A29" s="292"/>
      <s:c r="B29" s="293" t="s">
        <s:v>117</s:v>
      </s:c>
      <s:c r="C29" s="293"/>
      <s:c r="D29" s="293">
        <s:f validation_="true">COUNTIF(D11:D28,"&gt;0")</s:f>
        <s:v>1</s:v>
      </s:c>
      <s:c r="E29" s="293">
        <s:f validation_="true">COUNTIF(E11:E28,"&gt;0")</s:f>
        <s:v>1</s:v>
      </s:c>
      <s:c r="F29" s="293">
        <s:f validation_="true">COUNTIF(F11:F28,"&gt;0")</s:f>
        <s:v>1</s:v>
      </s:c>
      <s:c r="G29" s="293">
        <s:f validation_="true">COUNTIF(G11:G28,"&gt;0")</s:f>
        <s:v>1</s:v>
      </s:c>
      <s:c r="H29" s="293">
        <s:f validation_="true">COUNTIF(H11:H28,"&gt;0")</s:f>
        <s:v>1</s:v>
      </s:c>
      <s:c r="I29" s="293">
        <s:f validation_="true">COUNTIF(I11:I28,"&gt;0")</s:f>
        <s:v>2</s:v>
      </s:c>
      <s:c r="J29" s="293">
        <s:f validation_="true">COUNTIF(J11:J28,"&gt;0")</s:f>
        <s:v>2</s:v>
      </s:c>
      <s:c r="K29" s="293">
        <s:f validation_="true">COUNTIF(K11:K28,"&gt;0")</s:f>
        <s:v>2</s:v>
      </s:c>
      <s:c r="L29" s="293">
        <s:f validation_="true">COUNTIF(L11:L28,"&gt;0")</s:f>
        <s:v>2</s:v>
      </s:c>
      <s:c r="M29" s="293">
        <s:f validation_="true">COUNTIF(M11:M28,"&gt;0")</s:f>
        <s:v>2</s:v>
      </s:c>
      <s:c r="N29" s="293">
        <s:f validation_="true">COUNTIF(N11:N28,"&gt;0")</s:f>
        <s:v>1</s:v>
      </s:c>
      <s:c r="O29" s="293">
        <s:f validation_="true">COUNTIF(O11:O28,"&gt;0")</s:f>
        <s:v>1</s:v>
      </s:c>
      <s:c r="P29" s="293">
        <s:f validation_="true">COUNTIF(P11:P28,"&gt;0")</s:f>
        <s:v>1</s:v>
      </s:c>
      <s:c r="Q29" s="293">
        <s:f validation_="true">COUNTIF(Q11:Q28,"&gt;0")</s:f>
        <s:v>1</s:v>
      </s:c>
      <s:c r="R29" s="294">
        <s:f validation_="true">COUNTIF(R11:R28,"&gt;0")</s:f>
        <s:v>1</s:v>
      </s:c>
      <s:c r="S29" s="295">
        <s:f validation_="true">COUNTIF(S11:S28,"&gt;0")</s:f>
        <s:v>1</s:v>
      </s:c>
      <s:c r="T29" s="293">
        <s:f validation_="true">COUNTIF(T11:T28,"&gt;0")</s:f>
        <s:v>1</s:v>
      </s:c>
      <s:c r="U29" s="293">
        <s:f validation_="true">COUNTIF(U11:U28,"&gt;0")</s:f>
        <s:v>1</s:v>
      </s:c>
      <s:c r="V29" s="293">
        <s:f validation_="true">COUNTIF(V11:V28,"&gt;0")</s:f>
        <s:v>1</s:v>
      </s:c>
      <s:c r="W29" s="293">
        <s:f validation_="true">COUNTIF(W11:W28,"&gt;0")</s:f>
        <s:v>2</s:v>
      </s:c>
      <s:c r="X29" s="293">
        <s:f validation_="true">COUNTIF(X11:X28,"&gt;0")</s:f>
        <s:v>2</s:v>
      </s:c>
      <s:c r="Y29" s="293">
        <s:f validation_="true">COUNTIF(Y11:Y28,"&gt;0")</s:f>
        <s:v>2</s:v>
      </s:c>
      <s:c r="Z29" s="293">
        <s:f validation_="true">COUNTIF(Z11:Z28,"&gt;0")</s:f>
        <s:v>2</s:v>
      </s:c>
      <s:c r="AA29" s="293">
        <s:f validation_="true">COUNTIF(AA11:AA28,"&gt;0")</s:f>
        <s:v>1</s:v>
      </s:c>
      <s:c r="AB29" s="293">
        <s:f validation_="true">COUNTIF(AB11:AB28,"&gt;0")</s:f>
        <s:v>1</s:v>
      </s:c>
      <s:c r="AC29" s="293">
        <s:f validation_="true">COUNTIF(AC11:AC28,"&gt;0")</s:f>
        <s:v>1</s:v>
      </s:c>
      <s:c r="AD29" s="293">
        <s:f validation_="true">COUNTIF(AD11:AD28,"&gt;0")</s:f>
        <s:v>1</s:v>
      </s:c>
      <s:c r="AE29" s="293">
        <s:f validation_="true">COUNTIF(AE11:AE28,"&gt;0")</s:f>
        <s:v>1</s:v>
      </s:c>
      <s:c r="AF29" s="293">
        <s:f validation_="true">COUNTIF(AF11:AF28,"&gt;0")</s:f>
        <s:v>1</s:v>
      </s:c>
      <s:c r="AG29" s="293">
        <s:f validation_="true">COUNTIF(AG11:AG28,"&gt;0")</s:f>
        <s:v>1</s:v>
      </s:c>
      <s:c r="AH29" s="293">
        <s:f validation_="true">COUNTIF(AH11:AH28,"&gt;0")</s:f>
        <s:v>0</s:v>
      </s:c>
      <s:c r="AI29" s="296">
        <s:f validation_="true">SUM(AI11:AI28)</s:f>
        <s:v>39</s:v>
      </s:c>
      <s:c r="AJ29" s="297">
        <s:f validation_="true">SUM(AJ11:AJ28)</s:f>
        <s:v>407</s:v>
      </s:c>
      <s:c r="AK29" s="296">
        <s:f validation_="true">SUM(AK11:AK28)</s:f>
        <s:v>22</s:v>
      </s:c>
      <s:c r="AL29" s="296">
        <s:f validation_="true">SUM(AL11:AL28)</s:f>
        <s:v>0</s:v>
      </s:c>
      <s:c r="AM29" s="296">
        <s:f validation_="true">SUM(AM11:AM28)</s:f>
        <s:v>0</s:v>
      </s:c>
      <s:c r="AN29" s="298">
        <s:f validation_="true">SUM(AN11:AN28)</s:f>
        <s:v>0</s:v>
      </s:c>
    </s:row>
    <s:row r="31" spans="1:40">
      <s:c r="P31" s="1" t="s">
        <s:v>118</s:v>
      </s:c>
    </s:row>
    <s:row r="32" spans="1:40">
      <s:c r="T32" s="1" t="s">
        <s:v>119</s:v>
      </s:c>
    </s:row>
    <s:row r="35" spans="9:18">
      <s:c r="R35" s="92"/>
    </s:row>
    <s:row r="39" spans="9:18">
      <s:c r="I39" s="1" t="s">
        <s:v>120</s:v>
      </s:c>
    </s:row>
    <s:row r="54" spans="17:17">
      <s:c r="Q54" s="1" t="s">
        <s:v>119</s:v>
      </s:c>
    </s:row>
  </s:sheetData>
  <s:mergeCells count="7">
    <s:mergeCell ref="AJ5:AK5"/>
    <s:mergeCell ref="AL5:AN5"/>
    <s:mergeCell ref="C6:AJ6"/>
    <s:mergeCell ref="C7:AJ7"/>
    <s:mergeCell ref="AL8:AL10"/>
    <s:mergeCell ref="AM8:AM10"/>
    <s:mergeCell ref="AN8:AN10"/>
  </s:mergeCells>
  <s:pageMargins left="0.7" right="0.7" top="0.75" bottom="0.75" header="0.3" footer="0.3"/>
  <s:pageSetup paperSize="9" orientation="portrait"/>
</s:worksheet>
</file>

<file path=docProps/app.xml><?xml version="1.0" encoding="utf-8"?>
<ep:Properties xmlns:ep="http://schemas.openxmlformats.org/officeDocument/2006/extended-properties" xmlns:vt="http://schemas.openxmlformats.org/officeDocument/2006/docPropsVTypes">
  <ep:Template/>
  <ep:Application>Microsoft Macintosh Excel</ep:Application>
  <ep:DocSecurity>0</ep:DocSecurity>
  <ep:ScaleCrop>false</ep:ScaleCrop>
  <ep:HeadingPairs>
    <vt:vector size="2" baseType="variant">
      <vt:variant>
        <vt:lpstr>Листы</vt:lpstr>
      </vt:variant>
      <vt:variant>
        <vt:i4>11</vt:i4>
      </vt:variant>
    </vt:vector>
  </ep:HeadingPairs>
  <ep:TitlesOfParts>
    <vt:vector size="11" baseType="lpstr">
      <vt:lpstr>Центрум</vt:lpstr>
      <vt:lpstr>Справочник магазинов</vt:lpstr>
      <vt:lpstr>Сводная</vt:lpstr>
      <vt:lpstr>План на день</vt:lpstr>
      <vt:lpstr>Рогалевич</vt:lpstr>
      <vt:lpstr>Маркова</vt:lpstr>
      <vt:lpstr>Бешлиева</vt:lpstr>
      <vt:lpstr>Вед-ть Рогалевич</vt:lpstr>
      <vt:lpstr>Вед-ть Маркова</vt:lpstr>
      <vt:lpstr>Вед-ть Бешлиева</vt:lpstr>
      <vt:lpstr>График</vt:lpstr>
    </vt:vector>
  </ep:TitlesOfParts>
  <ep:LinksUpToDate>false</ep:LinksUpToDate>
  <ep:SharedDoc>false</ep:SharedDoc>
  <ep:HyperlinksChanged>false</ep:HyperlinksChanged>
  <ep:AppVersion>16.0300</ep:AppVersion>
</ep:Properties>
</file>

<file path=docProps/core.xml><?xml version="1.0" encoding="utf-8"?>
<cp:coreProperties xmlns:dcterms="http://purl.org/dc/terms/" xmlns:dc="http://purl.org/dc/elements/1.1/" xmlns:xsi="http://www.w3.org/2001/XMLSchema-instance" xmlns:cp="http://schemas.openxmlformats.org/package/2006/metadata/core-properties">
  <dc:title/>
  <dc:subject/>
  <dc:creator/>
  <dc:description/>
  <cp:lastModifiedBy>1</cp:lastModifiedBy>
  <cp:revision>1035</cp:revision>
  <dcterms:created xsi:type="dcterms:W3CDTF">2022-04-02T12:09:31Z</dcterms:created>
  <dcterms:modified xsi:type="dcterms:W3CDTF">2026-05-10T17:25:50Z</dcterms:modified>
  <dc:language>en-US</dc:language>
</cp:coreProperties>
</file>